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marley/Desktop/Transaction Review Tool/"/>
    </mc:Choice>
  </mc:AlternateContent>
  <xr:revisionPtr revIDLastSave="0" documentId="8_{06057DCB-7B8D-F44F-9153-481CF9293E78}" xr6:coauthVersionLast="47" xr6:coauthVersionMax="47" xr10:uidLastSave="{00000000-0000-0000-0000-000000000000}"/>
  <bookViews>
    <workbookView xWindow="0" yWindow="740" windowWidth="29400" windowHeight="18380" xr2:uid="{F4663F2E-9E39-4810-9024-E5C0A1B2A078}"/>
  </bookViews>
  <sheets>
    <sheet name="raw data" sheetId="1" r:id="rId1"/>
    <sheet name="rates" sheetId="2" r:id="rId2"/>
    <sheet name="Rates + Volumes" sheetId="3" r:id="rId3"/>
  </sheets>
  <externalReferences>
    <externalReference r:id="rId4"/>
  </externalReferences>
  <definedNames>
    <definedName name="_xlnm._FilterDatabase" localSheetId="0" hidden="1">'raw data'!$A$1:$JE$116</definedName>
    <definedName name="Months">[1]Admin!$A$1:$A$48</definedName>
    <definedName name="rawdata">'raw data'!$1:$1048576</definedName>
    <definedName name="Reported">'raw data'!$D:$D,'raw data'!$F:$F,'raw data'!$H:$H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V127" i="3" l="1"/>
  <c r="FQ127" i="3"/>
  <c r="FP127" i="3"/>
  <c r="FN127" i="3"/>
  <c r="FM127" i="3"/>
  <c r="FK127" i="3"/>
  <c r="FJ127" i="3"/>
  <c r="FH127" i="3"/>
  <c r="FG127" i="3"/>
  <c r="FE127" i="3"/>
  <c r="FD127" i="3"/>
  <c r="FB127" i="3"/>
  <c r="FA127" i="3"/>
  <c r="EY127" i="3"/>
  <c r="EX127" i="3"/>
  <c r="EV127" i="3"/>
  <c r="EU127" i="3"/>
  <c r="ES127" i="3"/>
  <c r="ER127" i="3"/>
  <c r="EP127" i="3"/>
  <c r="EO127" i="3"/>
  <c r="EM127" i="3"/>
  <c r="EL127" i="3"/>
  <c r="EJ127" i="3"/>
  <c r="EI127" i="3"/>
  <c r="EG127" i="3"/>
  <c r="EF127" i="3"/>
  <c r="ED127" i="3"/>
  <c r="EC127" i="3"/>
  <c r="EA127" i="3"/>
  <c r="DZ127" i="3"/>
  <c r="DX127" i="3"/>
  <c r="DW127" i="3"/>
  <c r="DU127" i="3"/>
  <c r="DT127" i="3"/>
  <c r="DR127" i="3"/>
  <c r="DQ127" i="3"/>
  <c r="DO127" i="3"/>
  <c r="DN127" i="3"/>
  <c r="DM127" i="3"/>
  <c r="DL127" i="3"/>
  <c r="DK127" i="3"/>
  <c r="DV126" i="3"/>
  <c r="DU126" i="3"/>
  <c r="DT126" i="3"/>
  <c r="DS126" i="3"/>
  <c r="DR126" i="3"/>
  <c r="DQ126" i="3"/>
  <c r="DP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FV125" i="3"/>
  <c r="DV125" i="3"/>
  <c r="DU125" i="3"/>
  <c r="DT125" i="3"/>
  <c r="DS125" i="3"/>
  <c r="DR125" i="3"/>
  <c r="DQ125" i="3"/>
  <c r="DP125" i="3"/>
  <c r="DO125" i="3"/>
  <c r="DN125" i="3"/>
  <c r="DM125" i="3"/>
  <c r="DL125" i="3"/>
  <c r="DK125" i="3"/>
  <c r="DJ125" i="3"/>
  <c r="DI125" i="3"/>
  <c r="DH125" i="3"/>
  <c r="DG125" i="3"/>
  <c r="DF125" i="3"/>
  <c r="DE125" i="3"/>
  <c r="DD125" i="3"/>
  <c r="DC125" i="3"/>
  <c r="DB125" i="3"/>
  <c r="DA125" i="3"/>
  <c r="CZ125" i="3"/>
  <c r="CY125" i="3"/>
  <c r="CX125" i="3"/>
  <c r="CW125" i="3"/>
  <c r="CV125" i="3"/>
  <c r="CU125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DV124" i="3"/>
  <c r="DU124" i="3"/>
  <c r="DT124" i="3"/>
  <c r="DS124" i="3"/>
  <c r="DR124" i="3"/>
  <c r="DQ124" i="3"/>
  <c r="DP124" i="3"/>
  <c r="DO124" i="3"/>
  <c r="DN124" i="3"/>
  <c r="DM124" i="3"/>
  <c r="DL124" i="3"/>
  <c r="DK124" i="3"/>
  <c r="DJ124" i="3"/>
  <c r="DI124" i="3"/>
  <c r="DH124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EA123" i="3"/>
  <c r="DX123" i="3"/>
  <c r="DV123" i="3"/>
  <c r="DU123" i="3"/>
  <c r="DT123" i="3"/>
  <c r="DS123" i="3"/>
  <c r="DR123" i="3"/>
  <c r="DQ123" i="3"/>
  <c r="DP123" i="3"/>
  <c r="DO123" i="3"/>
  <c r="DN123" i="3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ED122" i="3"/>
  <c r="EC122" i="3"/>
  <c r="DV122" i="3"/>
  <c r="DU122" i="3"/>
  <c r="DU128" i="3" s="1"/>
  <c r="DT122" i="3"/>
  <c r="DS122" i="3"/>
  <c r="DR122" i="3"/>
  <c r="DQ122" i="3"/>
  <c r="DP122" i="3"/>
  <c r="DO122" i="3"/>
  <c r="DO128" i="3" s="1"/>
  <c r="DN122" i="3"/>
  <c r="DM122" i="3"/>
  <c r="DL122" i="3"/>
  <c r="DK122" i="3"/>
  <c r="DK128" i="3" s="1"/>
  <c r="DJ122" i="3"/>
  <c r="DI122" i="3"/>
  <c r="DH122" i="3"/>
  <c r="DG122" i="3"/>
  <c r="DF122" i="3"/>
  <c r="DE122" i="3"/>
  <c r="DE128" i="3" s="1"/>
  <c r="DD122" i="3"/>
  <c r="DC122" i="3"/>
  <c r="DC128" i="3" s="1"/>
  <c r="DB122" i="3"/>
  <c r="DA122" i="3"/>
  <c r="CZ122" i="3"/>
  <c r="CY122" i="3"/>
  <c r="CY128" i="3" s="1"/>
  <c r="CX122" i="3"/>
  <c r="CW122" i="3"/>
  <c r="CW128" i="3" s="1"/>
  <c r="CV122" i="3"/>
  <c r="CU122" i="3"/>
  <c r="CT122" i="3"/>
  <c r="CS122" i="3"/>
  <c r="CR122" i="3"/>
  <c r="CQ122" i="3"/>
  <c r="CQ128" i="3" s="1"/>
  <c r="CP122" i="3"/>
  <c r="CO122" i="3"/>
  <c r="CN122" i="3"/>
  <c r="CM122" i="3"/>
  <c r="CM128" i="3" s="1"/>
  <c r="CL122" i="3"/>
  <c r="CK122" i="3"/>
  <c r="CJ122" i="3"/>
  <c r="CI122" i="3"/>
  <c r="CH122" i="3"/>
  <c r="CG122" i="3"/>
  <c r="CG128" i="3" s="1"/>
  <c r="CF122" i="3"/>
  <c r="CE122" i="3"/>
  <c r="CE128" i="3" s="1"/>
  <c r="CD122" i="3"/>
  <c r="CC122" i="3"/>
  <c r="CB122" i="3"/>
  <c r="CA122" i="3"/>
  <c r="CA128" i="3" s="1"/>
  <c r="BZ122" i="3"/>
  <c r="BY122" i="3"/>
  <c r="BY128" i="3" s="1"/>
  <c r="BX122" i="3"/>
  <c r="BW122" i="3"/>
  <c r="BV122" i="3"/>
  <c r="BU122" i="3"/>
  <c r="BT122" i="3"/>
  <c r="BS122" i="3"/>
  <c r="BS128" i="3" s="1"/>
  <c r="BR122" i="3"/>
  <c r="BQ122" i="3"/>
  <c r="BP122" i="3"/>
  <c r="BO122" i="3"/>
  <c r="BO128" i="3" s="1"/>
  <c r="BN122" i="3"/>
  <c r="BM122" i="3"/>
  <c r="BL122" i="3"/>
  <c r="BK122" i="3"/>
  <c r="BJ122" i="3"/>
  <c r="BI122" i="3"/>
  <c r="BI128" i="3" s="1"/>
  <c r="BH122" i="3"/>
  <c r="BG122" i="3"/>
  <c r="BG128" i="3" s="1"/>
  <c r="BF122" i="3"/>
  <c r="BE122" i="3"/>
  <c r="BD122" i="3"/>
  <c r="BC122" i="3"/>
  <c r="BC128" i="3" s="1"/>
  <c r="BB122" i="3"/>
  <c r="BA122" i="3"/>
  <c r="BA128" i="3" s="1"/>
  <c r="AZ122" i="3"/>
  <c r="AY122" i="3"/>
  <c r="AX122" i="3"/>
  <c r="AW122" i="3"/>
  <c r="AW128" i="3" s="1"/>
  <c r="AV122" i="3"/>
  <c r="AU122" i="3"/>
  <c r="AU128" i="3" s="1"/>
  <c r="AT122" i="3"/>
  <c r="AS122" i="3"/>
  <c r="AR122" i="3"/>
  <c r="AQ122" i="3"/>
  <c r="AQ128" i="3" s="1"/>
  <c r="AP122" i="3"/>
  <c r="AO122" i="3"/>
  <c r="AO128" i="3" s="1"/>
  <c r="AN122" i="3"/>
  <c r="AN128" i="3" s="1"/>
  <c r="AM122" i="3"/>
  <c r="AL122" i="3"/>
  <c r="AK122" i="3"/>
  <c r="AK128" i="3" s="1"/>
  <c r="AJ122" i="3"/>
  <c r="AI122" i="3"/>
  <c r="AI128" i="3" s="1"/>
  <c r="AH122" i="3"/>
  <c r="AG122" i="3"/>
  <c r="AF122" i="3"/>
  <c r="AF128" i="3" s="1"/>
  <c r="AE122" i="3"/>
  <c r="AE128" i="3" s="1"/>
  <c r="AD122" i="3"/>
  <c r="AC122" i="3"/>
  <c r="AC128" i="3" s="1"/>
  <c r="AB122" i="3"/>
  <c r="AA122" i="3"/>
  <c r="Z122" i="3"/>
  <c r="Y122" i="3"/>
  <c r="Y128" i="3" s="1"/>
  <c r="X122" i="3"/>
  <c r="W122" i="3"/>
  <c r="W128" i="3" s="1"/>
  <c r="V122" i="3"/>
  <c r="U122" i="3"/>
  <c r="T122" i="3"/>
  <c r="S122" i="3"/>
  <c r="S128" i="3" s="1"/>
  <c r="R122" i="3"/>
  <c r="Q122" i="3"/>
  <c r="Q128" i="3" s="1"/>
  <c r="P122" i="3"/>
  <c r="P128" i="3" s="1"/>
  <c r="O122" i="3"/>
  <c r="N122" i="3"/>
  <c r="M122" i="3"/>
  <c r="M128" i="3" s="1"/>
  <c r="L122" i="3"/>
  <c r="K122" i="3"/>
  <c r="K128" i="3" s="1"/>
  <c r="J122" i="3"/>
  <c r="I122" i="3"/>
  <c r="H122" i="3"/>
  <c r="H128" i="3" s="1"/>
  <c r="G122" i="3"/>
  <c r="G128" i="3" s="1"/>
  <c r="F122" i="3"/>
  <c r="E122" i="3"/>
  <c r="E128" i="3" s="1"/>
  <c r="D122" i="3"/>
  <c r="FQ120" i="3"/>
  <c r="FP120" i="3"/>
  <c r="FN120" i="3"/>
  <c r="FM120" i="3"/>
  <c r="FK120" i="3"/>
  <c r="FJ120" i="3"/>
  <c r="FH120" i="3"/>
  <c r="FG120" i="3"/>
  <c r="FE120" i="3"/>
  <c r="FD120" i="3"/>
  <c r="FB120" i="3"/>
  <c r="FA120" i="3"/>
  <c r="EY120" i="3"/>
  <c r="EX120" i="3"/>
  <c r="EV120" i="3"/>
  <c r="EU120" i="3"/>
  <c r="ES120" i="3"/>
  <c r="ER120" i="3"/>
  <c r="EP120" i="3"/>
  <c r="EO120" i="3"/>
  <c r="EM120" i="3"/>
  <c r="EL120" i="3"/>
  <c r="EJ120" i="3"/>
  <c r="EI120" i="3"/>
  <c r="EG120" i="3"/>
  <c r="EF120" i="3"/>
  <c r="ED120" i="3"/>
  <c r="EC120" i="3"/>
  <c r="EA120" i="3"/>
  <c r="DZ120" i="3"/>
  <c r="DX120" i="3"/>
  <c r="DW120" i="3"/>
  <c r="DU120" i="3"/>
  <c r="DT120" i="3"/>
  <c r="DR120" i="3"/>
  <c r="DQ120" i="3"/>
  <c r="DO120" i="3"/>
  <c r="DN120" i="3"/>
  <c r="DL120" i="3"/>
  <c r="DK120" i="3"/>
  <c r="DI120" i="3"/>
  <c r="DH120" i="3"/>
  <c r="DF120" i="3"/>
  <c r="DE120" i="3"/>
  <c r="DC120" i="3"/>
  <c r="DB120" i="3"/>
  <c r="CZ120" i="3"/>
  <c r="CY120" i="3"/>
  <c r="CW120" i="3"/>
  <c r="CV120" i="3"/>
  <c r="CT120" i="3"/>
  <c r="CS120" i="3"/>
  <c r="CQ120" i="3"/>
  <c r="CP120" i="3"/>
  <c r="CN120" i="3"/>
  <c r="CM120" i="3"/>
  <c r="CK120" i="3"/>
  <c r="CJ120" i="3"/>
  <c r="CH120" i="3"/>
  <c r="CG120" i="3"/>
  <c r="CE120" i="3"/>
  <c r="CD120" i="3"/>
  <c r="CB120" i="3"/>
  <c r="CA120" i="3"/>
  <c r="BY120" i="3"/>
  <c r="BX120" i="3"/>
  <c r="BV120" i="3"/>
  <c r="BU120" i="3"/>
  <c r="BS120" i="3"/>
  <c r="BR120" i="3"/>
  <c r="BP120" i="3"/>
  <c r="BO120" i="3"/>
  <c r="BM120" i="3"/>
  <c r="BL120" i="3"/>
  <c r="BJ120" i="3"/>
  <c r="BI120" i="3"/>
  <c r="BG120" i="3"/>
  <c r="BF120" i="3"/>
  <c r="BD120" i="3"/>
  <c r="BC120" i="3"/>
  <c r="BA120" i="3"/>
  <c r="AZ120" i="3"/>
  <c r="AX120" i="3"/>
  <c r="AW120" i="3"/>
  <c r="AU120" i="3"/>
  <c r="AT120" i="3"/>
  <c r="AR120" i="3"/>
  <c r="AQ120" i="3"/>
  <c r="AO120" i="3"/>
  <c r="AN120" i="3"/>
  <c r="AL120" i="3"/>
  <c r="AK120" i="3"/>
  <c r="AI120" i="3"/>
  <c r="AH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B120" i="3"/>
  <c r="F119" i="3"/>
  <c r="E119" i="3"/>
  <c r="D119" i="3"/>
  <c r="B119" i="3"/>
  <c r="FV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B118" i="3"/>
  <c r="FR117" i="3"/>
  <c r="FQ117" i="3"/>
  <c r="FP117" i="3"/>
  <c r="FO117" i="3"/>
  <c r="FN117" i="3"/>
  <c r="FM117" i="3"/>
  <c r="FL117" i="3"/>
  <c r="FK117" i="3"/>
  <c r="FJ117" i="3"/>
  <c r="FI117" i="3"/>
  <c r="FH117" i="3"/>
  <c r="FG117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B117" i="3"/>
  <c r="FR116" i="3"/>
  <c r="FQ116" i="3"/>
  <c r="FP116" i="3"/>
  <c r="FO116" i="3"/>
  <c r="FN116" i="3"/>
  <c r="FM116" i="3"/>
  <c r="FL116" i="3"/>
  <c r="FK116" i="3"/>
  <c r="FJ116" i="3"/>
  <c r="FI116" i="3"/>
  <c r="FH116" i="3"/>
  <c r="FG116" i="3"/>
  <c r="FF116" i="3"/>
  <c r="FE116" i="3"/>
  <c r="FD116" i="3"/>
  <c r="FC116" i="3"/>
  <c r="FB116" i="3"/>
  <c r="FA116" i="3"/>
  <c r="EZ116" i="3"/>
  <c r="EY116" i="3"/>
  <c r="EX116" i="3"/>
  <c r="EW116" i="3"/>
  <c r="EV116" i="3"/>
  <c r="EU116" i="3"/>
  <c r="ET116" i="3"/>
  <c r="ES116" i="3"/>
  <c r="ER116" i="3"/>
  <c r="EQ116" i="3"/>
  <c r="EP116" i="3"/>
  <c r="EO116" i="3"/>
  <c r="EN116" i="3"/>
  <c r="EM116" i="3"/>
  <c r="EL116" i="3"/>
  <c r="EK116" i="3"/>
  <c r="EJ116" i="3"/>
  <c r="EI116" i="3"/>
  <c r="EH116" i="3"/>
  <c r="EG116" i="3"/>
  <c r="EF116" i="3"/>
  <c r="EE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DR116" i="3"/>
  <c r="DQ116" i="3"/>
  <c r="DP116" i="3"/>
  <c r="DO116" i="3"/>
  <c r="DN116" i="3"/>
  <c r="DM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Q116" i="3"/>
  <c r="CP116" i="3"/>
  <c r="CO116" i="3"/>
  <c r="CN116" i="3"/>
  <c r="CM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B116" i="3"/>
  <c r="FV115" i="3"/>
  <c r="FR115" i="3"/>
  <c r="FQ115" i="3"/>
  <c r="FQ121" i="3" s="1"/>
  <c r="FP115" i="3"/>
  <c r="FO115" i="3"/>
  <c r="FN115" i="3"/>
  <c r="FN121" i="3" s="1"/>
  <c r="FM115" i="3"/>
  <c r="FL115" i="3"/>
  <c r="FK115" i="3"/>
  <c r="FJ115" i="3"/>
  <c r="FI115" i="3"/>
  <c r="FH115" i="3"/>
  <c r="FG115" i="3"/>
  <c r="FG121" i="3" s="1"/>
  <c r="FF115" i="3"/>
  <c r="FE115" i="3"/>
  <c r="FD115" i="3"/>
  <c r="FD121" i="3" s="1"/>
  <c r="FC115" i="3"/>
  <c r="FB115" i="3"/>
  <c r="FB121" i="3" s="1"/>
  <c r="FA115" i="3"/>
  <c r="FA121" i="3" s="1"/>
  <c r="EZ115" i="3"/>
  <c r="EY115" i="3"/>
  <c r="EX115" i="3"/>
  <c r="EX121" i="3" s="1"/>
  <c r="EW115" i="3"/>
  <c r="EV115" i="3"/>
  <c r="EV121" i="3" s="1"/>
  <c r="EU115" i="3"/>
  <c r="ET115" i="3"/>
  <c r="ES115" i="3"/>
  <c r="ES121" i="3" s="1"/>
  <c r="ER115" i="3"/>
  <c r="EQ115" i="3"/>
  <c r="EP115" i="3"/>
  <c r="EP121" i="3" s="1"/>
  <c r="EO115" i="3"/>
  <c r="EN115" i="3"/>
  <c r="EM115" i="3"/>
  <c r="EL115" i="3"/>
  <c r="EK115" i="3"/>
  <c r="EJ115" i="3"/>
  <c r="EI115" i="3"/>
  <c r="EI121" i="3" s="1"/>
  <c r="EH115" i="3"/>
  <c r="EG115" i="3"/>
  <c r="EF115" i="3"/>
  <c r="EF121" i="3" s="1"/>
  <c r="EE115" i="3"/>
  <c r="ED115" i="3"/>
  <c r="ED121" i="3" s="1"/>
  <c r="EC115" i="3"/>
  <c r="EC121" i="3" s="1"/>
  <c r="EB115" i="3"/>
  <c r="EA115" i="3"/>
  <c r="DZ115" i="3"/>
  <c r="DZ121" i="3" s="1"/>
  <c r="DY115" i="3"/>
  <c r="DX115" i="3"/>
  <c r="DX121" i="3" s="1"/>
  <c r="DW115" i="3"/>
  <c r="DV115" i="3"/>
  <c r="DU115" i="3"/>
  <c r="DU121" i="3" s="1"/>
  <c r="DT115" i="3"/>
  <c r="DS115" i="3"/>
  <c r="DR115" i="3"/>
  <c r="DR121" i="3" s="1"/>
  <c r="DQ115" i="3"/>
  <c r="DP115" i="3"/>
  <c r="DO115" i="3"/>
  <c r="DN115" i="3"/>
  <c r="DM115" i="3"/>
  <c r="DL115" i="3"/>
  <c r="DK115" i="3"/>
  <c r="DK121" i="3" s="1"/>
  <c r="DJ115" i="3"/>
  <c r="DI115" i="3"/>
  <c r="DH115" i="3"/>
  <c r="DH121" i="3" s="1"/>
  <c r="DG115" i="3"/>
  <c r="DF115" i="3"/>
  <c r="DF121" i="3" s="1"/>
  <c r="DE115" i="3"/>
  <c r="DE121" i="3" s="1"/>
  <c r="DD115" i="3"/>
  <c r="DC115" i="3"/>
  <c r="DB115" i="3"/>
  <c r="DB121" i="3" s="1"/>
  <c r="DA115" i="3"/>
  <c r="CZ115" i="3"/>
  <c r="CZ121" i="3" s="1"/>
  <c r="CY115" i="3"/>
  <c r="CX115" i="3"/>
  <c r="CW115" i="3"/>
  <c r="CW121" i="3" s="1"/>
  <c r="CV115" i="3"/>
  <c r="CU115" i="3"/>
  <c r="CT115" i="3"/>
  <c r="CT121" i="3" s="1"/>
  <c r="CS115" i="3"/>
  <c r="CR115" i="3"/>
  <c r="CQ115" i="3"/>
  <c r="CP115" i="3"/>
  <c r="CO115" i="3"/>
  <c r="CN115" i="3"/>
  <c r="CM115" i="3"/>
  <c r="CM121" i="3" s="1"/>
  <c r="CK115" i="3"/>
  <c r="CK121" i="3" s="1"/>
  <c r="CJ115" i="3"/>
  <c r="CI115" i="3"/>
  <c r="CH115" i="3"/>
  <c r="CG115" i="3"/>
  <c r="CG121" i="3" s="1"/>
  <c r="CF115" i="3"/>
  <c r="CE115" i="3"/>
  <c r="CD115" i="3"/>
  <c r="CC115" i="3"/>
  <c r="CB115" i="3"/>
  <c r="CA115" i="3"/>
  <c r="CA121" i="3" s="1"/>
  <c r="BZ115" i="3"/>
  <c r="BY115" i="3"/>
  <c r="BY121" i="3" s="1"/>
  <c r="BX115" i="3"/>
  <c r="BX121" i="3" s="1"/>
  <c r="BW115" i="3"/>
  <c r="BV115" i="3"/>
  <c r="BV121" i="3" s="1"/>
  <c r="BU115" i="3"/>
  <c r="BU121" i="3" s="1"/>
  <c r="BT115" i="3"/>
  <c r="BS115" i="3"/>
  <c r="BR115" i="3"/>
  <c r="BQ115" i="3"/>
  <c r="BP115" i="3"/>
  <c r="BP121" i="3" s="1"/>
  <c r="BO115" i="3"/>
  <c r="BN115" i="3"/>
  <c r="BM115" i="3"/>
  <c r="BM121" i="3" s="1"/>
  <c r="BL115" i="3"/>
  <c r="BK115" i="3"/>
  <c r="BJ115" i="3"/>
  <c r="BI115" i="3"/>
  <c r="BI121" i="3" s="1"/>
  <c r="BH115" i="3"/>
  <c r="BG115" i="3"/>
  <c r="BF115" i="3"/>
  <c r="BE115" i="3"/>
  <c r="BD115" i="3"/>
  <c r="BC115" i="3"/>
  <c r="BC121" i="3" s="1"/>
  <c r="BB115" i="3"/>
  <c r="BA115" i="3"/>
  <c r="BA121" i="3" s="1"/>
  <c r="AZ115" i="3"/>
  <c r="AZ121" i="3" s="1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B115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B114" i="3"/>
  <c r="FU121" i="3"/>
  <c r="FV113" i="3"/>
  <c r="AY113" i="3"/>
  <c r="AX113" i="3"/>
  <c r="AX121" i="3" s="1"/>
  <c r="AW113" i="3"/>
  <c r="AV113" i="3"/>
  <c r="AU113" i="3"/>
  <c r="AU121" i="3" s="1"/>
  <c r="AT113" i="3"/>
  <c r="AS113" i="3"/>
  <c r="AR113" i="3"/>
  <c r="AQ113" i="3"/>
  <c r="AP113" i="3"/>
  <c r="AO113" i="3"/>
  <c r="AN113" i="3"/>
  <c r="AM113" i="3"/>
  <c r="AL113" i="3"/>
  <c r="AK113" i="3"/>
  <c r="AK121" i="3" s="1"/>
  <c r="AJ113" i="3"/>
  <c r="AI113" i="3"/>
  <c r="AH113" i="3"/>
  <c r="AG113" i="3"/>
  <c r="AF113" i="3"/>
  <c r="AE113" i="3"/>
  <c r="AE121" i="3" s="1"/>
  <c r="AD113" i="3"/>
  <c r="AC113" i="3"/>
  <c r="AC121" i="3" s="1"/>
  <c r="AB113" i="3"/>
  <c r="AA113" i="3"/>
  <c r="Z113" i="3"/>
  <c r="Y113" i="3"/>
  <c r="X113" i="3"/>
  <c r="W113" i="3"/>
  <c r="W121" i="3" s="1"/>
  <c r="V113" i="3"/>
  <c r="U113" i="3"/>
  <c r="T113" i="3"/>
  <c r="S113" i="3"/>
  <c r="R113" i="3"/>
  <c r="Q113" i="3"/>
  <c r="P113" i="3"/>
  <c r="O113" i="3"/>
  <c r="N113" i="3"/>
  <c r="M113" i="3"/>
  <c r="M121" i="3" s="1"/>
  <c r="L113" i="3"/>
  <c r="K113" i="3"/>
  <c r="J113" i="3"/>
  <c r="I113" i="3"/>
  <c r="H113" i="3"/>
  <c r="G113" i="3"/>
  <c r="G121" i="3" s="1"/>
  <c r="F113" i="3"/>
  <c r="E113" i="3"/>
  <c r="D113" i="3"/>
  <c r="B113" i="3"/>
  <c r="AF112" i="3"/>
  <c r="AE112" i="3"/>
  <c r="AC112" i="3"/>
  <c r="AB112" i="3"/>
  <c r="Z112" i="3"/>
  <c r="Y112" i="3"/>
  <c r="W112" i="3"/>
  <c r="V112" i="3"/>
  <c r="T112" i="3"/>
  <c r="S112" i="3"/>
  <c r="Q112" i="3"/>
  <c r="P112" i="3"/>
  <c r="FR111" i="3"/>
  <c r="FQ111" i="3"/>
  <c r="FP111" i="3"/>
  <c r="FO111" i="3"/>
  <c r="FN111" i="3"/>
  <c r="FM111" i="3"/>
  <c r="FL111" i="3"/>
  <c r="FK111" i="3"/>
  <c r="FJ111" i="3"/>
  <c r="FI111" i="3"/>
  <c r="FH111" i="3"/>
  <c r="FG111" i="3"/>
  <c r="FF111" i="3"/>
  <c r="FE111" i="3"/>
  <c r="FD111" i="3"/>
  <c r="FC111" i="3"/>
  <c r="FB111" i="3"/>
  <c r="FA111" i="3"/>
  <c r="EZ111" i="3"/>
  <c r="EY111" i="3"/>
  <c r="EX111" i="3"/>
  <c r="EW111" i="3"/>
  <c r="EV111" i="3"/>
  <c r="EU111" i="3"/>
  <c r="ET111" i="3"/>
  <c r="ES111" i="3"/>
  <c r="ER111" i="3"/>
  <c r="EQ111" i="3"/>
  <c r="EP111" i="3"/>
  <c r="EO111" i="3"/>
  <c r="EN111" i="3"/>
  <c r="EM111" i="3"/>
  <c r="EL111" i="3"/>
  <c r="EK111" i="3"/>
  <c r="EJ111" i="3"/>
  <c r="EI111" i="3"/>
  <c r="EH111" i="3"/>
  <c r="EG111" i="3"/>
  <c r="EF111" i="3"/>
  <c r="EE111" i="3"/>
  <c r="ED111" i="3"/>
  <c r="EC111" i="3"/>
  <c r="EB111" i="3"/>
  <c r="EA111" i="3"/>
  <c r="DZ111" i="3"/>
  <c r="DY111" i="3"/>
  <c r="DX111" i="3"/>
  <c r="DW111" i="3"/>
  <c r="DV111" i="3"/>
  <c r="DU111" i="3"/>
  <c r="DT111" i="3"/>
  <c r="DS111" i="3"/>
  <c r="DR111" i="3"/>
  <c r="DQ111" i="3"/>
  <c r="DP111" i="3"/>
  <c r="DO111" i="3"/>
  <c r="DN111" i="3"/>
  <c r="DM111" i="3"/>
  <c r="DL111" i="3"/>
  <c r="DK111" i="3"/>
  <c r="DJ111" i="3"/>
  <c r="DI111" i="3"/>
  <c r="DH111" i="3"/>
  <c r="DG111" i="3"/>
  <c r="DF111" i="3"/>
  <c r="DE111" i="3"/>
  <c r="DD111" i="3"/>
  <c r="DC111" i="3"/>
  <c r="DB111" i="3"/>
  <c r="DA111" i="3"/>
  <c r="CZ111" i="3"/>
  <c r="CY111" i="3"/>
  <c r="CX111" i="3"/>
  <c r="CW111" i="3"/>
  <c r="CV111" i="3"/>
  <c r="CU111" i="3"/>
  <c r="CT111" i="3"/>
  <c r="CS111" i="3"/>
  <c r="CR111" i="3"/>
  <c r="CQ111" i="3"/>
  <c r="CP111" i="3"/>
  <c r="CO111" i="3"/>
  <c r="CN111" i="3"/>
  <c r="CM111" i="3"/>
  <c r="CL111" i="3"/>
  <c r="CK111" i="3"/>
  <c r="CJ111" i="3"/>
  <c r="CI111" i="3"/>
  <c r="CH111" i="3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B111" i="3"/>
  <c r="FR110" i="3"/>
  <c r="FQ110" i="3"/>
  <c r="FP110" i="3"/>
  <c r="FP112" i="3" s="1"/>
  <c r="FO110" i="3"/>
  <c r="FN110" i="3"/>
  <c r="FN112" i="3" s="1"/>
  <c r="FM110" i="3"/>
  <c r="FM112" i="3" s="1"/>
  <c r="FL110" i="3"/>
  <c r="FK110" i="3"/>
  <c r="FK112" i="3" s="1"/>
  <c r="FJ110" i="3"/>
  <c r="FJ112" i="3" s="1"/>
  <c r="FI110" i="3"/>
  <c r="FH110" i="3"/>
  <c r="FH112" i="3" s="1"/>
  <c r="FG110" i="3"/>
  <c r="FG112" i="3" s="1"/>
  <c r="FF110" i="3"/>
  <c r="FE110" i="3"/>
  <c r="FE112" i="3" s="1"/>
  <c r="FD110" i="3"/>
  <c r="FD112" i="3" s="1"/>
  <c r="FC110" i="3"/>
  <c r="FB110" i="3"/>
  <c r="FB112" i="3" s="1"/>
  <c r="FA110" i="3"/>
  <c r="EZ110" i="3"/>
  <c r="EY110" i="3"/>
  <c r="EY112" i="3" s="1"/>
  <c r="EX110" i="3"/>
  <c r="EX112" i="3" s="1"/>
  <c r="EW110" i="3"/>
  <c r="EV110" i="3"/>
  <c r="EV112" i="3" s="1"/>
  <c r="EU110" i="3"/>
  <c r="EU112" i="3" s="1"/>
  <c r="ET110" i="3"/>
  <c r="ES110" i="3"/>
  <c r="ER110" i="3"/>
  <c r="ER112" i="3" s="1"/>
  <c r="EQ110" i="3"/>
  <c r="EP110" i="3"/>
  <c r="EP112" i="3" s="1"/>
  <c r="EO110" i="3"/>
  <c r="EO112" i="3" s="1"/>
  <c r="EN110" i="3"/>
  <c r="EM110" i="3"/>
  <c r="EM112" i="3" s="1"/>
  <c r="EL110" i="3"/>
  <c r="EL112" i="3" s="1"/>
  <c r="EK110" i="3"/>
  <c r="EJ110" i="3"/>
  <c r="EJ112" i="3" s="1"/>
  <c r="EI110" i="3"/>
  <c r="EI112" i="3" s="1"/>
  <c r="EH110" i="3"/>
  <c r="EG110" i="3"/>
  <c r="EG112" i="3" s="1"/>
  <c r="EF110" i="3"/>
  <c r="EF112" i="3" s="1"/>
  <c r="EE110" i="3"/>
  <c r="ED110" i="3"/>
  <c r="ED112" i="3" s="1"/>
  <c r="EC110" i="3"/>
  <c r="EB110" i="3"/>
  <c r="EA110" i="3"/>
  <c r="EA112" i="3" s="1"/>
  <c r="DZ110" i="3"/>
  <c r="DZ112" i="3" s="1"/>
  <c r="DY110" i="3"/>
  <c r="DX110" i="3"/>
  <c r="DX112" i="3" s="1"/>
  <c r="DW110" i="3"/>
  <c r="DW112" i="3" s="1"/>
  <c r="DV110" i="3"/>
  <c r="DU110" i="3"/>
  <c r="DT110" i="3"/>
  <c r="DT112" i="3" s="1"/>
  <c r="DS110" i="3"/>
  <c r="DR110" i="3"/>
  <c r="DR112" i="3" s="1"/>
  <c r="DQ110" i="3"/>
  <c r="DQ112" i="3" s="1"/>
  <c r="DP110" i="3"/>
  <c r="DO110" i="3"/>
  <c r="DO112" i="3" s="1"/>
  <c r="DN110" i="3"/>
  <c r="DN112" i="3" s="1"/>
  <c r="DM110" i="3"/>
  <c r="DL110" i="3"/>
  <c r="DL112" i="3" s="1"/>
  <c r="DK110" i="3"/>
  <c r="DK112" i="3" s="1"/>
  <c r="DJ110" i="3"/>
  <c r="DI110" i="3"/>
  <c r="DI112" i="3" s="1"/>
  <c r="DH110" i="3"/>
  <c r="DH112" i="3" s="1"/>
  <c r="DG110" i="3"/>
  <c r="DF110" i="3"/>
  <c r="DF112" i="3" s="1"/>
  <c r="DE110" i="3"/>
  <c r="DD110" i="3"/>
  <c r="DC110" i="3"/>
  <c r="DC112" i="3" s="1"/>
  <c r="DB110" i="3"/>
  <c r="DB112" i="3" s="1"/>
  <c r="DA110" i="3"/>
  <c r="CZ110" i="3"/>
  <c r="CZ112" i="3" s="1"/>
  <c r="CY110" i="3"/>
  <c r="CY112" i="3" s="1"/>
  <c r="CX110" i="3"/>
  <c r="CW110" i="3"/>
  <c r="CV110" i="3"/>
  <c r="CV112" i="3" s="1"/>
  <c r="CU110" i="3"/>
  <c r="CT110" i="3"/>
  <c r="CT112" i="3" s="1"/>
  <c r="CS110" i="3"/>
  <c r="CS112" i="3" s="1"/>
  <c r="CR110" i="3"/>
  <c r="CQ110" i="3"/>
  <c r="CQ112" i="3" s="1"/>
  <c r="CP110" i="3"/>
  <c r="CP112" i="3" s="1"/>
  <c r="CO110" i="3"/>
  <c r="CN110" i="3"/>
  <c r="CN112" i="3" s="1"/>
  <c r="CM110" i="3"/>
  <c r="CM112" i="3" s="1"/>
  <c r="CL110" i="3"/>
  <c r="CK110" i="3"/>
  <c r="CK112" i="3" s="1"/>
  <c r="CJ110" i="3"/>
  <c r="CJ112" i="3" s="1"/>
  <c r="CI110" i="3"/>
  <c r="CH110" i="3"/>
  <c r="CH112" i="3" s="1"/>
  <c r="CG110" i="3"/>
  <c r="CF110" i="3"/>
  <c r="CE110" i="3"/>
  <c r="CE112" i="3" s="1"/>
  <c r="CD110" i="3"/>
  <c r="CD112" i="3" s="1"/>
  <c r="CC110" i="3"/>
  <c r="CB110" i="3"/>
  <c r="CB112" i="3" s="1"/>
  <c r="CA110" i="3"/>
  <c r="CA112" i="3" s="1"/>
  <c r="BZ110" i="3"/>
  <c r="BY110" i="3"/>
  <c r="BX110" i="3"/>
  <c r="BX112" i="3" s="1"/>
  <c r="BW110" i="3"/>
  <c r="BV110" i="3"/>
  <c r="BV112" i="3" s="1"/>
  <c r="BU110" i="3"/>
  <c r="BU112" i="3" s="1"/>
  <c r="BT110" i="3"/>
  <c r="BS110" i="3"/>
  <c r="BS112" i="3" s="1"/>
  <c r="BR110" i="3"/>
  <c r="BR112" i="3" s="1"/>
  <c r="BQ110" i="3"/>
  <c r="BP110" i="3"/>
  <c r="BP112" i="3" s="1"/>
  <c r="BO110" i="3"/>
  <c r="BO112" i="3" s="1"/>
  <c r="BN110" i="3"/>
  <c r="BM110" i="3"/>
  <c r="BM112" i="3" s="1"/>
  <c r="BL110" i="3"/>
  <c r="BL112" i="3" s="1"/>
  <c r="BK110" i="3"/>
  <c r="BJ110" i="3"/>
  <c r="BJ112" i="3" s="1"/>
  <c r="BI110" i="3"/>
  <c r="BH110" i="3"/>
  <c r="BG110" i="3"/>
  <c r="BG112" i="3" s="1"/>
  <c r="BF110" i="3"/>
  <c r="BF112" i="3" s="1"/>
  <c r="BE110" i="3"/>
  <c r="BD110" i="3"/>
  <c r="BD112" i="3" s="1"/>
  <c r="BC110" i="3"/>
  <c r="BC112" i="3" s="1"/>
  <c r="BB110" i="3"/>
  <c r="BA110" i="3"/>
  <c r="AZ110" i="3"/>
  <c r="AZ112" i="3" s="1"/>
  <c r="AY110" i="3"/>
  <c r="AX110" i="3"/>
  <c r="AX112" i="3" s="1"/>
  <c r="AW110" i="3"/>
  <c r="AW112" i="3" s="1"/>
  <c r="AV110" i="3"/>
  <c r="AU110" i="3"/>
  <c r="AU112" i="3" s="1"/>
  <c r="AT110" i="3"/>
  <c r="AT112" i="3" s="1"/>
  <c r="AS110" i="3"/>
  <c r="AR110" i="3"/>
  <c r="AR112" i="3" s="1"/>
  <c r="AQ110" i="3"/>
  <c r="AQ112" i="3" s="1"/>
  <c r="AP110" i="3"/>
  <c r="AO110" i="3"/>
  <c r="AO112" i="3" s="1"/>
  <c r="AN110" i="3"/>
  <c r="AN112" i="3" s="1"/>
  <c r="AM110" i="3"/>
  <c r="AL110" i="3"/>
  <c r="AL112" i="3" s="1"/>
  <c r="AK110" i="3"/>
  <c r="AJ110" i="3"/>
  <c r="AI110" i="3"/>
  <c r="AI112" i="3" s="1"/>
  <c r="AH110" i="3"/>
  <c r="AH112" i="3" s="1"/>
  <c r="B110" i="3"/>
  <c r="B109" i="3"/>
  <c r="FV108" i="3"/>
  <c r="B108" i="3"/>
  <c r="FV107" i="3"/>
  <c r="O107" i="3"/>
  <c r="N107" i="3"/>
  <c r="N112" i="3" s="1"/>
  <c r="M107" i="3"/>
  <c r="M112" i="3" s="1"/>
  <c r="L107" i="3"/>
  <c r="K107" i="3"/>
  <c r="K112" i="3" s="1"/>
  <c r="J107" i="3"/>
  <c r="J112" i="3" s="1"/>
  <c r="I107" i="3"/>
  <c r="H107" i="3"/>
  <c r="H112" i="3" s="1"/>
  <c r="G107" i="3"/>
  <c r="G112" i="3" s="1"/>
  <c r="F107" i="3"/>
  <c r="E107" i="3"/>
  <c r="E112" i="3" s="1"/>
  <c r="D107" i="3"/>
  <c r="D112" i="3" s="1"/>
  <c r="B107" i="3"/>
  <c r="B106" i="3"/>
  <c r="FQ105" i="3"/>
  <c r="FP105" i="3"/>
  <c r="FN105" i="3"/>
  <c r="FM105" i="3"/>
  <c r="FK105" i="3"/>
  <c r="FJ105" i="3"/>
  <c r="FH105" i="3"/>
  <c r="FG105" i="3"/>
  <c r="FE105" i="3"/>
  <c r="FD105" i="3"/>
  <c r="FB105" i="3"/>
  <c r="FA105" i="3"/>
  <c r="EY105" i="3"/>
  <c r="EX105" i="3"/>
  <c r="EV105" i="3"/>
  <c r="EU105" i="3"/>
  <c r="ES105" i="3"/>
  <c r="ER105" i="3"/>
  <c r="EP105" i="3"/>
  <c r="EO105" i="3"/>
  <c r="EM105" i="3"/>
  <c r="EL105" i="3"/>
  <c r="EJ105" i="3"/>
  <c r="EI105" i="3"/>
  <c r="EG105" i="3"/>
  <c r="EF105" i="3"/>
  <c r="ED105" i="3"/>
  <c r="EC105" i="3"/>
  <c r="EA105" i="3"/>
  <c r="DZ105" i="3"/>
  <c r="DX105" i="3"/>
  <c r="DW105" i="3"/>
  <c r="DU105" i="3"/>
  <c r="DT105" i="3"/>
  <c r="DR105" i="3"/>
  <c r="DQ105" i="3"/>
  <c r="DO105" i="3"/>
  <c r="DN105" i="3"/>
  <c r="DL105" i="3"/>
  <c r="DK105" i="3"/>
  <c r="DI105" i="3"/>
  <c r="DH105" i="3"/>
  <c r="DF105" i="3"/>
  <c r="DE105" i="3"/>
  <c r="DC105" i="3"/>
  <c r="DB105" i="3"/>
  <c r="CZ105" i="3"/>
  <c r="CY105" i="3"/>
  <c r="CW105" i="3"/>
  <c r="CV105" i="3"/>
  <c r="CT105" i="3"/>
  <c r="CS105" i="3"/>
  <c r="CQ105" i="3"/>
  <c r="CP105" i="3"/>
  <c r="CN105" i="3"/>
  <c r="CM105" i="3"/>
  <c r="CK105" i="3"/>
  <c r="CJ105" i="3"/>
  <c r="CH105" i="3"/>
  <c r="CG105" i="3"/>
  <c r="CE105" i="3"/>
  <c r="CD105" i="3"/>
  <c r="CB105" i="3"/>
  <c r="CA105" i="3"/>
  <c r="BY105" i="3"/>
  <c r="BX105" i="3"/>
  <c r="BV105" i="3"/>
  <c r="BU105" i="3"/>
  <c r="BS105" i="3"/>
  <c r="BP105" i="3"/>
  <c r="BO105" i="3"/>
  <c r="BM105" i="3"/>
  <c r="BL105" i="3"/>
  <c r="BJ105" i="3"/>
  <c r="BI105" i="3"/>
  <c r="BG105" i="3"/>
  <c r="BF105" i="3"/>
  <c r="BD105" i="3"/>
  <c r="BC105" i="3"/>
  <c r="BA105" i="3"/>
  <c r="AZ105" i="3"/>
  <c r="AX105" i="3"/>
  <c r="AW105" i="3"/>
  <c r="AU105" i="3"/>
  <c r="AT105" i="3"/>
  <c r="AR105" i="3"/>
  <c r="AQ105" i="3"/>
  <c r="AO105" i="3"/>
  <c r="AN105" i="3"/>
  <c r="AL105" i="3"/>
  <c r="AK105" i="3"/>
  <c r="AI105" i="3"/>
  <c r="AH105" i="3"/>
  <c r="AF105" i="3"/>
  <c r="AE105" i="3"/>
  <c r="AC105" i="3"/>
  <c r="AB105" i="3"/>
  <c r="Z105" i="3"/>
  <c r="Y105" i="3"/>
  <c r="W105" i="3"/>
  <c r="V105" i="3"/>
  <c r="T105" i="3"/>
  <c r="S105" i="3"/>
  <c r="Q105" i="3"/>
  <c r="P105" i="3"/>
  <c r="N105" i="3"/>
  <c r="M105" i="3"/>
  <c r="K105" i="3"/>
  <c r="J105" i="3"/>
  <c r="H105" i="3"/>
  <c r="G105" i="3"/>
  <c r="E105" i="3"/>
  <c r="D105" i="3"/>
  <c r="B104" i="3"/>
  <c r="FV103" i="3"/>
  <c r="B103" i="3"/>
  <c r="B102" i="3"/>
  <c r="BR105" i="3"/>
  <c r="B101" i="3"/>
  <c r="FR98" i="3"/>
  <c r="FQ98" i="3"/>
  <c r="FP98" i="3"/>
  <c r="FO98" i="3"/>
  <c r="FN98" i="3"/>
  <c r="FM98" i="3"/>
  <c r="FL98" i="3"/>
  <c r="FK98" i="3"/>
  <c r="FJ98" i="3"/>
  <c r="FI98" i="3"/>
  <c r="FH98" i="3"/>
  <c r="FG98" i="3"/>
  <c r="FF98" i="3"/>
  <c r="FE98" i="3"/>
  <c r="FD98" i="3"/>
  <c r="FC98" i="3"/>
  <c r="FB98" i="3"/>
  <c r="FA98" i="3"/>
  <c r="EZ98" i="3"/>
  <c r="EY98" i="3"/>
  <c r="EX98" i="3"/>
  <c r="EW98" i="3"/>
  <c r="EV98" i="3"/>
  <c r="EU98" i="3"/>
  <c r="ET98" i="3"/>
  <c r="ES98" i="3"/>
  <c r="ER98" i="3"/>
  <c r="EQ98" i="3"/>
  <c r="EP98" i="3"/>
  <c r="EO98" i="3"/>
  <c r="EN98" i="3"/>
  <c r="EM98" i="3"/>
  <c r="EL98" i="3"/>
  <c r="EK98" i="3"/>
  <c r="EJ98" i="3"/>
  <c r="EI98" i="3"/>
  <c r="EH98" i="3"/>
  <c r="EG98" i="3"/>
  <c r="EF98" i="3"/>
  <c r="EE98" i="3"/>
  <c r="ED98" i="3"/>
  <c r="EC98" i="3"/>
  <c r="EB98" i="3"/>
  <c r="EA98" i="3"/>
  <c r="DZ98" i="3"/>
  <c r="DY98" i="3"/>
  <c r="DX98" i="3"/>
  <c r="DW98" i="3"/>
  <c r="DV98" i="3"/>
  <c r="DU98" i="3"/>
  <c r="DT98" i="3"/>
  <c r="DS98" i="3"/>
  <c r="DR98" i="3"/>
  <c r="DQ98" i="3"/>
  <c r="DP98" i="3"/>
  <c r="DO98" i="3"/>
  <c r="DN98" i="3"/>
  <c r="DM98" i="3"/>
  <c r="DL98" i="3"/>
  <c r="DK98" i="3"/>
  <c r="DJ98" i="3"/>
  <c r="DI98" i="3"/>
  <c r="DH98" i="3"/>
  <c r="DG98" i="3"/>
  <c r="DF98" i="3"/>
  <c r="DE98" i="3"/>
  <c r="DD98" i="3"/>
  <c r="DC98" i="3"/>
  <c r="DB98" i="3"/>
  <c r="DA98" i="3"/>
  <c r="CZ98" i="3"/>
  <c r="CY98" i="3"/>
  <c r="CX98" i="3"/>
  <c r="CW98" i="3"/>
  <c r="CV98" i="3"/>
  <c r="FV97" i="3"/>
  <c r="FR97" i="3"/>
  <c r="FQ97" i="3"/>
  <c r="FP97" i="3"/>
  <c r="FO97" i="3"/>
  <c r="FN97" i="3"/>
  <c r="FM97" i="3"/>
  <c r="FL97" i="3"/>
  <c r="FK97" i="3"/>
  <c r="FJ97" i="3"/>
  <c r="FI97" i="3"/>
  <c r="FH97" i="3"/>
  <c r="FG97" i="3"/>
  <c r="FF97" i="3"/>
  <c r="FE97" i="3"/>
  <c r="FD97" i="3"/>
  <c r="FC97" i="3"/>
  <c r="FB97" i="3"/>
  <c r="FA97" i="3"/>
  <c r="EZ97" i="3"/>
  <c r="EY97" i="3"/>
  <c r="EX97" i="3"/>
  <c r="EW97" i="3"/>
  <c r="EV97" i="3"/>
  <c r="EU97" i="3"/>
  <c r="ET97" i="3"/>
  <c r="ES97" i="3"/>
  <c r="ER97" i="3"/>
  <c r="EQ97" i="3"/>
  <c r="EP97" i="3"/>
  <c r="EO97" i="3"/>
  <c r="EN97" i="3"/>
  <c r="EM97" i="3"/>
  <c r="EL97" i="3"/>
  <c r="EK97" i="3"/>
  <c r="EJ97" i="3"/>
  <c r="EI97" i="3"/>
  <c r="EH97" i="3"/>
  <c r="EG97" i="3"/>
  <c r="EF97" i="3"/>
  <c r="EE97" i="3"/>
  <c r="ED97" i="3"/>
  <c r="EC97" i="3"/>
  <c r="EB97" i="3"/>
  <c r="EA97" i="3"/>
  <c r="DZ97" i="3"/>
  <c r="DY97" i="3"/>
  <c r="DX97" i="3"/>
  <c r="DW97" i="3"/>
  <c r="DV97" i="3"/>
  <c r="DU97" i="3"/>
  <c r="DT97" i="3"/>
  <c r="DS97" i="3"/>
  <c r="DR97" i="3"/>
  <c r="DQ97" i="3"/>
  <c r="DP97" i="3"/>
  <c r="DO97" i="3"/>
  <c r="DN97" i="3"/>
  <c r="DM97" i="3"/>
  <c r="DL97" i="3"/>
  <c r="DK97" i="3"/>
  <c r="DJ97" i="3"/>
  <c r="DI97" i="3"/>
  <c r="DH97" i="3"/>
  <c r="DG97" i="3"/>
  <c r="DF97" i="3"/>
  <c r="DE97" i="3"/>
  <c r="DD97" i="3"/>
  <c r="DC97" i="3"/>
  <c r="DB97" i="3"/>
  <c r="DA97" i="3"/>
  <c r="CZ97" i="3"/>
  <c r="CY97" i="3"/>
  <c r="CX97" i="3"/>
  <c r="CW97" i="3"/>
  <c r="CV97" i="3"/>
  <c r="FT100" i="3"/>
  <c r="FR96" i="3"/>
  <c r="FQ96" i="3"/>
  <c r="FP96" i="3"/>
  <c r="FO96" i="3"/>
  <c r="FN96" i="3"/>
  <c r="FN100" i="3" s="1"/>
  <c r="FM96" i="3"/>
  <c r="FL96" i="3"/>
  <c r="FK96" i="3"/>
  <c r="FK100" i="3" s="1"/>
  <c r="FJ96" i="3"/>
  <c r="FI96" i="3"/>
  <c r="FH96" i="3"/>
  <c r="FG96" i="3"/>
  <c r="FG100" i="3" s="1"/>
  <c r="FF96" i="3"/>
  <c r="FE96" i="3"/>
  <c r="FD96" i="3"/>
  <c r="FC96" i="3"/>
  <c r="FB96" i="3"/>
  <c r="FA96" i="3"/>
  <c r="EZ96" i="3"/>
  <c r="EY96" i="3"/>
  <c r="EY100" i="3" s="1"/>
  <c r="EX96" i="3"/>
  <c r="EX100" i="3" s="1"/>
  <c r="EW96" i="3"/>
  <c r="EV96" i="3"/>
  <c r="EU96" i="3"/>
  <c r="EU100" i="3" s="1"/>
  <c r="ET96" i="3"/>
  <c r="ES96" i="3"/>
  <c r="ER96" i="3"/>
  <c r="EQ96" i="3"/>
  <c r="EP96" i="3"/>
  <c r="EP100" i="3" s="1"/>
  <c r="EO96" i="3"/>
  <c r="EO100" i="3" s="1"/>
  <c r="EN96" i="3"/>
  <c r="EM96" i="3"/>
  <c r="EM100" i="3" s="1"/>
  <c r="EL96" i="3"/>
  <c r="EK96" i="3"/>
  <c r="EJ96" i="3"/>
  <c r="EI96" i="3"/>
  <c r="EI100" i="3" s="1"/>
  <c r="EH96" i="3"/>
  <c r="EG96" i="3"/>
  <c r="EF96" i="3"/>
  <c r="EE96" i="3"/>
  <c r="ED96" i="3"/>
  <c r="EC96" i="3"/>
  <c r="EB96" i="3"/>
  <c r="EA96" i="3"/>
  <c r="EA100" i="3" s="1"/>
  <c r="DZ96" i="3"/>
  <c r="DZ100" i="3" s="1"/>
  <c r="DY96" i="3"/>
  <c r="DX96" i="3"/>
  <c r="DW96" i="3"/>
  <c r="DW100" i="3" s="1"/>
  <c r="DV96" i="3"/>
  <c r="DU96" i="3"/>
  <c r="DT96" i="3"/>
  <c r="DS96" i="3"/>
  <c r="DR96" i="3"/>
  <c r="DR100" i="3" s="1"/>
  <c r="DQ96" i="3"/>
  <c r="DQ100" i="3" s="1"/>
  <c r="DP96" i="3"/>
  <c r="DO96" i="3"/>
  <c r="DO100" i="3" s="1"/>
  <c r="DN96" i="3"/>
  <c r="DN100" i="3" s="1"/>
  <c r="DM96" i="3"/>
  <c r="DL96" i="3"/>
  <c r="DK96" i="3"/>
  <c r="DK100" i="3" s="1"/>
  <c r="DJ96" i="3"/>
  <c r="DI96" i="3"/>
  <c r="DI100" i="3" s="1"/>
  <c r="DH96" i="3"/>
  <c r="DG96" i="3"/>
  <c r="DF96" i="3"/>
  <c r="DF100" i="3" s="1"/>
  <c r="DE96" i="3"/>
  <c r="DD96" i="3"/>
  <c r="DC96" i="3"/>
  <c r="DC100" i="3" s="1"/>
  <c r="DB96" i="3"/>
  <c r="DB100" i="3" s="1"/>
  <c r="DA96" i="3"/>
  <c r="CZ96" i="3"/>
  <c r="CY96" i="3"/>
  <c r="CY100" i="3" s="1"/>
  <c r="CX96" i="3"/>
  <c r="CW96" i="3"/>
  <c r="CV96" i="3"/>
  <c r="CV100" i="3" s="1"/>
  <c r="FV94" i="3"/>
  <c r="FR94" i="3"/>
  <c r="FQ94" i="3"/>
  <c r="FP94" i="3"/>
  <c r="FO94" i="3"/>
  <c r="FN94" i="3"/>
  <c r="FM94" i="3"/>
  <c r="FL94" i="3"/>
  <c r="FK94" i="3"/>
  <c r="FJ94" i="3"/>
  <c r="FI94" i="3"/>
  <c r="FH94" i="3"/>
  <c r="FG94" i="3"/>
  <c r="FF94" i="3"/>
  <c r="FE94" i="3"/>
  <c r="FD94" i="3"/>
  <c r="FC94" i="3"/>
  <c r="FB94" i="3"/>
  <c r="FA94" i="3"/>
  <c r="EZ94" i="3"/>
  <c r="EY94" i="3"/>
  <c r="EX94" i="3"/>
  <c r="EW94" i="3"/>
  <c r="EV94" i="3"/>
  <c r="EU94" i="3"/>
  <c r="ET94" i="3"/>
  <c r="ES94" i="3"/>
  <c r="ER94" i="3"/>
  <c r="EQ94" i="3"/>
  <c r="EP94" i="3"/>
  <c r="EO94" i="3"/>
  <c r="EN94" i="3"/>
  <c r="EM94" i="3"/>
  <c r="EL94" i="3"/>
  <c r="EK94" i="3"/>
  <c r="EJ94" i="3"/>
  <c r="EI94" i="3"/>
  <c r="EH94" i="3"/>
  <c r="EG94" i="3"/>
  <c r="EF94" i="3"/>
  <c r="EE94" i="3"/>
  <c r="ED94" i="3"/>
  <c r="EC94" i="3"/>
  <c r="EB94" i="3"/>
  <c r="EA94" i="3"/>
  <c r="DZ94" i="3"/>
  <c r="DY94" i="3"/>
  <c r="DX94" i="3"/>
  <c r="DW94" i="3"/>
  <c r="DV94" i="3"/>
  <c r="DU94" i="3"/>
  <c r="DT94" i="3"/>
  <c r="DS94" i="3"/>
  <c r="DR94" i="3"/>
  <c r="DQ94" i="3"/>
  <c r="DP94" i="3"/>
  <c r="DO94" i="3"/>
  <c r="DN94" i="3"/>
  <c r="DM94" i="3"/>
  <c r="DL94" i="3"/>
  <c r="DK94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Q94" i="3"/>
  <c r="CP94" i="3"/>
  <c r="CO94" i="3"/>
  <c r="CN94" i="3"/>
  <c r="CM94" i="3"/>
  <c r="B94" i="3"/>
  <c r="FR93" i="3"/>
  <c r="FQ93" i="3"/>
  <c r="FP93" i="3"/>
  <c r="FO93" i="3"/>
  <c r="FN93" i="3"/>
  <c r="FM93" i="3"/>
  <c r="FL93" i="3"/>
  <c r="FK93" i="3"/>
  <c r="FJ93" i="3"/>
  <c r="FI93" i="3"/>
  <c r="FH93" i="3"/>
  <c r="FG93" i="3"/>
  <c r="FF93" i="3"/>
  <c r="FE93" i="3"/>
  <c r="FD93" i="3"/>
  <c r="FC93" i="3"/>
  <c r="FB93" i="3"/>
  <c r="FA93" i="3"/>
  <c r="EZ93" i="3"/>
  <c r="EY93" i="3"/>
  <c r="EX93" i="3"/>
  <c r="EW93" i="3"/>
  <c r="EV93" i="3"/>
  <c r="EU93" i="3"/>
  <c r="ET93" i="3"/>
  <c r="ES93" i="3"/>
  <c r="ER93" i="3"/>
  <c r="EQ93" i="3"/>
  <c r="EP93" i="3"/>
  <c r="EO93" i="3"/>
  <c r="EN93" i="3"/>
  <c r="EM93" i="3"/>
  <c r="EL93" i="3"/>
  <c r="EK93" i="3"/>
  <c r="EJ93" i="3"/>
  <c r="EI93" i="3"/>
  <c r="EH93" i="3"/>
  <c r="EG93" i="3"/>
  <c r="EF93" i="3"/>
  <c r="EE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N93" i="3"/>
  <c r="DM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CM93" i="3"/>
  <c r="B93" i="3"/>
  <c r="FR92" i="3"/>
  <c r="FQ92" i="3"/>
  <c r="FP92" i="3"/>
  <c r="FO92" i="3"/>
  <c r="FN92" i="3"/>
  <c r="FM92" i="3"/>
  <c r="FL92" i="3"/>
  <c r="FK92" i="3"/>
  <c r="FJ92" i="3"/>
  <c r="FI92" i="3"/>
  <c r="FH92" i="3"/>
  <c r="FG92" i="3"/>
  <c r="FF92" i="3"/>
  <c r="FE92" i="3"/>
  <c r="FD92" i="3"/>
  <c r="FC92" i="3"/>
  <c r="FB92" i="3"/>
  <c r="FA92" i="3"/>
  <c r="EZ92" i="3"/>
  <c r="EY92" i="3"/>
  <c r="EX92" i="3"/>
  <c r="EW92" i="3"/>
  <c r="EV92" i="3"/>
  <c r="EU92" i="3"/>
  <c r="ET92" i="3"/>
  <c r="ES92" i="3"/>
  <c r="ER92" i="3"/>
  <c r="EQ92" i="3"/>
  <c r="EP92" i="3"/>
  <c r="EO92" i="3"/>
  <c r="EN92" i="3"/>
  <c r="EM92" i="3"/>
  <c r="EL92" i="3"/>
  <c r="EK92" i="3"/>
  <c r="EJ92" i="3"/>
  <c r="EI92" i="3"/>
  <c r="EH92" i="3"/>
  <c r="EG92" i="3"/>
  <c r="EF92" i="3"/>
  <c r="EE92" i="3"/>
  <c r="ED92" i="3"/>
  <c r="EC92" i="3"/>
  <c r="EB92" i="3"/>
  <c r="EA92" i="3"/>
  <c r="DZ92" i="3"/>
  <c r="DY92" i="3"/>
  <c r="DX92" i="3"/>
  <c r="DW92" i="3"/>
  <c r="DV92" i="3"/>
  <c r="DU92" i="3"/>
  <c r="DT92" i="3"/>
  <c r="DS92" i="3"/>
  <c r="DR92" i="3"/>
  <c r="DQ92" i="3"/>
  <c r="DP92" i="3"/>
  <c r="DO92" i="3"/>
  <c r="DN92" i="3"/>
  <c r="DM92" i="3"/>
  <c r="DL92" i="3"/>
  <c r="DK92" i="3"/>
  <c r="DJ92" i="3"/>
  <c r="DI92" i="3"/>
  <c r="DH92" i="3"/>
  <c r="DG92" i="3"/>
  <c r="DF92" i="3"/>
  <c r="DE92" i="3"/>
  <c r="DD92" i="3"/>
  <c r="DC92" i="3"/>
  <c r="DB92" i="3"/>
  <c r="DA92" i="3"/>
  <c r="CZ92" i="3"/>
  <c r="CY92" i="3"/>
  <c r="CX92" i="3"/>
  <c r="CW92" i="3"/>
  <c r="CV92" i="3"/>
  <c r="CU92" i="3"/>
  <c r="CT92" i="3"/>
  <c r="CS92" i="3"/>
  <c r="CR92" i="3"/>
  <c r="CQ92" i="3"/>
  <c r="CP92" i="3"/>
  <c r="CO92" i="3"/>
  <c r="CN92" i="3"/>
  <c r="CM92" i="3"/>
  <c r="B92" i="3"/>
  <c r="FR91" i="3"/>
  <c r="FQ91" i="3"/>
  <c r="FP91" i="3"/>
  <c r="FO91" i="3"/>
  <c r="FN91" i="3"/>
  <c r="FM91" i="3"/>
  <c r="FL91" i="3"/>
  <c r="FK91" i="3"/>
  <c r="FJ91" i="3"/>
  <c r="FI91" i="3"/>
  <c r="FH91" i="3"/>
  <c r="FG91" i="3"/>
  <c r="FF91" i="3"/>
  <c r="FE91" i="3"/>
  <c r="FD91" i="3"/>
  <c r="FC91" i="3"/>
  <c r="FB91" i="3"/>
  <c r="FA91" i="3"/>
  <c r="EZ91" i="3"/>
  <c r="EY91" i="3"/>
  <c r="EX91" i="3"/>
  <c r="EW91" i="3"/>
  <c r="EV91" i="3"/>
  <c r="EU91" i="3"/>
  <c r="ET91" i="3"/>
  <c r="ES91" i="3"/>
  <c r="ER91" i="3"/>
  <c r="EQ91" i="3"/>
  <c r="EP91" i="3"/>
  <c r="EO91" i="3"/>
  <c r="EN91" i="3"/>
  <c r="EM91" i="3"/>
  <c r="EL91" i="3"/>
  <c r="EK91" i="3"/>
  <c r="EJ91" i="3"/>
  <c r="EI91" i="3"/>
  <c r="EH91" i="3"/>
  <c r="EG91" i="3"/>
  <c r="EF91" i="3"/>
  <c r="EE91" i="3"/>
  <c r="ED91" i="3"/>
  <c r="EC91" i="3"/>
  <c r="EB91" i="3"/>
  <c r="EA91" i="3"/>
  <c r="DZ91" i="3"/>
  <c r="DY91" i="3"/>
  <c r="DX91" i="3"/>
  <c r="DW91" i="3"/>
  <c r="DV91" i="3"/>
  <c r="DU91" i="3"/>
  <c r="DT91" i="3"/>
  <c r="DS91" i="3"/>
  <c r="DR91" i="3"/>
  <c r="DQ91" i="3"/>
  <c r="DP91" i="3"/>
  <c r="DO91" i="3"/>
  <c r="DN91" i="3"/>
  <c r="DM91" i="3"/>
  <c r="DL91" i="3"/>
  <c r="DK91" i="3"/>
  <c r="DJ91" i="3"/>
  <c r="DI91" i="3"/>
  <c r="DH91" i="3"/>
  <c r="DG91" i="3"/>
  <c r="DF91" i="3"/>
  <c r="DE91" i="3"/>
  <c r="DD91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CQ91" i="3"/>
  <c r="CP91" i="3"/>
  <c r="CO91" i="3"/>
  <c r="CN91" i="3"/>
  <c r="CM91" i="3"/>
  <c r="B91" i="3"/>
  <c r="FR90" i="3"/>
  <c r="FQ90" i="3"/>
  <c r="FP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D95" i="3" s="1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EN90" i="3"/>
  <c r="EM90" i="3"/>
  <c r="EL90" i="3"/>
  <c r="EK90" i="3"/>
  <c r="EJ90" i="3"/>
  <c r="EI90" i="3"/>
  <c r="EH90" i="3"/>
  <c r="EG90" i="3"/>
  <c r="EF90" i="3"/>
  <c r="EF95" i="3" s="1"/>
  <c r="EE90" i="3"/>
  <c r="ED90" i="3"/>
  <c r="EC90" i="3"/>
  <c r="EB90" i="3"/>
  <c r="EA90" i="3"/>
  <c r="DZ90" i="3"/>
  <c r="DY90" i="3"/>
  <c r="DX90" i="3"/>
  <c r="DX95" i="3" s="1"/>
  <c r="DW90" i="3"/>
  <c r="DV90" i="3"/>
  <c r="DU90" i="3"/>
  <c r="DT90" i="3"/>
  <c r="DS90" i="3"/>
  <c r="DR90" i="3"/>
  <c r="DQ90" i="3"/>
  <c r="DP90" i="3"/>
  <c r="DO90" i="3"/>
  <c r="DN90" i="3"/>
  <c r="DM90" i="3"/>
  <c r="DL90" i="3"/>
  <c r="DK90" i="3"/>
  <c r="DJ90" i="3"/>
  <c r="DI90" i="3"/>
  <c r="DH90" i="3"/>
  <c r="DH95" i="3" s="1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B90" i="3"/>
  <c r="FQ89" i="3"/>
  <c r="FP89" i="3"/>
  <c r="FN89" i="3"/>
  <c r="FM89" i="3"/>
  <c r="FK89" i="3"/>
  <c r="FJ89" i="3"/>
  <c r="FH89" i="3"/>
  <c r="FG89" i="3"/>
  <c r="FE89" i="3"/>
  <c r="FD89" i="3"/>
  <c r="FB89" i="3"/>
  <c r="FA89" i="3"/>
  <c r="EY89" i="3"/>
  <c r="EX89" i="3"/>
  <c r="EV89" i="3"/>
  <c r="EU89" i="3"/>
  <c r="ES89" i="3"/>
  <c r="ER89" i="3"/>
  <c r="EP89" i="3"/>
  <c r="EO89" i="3"/>
  <c r="EM89" i="3"/>
  <c r="EL89" i="3"/>
  <c r="EJ89" i="3"/>
  <c r="EI89" i="3"/>
  <c r="EG89" i="3"/>
  <c r="EF89" i="3"/>
  <c r="ED89" i="3"/>
  <c r="EC89" i="3"/>
  <c r="EA89" i="3"/>
  <c r="DZ89" i="3"/>
  <c r="DX89" i="3"/>
  <c r="DW89" i="3"/>
  <c r="DU89" i="3"/>
  <c r="DT89" i="3"/>
  <c r="DR89" i="3"/>
  <c r="DQ89" i="3"/>
  <c r="DO89" i="3"/>
  <c r="DN89" i="3"/>
  <c r="DL89" i="3"/>
  <c r="DK89" i="3"/>
  <c r="DI89" i="3"/>
  <c r="DH89" i="3"/>
  <c r="DF89" i="3"/>
  <c r="DE89" i="3"/>
  <c r="DC89" i="3"/>
  <c r="DB89" i="3"/>
  <c r="CZ89" i="3"/>
  <c r="CY89" i="3"/>
  <c r="CW89" i="3"/>
  <c r="CV89" i="3"/>
  <c r="CT89" i="3"/>
  <c r="CS89" i="3"/>
  <c r="CQ89" i="3"/>
  <c r="CP89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88" i="3"/>
  <c r="FV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87" i="3"/>
  <c r="FV86" i="3"/>
  <c r="CO86" i="3"/>
  <c r="CN86" i="3"/>
  <c r="CM86" i="3"/>
  <c r="CL86" i="3"/>
  <c r="CK86" i="3"/>
  <c r="CJ86" i="3"/>
  <c r="CI86" i="3"/>
  <c r="CH86" i="3"/>
  <c r="CG86" i="3"/>
  <c r="CF86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86" i="3"/>
  <c r="FV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85" i="3"/>
  <c r="CO84" i="3"/>
  <c r="CN84" i="3"/>
  <c r="CM84" i="3"/>
  <c r="CL84" i="3"/>
  <c r="CK84" i="3"/>
  <c r="CK89" i="3" s="1"/>
  <c r="CJ84" i="3"/>
  <c r="CI84" i="3"/>
  <c r="CH84" i="3"/>
  <c r="CG84" i="3"/>
  <c r="CG89" i="3" s="1"/>
  <c r="CF84" i="3"/>
  <c r="CE84" i="3"/>
  <c r="CD84" i="3"/>
  <c r="CC84" i="3"/>
  <c r="CB84" i="3"/>
  <c r="CA84" i="3"/>
  <c r="BZ84" i="3"/>
  <c r="BY84" i="3"/>
  <c r="BY89" i="3" s="1"/>
  <c r="BX84" i="3"/>
  <c r="BX89" i="3" s="1"/>
  <c r="BW84" i="3"/>
  <c r="BV84" i="3"/>
  <c r="BU84" i="3"/>
  <c r="BU89" i="3" s="1"/>
  <c r="BT84" i="3"/>
  <c r="BS84" i="3"/>
  <c r="BR84" i="3"/>
  <c r="B84" i="3"/>
  <c r="AI83" i="3"/>
  <c r="AH83" i="3"/>
  <c r="AF83" i="3"/>
  <c r="AE83" i="3"/>
  <c r="AC83" i="3"/>
  <c r="AB83" i="3"/>
  <c r="Z83" i="3"/>
  <c r="Y83" i="3"/>
  <c r="W83" i="3"/>
  <c r="V83" i="3"/>
  <c r="T83" i="3"/>
  <c r="S83" i="3"/>
  <c r="Q83" i="3"/>
  <c r="P83" i="3"/>
  <c r="E83" i="3"/>
  <c r="D83" i="3"/>
  <c r="FR82" i="3"/>
  <c r="FQ82" i="3"/>
  <c r="FP82" i="3"/>
  <c r="FO82" i="3"/>
  <c r="FN82" i="3"/>
  <c r="FM82" i="3"/>
  <c r="FL82" i="3"/>
  <c r="FK82" i="3"/>
  <c r="FJ82" i="3"/>
  <c r="FI82" i="3"/>
  <c r="FH82" i="3"/>
  <c r="FG82" i="3"/>
  <c r="FF82" i="3"/>
  <c r="FE82" i="3"/>
  <c r="FD82" i="3"/>
  <c r="FC82" i="3"/>
  <c r="FB82" i="3"/>
  <c r="FA82" i="3"/>
  <c r="EZ82" i="3"/>
  <c r="EY82" i="3"/>
  <c r="EX82" i="3"/>
  <c r="EW82" i="3"/>
  <c r="EV82" i="3"/>
  <c r="EU82" i="3"/>
  <c r="ET82" i="3"/>
  <c r="ES82" i="3"/>
  <c r="ER82" i="3"/>
  <c r="EQ82" i="3"/>
  <c r="EP82" i="3"/>
  <c r="EO82" i="3"/>
  <c r="EN82" i="3"/>
  <c r="EM82" i="3"/>
  <c r="EL82" i="3"/>
  <c r="EK82" i="3"/>
  <c r="EJ82" i="3"/>
  <c r="EI82" i="3"/>
  <c r="EH82" i="3"/>
  <c r="EG82" i="3"/>
  <c r="EF82" i="3"/>
  <c r="EE82" i="3"/>
  <c r="ED82" i="3"/>
  <c r="EC82" i="3"/>
  <c r="EB82" i="3"/>
  <c r="EA82" i="3"/>
  <c r="DZ82" i="3"/>
  <c r="DY82" i="3"/>
  <c r="DX82" i="3"/>
  <c r="DW82" i="3"/>
  <c r="DV82" i="3"/>
  <c r="DU82" i="3"/>
  <c r="DT82" i="3"/>
  <c r="DS82" i="3"/>
  <c r="DR82" i="3"/>
  <c r="DQ82" i="3"/>
  <c r="DP82" i="3"/>
  <c r="DO82" i="3"/>
  <c r="DN82" i="3"/>
  <c r="DM82" i="3"/>
  <c r="DL82" i="3"/>
  <c r="DK82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M82" i="3"/>
  <c r="BL82" i="3"/>
  <c r="BJ82" i="3"/>
  <c r="BI82" i="3"/>
  <c r="BG82" i="3"/>
  <c r="BF82" i="3"/>
  <c r="BD82" i="3"/>
  <c r="BC82" i="3"/>
  <c r="BA82" i="3"/>
  <c r="AZ82" i="3"/>
  <c r="AX82" i="3"/>
  <c r="AW82" i="3"/>
  <c r="AU82" i="3"/>
  <c r="AT82" i="3"/>
  <c r="AS82" i="3"/>
  <c r="AR82" i="3"/>
  <c r="AQ82" i="3"/>
  <c r="AP82" i="3"/>
  <c r="AO82" i="3"/>
  <c r="AN82" i="3"/>
  <c r="AM82" i="3"/>
  <c r="AL82" i="3"/>
  <c r="AK82" i="3"/>
  <c r="B82" i="3"/>
  <c r="FR81" i="3"/>
  <c r="FQ81" i="3"/>
  <c r="FP81" i="3"/>
  <c r="FO81" i="3"/>
  <c r="FN81" i="3"/>
  <c r="FM81" i="3"/>
  <c r="FL81" i="3"/>
  <c r="FK81" i="3"/>
  <c r="FJ81" i="3"/>
  <c r="FI81" i="3"/>
  <c r="FH81" i="3"/>
  <c r="FG81" i="3"/>
  <c r="FF81" i="3"/>
  <c r="FE81" i="3"/>
  <c r="FD81" i="3"/>
  <c r="FC81" i="3"/>
  <c r="FB81" i="3"/>
  <c r="FA81" i="3"/>
  <c r="EZ81" i="3"/>
  <c r="EY81" i="3"/>
  <c r="EX81" i="3"/>
  <c r="EW81" i="3"/>
  <c r="EV81" i="3"/>
  <c r="EU81" i="3"/>
  <c r="ET81" i="3"/>
  <c r="ES81" i="3"/>
  <c r="ER81" i="3"/>
  <c r="EQ81" i="3"/>
  <c r="EP81" i="3"/>
  <c r="EO81" i="3"/>
  <c r="EN81" i="3"/>
  <c r="EM81" i="3"/>
  <c r="EL81" i="3"/>
  <c r="EK81" i="3"/>
  <c r="EJ81" i="3"/>
  <c r="EI81" i="3"/>
  <c r="EH81" i="3"/>
  <c r="EG81" i="3"/>
  <c r="EF81" i="3"/>
  <c r="EE81" i="3"/>
  <c r="ED81" i="3"/>
  <c r="EC81" i="3"/>
  <c r="EB81" i="3"/>
  <c r="EA81" i="3"/>
  <c r="DZ81" i="3"/>
  <c r="DY81" i="3"/>
  <c r="DX81" i="3"/>
  <c r="DW81" i="3"/>
  <c r="DV81" i="3"/>
  <c r="DU81" i="3"/>
  <c r="DT81" i="3"/>
  <c r="DS81" i="3"/>
  <c r="DR81" i="3"/>
  <c r="DQ81" i="3"/>
  <c r="DP81" i="3"/>
  <c r="DO81" i="3"/>
  <c r="DN81" i="3"/>
  <c r="DM81" i="3"/>
  <c r="DL81" i="3"/>
  <c r="DK81" i="3"/>
  <c r="DJ81" i="3"/>
  <c r="DI81" i="3"/>
  <c r="DH81" i="3"/>
  <c r="DG81" i="3"/>
  <c r="DF81" i="3"/>
  <c r="DE81" i="3"/>
  <c r="DD81" i="3"/>
  <c r="DC81" i="3"/>
  <c r="DB81" i="3"/>
  <c r="DA81" i="3"/>
  <c r="CZ81" i="3"/>
  <c r="CY81" i="3"/>
  <c r="CX81" i="3"/>
  <c r="CW81" i="3"/>
  <c r="CV81" i="3"/>
  <c r="CU81" i="3"/>
  <c r="CT81" i="3"/>
  <c r="CS81" i="3"/>
  <c r="CQ81" i="3"/>
  <c r="CP81" i="3"/>
  <c r="CO81" i="3"/>
  <c r="CN81" i="3"/>
  <c r="CM81" i="3"/>
  <c r="CL81" i="3"/>
  <c r="CK81" i="3"/>
  <c r="CJ81" i="3"/>
  <c r="CI81" i="3"/>
  <c r="CH81" i="3"/>
  <c r="CG81" i="3"/>
  <c r="CF81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B81" i="3"/>
  <c r="FV80" i="3"/>
  <c r="FR80" i="3"/>
  <c r="FQ80" i="3"/>
  <c r="FP80" i="3"/>
  <c r="FP83" i="3" s="1"/>
  <c r="FO80" i="3"/>
  <c r="FN80" i="3"/>
  <c r="FN83" i="3" s="1"/>
  <c r="FM80" i="3"/>
  <c r="FL80" i="3"/>
  <c r="FK80" i="3"/>
  <c r="FK83" i="3" s="1"/>
  <c r="FJ80" i="3"/>
  <c r="FI80" i="3"/>
  <c r="FH80" i="3"/>
  <c r="FH83" i="3" s="1"/>
  <c r="FG80" i="3"/>
  <c r="FG83" i="3" s="1"/>
  <c r="FF80" i="3"/>
  <c r="FE80" i="3"/>
  <c r="FD80" i="3"/>
  <c r="FD83" i="3" s="1"/>
  <c r="FC80" i="3"/>
  <c r="FB80" i="3"/>
  <c r="FA80" i="3"/>
  <c r="EZ80" i="3"/>
  <c r="EY80" i="3"/>
  <c r="EY83" i="3" s="1"/>
  <c r="EX80" i="3"/>
  <c r="EX83" i="3" s="1"/>
  <c r="EW80" i="3"/>
  <c r="EV80" i="3"/>
  <c r="EV83" i="3" s="1"/>
  <c r="EU80" i="3"/>
  <c r="EU83" i="3" s="1"/>
  <c r="ET80" i="3"/>
  <c r="ES80" i="3"/>
  <c r="ER80" i="3"/>
  <c r="ER83" i="3" s="1"/>
  <c r="EQ80" i="3"/>
  <c r="EP80" i="3"/>
  <c r="EP83" i="3" s="1"/>
  <c r="EO80" i="3"/>
  <c r="EN80" i="3"/>
  <c r="EM80" i="3"/>
  <c r="EM83" i="3" s="1"/>
  <c r="EL80" i="3"/>
  <c r="EK80" i="3"/>
  <c r="EJ80" i="3"/>
  <c r="EJ83" i="3" s="1"/>
  <c r="EI80" i="3"/>
  <c r="EI83" i="3" s="1"/>
  <c r="EH80" i="3"/>
  <c r="EG80" i="3"/>
  <c r="EF80" i="3"/>
  <c r="EF83" i="3" s="1"/>
  <c r="EE80" i="3"/>
  <c r="ED80" i="3"/>
  <c r="EC80" i="3"/>
  <c r="EB80" i="3"/>
  <c r="EA80" i="3"/>
  <c r="EA83" i="3" s="1"/>
  <c r="DZ80" i="3"/>
  <c r="DZ83" i="3" s="1"/>
  <c r="DY80" i="3"/>
  <c r="DX80" i="3"/>
  <c r="DX83" i="3" s="1"/>
  <c r="DW80" i="3"/>
  <c r="DW83" i="3" s="1"/>
  <c r="DV80" i="3"/>
  <c r="DU80" i="3"/>
  <c r="DT80" i="3"/>
  <c r="DT83" i="3" s="1"/>
  <c r="DS80" i="3"/>
  <c r="DR80" i="3"/>
  <c r="DR83" i="3" s="1"/>
  <c r="DQ80" i="3"/>
  <c r="DP80" i="3"/>
  <c r="DO80" i="3"/>
  <c r="DO83" i="3" s="1"/>
  <c r="DN80" i="3"/>
  <c r="DM80" i="3"/>
  <c r="DL80" i="3"/>
  <c r="DL83" i="3" s="1"/>
  <c r="DK80" i="3"/>
  <c r="DK83" i="3" s="1"/>
  <c r="DJ80" i="3"/>
  <c r="DI80" i="3"/>
  <c r="DH80" i="3"/>
  <c r="DH83" i="3" s="1"/>
  <c r="DG80" i="3"/>
  <c r="DF80" i="3"/>
  <c r="DE80" i="3"/>
  <c r="DD80" i="3"/>
  <c r="DC80" i="3"/>
  <c r="DC83" i="3" s="1"/>
  <c r="DB80" i="3"/>
  <c r="DB83" i="3" s="1"/>
  <c r="DA80" i="3"/>
  <c r="CZ80" i="3"/>
  <c r="CZ83" i="3" s="1"/>
  <c r="CY80" i="3"/>
  <c r="CY83" i="3" s="1"/>
  <c r="CX80" i="3"/>
  <c r="CW80" i="3"/>
  <c r="CV80" i="3"/>
  <c r="CU80" i="3"/>
  <c r="CT80" i="3"/>
  <c r="CT83" i="3" s="1"/>
  <c r="CS80" i="3"/>
  <c r="CQ80" i="3"/>
  <c r="CQ83" i="3" s="1"/>
  <c r="CP80" i="3"/>
  <c r="CP83" i="3" s="1"/>
  <c r="CO80" i="3"/>
  <c r="CN80" i="3"/>
  <c r="CM80" i="3"/>
  <c r="CL80" i="3"/>
  <c r="CK80" i="3"/>
  <c r="CK83" i="3" s="1"/>
  <c r="CJ80" i="3"/>
  <c r="CI80" i="3"/>
  <c r="CH80" i="3"/>
  <c r="CH83" i="3" s="1"/>
  <c r="CG80" i="3"/>
  <c r="CF80" i="3"/>
  <c r="CE80" i="3"/>
  <c r="CD80" i="3"/>
  <c r="CD83" i="3" s="1"/>
  <c r="CC80" i="3"/>
  <c r="CB80" i="3"/>
  <c r="CA80" i="3"/>
  <c r="CA83" i="3" s="1"/>
  <c r="BZ80" i="3"/>
  <c r="BY80" i="3"/>
  <c r="BX80" i="3"/>
  <c r="BX83" i="3" s="1"/>
  <c r="BW80" i="3"/>
  <c r="BV80" i="3"/>
  <c r="BV83" i="3" s="1"/>
  <c r="BU80" i="3"/>
  <c r="BU83" i="3" s="1"/>
  <c r="BT80" i="3"/>
  <c r="BS80" i="3"/>
  <c r="BS83" i="3" s="1"/>
  <c r="BR80" i="3"/>
  <c r="BR83" i="3" s="1"/>
  <c r="BQ80" i="3"/>
  <c r="BP80" i="3"/>
  <c r="BP83" i="3" s="1"/>
  <c r="BO80" i="3"/>
  <c r="BN80" i="3"/>
  <c r="BM80" i="3"/>
  <c r="BM83" i="3" s="1"/>
  <c r="BL80" i="3"/>
  <c r="BL83" i="3" s="1"/>
  <c r="BK80" i="3"/>
  <c r="BJ80" i="3"/>
  <c r="BI80" i="3"/>
  <c r="BH80" i="3"/>
  <c r="BG80" i="3"/>
  <c r="BF80" i="3"/>
  <c r="BF83" i="3" s="1"/>
  <c r="BE80" i="3"/>
  <c r="BD80" i="3"/>
  <c r="BD83" i="3" s="1"/>
  <c r="BC80" i="3"/>
  <c r="BB80" i="3"/>
  <c r="BA80" i="3"/>
  <c r="AZ80" i="3"/>
  <c r="AZ83" i="3" s="1"/>
  <c r="AY80" i="3"/>
  <c r="AX80" i="3"/>
  <c r="AW80" i="3"/>
  <c r="AW83" i="3" s="1"/>
  <c r="AV80" i="3"/>
  <c r="AU80" i="3"/>
  <c r="AU83" i="3" s="1"/>
  <c r="AT80" i="3"/>
  <c r="AT83" i="3" s="1"/>
  <c r="AS80" i="3"/>
  <c r="AR80" i="3"/>
  <c r="AQ80" i="3"/>
  <c r="AP80" i="3"/>
  <c r="AO80" i="3"/>
  <c r="AO83" i="3" s="1"/>
  <c r="AN80" i="3"/>
  <c r="AN83" i="3" s="1"/>
  <c r="AM80" i="3"/>
  <c r="AL80" i="3"/>
  <c r="AL83" i="3" s="1"/>
  <c r="AK80" i="3"/>
  <c r="B80" i="3"/>
  <c r="B79" i="3"/>
  <c r="B78" i="3"/>
  <c r="B77" i="3"/>
  <c r="O76" i="3"/>
  <c r="N76" i="3"/>
  <c r="M76" i="3"/>
  <c r="L76" i="3"/>
  <c r="K76" i="3"/>
  <c r="J76" i="3"/>
  <c r="I76" i="3"/>
  <c r="H76" i="3"/>
  <c r="G76" i="3"/>
  <c r="B76" i="3"/>
  <c r="O75" i="3"/>
  <c r="N75" i="3"/>
  <c r="N83" i="3" s="1"/>
  <c r="M75" i="3"/>
  <c r="M83" i="3" s="1"/>
  <c r="L75" i="3"/>
  <c r="K75" i="3"/>
  <c r="J75" i="3"/>
  <c r="I75" i="3"/>
  <c r="H75" i="3"/>
  <c r="G75" i="3"/>
  <c r="G83" i="3" s="1"/>
  <c r="B75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B73" i="3"/>
  <c r="EE72" i="3"/>
  <c r="ED72" i="3"/>
  <c r="EC72" i="3"/>
  <c r="EB72" i="3"/>
  <c r="EA72" i="3"/>
  <c r="DZ72" i="3"/>
  <c r="DY72" i="3"/>
  <c r="DX72" i="3"/>
  <c r="DW72" i="3"/>
  <c r="DV72" i="3"/>
  <c r="DU72" i="3"/>
  <c r="DT72" i="3"/>
  <c r="DS72" i="3"/>
  <c r="DR72" i="3"/>
  <c r="DQ72" i="3"/>
  <c r="DP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B72" i="3"/>
  <c r="B71" i="3"/>
  <c r="FV70" i="3"/>
  <c r="FR70" i="3"/>
  <c r="FQ70" i="3"/>
  <c r="FQ74" i="3" s="1"/>
  <c r="FP70" i="3"/>
  <c r="FP74" i="3" s="1"/>
  <c r="FO70" i="3"/>
  <c r="FN70" i="3"/>
  <c r="FN74" i="3" s="1"/>
  <c r="FM70" i="3"/>
  <c r="FM74" i="3" s="1"/>
  <c r="FL70" i="3"/>
  <c r="FK70" i="3"/>
  <c r="FK74" i="3" s="1"/>
  <c r="FJ70" i="3"/>
  <c r="FJ74" i="3" s="1"/>
  <c r="FI70" i="3"/>
  <c r="FH70" i="3"/>
  <c r="FH74" i="3" s="1"/>
  <c r="FG70" i="3"/>
  <c r="FG74" i="3" s="1"/>
  <c r="FF70" i="3"/>
  <c r="FE70" i="3"/>
  <c r="FE74" i="3" s="1"/>
  <c r="FD70" i="3"/>
  <c r="FD74" i="3" s="1"/>
  <c r="FC70" i="3"/>
  <c r="FB70" i="3"/>
  <c r="FB74" i="3" s="1"/>
  <c r="FA70" i="3"/>
  <c r="FA74" i="3" s="1"/>
  <c r="EZ70" i="3"/>
  <c r="EY70" i="3"/>
  <c r="EY74" i="3" s="1"/>
  <c r="EX70" i="3"/>
  <c r="EX74" i="3" s="1"/>
  <c r="EW70" i="3"/>
  <c r="EV70" i="3"/>
  <c r="EV74" i="3" s="1"/>
  <c r="EU70" i="3"/>
  <c r="EU74" i="3" s="1"/>
  <c r="ET70" i="3"/>
  <c r="ES70" i="3"/>
  <c r="ES74" i="3" s="1"/>
  <c r="ER70" i="3"/>
  <c r="ER74" i="3" s="1"/>
  <c r="EQ70" i="3"/>
  <c r="EP70" i="3"/>
  <c r="EP74" i="3" s="1"/>
  <c r="EO70" i="3"/>
  <c r="EO74" i="3" s="1"/>
  <c r="EN70" i="3"/>
  <c r="EM70" i="3"/>
  <c r="EM74" i="3" s="1"/>
  <c r="EL70" i="3"/>
  <c r="EL74" i="3" s="1"/>
  <c r="EK70" i="3"/>
  <c r="EJ70" i="3"/>
  <c r="EJ74" i="3" s="1"/>
  <c r="EI70" i="3"/>
  <c r="EI74" i="3" s="1"/>
  <c r="EH70" i="3"/>
  <c r="EG70" i="3"/>
  <c r="EG74" i="3" s="1"/>
  <c r="EF70" i="3"/>
  <c r="EF74" i="3" s="1"/>
  <c r="EE70" i="3"/>
  <c r="ED70" i="3"/>
  <c r="ED74" i="3" s="1"/>
  <c r="EC70" i="3"/>
  <c r="EC74" i="3" s="1"/>
  <c r="EB70" i="3"/>
  <c r="EA70" i="3"/>
  <c r="EA74" i="3" s="1"/>
  <c r="DZ70" i="3"/>
  <c r="DZ74" i="3" s="1"/>
  <c r="DY70" i="3"/>
  <c r="DX70" i="3"/>
  <c r="DW70" i="3"/>
  <c r="DV70" i="3"/>
  <c r="DU70" i="3"/>
  <c r="DU74" i="3" s="1"/>
  <c r="DT70" i="3"/>
  <c r="DT74" i="3" s="1"/>
  <c r="DS70" i="3"/>
  <c r="DR70" i="3"/>
  <c r="DR74" i="3" s="1"/>
  <c r="DQ70" i="3"/>
  <c r="DP70" i="3"/>
  <c r="DO70" i="3"/>
  <c r="DN70" i="3"/>
  <c r="DN74" i="3" s="1"/>
  <c r="DM70" i="3"/>
  <c r="DL70" i="3"/>
  <c r="DL74" i="3" s="1"/>
  <c r="DK70" i="3"/>
  <c r="DK74" i="3" s="1"/>
  <c r="DJ70" i="3"/>
  <c r="DI70" i="3"/>
  <c r="DH70" i="3"/>
  <c r="DG70" i="3"/>
  <c r="DF70" i="3"/>
  <c r="DF74" i="3" s="1"/>
  <c r="DE70" i="3"/>
  <c r="DE74" i="3" s="1"/>
  <c r="DD70" i="3"/>
  <c r="DC70" i="3"/>
  <c r="DC74" i="3" s="1"/>
  <c r="DB70" i="3"/>
  <c r="DB74" i="3" s="1"/>
  <c r="DA70" i="3"/>
  <c r="CZ70" i="3"/>
  <c r="CY70" i="3"/>
  <c r="CX70" i="3"/>
  <c r="CW70" i="3"/>
  <c r="CW74" i="3" s="1"/>
  <c r="CV70" i="3"/>
  <c r="CV74" i="3" s="1"/>
  <c r="CU70" i="3"/>
  <c r="CT70" i="3"/>
  <c r="CT74" i="3" s="1"/>
  <c r="CS70" i="3"/>
  <c r="CR70" i="3"/>
  <c r="CQ70" i="3"/>
  <c r="CP70" i="3"/>
  <c r="CP74" i="3" s="1"/>
  <c r="CO70" i="3"/>
  <c r="CN70" i="3"/>
  <c r="CN74" i="3" s="1"/>
  <c r="CM70" i="3"/>
  <c r="CM74" i="3" s="1"/>
  <c r="CL70" i="3"/>
  <c r="CK70" i="3"/>
  <c r="CJ70" i="3"/>
  <c r="CI70" i="3"/>
  <c r="CH70" i="3"/>
  <c r="CH74" i="3" s="1"/>
  <c r="CG70" i="3"/>
  <c r="CG74" i="3" s="1"/>
  <c r="CF70" i="3"/>
  <c r="CE70" i="3"/>
  <c r="CE74" i="3" s="1"/>
  <c r="CD70" i="3"/>
  <c r="CD74" i="3" s="1"/>
  <c r="CC70" i="3"/>
  <c r="CB70" i="3"/>
  <c r="CA70" i="3"/>
  <c r="BZ70" i="3"/>
  <c r="BY70" i="3"/>
  <c r="BY74" i="3" s="1"/>
  <c r="BX70" i="3"/>
  <c r="BX74" i="3" s="1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B70" i="3"/>
  <c r="B69" i="3"/>
  <c r="BW68" i="3"/>
  <c r="BV68" i="3"/>
  <c r="BV74" i="3" s="1"/>
  <c r="BU68" i="3"/>
  <c r="BT68" i="3"/>
  <c r="BS68" i="3"/>
  <c r="BR68" i="3"/>
  <c r="BR74" i="3" s="1"/>
  <c r="BQ68" i="3"/>
  <c r="BP68" i="3"/>
  <c r="BO68" i="3"/>
  <c r="BN68" i="3"/>
  <c r="BM68" i="3"/>
  <c r="BL68" i="3"/>
  <c r="BK68" i="3"/>
  <c r="BJ68" i="3"/>
  <c r="BJ74" i="3" s="1"/>
  <c r="BI68" i="3"/>
  <c r="BI74" i="3" s="1"/>
  <c r="BH68" i="3"/>
  <c r="BG68" i="3"/>
  <c r="BF68" i="3"/>
  <c r="BF74" i="3" s="1"/>
  <c r="BE68" i="3"/>
  <c r="BD68" i="3"/>
  <c r="BC68" i="3"/>
  <c r="BB68" i="3"/>
  <c r="BA68" i="3"/>
  <c r="BA74" i="3" s="1"/>
  <c r="AZ68" i="3"/>
  <c r="AY68" i="3"/>
  <c r="AX68" i="3"/>
  <c r="AX74" i="3" s="1"/>
  <c r="AW68" i="3"/>
  <c r="AV68" i="3"/>
  <c r="AU68" i="3"/>
  <c r="AT68" i="3"/>
  <c r="AT74" i="3" s="1"/>
  <c r="AS68" i="3"/>
  <c r="AR68" i="3"/>
  <c r="AQ68" i="3"/>
  <c r="AP68" i="3"/>
  <c r="AO68" i="3"/>
  <c r="AN68" i="3"/>
  <c r="AM68" i="3"/>
  <c r="AL68" i="3"/>
  <c r="AL74" i="3" s="1"/>
  <c r="AK68" i="3"/>
  <c r="AK74" i="3" s="1"/>
  <c r="AJ68" i="3"/>
  <c r="AI68" i="3"/>
  <c r="AH68" i="3"/>
  <c r="AH74" i="3" s="1"/>
  <c r="AG68" i="3"/>
  <c r="AF68" i="3"/>
  <c r="AE68" i="3"/>
  <c r="AD68" i="3"/>
  <c r="AC68" i="3"/>
  <c r="AC74" i="3" s="1"/>
  <c r="AB68" i="3"/>
  <c r="AA68" i="3"/>
  <c r="Z68" i="3"/>
  <c r="Y68" i="3"/>
  <c r="X68" i="3"/>
  <c r="W68" i="3"/>
  <c r="V68" i="3"/>
  <c r="V74" i="3" s="1"/>
  <c r="U68" i="3"/>
  <c r="T68" i="3"/>
  <c r="S68" i="3"/>
  <c r="R68" i="3"/>
  <c r="Q68" i="3"/>
  <c r="P68" i="3"/>
  <c r="O68" i="3"/>
  <c r="N68" i="3"/>
  <c r="N74" i="3" s="1"/>
  <c r="M68" i="3"/>
  <c r="M74" i="3" s="1"/>
  <c r="L68" i="3"/>
  <c r="K68" i="3"/>
  <c r="J68" i="3"/>
  <c r="I68" i="3"/>
  <c r="H68" i="3"/>
  <c r="G68" i="3"/>
  <c r="F68" i="3"/>
  <c r="E68" i="3"/>
  <c r="E74" i="3" s="1"/>
  <c r="D68" i="3"/>
  <c r="B68" i="3"/>
  <c r="AL67" i="3"/>
  <c r="AK67" i="3"/>
  <c r="AI67" i="3"/>
  <c r="AH67" i="3"/>
  <c r="AF67" i="3"/>
  <c r="AE67" i="3"/>
  <c r="FV66" i="3"/>
  <c r="FR66" i="3"/>
  <c r="FQ66" i="3"/>
  <c r="FP66" i="3"/>
  <c r="FO66" i="3"/>
  <c r="FN66" i="3"/>
  <c r="FM66" i="3"/>
  <c r="FL66" i="3"/>
  <c r="FK66" i="3"/>
  <c r="FJ66" i="3"/>
  <c r="FI66" i="3"/>
  <c r="FH66" i="3"/>
  <c r="FG66" i="3"/>
  <c r="FF66" i="3"/>
  <c r="FE66" i="3"/>
  <c r="FD66" i="3"/>
  <c r="FC66" i="3"/>
  <c r="FB66" i="3"/>
  <c r="FA66" i="3"/>
  <c r="EZ66" i="3"/>
  <c r="EY66" i="3"/>
  <c r="EX66" i="3"/>
  <c r="EW66" i="3"/>
  <c r="EV66" i="3"/>
  <c r="EU66" i="3"/>
  <c r="ET66" i="3"/>
  <c r="ES66" i="3"/>
  <c r="ER66" i="3"/>
  <c r="EQ66" i="3"/>
  <c r="EP66" i="3"/>
  <c r="EO66" i="3"/>
  <c r="EN66" i="3"/>
  <c r="EM66" i="3"/>
  <c r="EL66" i="3"/>
  <c r="EK66" i="3"/>
  <c r="EJ66" i="3"/>
  <c r="EI66" i="3"/>
  <c r="EH66" i="3"/>
  <c r="EG66" i="3"/>
  <c r="EF66" i="3"/>
  <c r="EE66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B66" i="3"/>
  <c r="FV65" i="3"/>
  <c r="FR65" i="3"/>
  <c r="FQ65" i="3"/>
  <c r="FP65" i="3"/>
  <c r="FO65" i="3"/>
  <c r="FN65" i="3"/>
  <c r="FM65" i="3"/>
  <c r="FL65" i="3"/>
  <c r="FK65" i="3"/>
  <c r="FJ65" i="3"/>
  <c r="FI65" i="3"/>
  <c r="FH65" i="3"/>
  <c r="FG65" i="3"/>
  <c r="FF65" i="3"/>
  <c r="FE65" i="3"/>
  <c r="FD65" i="3"/>
  <c r="FC65" i="3"/>
  <c r="FB65" i="3"/>
  <c r="FA65" i="3"/>
  <c r="EZ65" i="3"/>
  <c r="EY65" i="3"/>
  <c r="EX65" i="3"/>
  <c r="EW65" i="3"/>
  <c r="EV65" i="3"/>
  <c r="EU65" i="3"/>
  <c r="ET65" i="3"/>
  <c r="ES65" i="3"/>
  <c r="ER65" i="3"/>
  <c r="EQ65" i="3"/>
  <c r="EP65" i="3"/>
  <c r="EO65" i="3"/>
  <c r="EN65" i="3"/>
  <c r="EM65" i="3"/>
  <c r="EL65" i="3"/>
  <c r="EK65" i="3"/>
  <c r="EJ65" i="3"/>
  <c r="EI65" i="3"/>
  <c r="EH65" i="3"/>
  <c r="EG65" i="3"/>
  <c r="EF65" i="3"/>
  <c r="EE65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B65" i="3"/>
  <c r="B64" i="3"/>
  <c r="FV63" i="3"/>
  <c r="B63" i="3"/>
  <c r="FR62" i="3"/>
  <c r="FQ62" i="3"/>
  <c r="FP62" i="3"/>
  <c r="FO62" i="3"/>
  <c r="FN62" i="3"/>
  <c r="FM62" i="3"/>
  <c r="FL62" i="3"/>
  <c r="FK62" i="3"/>
  <c r="FJ62" i="3"/>
  <c r="FI62" i="3"/>
  <c r="FH62" i="3"/>
  <c r="FG62" i="3"/>
  <c r="FF62" i="3"/>
  <c r="FE62" i="3"/>
  <c r="FD62" i="3"/>
  <c r="FC62" i="3"/>
  <c r="FB62" i="3"/>
  <c r="FA62" i="3"/>
  <c r="EZ62" i="3"/>
  <c r="EY62" i="3"/>
  <c r="EX62" i="3"/>
  <c r="EW62" i="3"/>
  <c r="EV62" i="3"/>
  <c r="EU62" i="3"/>
  <c r="ET62" i="3"/>
  <c r="ES62" i="3"/>
  <c r="ER62" i="3"/>
  <c r="EQ62" i="3"/>
  <c r="EP62" i="3"/>
  <c r="EO62" i="3"/>
  <c r="EN62" i="3"/>
  <c r="EM62" i="3"/>
  <c r="EL62" i="3"/>
  <c r="EK62" i="3"/>
  <c r="EJ62" i="3"/>
  <c r="EI62" i="3"/>
  <c r="EH62" i="3"/>
  <c r="EG62" i="3"/>
  <c r="EF62" i="3"/>
  <c r="EE62" i="3"/>
  <c r="ED62" i="3"/>
  <c r="EC62" i="3"/>
  <c r="EB62" i="3"/>
  <c r="EA62" i="3"/>
  <c r="DZ62" i="3"/>
  <c r="DY62" i="3"/>
  <c r="DX62" i="3"/>
  <c r="DW62" i="3"/>
  <c r="DV62" i="3"/>
  <c r="DU62" i="3"/>
  <c r="DT62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P62" i="3"/>
  <c r="AM62" i="3"/>
  <c r="AJ62" i="3"/>
  <c r="AG62" i="3"/>
  <c r="AD62" i="3"/>
  <c r="AA62" i="3"/>
  <c r="X62" i="3"/>
  <c r="U62" i="3"/>
  <c r="R62" i="3"/>
  <c r="O62" i="3"/>
  <c r="L62" i="3"/>
  <c r="I62" i="3"/>
  <c r="F62" i="3"/>
  <c r="E62" i="3"/>
  <c r="D62" i="3"/>
  <c r="B62" i="3"/>
  <c r="FQ61" i="3"/>
  <c r="FP61" i="3"/>
  <c r="FN61" i="3"/>
  <c r="FM61" i="3"/>
  <c r="FK61" i="3"/>
  <c r="FJ61" i="3"/>
  <c r="FH61" i="3"/>
  <c r="FG61" i="3"/>
  <c r="FE61" i="3"/>
  <c r="FD61" i="3"/>
  <c r="FB61" i="3"/>
  <c r="FA61" i="3"/>
  <c r="EY61" i="3"/>
  <c r="EX61" i="3"/>
  <c r="EV61" i="3"/>
  <c r="EU61" i="3"/>
  <c r="ES61" i="3"/>
  <c r="ER61" i="3"/>
  <c r="EP61" i="3"/>
  <c r="EO61" i="3"/>
  <c r="EM61" i="3"/>
  <c r="EL61" i="3"/>
  <c r="EJ61" i="3"/>
  <c r="EI61" i="3"/>
  <c r="EG61" i="3"/>
  <c r="EF61" i="3"/>
  <c r="ED61" i="3"/>
  <c r="EC61" i="3"/>
  <c r="EA61" i="3"/>
  <c r="DZ61" i="3"/>
  <c r="DX61" i="3"/>
  <c r="DW61" i="3"/>
  <c r="DU61" i="3"/>
  <c r="DT61" i="3"/>
  <c r="DR61" i="3"/>
  <c r="DQ61" i="3"/>
  <c r="DO61" i="3"/>
  <c r="DN61" i="3"/>
  <c r="DL61" i="3"/>
  <c r="DK61" i="3"/>
  <c r="DI61" i="3"/>
  <c r="DH61" i="3"/>
  <c r="DF61" i="3"/>
  <c r="DE61" i="3"/>
  <c r="DC61" i="3"/>
  <c r="DB61" i="3"/>
  <c r="CZ61" i="3"/>
  <c r="CY61" i="3"/>
  <c r="CW61" i="3"/>
  <c r="CV61" i="3"/>
  <c r="CT61" i="3"/>
  <c r="CS61" i="3"/>
  <c r="CQ61" i="3"/>
  <c r="CP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D61" i="3"/>
  <c r="AC61" i="3"/>
  <c r="AC67" i="3" s="1"/>
  <c r="AB61" i="3"/>
  <c r="AB67" i="3" s="1"/>
  <c r="AA61" i="3"/>
  <c r="Z61" i="3"/>
  <c r="Z67" i="3" s="1"/>
  <c r="Y61" i="3"/>
  <c r="Y67" i="3" s="1"/>
  <c r="X61" i="3"/>
  <c r="W61" i="3"/>
  <c r="W67" i="3" s="1"/>
  <c r="V61" i="3"/>
  <c r="V67" i="3" s="1"/>
  <c r="U61" i="3"/>
  <c r="T61" i="3"/>
  <c r="T67" i="3" s="1"/>
  <c r="S61" i="3"/>
  <c r="S67" i="3" s="1"/>
  <c r="R61" i="3"/>
  <c r="Q61" i="3"/>
  <c r="Q67" i="3" s="1"/>
  <c r="P61" i="3"/>
  <c r="P67" i="3" s="1"/>
  <c r="O61" i="3"/>
  <c r="N61" i="3"/>
  <c r="N67" i="3" s="1"/>
  <c r="M61" i="3"/>
  <c r="M67" i="3" s="1"/>
  <c r="L61" i="3"/>
  <c r="K61" i="3"/>
  <c r="K67" i="3" s="1"/>
  <c r="J61" i="3"/>
  <c r="J67" i="3" s="1"/>
  <c r="I61" i="3"/>
  <c r="H61" i="3"/>
  <c r="H67" i="3" s="1"/>
  <c r="G61" i="3"/>
  <c r="G67" i="3" s="1"/>
  <c r="F61" i="3"/>
  <c r="E61" i="3"/>
  <c r="D61" i="3"/>
  <c r="B61" i="3"/>
  <c r="FU60" i="3"/>
  <c r="FT60" i="3"/>
  <c r="FV60" i="3" s="1"/>
  <c r="FR60" i="3"/>
  <c r="FQ60" i="3"/>
  <c r="FP60" i="3"/>
  <c r="FO60" i="3"/>
  <c r="FN60" i="3"/>
  <c r="FM60" i="3"/>
  <c r="FL60" i="3"/>
  <c r="FK60" i="3"/>
  <c r="FJ60" i="3"/>
  <c r="FI60" i="3"/>
  <c r="FH60" i="3"/>
  <c r="FG60" i="3"/>
  <c r="FF60" i="3"/>
  <c r="FE60" i="3"/>
  <c r="FD60" i="3"/>
  <c r="FC60" i="3"/>
  <c r="FB60" i="3"/>
  <c r="FA60" i="3"/>
  <c r="EZ60" i="3"/>
  <c r="EY60" i="3"/>
  <c r="EX60" i="3"/>
  <c r="EW60" i="3"/>
  <c r="EV60" i="3"/>
  <c r="EU60" i="3"/>
  <c r="ET60" i="3"/>
  <c r="ES60" i="3"/>
  <c r="ER60" i="3"/>
  <c r="EQ60" i="3"/>
  <c r="EP60" i="3"/>
  <c r="EO60" i="3"/>
  <c r="EN60" i="3"/>
  <c r="EM60" i="3"/>
  <c r="EL60" i="3"/>
  <c r="EK60" i="3"/>
  <c r="EJ60" i="3"/>
  <c r="EI60" i="3"/>
  <c r="EH60" i="3"/>
  <c r="EG60" i="3"/>
  <c r="EF60" i="3"/>
  <c r="EE60" i="3"/>
  <c r="ED60" i="3"/>
  <c r="EC60" i="3"/>
  <c r="EB60" i="3"/>
  <c r="EA60" i="3"/>
  <c r="DZ60" i="3"/>
  <c r="DY60" i="3"/>
  <c r="DX60" i="3"/>
  <c r="DW60" i="3"/>
  <c r="DV60" i="3"/>
  <c r="DU60" i="3"/>
  <c r="DT60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R60" i="3"/>
  <c r="AQ60" i="3"/>
  <c r="AO60" i="3"/>
  <c r="AN60" i="3"/>
  <c r="AM60" i="3"/>
  <c r="AJ60" i="3"/>
  <c r="AG60" i="3"/>
  <c r="AD60" i="3"/>
  <c r="AA60" i="3"/>
  <c r="X60" i="3"/>
  <c r="U60" i="3"/>
  <c r="R60" i="3"/>
  <c r="O60" i="3"/>
  <c r="L60" i="3"/>
  <c r="I60" i="3"/>
  <c r="F60" i="3"/>
  <c r="E60" i="3"/>
  <c r="D60" i="3"/>
  <c r="B60" i="3"/>
  <c r="FV59" i="3"/>
  <c r="FQ59" i="3"/>
  <c r="FP59" i="3"/>
  <c r="FN59" i="3"/>
  <c r="FM59" i="3"/>
  <c r="FK59" i="3"/>
  <c r="FK67" i="3" s="1"/>
  <c r="FJ59" i="3"/>
  <c r="FH59" i="3"/>
  <c r="FH67" i="3" s="1"/>
  <c r="FG59" i="3"/>
  <c r="FE59" i="3"/>
  <c r="FD59" i="3"/>
  <c r="FB59" i="3"/>
  <c r="FA59" i="3"/>
  <c r="EY59" i="3"/>
  <c r="EY67" i="3" s="1"/>
  <c r="EX59" i="3"/>
  <c r="EV59" i="3"/>
  <c r="EU59" i="3"/>
  <c r="ES59" i="3"/>
  <c r="ER59" i="3"/>
  <c r="EP59" i="3"/>
  <c r="EO59" i="3"/>
  <c r="EM59" i="3"/>
  <c r="EM67" i="3" s="1"/>
  <c r="EL59" i="3"/>
  <c r="EJ59" i="3"/>
  <c r="EJ67" i="3" s="1"/>
  <c r="EI59" i="3"/>
  <c r="EG59" i="3"/>
  <c r="EF59" i="3"/>
  <c r="ED59" i="3"/>
  <c r="EC59" i="3"/>
  <c r="EA59" i="3"/>
  <c r="EA67" i="3" s="1"/>
  <c r="DZ59" i="3"/>
  <c r="DX59" i="3"/>
  <c r="DW59" i="3"/>
  <c r="DU59" i="3"/>
  <c r="DT59" i="3"/>
  <c r="DR59" i="3"/>
  <c r="DQ59" i="3"/>
  <c r="DO59" i="3"/>
  <c r="DO67" i="3" s="1"/>
  <c r="DN59" i="3"/>
  <c r="DL59" i="3"/>
  <c r="DL67" i="3" s="1"/>
  <c r="DK59" i="3"/>
  <c r="DI59" i="3"/>
  <c r="DH59" i="3"/>
  <c r="DF59" i="3"/>
  <c r="DE59" i="3"/>
  <c r="DC59" i="3"/>
  <c r="DC67" i="3" s="1"/>
  <c r="DB59" i="3"/>
  <c r="CZ59" i="3"/>
  <c r="CY59" i="3"/>
  <c r="CW59" i="3"/>
  <c r="CV59" i="3"/>
  <c r="CT59" i="3"/>
  <c r="CS59" i="3"/>
  <c r="CQ59" i="3"/>
  <c r="CQ67" i="3" s="1"/>
  <c r="CP59" i="3"/>
  <c r="CN59" i="3"/>
  <c r="CN67" i="3" s="1"/>
  <c r="CM59" i="3"/>
  <c r="CL59" i="3"/>
  <c r="CK59" i="3"/>
  <c r="CJ59" i="3"/>
  <c r="CI59" i="3"/>
  <c r="CH59" i="3"/>
  <c r="CH67" i="3" s="1"/>
  <c r="CG59" i="3"/>
  <c r="CF59" i="3"/>
  <c r="CE59" i="3"/>
  <c r="CD59" i="3"/>
  <c r="CC59" i="3"/>
  <c r="CB59" i="3"/>
  <c r="CA59" i="3"/>
  <c r="CA67" i="3" s="1"/>
  <c r="BZ59" i="3"/>
  <c r="BY59" i="3"/>
  <c r="BX59" i="3"/>
  <c r="BX67" i="3" s="1"/>
  <c r="BW59" i="3"/>
  <c r="BV59" i="3"/>
  <c r="BU59" i="3"/>
  <c r="BT59" i="3"/>
  <c r="BS59" i="3"/>
  <c r="BS67" i="3" s="1"/>
  <c r="BR59" i="3"/>
  <c r="BR67" i="3" s="1"/>
  <c r="BQ59" i="3"/>
  <c r="BP59" i="3"/>
  <c r="BP67" i="3" s="1"/>
  <c r="BO59" i="3"/>
  <c r="BN59" i="3"/>
  <c r="BM59" i="3"/>
  <c r="BL59" i="3"/>
  <c r="BK59" i="3"/>
  <c r="BJ59" i="3"/>
  <c r="BJ67" i="3" s="1"/>
  <c r="BI59" i="3"/>
  <c r="BH59" i="3"/>
  <c r="BG59" i="3"/>
  <c r="BF59" i="3"/>
  <c r="BE59" i="3"/>
  <c r="BD59" i="3"/>
  <c r="BC59" i="3"/>
  <c r="BC67" i="3" s="1"/>
  <c r="BB59" i="3"/>
  <c r="BA59" i="3"/>
  <c r="AZ59" i="3"/>
  <c r="AZ67" i="3" s="1"/>
  <c r="AY59" i="3"/>
  <c r="AX59" i="3"/>
  <c r="AW59" i="3"/>
  <c r="AV59" i="3"/>
  <c r="AU59" i="3"/>
  <c r="AU67" i="3" s="1"/>
  <c r="AT59" i="3"/>
  <c r="AT67" i="3" s="1"/>
  <c r="AS59" i="3"/>
  <c r="AR59" i="3"/>
  <c r="AR67" i="3" s="1"/>
  <c r="AQ59" i="3"/>
  <c r="AP59" i="3"/>
  <c r="AO59" i="3"/>
  <c r="AN59" i="3"/>
  <c r="B59" i="3"/>
  <c r="AF58" i="3"/>
  <c r="AE58" i="3"/>
  <c r="AC58" i="3"/>
  <c r="AB58" i="3"/>
  <c r="Z58" i="3"/>
  <c r="Y58" i="3"/>
  <c r="W58" i="3"/>
  <c r="V58" i="3"/>
  <c r="T58" i="3"/>
  <c r="S58" i="3"/>
  <c r="Q58" i="3"/>
  <c r="P58" i="3"/>
  <c r="FV57" i="3"/>
  <c r="FR57" i="3"/>
  <c r="FQ57" i="3"/>
  <c r="FP57" i="3"/>
  <c r="FO57" i="3"/>
  <c r="FN57" i="3"/>
  <c r="FM57" i="3"/>
  <c r="FL57" i="3"/>
  <c r="FK57" i="3"/>
  <c r="FJ57" i="3"/>
  <c r="FI57" i="3"/>
  <c r="FH57" i="3"/>
  <c r="FG57" i="3"/>
  <c r="FF57" i="3"/>
  <c r="FE57" i="3"/>
  <c r="FD57" i="3"/>
  <c r="FC57" i="3"/>
  <c r="FB57" i="3"/>
  <c r="FA57" i="3"/>
  <c r="EZ57" i="3"/>
  <c r="EY57" i="3"/>
  <c r="EX57" i="3"/>
  <c r="EW57" i="3"/>
  <c r="EV57" i="3"/>
  <c r="EU57" i="3"/>
  <c r="ET57" i="3"/>
  <c r="ES57" i="3"/>
  <c r="ER57" i="3"/>
  <c r="EQ57" i="3"/>
  <c r="EP57" i="3"/>
  <c r="EO57" i="3"/>
  <c r="EN57" i="3"/>
  <c r="EM57" i="3"/>
  <c r="EL57" i="3"/>
  <c r="EK57" i="3"/>
  <c r="EJ57" i="3"/>
  <c r="EI57" i="3"/>
  <c r="EH57" i="3"/>
  <c r="EG57" i="3"/>
  <c r="EF57" i="3"/>
  <c r="EE57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B57" i="3"/>
  <c r="FV56" i="3"/>
  <c r="FR56" i="3"/>
  <c r="FQ56" i="3"/>
  <c r="FQ58" i="3" s="1"/>
  <c r="FP56" i="3"/>
  <c r="FP58" i="3" s="1"/>
  <c r="FO56" i="3"/>
  <c r="FN56" i="3"/>
  <c r="FN58" i="3" s="1"/>
  <c r="FM56" i="3"/>
  <c r="FM58" i="3" s="1"/>
  <c r="FL56" i="3"/>
  <c r="FK56" i="3"/>
  <c r="FK58" i="3" s="1"/>
  <c r="FJ56" i="3"/>
  <c r="FI56" i="3"/>
  <c r="FH56" i="3"/>
  <c r="FH58" i="3" s="1"/>
  <c r="FG56" i="3"/>
  <c r="FG58" i="3" s="1"/>
  <c r="FF56" i="3"/>
  <c r="FE56" i="3"/>
  <c r="FE58" i="3" s="1"/>
  <c r="FD56" i="3"/>
  <c r="FD58" i="3" s="1"/>
  <c r="FC56" i="3"/>
  <c r="FB56" i="3"/>
  <c r="FA56" i="3"/>
  <c r="FA58" i="3" s="1"/>
  <c r="EZ56" i="3"/>
  <c r="EY56" i="3"/>
  <c r="EY58" i="3" s="1"/>
  <c r="EX56" i="3"/>
  <c r="EX58" i="3" s="1"/>
  <c r="EW56" i="3"/>
  <c r="EV56" i="3"/>
  <c r="EV58" i="3" s="1"/>
  <c r="EU56" i="3"/>
  <c r="EU58" i="3" s="1"/>
  <c r="ET56" i="3"/>
  <c r="ES56" i="3"/>
  <c r="ES58" i="3" s="1"/>
  <c r="ER56" i="3"/>
  <c r="ER58" i="3" s="1"/>
  <c r="EQ56" i="3"/>
  <c r="EP56" i="3"/>
  <c r="EP58" i="3" s="1"/>
  <c r="EO56" i="3"/>
  <c r="EO58" i="3" s="1"/>
  <c r="EN56" i="3"/>
  <c r="EM56" i="3"/>
  <c r="EM58" i="3" s="1"/>
  <c r="EL56" i="3"/>
  <c r="EK56" i="3"/>
  <c r="EJ56" i="3"/>
  <c r="EJ58" i="3" s="1"/>
  <c r="EI56" i="3"/>
  <c r="EI58" i="3" s="1"/>
  <c r="EH56" i="3"/>
  <c r="EG56" i="3"/>
  <c r="EG58" i="3" s="1"/>
  <c r="EF56" i="3"/>
  <c r="EF58" i="3" s="1"/>
  <c r="EE56" i="3"/>
  <c r="ED56" i="3"/>
  <c r="EC56" i="3"/>
  <c r="EC58" i="3" s="1"/>
  <c r="EB56" i="3"/>
  <c r="EA56" i="3"/>
  <c r="EA58" i="3" s="1"/>
  <c r="DZ56" i="3"/>
  <c r="DZ58" i="3" s="1"/>
  <c r="DY56" i="3"/>
  <c r="DX56" i="3"/>
  <c r="DX58" i="3" s="1"/>
  <c r="DW56" i="3"/>
  <c r="DW58" i="3" s="1"/>
  <c r="DV56" i="3"/>
  <c r="DU56" i="3"/>
  <c r="DU58" i="3" s="1"/>
  <c r="DT56" i="3"/>
  <c r="DT58" i="3" s="1"/>
  <c r="DS56" i="3"/>
  <c r="DR56" i="3"/>
  <c r="DR58" i="3" s="1"/>
  <c r="DQ56" i="3"/>
  <c r="DQ58" i="3" s="1"/>
  <c r="DP56" i="3"/>
  <c r="DO56" i="3"/>
  <c r="DO58" i="3" s="1"/>
  <c r="DN56" i="3"/>
  <c r="DM56" i="3"/>
  <c r="DL56" i="3"/>
  <c r="DL58" i="3" s="1"/>
  <c r="DK56" i="3"/>
  <c r="DK58" i="3" s="1"/>
  <c r="DJ56" i="3"/>
  <c r="DI56" i="3"/>
  <c r="DI58" i="3" s="1"/>
  <c r="DH56" i="3"/>
  <c r="DH58" i="3" s="1"/>
  <c r="DG56" i="3"/>
  <c r="DF56" i="3"/>
  <c r="DE56" i="3"/>
  <c r="DE58" i="3" s="1"/>
  <c r="DD56" i="3"/>
  <c r="DC56" i="3"/>
  <c r="DC58" i="3" s="1"/>
  <c r="DB56" i="3"/>
  <c r="DB58" i="3" s="1"/>
  <c r="DA56" i="3"/>
  <c r="CZ56" i="3"/>
  <c r="CZ58" i="3" s="1"/>
  <c r="CY56" i="3"/>
  <c r="CY58" i="3" s="1"/>
  <c r="CX56" i="3"/>
  <c r="CW56" i="3"/>
  <c r="CW58" i="3" s="1"/>
  <c r="CV56" i="3"/>
  <c r="CV58" i="3" s="1"/>
  <c r="CU56" i="3"/>
  <c r="CT56" i="3"/>
  <c r="CT58" i="3" s="1"/>
  <c r="CS56" i="3"/>
  <c r="CS58" i="3" s="1"/>
  <c r="CR56" i="3"/>
  <c r="CQ56" i="3"/>
  <c r="CQ58" i="3" s="1"/>
  <c r="CP56" i="3"/>
  <c r="CO56" i="3"/>
  <c r="CN56" i="3"/>
  <c r="CN58" i="3" s="1"/>
  <c r="CM56" i="3"/>
  <c r="CM58" i="3" s="1"/>
  <c r="CL56" i="3"/>
  <c r="CK56" i="3"/>
  <c r="CK58" i="3" s="1"/>
  <c r="CJ56" i="3"/>
  <c r="CJ58" i="3" s="1"/>
  <c r="CI56" i="3"/>
  <c r="CH56" i="3"/>
  <c r="CG56" i="3"/>
  <c r="CF56" i="3"/>
  <c r="CE56" i="3"/>
  <c r="CE58" i="3" s="1"/>
  <c r="CD56" i="3"/>
  <c r="CD58" i="3" s="1"/>
  <c r="CC56" i="3"/>
  <c r="CB56" i="3"/>
  <c r="CB58" i="3" s="1"/>
  <c r="CA56" i="3"/>
  <c r="CA58" i="3" s="1"/>
  <c r="BZ56" i="3"/>
  <c r="BY56" i="3"/>
  <c r="BY58" i="3" s="1"/>
  <c r="BX56" i="3"/>
  <c r="BX58" i="3" s="1"/>
  <c r="BW56" i="3"/>
  <c r="BV56" i="3"/>
  <c r="BV58" i="3" s="1"/>
  <c r="BU56" i="3"/>
  <c r="BU58" i="3" s="1"/>
  <c r="BT56" i="3"/>
  <c r="BS56" i="3"/>
  <c r="BS58" i="3" s="1"/>
  <c r="BR56" i="3"/>
  <c r="BQ56" i="3"/>
  <c r="BP56" i="3"/>
  <c r="BP58" i="3" s="1"/>
  <c r="BO56" i="3"/>
  <c r="BO58" i="3" s="1"/>
  <c r="BN56" i="3"/>
  <c r="BM56" i="3"/>
  <c r="BM58" i="3" s="1"/>
  <c r="BL56" i="3"/>
  <c r="BL58" i="3" s="1"/>
  <c r="BK56" i="3"/>
  <c r="BJ56" i="3"/>
  <c r="BI56" i="3"/>
  <c r="BI58" i="3" s="1"/>
  <c r="BH56" i="3"/>
  <c r="BG56" i="3"/>
  <c r="BG58" i="3" s="1"/>
  <c r="BF56" i="3"/>
  <c r="BF58" i="3" s="1"/>
  <c r="BE56" i="3"/>
  <c r="BD56" i="3"/>
  <c r="BD58" i="3" s="1"/>
  <c r="BC56" i="3"/>
  <c r="BC58" i="3" s="1"/>
  <c r="BB56" i="3"/>
  <c r="BA56" i="3"/>
  <c r="BA58" i="3" s="1"/>
  <c r="AZ56" i="3"/>
  <c r="AZ58" i="3" s="1"/>
  <c r="AY56" i="3"/>
  <c r="AX56" i="3"/>
  <c r="AX58" i="3" s="1"/>
  <c r="AW56" i="3"/>
  <c r="AW58" i="3" s="1"/>
  <c r="AV56" i="3"/>
  <c r="AU56" i="3"/>
  <c r="AU58" i="3" s="1"/>
  <c r="AT56" i="3"/>
  <c r="AS56" i="3"/>
  <c r="AR56" i="3"/>
  <c r="AR58" i="3" s="1"/>
  <c r="AQ56" i="3"/>
  <c r="AQ58" i="3" s="1"/>
  <c r="AP56" i="3"/>
  <c r="AO56" i="3"/>
  <c r="AO58" i="3" s="1"/>
  <c r="AN56" i="3"/>
  <c r="AN58" i="3" s="1"/>
  <c r="AM56" i="3"/>
  <c r="AL56" i="3"/>
  <c r="AK56" i="3"/>
  <c r="AK58" i="3" s="1"/>
  <c r="AJ56" i="3"/>
  <c r="AI56" i="3"/>
  <c r="AI58" i="3" s="1"/>
  <c r="AH56" i="3"/>
  <c r="AH58" i="3" s="1"/>
  <c r="B56" i="3"/>
  <c r="B55" i="3"/>
  <c r="FV54" i="3"/>
  <c r="F54" i="3"/>
  <c r="E54" i="3"/>
  <c r="D54" i="3"/>
  <c r="B54" i="3"/>
  <c r="F53" i="3"/>
  <c r="E53" i="3"/>
  <c r="D53" i="3"/>
  <c r="B53" i="3"/>
  <c r="B52" i="3"/>
  <c r="F51" i="3"/>
  <c r="E51" i="3"/>
  <c r="D51" i="3"/>
  <c r="B51" i="3"/>
  <c r="F50" i="3"/>
  <c r="E50" i="3"/>
  <c r="D50" i="3"/>
  <c r="B50" i="3"/>
  <c r="FV49" i="3"/>
  <c r="F49" i="3"/>
  <c r="E49" i="3"/>
  <c r="D49" i="3"/>
  <c r="B49" i="3"/>
  <c r="E48" i="3"/>
  <c r="D48" i="3"/>
  <c r="B48" i="3"/>
  <c r="FV47" i="3"/>
  <c r="O47" i="3"/>
  <c r="N47" i="3"/>
  <c r="M47" i="3"/>
  <c r="L47" i="3"/>
  <c r="K47" i="3"/>
  <c r="J47" i="3"/>
  <c r="I47" i="3"/>
  <c r="H47" i="3"/>
  <c r="G47" i="3"/>
  <c r="F47" i="3"/>
  <c r="E47" i="3"/>
  <c r="D47" i="3"/>
  <c r="B47" i="3"/>
  <c r="FV46" i="3"/>
  <c r="O46" i="3"/>
  <c r="N46" i="3"/>
  <c r="N58" i="3" s="1"/>
  <c r="M46" i="3"/>
  <c r="M58" i="3" s="1"/>
  <c r="L46" i="3"/>
  <c r="K46" i="3"/>
  <c r="K58" i="3" s="1"/>
  <c r="J46" i="3"/>
  <c r="J58" i="3" s="1"/>
  <c r="I46" i="3"/>
  <c r="H46" i="3"/>
  <c r="H58" i="3" s="1"/>
  <c r="G46" i="3"/>
  <c r="G58" i="3" s="1"/>
  <c r="F46" i="3"/>
  <c r="E46" i="3"/>
  <c r="D46" i="3"/>
  <c r="B46" i="3"/>
  <c r="FV45" i="3"/>
  <c r="F45" i="3"/>
  <c r="E45" i="3"/>
  <c r="D45" i="3"/>
  <c r="B45" i="3"/>
  <c r="FR43" i="3"/>
  <c r="FQ43" i="3"/>
  <c r="FP43" i="3"/>
  <c r="FO43" i="3"/>
  <c r="FN43" i="3"/>
  <c r="FM43" i="3"/>
  <c r="FR42" i="3"/>
  <c r="FQ42" i="3"/>
  <c r="FP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V41" i="3"/>
  <c r="FR41" i="3"/>
  <c r="FQ41" i="3"/>
  <c r="FP41" i="3"/>
  <c r="FO41" i="3"/>
  <c r="FN41" i="3"/>
  <c r="FM41" i="3"/>
  <c r="FV40" i="3"/>
  <c r="FR40" i="3"/>
  <c r="FQ40" i="3"/>
  <c r="FP40" i="3"/>
  <c r="FO40" i="3"/>
  <c r="FN40" i="3"/>
  <c r="FM40" i="3"/>
  <c r="FL40" i="3"/>
  <c r="FK40" i="3"/>
  <c r="FJ40" i="3"/>
  <c r="FI40" i="3"/>
  <c r="FH40" i="3"/>
  <c r="FG40" i="3"/>
  <c r="FF40" i="3"/>
  <c r="FE40" i="3"/>
  <c r="FD40" i="3"/>
  <c r="FV39" i="3"/>
  <c r="FR39" i="3"/>
  <c r="FQ39" i="3"/>
  <c r="FP39" i="3"/>
  <c r="FO39" i="3"/>
  <c r="FN39" i="3"/>
  <c r="FM39" i="3"/>
  <c r="FV38" i="3"/>
  <c r="FR38" i="3"/>
  <c r="FQ38" i="3"/>
  <c r="FP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FV36" i="3"/>
  <c r="FR36" i="3"/>
  <c r="FQ36" i="3"/>
  <c r="FP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FA36" i="3"/>
  <c r="EZ36" i="3"/>
  <c r="EY36" i="3"/>
  <c r="EX36" i="3"/>
  <c r="FV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FV34" i="3"/>
  <c r="FR34" i="3"/>
  <c r="FQ34" i="3"/>
  <c r="FP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FV33" i="3"/>
  <c r="FR33" i="3"/>
  <c r="FQ33" i="3"/>
  <c r="FP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Y33" i="3"/>
  <c r="EX33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V30" i="3"/>
  <c r="FQ30" i="3"/>
  <c r="FP30" i="3"/>
  <c r="FN30" i="3"/>
  <c r="FM30" i="3"/>
  <c r="FK30" i="3"/>
  <c r="FJ30" i="3"/>
  <c r="FH30" i="3"/>
  <c r="FG30" i="3"/>
  <c r="FE30" i="3"/>
  <c r="FD30" i="3"/>
  <c r="FB30" i="3"/>
  <c r="FA30" i="3"/>
  <c r="EY30" i="3"/>
  <c r="EX30" i="3"/>
  <c r="EV30" i="3"/>
  <c r="EU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B30" i="3"/>
  <c r="FV29" i="3"/>
  <c r="FR29" i="3"/>
  <c r="FQ29" i="3"/>
  <c r="FP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B29" i="3"/>
  <c r="FV28" i="3"/>
  <c r="FQ28" i="3"/>
  <c r="FP28" i="3"/>
  <c r="FN28" i="3"/>
  <c r="FM28" i="3"/>
  <c r="FK28" i="3"/>
  <c r="FJ28" i="3"/>
  <c r="FH28" i="3"/>
  <c r="FG28" i="3"/>
  <c r="FE28" i="3"/>
  <c r="FD28" i="3"/>
  <c r="FB28" i="3"/>
  <c r="FA28" i="3"/>
  <c r="EY28" i="3"/>
  <c r="EX28" i="3"/>
  <c r="EV28" i="3"/>
  <c r="EU28" i="3"/>
  <c r="ES28" i="3"/>
  <c r="ER28" i="3"/>
  <c r="EP28" i="3"/>
  <c r="EO28" i="3"/>
  <c r="EM28" i="3"/>
  <c r="EL28" i="3"/>
  <c r="EJ28" i="3"/>
  <c r="EI28" i="3"/>
  <c r="EG28" i="3"/>
  <c r="EF28" i="3"/>
  <c r="ED28" i="3"/>
  <c r="EC28" i="3"/>
  <c r="EA28" i="3"/>
  <c r="DZ28" i="3"/>
  <c r="DX28" i="3"/>
  <c r="DW28" i="3"/>
  <c r="DU28" i="3"/>
  <c r="DT28" i="3"/>
  <c r="DR28" i="3"/>
  <c r="DQ28" i="3"/>
  <c r="DO28" i="3"/>
  <c r="DN28" i="3"/>
  <c r="DL28" i="3"/>
  <c r="DK28" i="3"/>
  <c r="DI28" i="3"/>
  <c r="DH28" i="3"/>
  <c r="DF28" i="3"/>
  <c r="DE28" i="3"/>
  <c r="DC28" i="3"/>
  <c r="DB28" i="3"/>
  <c r="CZ28" i="3"/>
  <c r="CY28" i="3"/>
  <c r="CW28" i="3"/>
  <c r="CV28" i="3"/>
  <c r="CT28" i="3"/>
  <c r="CS28" i="3"/>
  <c r="CQ28" i="3"/>
  <c r="CP28" i="3"/>
  <c r="CN28" i="3"/>
  <c r="CM28" i="3"/>
  <c r="CK28" i="3"/>
  <c r="CJ28" i="3"/>
  <c r="CH28" i="3"/>
  <c r="CG28" i="3"/>
  <c r="CE28" i="3"/>
  <c r="CD28" i="3"/>
  <c r="CB28" i="3"/>
  <c r="CA28" i="3"/>
  <c r="BY28" i="3"/>
  <c r="BX28" i="3"/>
  <c r="BV28" i="3"/>
  <c r="BU28" i="3"/>
  <c r="BS28" i="3"/>
  <c r="BR28" i="3"/>
  <c r="BP28" i="3"/>
  <c r="BO28" i="3"/>
  <c r="BM28" i="3"/>
  <c r="BL28" i="3"/>
  <c r="BJ28" i="3"/>
  <c r="BI28" i="3"/>
  <c r="BG28" i="3"/>
  <c r="BF28" i="3"/>
  <c r="BD28" i="3"/>
  <c r="BC28" i="3"/>
  <c r="BA28" i="3"/>
  <c r="AZ28" i="3"/>
  <c r="AX28" i="3"/>
  <c r="AW28" i="3"/>
  <c r="AU28" i="3"/>
  <c r="AT28" i="3"/>
  <c r="AR28" i="3"/>
  <c r="AQ28" i="3"/>
  <c r="AO28" i="3"/>
  <c r="AN28" i="3"/>
  <c r="AL28" i="3"/>
  <c r="AK28" i="3"/>
  <c r="AI28" i="3"/>
  <c r="AH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B28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B27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B26" i="3"/>
  <c r="FQ25" i="3"/>
  <c r="FP25" i="3"/>
  <c r="FN25" i="3"/>
  <c r="FM25" i="3"/>
  <c r="FK25" i="3"/>
  <c r="FJ25" i="3"/>
  <c r="FH25" i="3"/>
  <c r="FG25" i="3"/>
  <c r="FE25" i="3"/>
  <c r="FD25" i="3"/>
  <c r="FB25" i="3"/>
  <c r="FA25" i="3"/>
  <c r="EY25" i="3"/>
  <c r="EX25" i="3"/>
  <c r="EV25" i="3"/>
  <c r="EU25" i="3"/>
  <c r="ES25" i="3"/>
  <c r="ER25" i="3"/>
  <c r="EP25" i="3"/>
  <c r="EO25" i="3"/>
  <c r="EM25" i="3"/>
  <c r="EL25" i="3"/>
  <c r="EJ25" i="3"/>
  <c r="EI25" i="3"/>
  <c r="EG25" i="3"/>
  <c r="EF25" i="3"/>
  <c r="ED25" i="3"/>
  <c r="EC25" i="3"/>
  <c r="EA25" i="3"/>
  <c r="DZ25" i="3"/>
  <c r="DX25" i="3"/>
  <c r="DW25" i="3"/>
  <c r="DU25" i="3"/>
  <c r="DT25" i="3"/>
  <c r="DR25" i="3"/>
  <c r="DQ25" i="3"/>
  <c r="DO25" i="3"/>
  <c r="DN25" i="3"/>
  <c r="DL25" i="3"/>
  <c r="DK25" i="3"/>
  <c r="DI25" i="3"/>
  <c r="DH25" i="3"/>
  <c r="DF25" i="3"/>
  <c r="DE25" i="3"/>
  <c r="DC25" i="3"/>
  <c r="DB25" i="3"/>
  <c r="CZ25" i="3"/>
  <c r="CY25" i="3"/>
  <c r="CW25" i="3"/>
  <c r="CV25" i="3"/>
  <c r="CT25" i="3"/>
  <c r="CS25" i="3"/>
  <c r="CQ25" i="3"/>
  <c r="CP25" i="3"/>
  <c r="CN25" i="3"/>
  <c r="CM25" i="3"/>
  <c r="CK25" i="3"/>
  <c r="CJ25" i="3"/>
  <c r="CH25" i="3"/>
  <c r="CG25" i="3"/>
  <c r="CE25" i="3"/>
  <c r="CD25" i="3"/>
  <c r="CB25" i="3"/>
  <c r="CA25" i="3"/>
  <c r="BY25" i="3"/>
  <c r="BX25" i="3"/>
  <c r="BV25" i="3"/>
  <c r="BU25" i="3"/>
  <c r="BS25" i="3"/>
  <c r="BR25" i="3"/>
  <c r="BP25" i="3"/>
  <c r="BO25" i="3"/>
  <c r="BM25" i="3"/>
  <c r="BL25" i="3"/>
  <c r="BJ25" i="3"/>
  <c r="BI25" i="3"/>
  <c r="BG25" i="3"/>
  <c r="BF25" i="3"/>
  <c r="BD25" i="3"/>
  <c r="BC25" i="3"/>
  <c r="BA25" i="3"/>
  <c r="AZ25" i="3"/>
  <c r="AX25" i="3"/>
  <c r="AW25" i="3"/>
  <c r="AU25" i="3"/>
  <c r="AT25" i="3"/>
  <c r="AR25" i="3"/>
  <c r="AQ25" i="3"/>
  <c r="AO25" i="3"/>
  <c r="AN25" i="3"/>
  <c r="AL25" i="3"/>
  <c r="AK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B25" i="3"/>
  <c r="FV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B24" i="3"/>
  <c r="FV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B23" i="3"/>
  <c r="FR22" i="3"/>
  <c r="FQ22" i="3"/>
  <c r="FP22" i="3"/>
  <c r="FO22" i="3"/>
  <c r="FN22" i="3"/>
  <c r="FM22" i="3"/>
  <c r="FL22" i="3"/>
  <c r="FK22" i="3"/>
  <c r="FJ22" i="3"/>
  <c r="FI22" i="3"/>
  <c r="FH22" i="3"/>
  <c r="FG22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B22" i="3"/>
  <c r="FR21" i="3"/>
  <c r="FQ21" i="3"/>
  <c r="FP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B21" i="3"/>
  <c r="B20" i="3"/>
  <c r="FR19" i="3"/>
  <c r="FQ19" i="3"/>
  <c r="FP19" i="3"/>
  <c r="FO19" i="3"/>
  <c r="FN19" i="3"/>
  <c r="FM19" i="3"/>
  <c r="FL19" i="3"/>
  <c r="FK19" i="3"/>
  <c r="FJ19" i="3"/>
  <c r="FI19" i="3"/>
  <c r="FH19" i="3"/>
  <c r="FG19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B19" i="3"/>
  <c r="FR18" i="3"/>
  <c r="FQ18" i="3"/>
  <c r="FP18" i="3"/>
  <c r="FO18" i="3"/>
  <c r="FN18" i="3"/>
  <c r="FM18" i="3"/>
  <c r="FL18" i="3"/>
  <c r="FK18" i="3"/>
  <c r="FJ18" i="3"/>
  <c r="FI18" i="3"/>
  <c r="FH18" i="3"/>
  <c r="FG18" i="3"/>
  <c r="FF18" i="3"/>
  <c r="FE18" i="3"/>
  <c r="FD18" i="3"/>
  <c r="FC18" i="3"/>
  <c r="FB18" i="3"/>
  <c r="FA18" i="3"/>
  <c r="EZ18" i="3"/>
  <c r="EY18" i="3"/>
  <c r="EX18" i="3"/>
  <c r="EW18" i="3"/>
  <c r="EV18" i="3"/>
  <c r="EU18" i="3"/>
  <c r="ET18" i="3"/>
  <c r="ES18" i="3"/>
  <c r="ER18" i="3"/>
  <c r="EQ18" i="3"/>
  <c r="EP18" i="3"/>
  <c r="EO18" i="3"/>
  <c r="EN18" i="3"/>
  <c r="EM18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18" i="3"/>
  <c r="FR17" i="3"/>
  <c r="FQ17" i="3"/>
  <c r="FP17" i="3"/>
  <c r="FO17" i="3"/>
  <c r="FN17" i="3"/>
  <c r="FM17" i="3"/>
  <c r="FL17" i="3"/>
  <c r="FK17" i="3"/>
  <c r="FJ17" i="3"/>
  <c r="FI17" i="3"/>
  <c r="FH17" i="3"/>
  <c r="FG17" i="3"/>
  <c r="FF17" i="3"/>
  <c r="FE17" i="3"/>
  <c r="FD17" i="3"/>
  <c r="FC17" i="3"/>
  <c r="FB17" i="3"/>
  <c r="FA17" i="3"/>
  <c r="EZ17" i="3"/>
  <c r="EY17" i="3"/>
  <c r="EX17" i="3"/>
  <c r="EW17" i="3"/>
  <c r="EV17" i="3"/>
  <c r="EU17" i="3"/>
  <c r="ET17" i="3"/>
  <c r="ES17" i="3"/>
  <c r="ER17" i="3"/>
  <c r="EQ17" i="3"/>
  <c r="EP17" i="3"/>
  <c r="EO17" i="3"/>
  <c r="EN17" i="3"/>
  <c r="EM17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B17" i="3"/>
  <c r="FR16" i="3"/>
  <c r="FQ16" i="3"/>
  <c r="FP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EN16" i="3"/>
  <c r="EM16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B16" i="3"/>
  <c r="FQ15" i="3"/>
  <c r="FP15" i="3"/>
  <c r="FN15" i="3"/>
  <c r="FM15" i="3"/>
  <c r="FK15" i="3"/>
  <c r="FJ15" i="3"/>
  <c r="FH15" i="3"/>
  <c r="FG15" i="3"/>
  <c r="FE15" i="3"/>
  <c r="FD15" i="3"/>
  <c r="FB15" i="3"/>
  <c r="FA15" i="3"/>
  <c r="EY15" i="3"/>
  <c r="EX15" i="3"/>
  <c r="EV15" i="3"/>
  <c r="EU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B15" i="3"/>
  <c r="FR14" i="3"/>
  <c r="FQ14" i="3"/>
  <c r="FP14" i="3"/>
  <c r="FO14" i="3"/>
  <c r="FN14" i="3"/>
  <c r="FM14" i="3"/>
  <c r="FL14" i="3"/>
  <c r="FK14" i="3"/>
  <c r="FJ14" i="3"/>
  <c r="FI14" i="3"/>
  <c r="FH14" i="3"/>
  <c r="FG14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EN14" i="3"/>
  <c r="EM14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14" i="3"/>
  <c r="FV13" i="3"/>
  <c r="FR13" i="3"/>
  <c r="FQ13" i="3"/>
  <c r="FP13" i="3"/>
  <c r="FO13" i="3"/>
  <c r="FN13" i="3"/>
  <c r="FM13" i="3"/>
  <c r="FL13" i="3"/>
  <c r="FK13" i="3"/>
  <c r="FJ13" i="3"/>
  <c r="FI13" i="3"/>
  <c r="FH13" i="3"/>
  <c r="FG13" i="3"/>
  <c r="FF13" i="3"/>
  <c r="FE13" i="3"/>
  <c r="FD13" i="3"/>
  <c r="FC13" i="3"/>
  <c r="FB13" i="3"/>
  <c r="FA13" i="3"/>
  <c r="EZ13" i="3"/>
  <c r="EY13" i="3"/>
  <c r="EX13" i="3"/>
  <c r="EW13" i="3"/>
  <c r="EV13" i="3"/>
  <c r="EU13" i="3"/>
  <c r="ET13" i="3"/>
  <c r="ES13" i="3"/>
  <c r="ER13" i="3"/>
  <c r="EQ13" i="3"/>
  <c r="EP13" i="3"/>
  <c r="EO13" i="3"/>
  <c r="EN13" i="3"/>
  <c r="EM13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13" i="3"/>
  <c r="FR12" i="3"/>
  <c r="FQ12" i="3"/>
  <c r="FP12" i="3"/>
  <c r="FO12" i="3"/>
  <c r="FN12" i="3"/>
  <c r="FM12" i="3"/>
  <c r="FL12" i="3"/>
  <c r="FK12" i="3"/>
  <c r="FJ12" i="3"/>
  <c r="FI12" i="3"/>
  <c r="FH12" i="3"/>
  <c r="FG12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EN12" i="3"/>
  <c r="EM12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12" i="3"/>
  <c r="B11" i="3"/>
  <c r="FV10" i="3"/>
  <c r="F10" i="3"/>
  <c r="E10" i="3"/>
  <c r="D10" i="3"/>
  <c r="B10" i="3"/>
  <c r="FR9" i="3"/>
  <c r="FQ9" i="3"/>
  <c r="FP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EN9" i="3"/>
  <c r="EM9" i="3"/>
  <c r="EL9" i="3"/>
  <c r="EK9" i="3"/>
  <c r="EJ9" i="3"/>
  <c r="EI9" i="3"/>
  <c r="EH9" i="3"/>
  <c r="EG9" i="3"/>
  <c r="EF9" i="3"/>
  <c r="EE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B9" i="3"/>
  <c r="B8" i="3"/>
  <c r="F7" i="3"/>
  <c r="E7" i="3"/>
  <c r="D7" i="3"/>
  <c r="B7" i="3"/>
  <c r="FR6" i="3"/>
  <c r="FQ6" i="3"/>
  <c r="FP6" i="3"/>
  <c r="FO6" i="3"/>
  <c r="FN6" i="3"/>
  <c r="FM6" i="3"/>
  <c r="FL6" i="3"/>
  <c r="FK6" i="3"/>
  <c r="FJ6" i="3"/>
  <c r="FI6" i="3"/>
  <c r="FH6" i="3"/>
  <c r="FG6" i="3"/>
  <c r="FF6" i="3"/>
  <c r="FE6" i="3"/>
  <c r="FD6" i="3"/>
  <c r="FC6" i="3"/>
  <c r="FB6" i="3"/>
  <c r="FA6" i="3"/>
  <c r="EZ6" i="3"/>
  <c r="EY6" i="3"/>
  <c r="EX6" i="3"/>
  <c r="EW6" i="3"/>
  <c r="EV6" i="3"/>
  <c r="EU6" i="3"/>
  <c r="ET6" i="3"/>
  <c r="ES6" i="3"/>
  <c r="ER6" i="3"/>
  <c r="EQ6" i="3"/>
  <c r="EP6" i="3"/>
  <c r="EO6" i="3"/>
  <c r="EN6" i="3"/>
  <c r="EM6" i="3"/>
  <c r="EL6" i="3"/>
  <c r="EK6" i="3"/>
  <c r="EJ6" i="3"/>
  <c r="EI6" i="3"/>
  <c r="EH6" i="3"/>
  <c r="EG6" i="3"/>
  <c r="EF6" i="3"/>
  <c r="EE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B6" i="3"/>
  <c r="FR5" i="3"/>
  <c r="FQ5" i="3"/>
  <c r="FP5" i="3"/>
  <c r="FO5" i="3"/>
  <c r="FN5" i="3"/>
  <c r="FM5" i="3"/>
  <c r="FL5" i="3"/>
  <c r="FK5" i="3"/>
  <c r="FJ5" i="3"/>
  <c r="FI5" i="3"/>
  <c r="FH5" i="3"/>
  <c r="FG5" i="3"/>
  <c r="FF5" i="3"/>
  <c r="FE5" i="3"/>
  <c r="FD5" i="3"/>
  <c r="FC5" i="3"/>
  <c r="FB5" i="3"/>
  <c r="FA5" i="3"/>
  <c r="EZ5" i="3"/>
  <c r="EY5" i="3"/>
  <c r="EX5" i="3"/>
  <c r="EW5" i="3"/>
  <c r="EV5" i="3"/>
  <c r="EU5" i="3"/>
  <c r="ET5" i="3"/>
  <c r="ES5" i="3"/>
  <c r="ER5" i="3"/>
  <c r="EQ5" i="3"/>
  <c r="EP5" i="3"/>
  <c r="EO5" i="3"/>
  <c r="EN5" i="3"/>
  <c r="EM5" i="3"/>
  <c r="EL5" i="3"/>
  <c r="EK5" i="3"/>
  <c r="EJ5" i="3"/>
  <c r="EI5" i="3"/>
  <c r="EH5" i="3"/>
  <c r="EG5" i="3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B5" i="3"/>
  <c r="FV4" i="3"/>
  <c r="FR4" i="3"/>
  <c r="FQ4" i="3"/>
  <c r="FP4" i="3"/>
  <c r="FO4" i="3"/>
  <c r="FN4" i="3"/>
  <c r="FM4" i="3"/>
  <c r="FL4" i="3"/>
  <c r="FK4" i="3"/>
  <c r="FJ4" i="3"/>
  <c r="FI4" i="3"/>
  <c r="FH4" i="3"/>
  <c r="FG4" i="3"/>
  <c r="FF4" i="3"/>
  <c r="FE4" i="3"/>
  <c r="FD4" i="3"/>
  <c r="FC4" i="3"/>
  <c r="FB4" i="3"/>
  <c r="FA4" i="3"/>
  <c r="EZ4" i="3"/>
  <c r="EY4" i="3"/>
  <c r="EX4" i="3"/>
  <c r="EW4" i="3"/>
  <c r="EV4" i="3"/>
  <c r="EU4" i="3"/>
  <c r="ET4" i="3"/>
  <c r="ES4" i="3"/>
  <c r="ER4" i="3"/>
  <c r="EQ4" i="3"/>
  <c r="EP4" i="3"/>
  <c r="EO4" i="3"/>
  <c r="EN4" i="3"/>
  <c r="EM4" i="3"/>
  <c r="EL4" i="3"/>
  <c r="EK4" i="3"/>
  <c r="EJ4" i="3"/>
  <c r="EI4" i="3"/>
  <c r="EH4" i="3"/>
  <c r="EG4" i="3"/>
  <c r="EF4" i="3"/>
  <c r="EE4" i="3"/>
  <c r="ED4" i="3"/>
  <c r="EC4" i="3"/>
  <c r="EB4" i="3"/>
  <c r="EA4" i="3"/>
  <c r="DZ4" i="3"/>
  <c r="DY4" i="3"/>
  <c r="DX4" i="3"/>
  <c r="DW4" i="3"/>
  <c r="DV4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B4" i="3"/>
  <c r="FR3" i="3"/>
  <c r="FQ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EN3" i="3"/>
  <c r="EM3" i="3"/>
  <c r="EL3" i="3"/>
  <c r="EK3" i="3"/>
  <c r="EJ3" i="3"/>
  <c r="EI3" i="3"/>
  <c r="EH3" i="3"/>
  <c r="EG3" i="3"/>
  <c r="EF3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B3" i="3"/>
  <c r="EC137" i="2"/>
  <c r="EB137" i="2"/>
  <c r="EA137" i="2"/>
  <c r="DZ137" i="2"/>
  <c r="DY137" i="2"/>
  <c r="DX137" i="2"/>
  <c r="DW137" i="2"/>
  <c r="DV137" i="2"/>
  <c r="DU137" i="2"/>
  <c r="DT137" i="2"/>
  <c r="DS137" i="2"/>
  <c r="DR137" i="2"/>
  <c r="DQ137" i="2"/>
  <c r="DP137" i="2"/>
  <c r="DO137" i="2"/>
  <c r="DN137" i="2"/>
  <c r="DM137" i="2"/>
  <c r="DL137" i="2"/>
  <c r="DK137" i="2"/>
  <c r="DJ137" i="2"/>
  <c r="DI137" i="2"/>
  <c r="DH137" i="2"/>
  <c r="DG137" i="2"/>
  <c r="DF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EF136" i="2"/>
  <c r="EE136" i="2"/>
  <c r="EG136" i="2" s="1"/>
  <c r="EC136" i="2"/>
  <c r="EB136" i="2"/>
  <c r="EA136" i="2"/>
  <c r="DZ136" i="2"/>
  <c r="DY136" i="2"/>
  <c r="DX136" i="2"/>
  <c r="DW136" i="2"/>
  <c r="DV136" i="2"/>
  <c r="DU136" i="2"/>
  <c r="DT136" i="2"/>
  <c r="DS136" i="2"/>
  <c r="DR136" i="2"/>
  <c r="DQ136" i="2"/>
  <c r="DP136" i="2"/>
  <c r="DO136" i="2"/>
  <c r="DN136" i="2"/>
  <c r="DM136" i="2"/>
  <c r="DL136" i="2"/>
  <c r="DK136" i="2"/>
  <c r="DJ136" i="2"/>
  <c r="DI136" i="2"/>
  <c r="DH136" i="2"/>
  <c r="DG136" i="2"/>
  <c r="DF136" i="2"/>
  <c r="DE136" i="2"/>
  <c r="DD136" i="2"/>
  <c r="DC136" i="2"/>
  <c r="DB136" i="2"/>
  <c r="DA136" i="2"/>
  <c r="CZ136" i="2"/>
  <c r="CY136" i="2"/>
  <c r="CX136" i="2"/>
  <c r="CW136" i="2"/>
  <c r="CV136" i="2"/>
  <c r="CU136" i="2"/>
  <c r="CT136" i="2"/>
  <c r="CS136" i="2"/>
  <c r="CR136" i="2"/>
  <c r="CQ136" i="2"/>
  <c r="CP136" i="2"/>
  <c r="CO136" i="2"/>
  <c r="CN136" i="2"/>
  <c r="CM136" i="2"/>
  <c r="CL136" i="2"/>
  <c r="CK136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C136" i="2"/>
  <c r="Z136" i="2"/>
  <c r="EF135" i="2"/>
  <c r="EE135" i="2"/>
  <c r="EC135" i="2"/>
  <c r="EB135" i="2"/>
  <c r="EA135" i="2"/>
  <c r="DZ135" i="2"/>
  <c r="DY135" i="2"/>
  <c r="DX135" i="2"/>
  <c r="DW135" i="2"/>
  <c r="DV135" i="2"/>
  <c r="DU135" i="2"/>
  <c r="DT135" i="2"/>
  <c r="DS135" i="2"/>
  <c r="DR135" i="2"/>
  <c r="DQ135" i="2"/>
  <c r="DP135" i="2"/>
  <c r="DO135" i="2"/>
  <c r="DN135" i="2"/>
  <c r="DM135" i="2"/>
  <c r="DL135" i="2"/>
  <c r="DK135" i="2"/>
  <c r="DJ135" i="2"/>
  <c r="DI135" i="2"/>
  <c r="DH135" i="2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CS135" i="2"/>
  <c r="CR135" i="2"/>
  <c r="CQ135" i="2"/>
  <c r="CP135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C135" i="2"/>
  <c r="Z135" i="2"/>
  <c r="Y135" i="2"/>
  <c r="X135" i="2"/>
  <c r="W135" i="2"/>
  <c r="EF134" i="2"/>
  <c r="EE134" i="2"/>
  <c r="EC134" i="2"/>
  <c r="EB134" i="2"/>
  <c r="EA134" i="2"/>
  <c r="DZ134" i="2"/>
  <c r="DY134" i="2"/>
  <c r="DX134" i="2"/>
  <c r="DW134" i="2"/>
  <c r="DV134" i="2"/>
  <c r="DU134" i="2"/>
  <c r="DT134" i="2"/>
  <c r="DS134" i="2"/>
  <c r="DR134" i="2"/>
  <c r="DQ134" i="2"/>
  <c r="DP134" i="2"/>
  <c r="DO134" i="2"/>
  <c r="DN134" i="2"/>
  <c r="DM134" i="2"/>
  <c r="DL134" i="2"/>
  <c r="DK134" i="2"/>
  <c r="DJ134" i="2"/>
  <c r="DI134" i="2"/>
  <c r="DH134" i="2"/>
  <c r="DG134" i="2"/>
  <c r="DF134" i="2"/>
  <c r="DE134" i="2"/>
  <c r="DD134" i="2"/>
  <c r="DC134" i="2"/>
  <c r="DB134" i="2"/>
  <c r="DA134" i="2"/>
  <c r="CZ134" i="2"/>
  <c r="CY134" i="2"/>
  <c r="CX134" i="2"/>
  <c r="CW134" i="2"/>
  <c r="CV134" i="2"/>
  <c r="CU134" i="2"/>
  <c r="CT134" i="2"/>
  <c r="CS134" i="2"/>
  <c r="CR134" i="2"/>
  <c r="CQ134" i="2"/>
  <c r="CP134" i="2"/>
  <c r="CO134" i="2"/>
  <c r="CN134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C134" i="2"/>
  <c r="AB134" i="2"/>
  <c r="AA134" i="2"/>
  <c r="Z134" i="2"/>
  <c r="Y134" i="2"/>
  <c r="X134" i="2"/>
  <c r="W134" i="2"/>
  <c r="V134" i="2"/>
  <c r="U134" i="2"/>
  <c r="T134" i="2"/>
  <c r="S134" i="2"/>
  <c r="EF133" i="2"/>
  <c r="EE133" i="2"/>
  <c r="EG133" i="2" s="1"/>
  <c r="EC133" i="2"/>
  <c r="EB133" i="2"/>
  <c r="EA133" i="2"/>
  <c r="DZ133" i="2"/>
  <c r="DY133" i="2"/>
  <c r="DX133" i="2"/>
  <c r="DW133" i="2"/>
  <c r="DV133" i="2"/>
  <c r="DU133" i="2"/>
  <c r="DT133" i="2"/>
  <c r="DS133" i="2"/>
  <c r="DR133" i="2"/>
  <c r="DQ133" i="2"/>
  <c r="DP133" i="2"/>
  <c r="DO133" i="2"/>
  <c r="DN133" i="2"/>
  <c r="DM133" i="2"/>
  <c r="DL133" i="2"/>
  <c r="DK133" i="2"/>
  <c r="DJ133" i="2"/>
  <c r="DI133" i="2"/>
  <c r="DH133" i="2"/>
  <c r="DG133" i="2"/>
  <c r="DF133" i="2"/>
  <c r="DE133" i="2"/>
  <c r="DD133" i="2"/>
  <c r="DC133" i="2"/>
  <c r="DB133" i="2"/>
  <c r="DA133" i="2"/>
  <c r="CZ133" i="2"/>
  <c r="CY133" i="2"/>
  <c r="CX133" i="2"/>
  <c r="CW133" i="2"/>
  <c r="CV133" i="2"/>
  <c r="CU133" i="2"/>
  <c r="CT133" i="2"/>
  <c r="CS133" i="2"/>
  <c r="CR133" i="2"/>
  <c r="CQ133" i="2"/>
  <c r="CP133" i="2"/>
  <c r="CO133" i="2"/>
  <c r="CN133" i="2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C133" i="2"/>
  <c r="AB133" i="2"/>
  <c r="AA133" i="2"/>
  <c r="Z133" i="2"/>
  <c r="Y133" i="2"/>
  <c r="X133" i="2"/>
  <c r="W133" i="2"/>
  <c r="V133" i="2"/>
  <c r="U133" i="2"/>
  <c r="T133" i="2"/>
  <c r="S133" i="2"/>
  <c r="EF132" i="2"/>
  <c r="EE132" i="2"/>
  <c r="EC132" i="2"/>
  <c r="EB132" i="2"/>
  <c r="EA132" i="2"/>
  <c r="DZ132" i="2"/>
  <c r="DY132" i="2"/>
  <c r="DX132" i="2"/>
  <c r="DW132" i="2"/>
  <c r="DV132" i="2"/>
  <c r="DU132" i="2"/>
  <c r="DT132" i="2"/>
  <c r="DS132" i="2"/>
  <c r="DR132" i="2"/>
  <c r="DQ132" i="2"/>
  <c r="DP132" i="2"/>
  <c r="DO132" i="2"/>
  <c r="DN132" i="2"/>
  <c r="DM132" i="2"/>
  <c r="DL132" i="2"/>
  <c r="DK132" i="2"/>
  <c r="DJ132" i="2"/>
  <c r="DI132" i="2"/>
  <c r="DH132" i="2"/>
  <c r="DG132" i="2"/>
  <c r="DF132" i="2"/>
  <c r="DE132" i="2"/>
  <c r="DD132" i="2"/>
  <c r="DC132" i="2"/>
  <c r="DB132" i="2"/>
  <c r="DA132" i="2"/>
  <c r="CZ132" i="2"/>
  <c r="CY132" i="2"/>
  <c r="CX132" i="2"/>
  <c r="CW132" i="2"/>
  <c r="CV132" i="2"/>
  <c r="CU132" i="2"/>
  <c r="CT132" i="2"/>
  <c r="CS132" i="2"/>
  <c r="CR132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EC130" i="2"/>
  <c r="EB130" i="2"/>
  <c r="EA130" i="2"/>
  <c r="DZ130" i="2"/>
  <c r="DY130" i="2"/>
  <c r="DX130" i="2"/>
  <c r="DW130" i="2"/>
  <c r="DV130" i="2"/>
  <c r="DU130" i="2"/>
  <c r="DT130" i="2"/>
  <c r="DS130" i="2"/>
  <c r="DR130" i="2"/>
  <c r="DQ130" i="2"/>
  <c r="DP130" i="2"/>
  <c r="DO130" i="2"/>
  <c r="DN130" i="2"/>
  <c r="DM130" i="2"/>
  <c r="DL130" i="2"/>
  <c r="DK130" i="2"/>
  <c r="DJ130" i="2"/>
  <c r="DI130" i="2"/>
  <c r="DH130" i="2"/>
  <c r="DG130" i="2"/>
  <c r="DF130" i="2"/>
  <c r="DE130" i="2"/>
  <c r="DD130" i="2"/>
  <c r="DC130" i="2"/>
  <c r="DB130" i="2"/>
  <c r="DA130" i="2"/>
  <c r="CZ130" i="2"/>
  <c r="CY130" i="2"/>
  <c r="CX130" i="2"/>
  <c r="CW130" i="2"/>
  <c r="CV130" i="2"/>
  <c r="CU130" i="2"/>
  <c r="CT130" i="2"/>
  <c r="CS130" i="2"/>
  <c r="CR130" i="2"/>
  <c r="CQ130" i="2"/>
  <c r="CP130" i="2"/>
  <c r="CO130" i="2"/>
  <c r="CN130" i="2"/>
  <c r="CM130" i="2"/>
  <c r="CL130" i="2"/>
  <c r="CK130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AG130" i="2"/>
  <c r="EF129" i="2"/>
  <c r="EE129" i="2"/>
  <c r="EC129" i="2"/>
  <c r="EB129" i="2"/>
  <c r="EA129" i="2"/>
  <c r="DZ129" i="2"/>
  <c r="DY129" i="2"/>
  <c r="DX129" i="2"/>
  <c r="DW129" i="2"/>
  <c r="DV129" i="2"/>
  <c r="DU129" i="2"/>
  <c r="DT129" i="2"/>
  <c r="DS129" i="2"/>
  <c r="DR129" i="2"/>
  <c r="DQ129" i="2"/>
  <c r="DP129" i="2"/>
  <c r="DO129" i="2"/>
  <c r="DN129" i="2"/>
  <c r="DM129" i="2"/>
  <c r="DL129" i="2"/>
  <c r="DK129" i="2"/>
  <c r="DJ129" i="2"/>
  <c r="DI129" i="2"/>
  <c r="DH129" i="2"/>
  <c r="DG129" i="2"/>
  <c r="DF129" i="2"/>
  <c r="DE129" i="2"/>
  <c r="DD129" i="2"/>
  <c r="DC129" i="2"/>
  <c r="DB129" i="2"/>
  <c r="DA129" i="2"/>
  <c r="CZ129" i="2"/>
  <c r="CY129" i="2"/>
  <c r="CX129" i="2"/>
  <c r="CW129" i="2"/>
  <c r="CV129" i="2"/>
  <c r="CU129" i="2"/>
  <c r="CT129" i="2"/>
  <c r="CS129" i="2"/>
  <c r="CR129" i="2"/>
  <c r="CQ129" i="2"/>
  <c r="CP129" i="2"/>
  <c r="CO129" i="2"/>
  <c r="CN129" i="2"/>
  <c r="CM129" i="2"/>
  <c r="CL129" i="2"/>
  <c r="CK129" i="2"/>
  <c r="CJ129" i="2"/>
  <c r="CI129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B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EF128" i="2"/>
  <c r="EE128" i="2"/>
  <c r="EG128" i="2" s="1"/>
  <c r="EC128" i="2"/>
  <c r="EB128" i="2"/>
  <c r="EA128" i="2"/>
  <c r="DZ128" i="2"/>
  <c r="DY128" i="2"/>
  <c r="DX128" i="2"/>
  <c r="DW128" i="2"/>
  <c r="DV128" i="2"/>
  <c r="DU128" i="2"/>
  <c r="DT128" i="2"/>
  <c r="DS128" i="2"/>
  <c r="DR128" i="2"/>
  <c r="DQ128" i="2"/>
  <c r="DP128" i="2"/>
  <c r="DO128" i="2"/>
  <c r="DN128" i="2"/>
  <c r="DM128" i="2"/>
  <c r="DL128" i="2"/>
  <c r="DK128" i="2"/>
  <c r="DJ128" i="2"/>
  <c r="DI128" i="2"/>
  <c r="DH128" i="2"/>
  <c r="DG128" i="2"/>
  <c r="DF128" i="2"/>
  <c r="DE128" i="2"/>
  <c r="DD128" i="2"/>
  <c r="DC128" i="2"/>
  <c r="DB128" i="2"/>
  <c r="DA128" i="2"/>
  <c r="CZ128" i="2"/>
  <c r="CY128" i="2"/>
  <c r="CX128" i="2"/>
  <c r="CW128" i="2"/>
  <c r="CV128" i="2"/>
  <c r="CU128" i="2"/>
  <c r="CT128" i="2"/>
  <c r="CS128" i="2"/>
  <c r="CR128" i="2"/>
  <c r="CQ128" i="2"/>
  <c r="CP128" i="2"/>
  <c r="CO128" i="2"/>
  <c r="CN128" i="2"/>
  <c r="CM128" i="2"/>
  <c r="CL128" i="2"/>
  <c r="CK128" i="2"/>
  <c r="CJ128" i="2"/>
  <c r="CI128" i="2"/>
  <c r="CH128" i="2"/>
  <c r="CG128" i="2"/>
  <c r="CE128" i="2"/>
  <c r="CD128" i="2"/>
  <c r="CC128" i="2"/>
  <c r="CB128" i="2"/>
  <c r="CA128" i="2"/>
  <c r="BZ128" i="2"/>
  <c r="BY128" i="2"/>
  <c r="BX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B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EG126" i="2"/>
  <c r="DJ126" i="2"/>
  <c r="DM125" i="2"/>
  <c r="DL125" i="2"/>
  <c r="DK125" i="2"/>
  <c r="DJ125" i="2"/>
  <c r="DI125" i="2"/>
  <c r="DH125" i="2"/>
  <c r="DG125" i="2"/>
  <c r="DF125" i="2"/>
  <c r="DE125" i="2"/>
  <c r="DM124" i="2"/>
  <c r="DL124" i="2"/>
  <c r="DK124" i="2"/>
  <c r="DJ124" i="2"/>
  <c r="DI124" i="2"/>
  <c r="DH124" i="2"/>
  <c r="DG124" i="2"/>
  <c r="DF124" i="2"/>
  <c r="DE124" i="2"/>
  <c r="DD124" i="2"/>
  <c r="DC124" i="2"/>
  <c r="DB124" i="2"/>
  <c r="DA124" i="2"/>
  <c r="CZ124" i="2"/>
  <c r="CY124" i="2"/>
  <c r="CX124" i="2"/>
  <c r="CW124" i="2"/>
  <c r="CV124" i="2"/>
  <c r="CU124" i="2"/>
  <c r="CT124" i="2"/>
  <c r="CS124" i="2"/>
  <c r="CR124" i="2"/>
  <c r="CQ124" i="2"/>
  <c r="CP124" i="2"/>
  <c r="CO124" i="2"/>
  <c r="EG123" i="2"/>
  <c r="DM123" i="2"/>
  <c r="DL123" i="2"/>
  <c r="DK123" i="2"/>
  <c r="DJ123" i="2"/>
  <c r="DI123" i="2"/>
  <c r="DH123" i="2"/>
  <c r="DG123" i="2"/>
  <c r="DF123" i="2"/>
  <c r="DE123" i="2"/>
  <c r="DD123" i="2"/>
  <c r="DC123" i="2"/>
  <c r="DB123" i="2"/>
  <c r="DA123" i="2"/>
  <c r="CZ123" i="2"/>
  <c r="CY123" i="2"/>
  <c r="CX123" i="2"/>
  <c r="CW123" i="2"/>
  <c r="CV123" i="2"/>
  <c r="CU123" i="2"/>
  <c r="CT123" i="2"/>
  <c r="EG122" i="2"/>
  <c r="DM122" i="2"/>
  <c r="DL122" i="2"/>
  <c r="DK122" i="2"/>
  <c r="DJ122" i="2"/>
  <c r="DI122" i="2"/>
  <c r="DH122" i="2"/>
  <c r="DG122" i="2"/>
  <c r="DF122" i="2"/>
  <c r="DE122" i="2"/>
  <c r="DD122" i="2"/>
  <c r="DC122" i="2"/>
  <c r="DB122" i="2"/>
  <c r="DA122" i="2"/>
  <c r="CZ122" i="2"/>
  <c r="CY122" i="2"/>
  <c r="CX122" i="2"/>
  <c r="CW122" i="2"/>
  <c r="CV122" i="2"/>
  <c r="CU122" i="2"/>
  <c r="CT122" i="2"/>
  <c r="CS122" i="2"/>
  <c r="CR122" i="2"/>
  <c r="CQ122" i="2"/>
  <c r="CP122" i="2"/>
  <c r="CO122" i="2"/>
  <c r="CN122" i="2"/>
  <c r="CM122" i="2"/>
  <c r="CL122" i="2"/>
  <c r="CK122" i="2"/>
  <c r="CJ122" i="2"/>
  <c r="CI122" i="2"/>
  <c r="CH122" i="2"/>
  <c r="CG122" i="2"/>
  <c r="CF122" i="2"/>
  <c r="CE122" i="2"/>
  <c r="CD122" i="2"/>
  <c r="CC122" i="2"/>
  <c r="CB122" i="2"/>
  <c r="CA122" i="2"/>
  <c r="BZ122" i="2"/>
  <c r="BY122" i="2"/>
  <c r="BX122" i="2"/>
  <c r="BW122" i="2"/>
  <c r="DM121" i="2"/>
  <c r="DL121" i="2"/>
  <c r="DK121" i="2"/>
  <c r="DJ121" i="2"/>
  <c r="DI121" i="2"/>
  <c r="DH121" i="2"/>
  <c r="DG121" i="2"/>
  <c r="DF121" i="2"/>
  <c r="DE121" i="2"/>
  <c r="DD121" i="2"/>
  <c r="DC121" i="2"/>
  <c r="DB121" i="2"/>
  <c r="DA121" i="2"/>
  <c r="CZ121" i="2"/>
  <c r="CY121" i="2"/>
  <c r="CX121" i="2"/>
  <c r="CW121" i="2"/>
  <c r="CV121" i="2"/>
  <c r="CU121" i="2"/>
  <c r="CT121" i="2"/>
  <c r="CS121" i="2"/>
  <c r="CR121" i="2"/>
  <c r="CQ121" i="2"/>
  <c r="CP121" i="2"/>
  <c r="CO121" i="2"/>
  <c r="CN121" i="2"/>
  <c r="CM121" i="2"/>
  <c r="CL121" i="2"/>
  <c r="CK121" i="2"/>
  <c r="CJ121" i="2"/>
  <c r="CI121" i="2"/>
  <c r="CH121" i="2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EG119" i="2"/>
  <c r="CG119" i="2"/>
  <c r="CF119" i="2"/>
  <c r="CE119" i="2"/>
  <c r="CD119" i="2"/>
  <c r="CC119" i="2"/>
  <c r="CB119" i="2"/>
  <c r="CA119" i="2"/>
  <c r="BZ119" i="2"/>
  <c r="B119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G118" i="2"/>
  <c r="AF118" i="2"/>
  <c r="B118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B117" i="2"/>
  <c r="EC116" i="2"/>
  <c r="EB116" i="2"/>
  <c r="EA116" i="2"/>
  <c r="DZ116" i="2"/>
  <c r="DY116" i="2"/>
  <c r="DX116" i="2"/>
  <c r="DW116" i="2"/>
  <c r="DV116" i="2"/>
  <c r="DU116" i="2"/>
  <c r="DT116" i="2"/>
  <c r="DS116" i="2"/>
  <c r="DR116" i="2"/>
  <c r="DQ116" i="2"/>
  <c r="DP116" i="2"/>
  <c r="DO116" i="2"/>
  <c r="DN116" i="2"/>
  <c r="DM116" i="2"/>
  <c r="DL116" i="2"/>
  <c r="DK116" i="2"/>
  <c r="DJ116" i="2"/>
  <c r="DI116" i="2"/>
  <c r="DH116" i="2"/>
  <c r="DG116" i="2"/>
  <c r="DF116" i="2"/>
  <c r="DE116" i="2"/>
  <c r="DD116" i="2"/>
  <c r="DC116" i="2"/>
  <c r="DB116" i="2"/>
  <c r="CZ116" i="2"/>
  <c r="CY116" i="2"/>
  <c r="CX116" i="2"/>
  <c r="CW116" i="2"/>
  <c r="CV116" i="2"/>
  <c r="CU116" i="2"/>
  <c r="CT116" i="2"/>
  <c r="CS116" i="2"/>
  <c r="CR116" i="2"/>
  <c r="CQ116" i="2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G116" i="2"/>
  <c r="AF116" i="2"/>
  <c r="AE116" i="2"/>
  <c r="AD116" i="2"/>
  <c r="AC116" i="2"/>
  <c r="AB116" i="2"/>
  <c r="AA116" i="2"/>
  <c r="B116" i="2"/>
  <c r="EG115" i="2"/>
  <c r="EC115" i="2"/>
  <c r="EB115" i="2"/>
  <c r="EA115" i="2"/>
  <c r="DZ115" i="2"/>
  <c r="DY115" i="2"/>
  <c r="DX115" i="2"/>
  <c r="DW115" i="2"/>
  <c r="DV115" i="2"/>
  <c r="DU115" i="2"/>
  <c r="DT115" i="2"/>
  <c r="DS115" i="2"/>
  <c r="DR115" i="2"/>
  <c r="DQ115" i="2"/>
  <c r="DP115" i="2"/>
  <c r="DO115" i="2"/>
  <c r="DN115" i="2"/>
  <c r="DM115" i="2"/>
  <c r="DL115" i="2"/>
  <c r="DK115" i="2"/>
  <c r="DJ115" i="2"/>
  <c r="DI115" i="2"/>
  <c r="DH115" i="2"/>
  <c r="DG115" i="2"/>
  <c r="DF115" i="2"/>
  <c r="DE115" i="2"/>
  <c r="DD115" i="2"/>
  <c r="DC115" i="2"/>
  <c r="DB115" i="2"/>
  <c r="CZ115" i="2"/>
  <c r="CY115" i="2"/>
  <c r="CX115" i="2"/>
  <c r="CW115" i="2"/>
  <c r="CV115" i="2"/>
  <c r="CU115" i="2"/>
  <c r="CT115" i="2"/>
  <c r="CS115" i="2"/>
  <c r="CR115" i="2"/>
  <c r="CQ115" i="2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G115" i="2"/>
  <c r="AF115" i="2"/>
  <c r="AE115" i="2"/>
  <c r="AD115" i="2"/>
  <c r="AC115" i="2"/>
  <c r="AB115" i="2"/>
  <c r="AA115" i="2"/>
  <c r="B115" i="2"/>
  <c r="EC114" i="2"/>
  <c r="EB114" i="2"/>
  <c r="EA114" i="2"/>
  <c r="DZ114" i="2"/>
  <c r="DY114" i="2"/>
  <c r="DX114" i="2"/>
  <c r="DW114" i="2"/>
  <c r="DV114" i="2"/>
  <c r="DU114" i="2"/>
  <c r="DT114" i="2"/>
  <c r="DS114" i="2"/>
  <c r="DR114" i="2"/>
  <c r="DQ114" i="2"/>
  <c r="DP114" i="2"/>
  <c r="DO114" i="2"/>
  <c r="DN114" i="2"/>
  <c r="DM114" i="2"/>
  <c r="DL114" i="2"/>
  <c r="DK114" i="2"/>
  <c r="DJ114" i="2"/>
  <c r="DI114" i="2"/>
  <c r="DH114" i="2"/>
  <c r="DG114" i="2"/>
  <c r="DF114" i="2"/>
  <c r="DE114" i="2"/>
  <c r="DD114" i="2"/>
  <c r="DC114" i="2"/>
  <c r="DB114" i="2"/>
  <c r="CZ114" i="2"/>
  <c r="CY114" i="2"/>
  <c r="CX114" i="2"/>
  <c r="CW114" i="2"/>
  <c r="CV114" i="2"/>
  <c r="CU114" i="2"/>
  <c r="CT114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B114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B113" i="2"/>
  <c r="EG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B112" i="2"/>
  <c r="EG110" i="2"/>
  <c r="EC110" i="2"/>
  <c r="EB110" i="2"/>
  <c r="EA110" i="2"/>
  <c r="DZ110" i="2"/>
  <c r="DY110" i="2"/>
  <c r="DX110" i="2"/>
  <c r="DW110" i="2"/>
  <c r="DV110" i="2"/>
  <c r="DU110" i="2"/>
  <c r="DT110" i="2"/>
  <c r="DS110" i="2"/>
  <c r="DR110" i="2"/>
  <c r="DQ110" i="2"/>
  <c r="DP110" i="2"/>
  <c r="DO110" i="2"/>
  <c r="DN110" i="2"/>
  <c r="DM110" i="2"/>
  <c r="DL110" i="2"/>
  <c r="DK110" i="2"/>
  <c r="DJ110" i="2"/>
  <c r="DI110" i="2"/>
  <c r="DH110" i="2"/>
  <c r="DG110" i="2"/>
  <c r="DF110" i="2"/>
  <c r="DE110" i="2"/>
  <c r="DD110" i="2"/>
  <c r="DC110" i="2"/>
  <c r="DB110" i="2"/>
  <c r="DA110" i="2"/>
  <c r="CZ110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B110" i="2"/>
  <c r="EC109" i="2"/>
  <c r="EB109" i="2"/>
  <c r="EA109" i="2"/>
  <c r="DZ109" i="2"/>
  <c r="DY109" i="2"/>
  <c r="DX109" i="2"/>
  <c r="DW109" i="2"/>
  <c r="DV109" i="2"/>
  <c r="DU109" i="2"/>
  <c r="DT109" i="2"/>
  <c r="DS109" i="2"/>
  <c r="DR109" i="2"/>
  <c r="DQ109" i="2"/>
  <c r="DP109" i="2"/>
  <c r="DO109" i="2"/>
  <c r="DN109" i="2"/>
  <c r="DM109" i="2"/>
  <c r="DL109" i="2"/>
  <c r="DK109" i="2"/>
  <c r="DJ109" i="2"/>
  <c r="DI109" i="2"/>
  <c r="DH109" i="2"/>
  <c r="DG109" i="2"/>
  <c r="DF109" i="2"/>
  <c r="DE109" i="2"/>
  <c r="DD109" i="2"/>
  <c r="DC109" i="2"/>
  <c r="DB109" i="2"/>
  <c r="DA109" i="2"/>
  <c r="CZ109" i="2"/>
  <c r="CY109" i="2"/>
  <c r="CX109" i="2"/>
  <c r="CW109" i="2"/>
  <c r="CV109" i="2"/>
  <c r="CU109" i="2"/>
  <c r="CT109" i="2"/>
  <c r="CS109" i="2"/>
  <c r="CR109" i="2"/>
  <c r="CQ109" i="2"/>
  <c r="CP109" i="2"/>
  <c r="CO109" i="2"/>
  <c r="CN109" i="2"/>
  <c r="CM109" i="2"/>
  <c r="CL109" i="2"/>
  <c r="CK109" i="2"/>
  <c r="CJ109" i="2"/>
  <c r="CI109" i="2"/>
  <c r="B109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B108" i="2"/>
  <c r="EG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B107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B106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B105" i="2"/>
  <c r="EG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B103" i="2"/>
  <c r="EG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B102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B101" i="2"/>
  <c r="EF104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B100" i="2"/>
  <c r="EC97" i="2"/>
  <c r="EB97" i="2"/>
  <c r="EA97" i="2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I97" i="2"/>
  <c r="DH97" i="2"/>
  <c r="DG97" i="2"/>
  <c r="DF97" i="2"/>
  <c r="DE97" i="2"/>
  <c r="EC96" i="2"/>
  <c r="EB96" i="2"/>
  <c r="EA96" i="2"/>
  <c r="DZ96" i="2"/>
  <c r="DY96" i="2"/>
  <c r="DX96" i="2"/>
  <c r="DW96" i="2"/>
  <c r="DV96" i="2"/>
  <c r="DU96" i="2"/>
  <c r="DT96" i="2"/>
  <c r="DS96" i="2"/>
  <c r="DR96" i="2"/>
  <c r="DQ96" i="2"/>
  <c r="DP96" i="2"/>
  <c r="DO96" i="2"/>
  <c r="DN96" i="2"/>
  <c r="DM96" i="2"/>
  <c r="DL96" i="2"/>
  <c r="DK96" i="2"/>
  <c r="DJ96" i="2"/>
  <c r="DI96" i="2"/>
  <c r="DH96" i="2"/>
  <c r="DG96" i="2"/>
  <c r="DF96" i="2"/>
  <c r="DE96" i="2"/>
  <c r="EC95" i="2"/>
  <c r="EB95" i="2"/>
  <c r="EA95" i="2"/>
  <c r="DZ95" i="2"/>
  <c r="DY95" i="2"/>
  <c r="DX95" i="2"/>
  <c r="DW95" i="2"/>
  <c r="DV95" i="2"/>
  <c r="DU95" i="2"/>
  <c r="DT95" i="2"/>
  <c r="DS95" i="2"/>
  <c r="DR95" i="2"/>
  <c r="DQ95" i="2"/>
  <c r="DP95" i="2"/>
  <c r="DO95" i="2"/>
  <c r="DN95" i="2"/>
  <c r="DM95" i="2"/>
  <c r="DL95" i="2"/>
  <c r="DK95" i="2"/>
  <c r="DJ95" i="2"/>
  <c r="DI95" i="2"/>
  <c r="DH95" i="2"/>
  <c r="DG95" i="2"/>
  <c r="DF95" i="2"/>
  <c r="DE95" i="2"/>
  <c r="EC93" i="2"/>
  <c r="EB93" i="2"/>
  <c r="EA93" i="2"/>
  <c r="DZ93" i="2"/>
  <c r="DY93" i="2"/>
  <c r="DX93" i="2"/>
  <c r="DW93" i="2"/>
  <c r="DV93" i="2"/>
  <c r="DU93" i="2"/>
  <c r="DT93" i="2"/>
  <c r="DS93" i="2"/>
  <c r="DR93" i="2"/>
  <c r="DQ93" i="2"/>
  <c r="DP93" i="2"/>
  <c r="DO93" i="2"/>
  <c r="DN93" i="2"/>
  <c r="DM93" i="2"/>
  <c r="DL93" i="2"/>
  <c r="DK93" i="2"/>
  <c r="DJ93" i="2"/>
  <c r="DI93" i="2"/>
  <c r="DH93" i="2"/>
  <c r="DG93" i="2"/>
  <c r="DF93" i="2"/>
  <c r="DE93" i="2"/>
  <c r="DD93" i="2"/>
  <c r="DC93" i="2"/>
  <c r="DB93" i="2"/>
  <c r="EC92" i="2"/>
  <c r="EB92" i="2"/>
  <c r="EA92" i="2"/>
  <c r="DZ92" i="2"/>
  <c r="DY92" i="2"/>
  <c r="DX92" i="2"/>
  <c r="DW92" i="2"/>
  <c r="DV92" i="2"/>
  <c r="DU92" i="2"/>
  <c r="DT92" i="2"/>
  <c r="DS92" i="2"/>
  <c r="DR92" i="2"/>
  <c r="DQ92" i="2"/>
  <c r="DP92" i="2"/>
  <c r="DO92" i="2"/>
  <c r="DN92" i="2"/>
  <c r="DM92" i="2"/>
  <c r="DL92" i="2"/>
  <c r="DK92" i="2"/>
  <c r="DJ92" i="2"/>
  <c r="DI92" i="2"/>
  <c r="DH92" i="2"/>
  <c r="DG92" i="2"/>
  <c r="DF92" i="2"/>
  <c r="DE92" i="2"/>
  <c r="DD92" i="2"/>
  <c r="DC92" i="2"/>
  <c r="DB92" i="2"/>
  <c r="EG91" i="2"/>
  <c r="EC91" i="2"/>
  <c r="EB91" i="2"/>
  <c r="EA91" i="2"/>
  <c r="DZ91" i="2"/>
  <c r="DY91" i="2"/>
  <c r="DX91" i="2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DJ91" i="2"/>
  <c r="DI91" i="2"/>
  <c r="DH91" i="2"/>
  <c r="DG91" i="2"/>
  <c r="DF91" i="2"/>
  <c r="DE91" i="2"/>
  <c r="DD91" i="2"/>
  <c r="DC91" i="2"/>
  <c r="DB91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DG90" i="2"/>
  <c r="DF90" i="2"/>
  <c r="DE90" i="2"/>
  <c r="DD90" i="2"/>
  <c r="DC90" i="2"/>
  <c r="DB90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DG89" i="2"/>
  <c r="DF89" i="2"/>
  <c r="DE89" i="2"/>
  <c r="DD89" i="2"/>
  <c r="DC89" i="2"/>
  <c r="DB89" i="2"/>
  <c r="EG87" i="2"/>
  <c r="DB87" i="2"/>
  <c r="DA87" i="2"/>
  <c r="CZ87" i="2"/>
  <c r="CY87" i="2"/>
  <c r="CX87" i="2"/>
  <c r="CW87" i="2"/>
  <c r="CV87" i="2"/>
  <c r="CU87" i="2"/>
  <c r="B87" i="2"/>
  <c r="DB86" i="2"/>
  <c r="DA86" i="2"/>
  <c r="CZ86" i="2"/>
  <c r="CY86" i="2"/>
  <c r="CX86" i="2"/>
  <c r="CW86" i="2"/>
  <c r="CV86" i="2"/>
  <c r="CU86" i="2"/>
  <c r="B86" i="2"/>
  <c r="EG85" i="2"/>
  <c r="DB85" i="2"/>
  <c r="DA85" i="2"/>
  <c r="CZ85" i="2"/>
  <c r="CY85" i="2"/>
  <c r="CX85" i="2"/>
  <c r="CW85" i="2"/>
  <c r="CV85" i="2"/>
  <c r="CU85" i="2"/>
  <c r="B85" i="2"/>
  <c r="DB84" i="2"/>
  <c r="DA84" i="2"/>
  <c r="CZ84" i="2"/>
  <c r="CY84" i="2"/>
  <c r="CX84" i="2"/>
  <c r="CW84" i="2"/>
  <c r="CV84" i="2"/>
  <c r="CU84" i="2"/>
  <c r="B84" i="2"/>
  <c r="EG83" i="2"/>
  <c r="DB83" i="2"/>
  <c r="DA83" i="2"/>
  <c r="CZ83" i="2"/>
  <c r="CY83" i="2"/>
  <c r="CX83" i="2"/>
  <c r="CW83" i="2"/>
  <c r="CV83" i="2"/>
  <c r="CU83" i="2"/>
  <c r="B83" i="2"/>
  <c r="EG81" i="2"/>
  <c r="EC81" i="2"/>
  <c r="EB81" i="2"/>
  <c r="EA81" i="2"/>
  <c r="DZ81" i="2"/>
  <c r="DY81" i="2"/>
  <c r="DX81" i="2"/>
  <c r="DW81" i="2"/>
  <c r="DV81" i="2"/>
  <c r="DU81" i="2"/>
  <c r="DT81" i="2"/>
  <c r="DS81" i="2"/>
  <c r="DR81" i="2"/>
  <c r="DQ81" i="2"/>
  <c r="DP81" i="2"/>
  <c r="DO81" i="2"/>
  <c r="DN81" i="2"/>
  <c r="DM81" i="2"/>
  <c r="DL81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B81" i="2"/>
  <c r="EC80" i="2"/>
  <c r="EB80" i="2"/>
  <c r="EA80" i="2"/>
  <c r="DZ80" i="2"/>
  <c r="DY80" i="2"/>
  <c r="DX80" i="2"/>
  <c r="DW80" i="2"/>
  <c r="DV80" i="2"/>
  <c r="DU80" i="2"/>
  <c r="DT80" i="2"/>
  <c r="DS80" i="2"/>
  <c r="DR80" i="2"/>
  <c r="DQ80" i="2"/>
  <c r="DP80" i="2"/>
  <c r="DO80" i="2"/>
  <c r="DN80" i="2"/>
  <c r="DM80" i="2"/>
  <c r="DL80" i="2"/>
  <c r="DK80" i="2"/>
  <c r="DJ80" i="2"/>
  <c r="DI80" i="2"/>
  <c r="DH80" i="2"/>
  <c r="DG80" i="2"/>
  <c r="DF80" i="2"/>
  <c r="DE80" i="2"/>
  <c r="DD80" i="2"/>
  <c r="DC80" i="2"/>
  <c r="DB80" i="2"/>
  <c r="DA80" i="2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B80" i="2"/>
  <c r="EG79" i="2"/>
  <c r="EC79" i="2"/>
  <c r="EB79" i="2"/>
  <c r="EA79" i="2"/>
  <c r="DZ79" i="2"/>
  <c r="DY79" i="2"/>
  <c r="DX79" i="2"/>
  <c r="DW79" i="2"/>
  <c r="DV79" i="2"/>
  <c r="DU79" i="2"/>
  <c r="DT79" i="2"/>
  <c r="DS79" i="2"/>
  <c r="DR79" i="2"/>
  <c r="DQ79" i="2"/>
  <c r="DP79" i="2"/>
  <c r="DO79" i="2"/>
  <c r="DN79" i="2"/>
  <c r="DM79" i="2"/>
  <c r="DL79" i="2"/>
  <c r="DK79" i="2"/>
  <c r="DJ79" i="2"/>
  <c r="DI79" i="2"/>
  <c r="DH79" i="2"/>
  <c r="DG79" i="2"/>
  <c r="DF79" i="2"/>
  <c r="DE79" i="2"/>
  <c r="DD79" i="2"/>
  <c r="DC79" i="2"/>
  <c r="DB79" i="2"/>
  <c r="DA79" i="2"/>
  <c r="CZ79" i="2"/>
  <c r="CY79" i="2"/>
  <c r="CX79" i="2"/>
  <c r="CW79" i="2"/>
  <c r="CV79" i="2"/>
  <c r="CU79" i="2"/>
  <c r="CT79" i="2"/>
  <c r="CS79" i="2"/>
  <c r="CR79" i="2"/>
  <c r="CQ79" i="2"/>
  <c r="CP79" i="2"/>
  <c r="CO79" i="2"/>
  <c r="CN79" i="2"/>
  <c r="CM79" i="2"/>
  <c r="CL79" i="2"/>
  <c r="CK79" i="2"/>
  <c r="CJ79" i="2"/>
  <c r="B79" i="2"/>
  <c r="B78" i="2"/>
  <c r="B77" i="2"/>
  <c r="B76" i="2"/>
  <c r="CB75" i="2"/>
  <c r="CA75" i="2"/>
  <c r="BZ75" i="2"/>
  <c r="B75" i="2"/>
  <c r="CB74" i="2"/>
  <c r="CA74" i="2"/>
  <c r="BZ74" i="2"/>
  <c r="B74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C72" i="2"/>
  <c r="BB72" i="2"/>
  <c r="BA72" i="2"/>
  <c r="AZ72" i="2"/>
  <c r="AY72" i="2"/>
  <c r="AX72" i="2"/>
  <c r="AW72" i="2"/>
  <c r="AV72" i="2"/>
  <c r="AU72" i="2"/>
  <c r="AT72" i="2"/>
  <c r="AS72" i="2"/>
  <c r="B72" i="2"/>
  <c r="DP71" i="2"/>
  <c r="DO71" i="2"/>
  <c r="DN71" i="2"/>
  <c r="DM71" i="2"/>
  <c r="DL71" i="2"/>
  <c r="DK71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B71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B70" i="2"/>
  <c r="EC69" i="2"/>
  <c r="EB69" i="2"/>
  <c r="EA69" i="2"/>
  <c r="DZ69" i="2"/>
  <c r="DY69" i="2"/>
  <c r="DX69" i="2"/>
  <c r="DW69" i="2"/>
  <c r="DV69" i="2"/>
  <c r="DU69" i="2"/>
  <c r="DT69" i="2"/>
  <c r="DS69" i="2"/>
  <c r="DR69" i="2"/>
  <c r="DQ69" i="2"/>
  <c r="DP69" i="2"/>
  <c r="DO69" i="2"/>
  <c r="DN69" i="2"/>
  <c r="DM69" i="2"/>
  <c r="DL69" i="2"/>
  <c r="DK69" i="2"/>
  <c r="DJ69" i="2"/>
  <c r="DI69" i="2"/>
  <c r="DH69" i="2"/>
  <c r="DG69" i="2"/>
  <c r="DF69" i="2"/>
  <c r="DE69" i="2"/>
  <c r="DD69" i="2"/>
  <c r="DC69" i="2"/>
  <c r="DB69" i="2"/>
  <c r="DA69" i="2"/>
  <c r="CZ69" i="2"/>
  <c r="CY69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B69" i="2"/>
  <c r="P68" i="2"/>
  <c r="O68" i="2"/>
  <c r="N68" i="2"/>
  <c r="M68" i="2"/>
  <c r="L68" i="2"/>
  <c r="J68" i="2"/>
  <c r="I68" i="2"/>
  <c r="H68" i="2"/>
  <c r="G68" i="2"/>
  <c r="F68" i="2"/>
  <c r="E68" i="2"/>
  <c r="B68" i="2"/>
  <c r="CV67" i="2"/>
  <c r="CU67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F67" i="2"/>
  <c r="E67" i="2"/>
  <c r="B67" i="2"/>
  <c r="EC65" i="2"/>
  <c r="EB65" i="2"/>
  <c r="EA65" i="2"/>
  <c r="DZ65" i="2"/>
  <c r="DY65" i="2"/>
  <c r="DX65" i="2"/>
  <c r="DW65" i="2"/>
  <c r="DV65" i="2"/>
  <c r="DU65" i="2"/>
  <c r="DT65" i="2"/>
  <c r="DS65" i="2"/>
  <c r="DR65" i="2"/>
  <c r="DQ65" i="2"/>
  <c r="DP65" i="2"/>
  <c r="DO65" i="2"/>
  <c r="DN65" i="2"/>
  <c r="DM65" i="2"/>
  <c r="DL65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B65" i="2"/>
  <c r="EG64" i="2"/>
  <c r="EC64" i="2"/>
  <c r="EB64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B64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I63" i="2"/>
  <c r="H63" i="2"/>
  <c r="G63" i="2"/>
  <c r="F63" i="2"/>
  <c r="E63" i="2"/>
  <c r="B63" i="2"/>
  <c r="EG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I62" i="2"/>
  <c r="H62" i="2"/>
  <c r="G62" i="2"/>
  <c r="F62" i="2"/>
  <c r="E62" i="2"/>
  <c r="D62" i="2"/>
  <c r="B62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C61" i="2"/>
  <c r="BB61" i="2"/>
  <c r="BA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B61" i="2"/>
  <c r="EG60" i="2"/>
  <c r="DA60" i="2"/>
  <c r="CZ60" i="2"/>
  <c r="CY60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I60" i="2"/>
  <c r="H60" i="2"/>
  <c r="G60" i="2"/>
  <c r="F60" i="2"/>
  <c r="E60" i="2"/>
  <c r="D60" i="2"/>
  <c r="B60" i="2"/>
  <c r="EF59" i="2"/>
  <c r="EE59" i="2"/>
  <c r="EG59" i="2" s="1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C59" i="2"/>
  <c r="BB59" i="2"/>
  <c r="BA59" i="2"/>
  <c r="J59" i="2"/>
  <c r="I59" i="2"/>
  <c r="H59" i="2"/>
  <c r="G59" i="2"/>
  <c r="F59" i="2"/>
  <c r="E59" i="2"/>
  <c r="D59" i="2"/>
  <c r="B59" i="2"/>
  <c r="EG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N58" i="2"/>
  <c r="M58" i="2"/>
  <c r="L58" i="2"/>
  <c r="K58" i="2"/>
  <c r="J58" i="2"/>
  <c r="I58" i="2"/>
  <c r="H58" i="2"/>
  <c r="G58" i="2"/>
  <c r="F58" i="2"/>
  <c r="B58" i="2"/>
  <c r="EG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B56" i="2"/>
  <c r="EG55" i="2"/>
  <c r="EC55" i="2"/>
  <c r="EB55" i="2"/>
  <c r="EA55" i="2"/>
  <c r="DZ55" i="2"/>
  <c r="DY55" i="2"/>
  <c r="DX55" i="2"/>
  <c r="DW55" i="2"/>
  <c r="DV55" i="2"/>
  <c r="DU55" i="2"/>
  <c r="DT55" i="2"/>
  <c r="DS55" i="2"/>
  <c r="DR55" i="2"/>
  <c r="DQ55" i="2"/>
  <c r="DP55" i="2"/>
  <c r="DO55" i="2"/>
  <c r="DN55" i="2"/>
  <c r="DM55" i="2"/>
  <c r="DL55" i="2"/>
  <c r="DK55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B55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B54" i="2"/>
  <c r="EG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B53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B52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C51" i="2"/>
  <c r="BB51" i="2"/>
  <c r="BA51" i="2"/>
  <c r="I51" i="2"/>
  <c r="H51" i="2"/>
  <c r="B51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J50" i="2"/>
  <c r="I50" i="2"/>
  <c r="H50" i="2"/>
  <c r="G50" i="2"/>
  <c r="F50" i="2"/>
  <c r="E50" i="2"/>
  <c r="D50" i="2"/>
  <c r="B50" i="2"/>
  <c r="EG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J49" i="2"/>
  <c r="I49" i="2"/>
  <c r="H49" i="2"/>
  <c r="G49" i="2"/>
  <c r="F49" i="2"/>
  <c r="E49" i="2"/>
  <c r="D49" i="2"/>
  <c r="B49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I48" i="2"/>
  <c r="H48" i="2"/>
  <c r="G48" i="2"/>
  <c r="F48" i="2"/>
  <c r="E48" i="2"/>
  <c r="B48" i="2"/>
  <c r="EG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J47" i="2"/>
  <c r="I47" i="2"/>
  <c r="B47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J46" i="2"/>
  <c r="I46" i="2"/>
  <c r="H46" i="2"/>
  <c r="B46" i="2"/>
  <c r="EG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B45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H44" i="2"/>
  <c r="G44" i="2"/>
  <c r="D44" i="2"/>
  <c r="B44" i="2"/>
  <c r="EG42" i="2"/>
  <c r="EC42" i="2"/>
  <c r="EB42" i="2"/>
  <c r="EC41" i="2"/>
  <c r="EB41" i="2"/>
  <c r="EA41" i="2"/>
  <c r="DZ41" i="2"/>
  <c r="DY41" i="2"/>
  <c r="EC40" i="2"/>
  <c r="EB40" i="2"/>
  <c r="EC39" i="2"/>
  <c r="EB39" i="2"/>
  <c r="EA39" i="2"/>
  <c r="DZ39" i="2"/>
  <c r="DY39" i="2"/>
  <c r="EC38" i="2"/>
  <c r="EB38" i="2"/>
  <c r="EG37" i="2"/>
  <c r="EC37" i="2"/>
  <c r="EB37" i="2"/>
  <c r="EA37" i="2"/>
  <c r="DZ37" i="2"/>
  <c r="DY37" i="2"/>
  <c r="EG36" i="2"/>
  <c r="EC36" i="2"/>
  <c r="EB36" i="2"/>
  <c r="EA36" i="2"/>
  <c r="DZ36" i="2"/>
  <c r="DY36" i="2"/>
  <c r="DX36" i="2"/>
  <c r="DW36" i="2"/>
  <c r="EG35" i="2"/>
  <c r="EC35" i="2"/>
  <c r="EB35" i="2"/>
  <c r="EA35" i="2"/>
  <c r="DZ35" i="2"/>
  <c r="DY35" i="2"/>
  <c r="DX35" i="2"/>
  <c r="DW35" i="2"/>
  <c r="EG34" i="2"/>
  <c r="EC34" i="2"/>
  <c r="EB34" i="2"/>
  <c r="EA34" i="2"/>
  <c r="DZ34" i="2"/>
  <c r="DY34" i="2"/>
  <c r="DX34" i="2"/>
  <c r="DW34" i="2"/>
  <c r="EG33" i="2"/>
  <c r="EC33" i="2"/>
  <c r="EB33" i="2"/>
  <c r="EA33" i="2"/>
  <c r="DZ33" i="2"/>
  <c r="DY33" i="2"/>
  <c r="DX33" i="2"/>
  <c r="DW33" i="2"/>
  <c r="EC32" i="2"/>
  <c r="EB32" i="2"/>
  <c r="EA32" i="2"/>
  <c r="DZ32" i="2"/>
  <c r="DY32" i="2"/>
  <c r="DX32" i="2"/>
  <c r="DW32" i="2"/>
  <c r="EG31" i="2"/>
  <c r="EC31" i="2"/>
  <c r="EB31" i="2"/>
  <c r="EA31" i="2"/>
  <c r="DZ31" i="2"/>
  <c r="DY31" i="2"/>
  <c r="EG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C29" i="2"/>
  <c r="B29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C28" i="2"/>
  <c r="BB28" i="2"/>
  <c r="BA28" i="2"/>
  <c r="AZ28" i="2"/>
  <c r="B28" i="2"/>
  <c r="EG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C27" i="2"/>
  <c r="BB27" i="2"/>
  <c r="BA27" i="2"/>
  <c r="AZ27" i="2"/>
  <c r="AY27" i="2"/>
  <c r="AX27" i="2"/>
  <c r="AW27" i="2"/>
  <c r="AV27" i="2"/>
  <c r="AU27" i="2"/>
  <c r="AT27" i="2"/>
  <c r="AS27" i="2"/>
  <c r="B27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B26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B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B24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B23" i="2"/>
  <c r="EG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G22" i="2"/>
  <c r="AF22" i="2"/>
  <c r="AE22" i="2"/>
  <c r="B22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B21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C20" i="2"/>
  <c r="BB20" i="2"/>
  <c r="BA20" i="2"/>
  <c r="AJ20" i="2"/>
  <c r="AI20" i="2"/>
  <c r="AH20" i="2"/>
  <c r="AG20" i="2"/>
  <c r="AF20" i="2"/>
  <c r="AE20" i="2"/>
  <c r="AD20" i="2"/>
  <c r="AC20" i="2"/>
  <c r="B20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B19" i="2"/>
  <c r="EG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G18" i="2"/>
  <c r="AF18" i="2"/>
  <c r="AE18" i="2"/>
  <c r="AD18" i="2"/>
  <c r="AC18" i="2"/>
  <c r="AB18" i="2"/>
  <c r="B18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C17" i="2"/>
  <c r="BB17" i="2"/>
  <c r="BA17" i="2"/>
  <c r="AA17" i="2"/>
  <c r="Z17" i="2"/>
  <c r="Y17" i="2"/>
  <c r="X17" i="2"/>
  <c r="B17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C16" i="2"/>
  <c r="BB16" i="2"/>
  <c r="BA16" i="2"/>
  <c r="AA16" i="2"/>
  <c r="Z16" i="2"/>
  <c r="Y16" i="2"/>
  <c r="X16" i="2"/>
  <c r="B16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C15" i="2"/>
  <c r="BB15" i="2"/>
  <c r="BA15" i="2"/>
  <c r="W15" i="2"/>
  <c r="B15" i="2"/>
  <c r="EG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B14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B13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G12" i="2"/>
  <c r="AF12" i="2"/>
  <c r="AE12" i="2"/>
  <c r="AD12" i="2"/>
  <c r="AC12" i="2"/>
  <c r="AB12" i="2"/>
  <c r="AA12" i="2"/>
  <c r="Z12" i="2"/>
  <c r="X12" i="2"/>
  <c r="W12" i="2"/>
  <c r="V12" i="2"/>
  <c r="U12" i="2"/>
  <c r="T12" i="2"/>
  <c r="S12" i="2"/>
  <c r="R12" i="2"/>
  <c r="Q12" i="2"/>
  <c r="B12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B11" i="2"/>
  <c r="EG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B10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J9" i="2"/>
  <c r="B9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B8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B7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B6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B5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B4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B3" i="2"/>
  <c r="EG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B2" i="2"/>
  <c r="HY149" i="1"/>
  <c r="HX149" i="1"/>
  <c r="HW149" i="1"/>
  <c r="HV149" i="1"/>
  <c r="HU149" i="1"/>
  <c r="HT149" i="1"/>
  <c r="HS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F149" i="1"/>
  <c r="HE149" i="1"/>
  <c r="HD149" i="1"/>
  <c r="HC149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BU127" i="2" s="1"/>
  <c r="EK149" i="1"/>
  <c r="EJ149" i="1"/>
  <c r="EI149" i="1"/>
  <c r="EH149" i="1"/>
  <c r="EG149" i="1"/>
  <c r="EF149" i="1"/>
  <c r="EE149" i="1"/>
  <c r="ED149" i="1"/>
  <c r="BQ127" i="2" s="1"/>
  <c r="EC149" i="1"/>
  <c r="EB149" i="1"/>
  <c r="EA149" i="1"/>
  <c r="DZ149" i="1"/>
  <c r="DY149" i="1"/>
  <c r="DX149" i="1"/>
  <c r="DW149" i="1"/>
  <c r="DV149" i="1"/>
  <c r="BM127" i="2" s="1"/>
  <c r="FQ126" i="3"/>
  <c r="FN126" i="3"/>
  <c r="FH126" i="3"/>
  <c r="FE126" i="3"/>
  <c r="FB126" i="3"/>
  <c r="EY126" i="3"/>
  <c r="EV126" i="3"/>
  <c r="ES126" i="3"/>
  <c r="EP126" i="3"/>
  <c r="EM126" i="3"/>
  <c r="EJ126" i="3"/>
  <c r="EG126" i="3"/>
  <c r="ED126" i="3"/>
  <c r="EA126" i="3"/>
  <c r="DX126" i="3"/>
  <c r="FQ125" i="3"/>
  <c r="FN125" i="3"/>
  <c r="FK125" i="3"/>
  <c r="FH125" i="3"/>
  <c r="FE125" i="3"/>
  <c r="FB125" i="3"/>
  <c r="EY125" i="3"/>
  <c r="ES125" i="3"/>
  <c r="EP125" i="3"/>
  <c r="EM125" i="3"/>
  <c r="EG125" i="3"/>
  <c r="ED125" i="3"/>
  <c r="EA125" i="3"/>
  <c r="FQ124" i="3"/>
  <c r="FN124" i="3"/>
  <c r="FK124" i="3"/>
  <c r="FH124" i="3"/>
  <c r="FE124" i="3"/>
  <c r="FB124" i="3"/>
  <c r="EY124" i="3"/>
  <c r="EV124" i="3"/>
  <c r="ES124" i="3"/>
  <c r="EP124" i="3"/>
  <c r="EM124" i="3"/>
  <c r="EJ124" i="3"/>
  <c r="EG124" i="3"/>
  <c r="ED124" i="3"/>
  <c r="EA124" i="3"/>
  <c r="DX124" i="3"/>
  <c r="FQ123" i="3"/>
  <c r="FN123" i="3"/>
  <c r="FH123" i="3"/>
  <c r="IX149" i="1"/>
  <c r="FE123" i="3"/>
  <c r="FB123" i="3"/>
  <c r="EV123" i="3"/>
  <c r="ES123" i="3"/>
  <c r="EP123" i="3"/>
  <c r="EJ123" i="3"/>
  <c r="EG123" i="3"/>
  <c r="ED123" i="3"/>
  <c r="DX122" i="3"/>
  <c r="CI136" i="1"/>
  <c r="JE135" i="1"/>
  <c r="JD135" i="1"/>
  <c r="JC135" i="1"/>
  <c r="JB135" i="1"/>
  <c r="JA135" i="1"/>
  <c r="IZ135" i="1"/>
  <c r="IY135" i="1"/>
  <c r="IX135" i="1"/>
  <c r="IW135" i="1"/>
  <c r="IV135" i="1"/>
  <c r="IU135" i="1"/>
  <c r="IT135" i="1"/>
  <c r="IS135" i="1"/>
  <c r="IR135" i="1"/>
  <c r="IQ135" i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S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C135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C136" i="1" s="1"/>
  <c r="CA135" i="1"/>
  <c r="BZ135" i="1"/>
  <c r="BY135" i="1"/>
  <c r="BX135" i="1"/>
  <c r="BY136" i="1" s="1"/>
  <c r="BW135" i="1"/>
  <c r="BW136" i="1" s="1"/>
  <c r="BV135" i="1"/>
  <c r="BU135" i="1"/>
  <c r="BT135" i="1"/>
  <c r="BS135" i="1"/>
  <c r="BR135" i="1"/>
  <c r="BQ135" i="1"/>
  <c r="BP135" i="1"/>
  <c r="BO135" i="1"/>
  <c r="BO136" i="1" s="1"/>
  <c r="BN135" i="1"/>
  <c r="BM135" i="1"/>
  <c r="BK135" i="1"/>
  <c r="BJ135" i="1"/>
  <c r="BI135" i="1"/>
  <c r="BH135" i="1"/>
  <c r="BG135" i="1"/>
  <c r="BF135" i="1"/>
  <c r="BG136" i="1" s="1"/>
  <c r="BE135" i="1"/>
  <c r="BD135" i="1"/>
  <c r="BE136" i="1" s="1"/>
  <c r="BC135" i="1"/>
  <c r="BB135" i="1"/>
  <c r="BA135" i="1"/>
  <c r="AZ135" i="1"/>
  <c r="AY135" i="1"/>
  <c r="AX135" i="1"/>
  <c r="BL132" i="1"/>
  <c r="AH118" i="2" s="1"/>
  <c r="BL130" i="1"/>
  <c r="AH116" i="2" s="1"/>
  <c r="BL129" i="1"/>
  <c r="AH115" i="2" s="1"/>
  <c r="EI121" i="1"/>
  <c r="BT137" i="2" s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EH115" i="1"/>
  <c r="BS130" i="2" s="1"/>
  <c r="EG115" i="1"/>
  <c r="EF115" i="1"/>
  <c r="EE115" i="1"/>
  <c r="ED115" i="1"/>
  <c r="EC115" i="1"/>
  <c r="EB115" i="1"/>
  <c r="BP130" i="2" s="1"/>
  <c r="EA115" i="1"/>
  <c r="DZ115" i="1"/>
  <c r="DY115" i="1"/>
  <c r="DX115" i="1"/>
  <c r="DW115" i="1"/>
  <c r="DV115" i="1"/>
  <c r="DU115" i="1"/>
  <c r="DT115" i="1"/>
  <c r="BL130" i="2" s="1"/>
  <c r="DS115" i="1"/>
  <c r="DR115" i="1"/>
  <c r="DQ115" i="1"/>
  <c r="DP115" i="1"/>
  <c r="DO115" i="1"/>
  <c r="DN115" i="1"/>
  <c r="DM115" i="1"/>
  <c r="DL115" i="1"/>
  <c r="BH130" i="2" s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AZ130" i="2" s="1"/>
  <c r="CU115" i="1"/>
  <c r="CT115" i="1"/>
  <c r="CS115" i="1"/>
  <c r="CR115" i="1"/>
  <c r="CQ115" i="1"/>
  <c r="CP115" i="1"/>
  <c r="CO115" i="1"/>
  <c r="CN115" i="1"/>
  <c r="AV130" i="2" s="1"/>
  <c r="CM115" i="1"/>
  <c r="CL115" i="1"/>
  <c r="CK115" i="1"/>
  <c r="CJ115" i="1"/>
  <c r="CI115" i="1"/>
  <c r="CH115" i="1"/>
  <c r="CG115" i="1"/>
  <c r="CF115" i="1"/>
  <c r="AR130" i="2" s="1"/>
  <c r="CE115" i="1"/>
  <c r="CD115" i="1"/>
  <c r="CC115" i="1"/>
  <c r="CB115" i="1"/>
  <c r="CA115" i="1"/>
  <c r="BZ115" i="1"/>
  <c r="BY115" i="1"/>
  <c r="BX115" i="1"/>
  <c r="AN130" i="2" s="1"/>
  <c r="BW115" i="1"/>
  <c r="BV115" i="1"/>
  <c r="BU115" i="1"/>
  <c r="BT115" i="1"/>
  <c r="BS115" i="1"/>
  <c r="BR115" i="1"/>
  <c r="BQ115" i="1"/>
  <c r="BP115" i="1"/>
  <c r="AJ130" i="2" s="1"/>
  <c r="BO115" i="1"/>
  <c r="BN115" i="1"/>
  <c r="BM115" i="1"/>
  <c r="BL115" i="1"/>
  <c r="JE112" i="1"/>
  <c r="JD112" i="1"/>
  <c r="JC112" i="1"/>
  <c r="JB112" i="1"/>
  <c r="JA112" i="1"/>
  <c r="IZ112" i="1"/>
  <c r="IY112" i="1"/>
  <c r="IX112" i="1"/>
  <c r="IW112" i="1"/>
  <c r="IV112" i="1"/>
  <c r="IU112" i="1"/>
  <c r="IT112" i="1"/>
  <c r="IS112" i="1"/>
  <c r="IR112" i="1"/>
  <c r="IQ112" i="1"/>
  <c r="IP112" i="1"/>
  <c r="IO112" i="1"/>
  <c r="IN112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S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BU111" i="2" s="1"/>
  <c r="EK112" i="1"/>
  <c r="EJ112" i="1"/>
  <c r="EI112" i="1"/>
  <c r="EH112" i="1"/>
  <c r="EG112" i="1"/>
  <c r="EF112" i="1"/>
  <c r="EE112" i="1"/>
  <c r="ED112" i="1"/>
  <c r="BQ111" i="2" s="1"/>
  <c r="EC112" i="1"/>
  <c r="EB112" i="1"/>
  <c r="EA112" i="1"/>
  <c r="DZ112" i="1"/>
  <c r="DY112" i="1"/>
  <c r="DX112" i="1"/>
  <c r="DW112" i="1"/>
  <c r="DV112" i="1"/>
  <c r="BM111" i="2" s="1"/>
  <c r="DU112" i="1"/>
  <c r="DT112" i="1"/>
  <c r="DS112" i="1"/>
  <c r="DR112" i="1"/>
  <c r="DQ112" i="1"/>
  <c r="DP112" i="1"/>
  <c r="DO112" i="1"/>
  <c r="DN112" i="1"/>
  <c r="BI111" i="2" s="1"/>
  <c r="DM112" i="1"/>
  <c r="DL112" i="1"/>
  <c r="DK112" i="1"/>
  <c r="DJ112" i="1"/>
  <c r="DI112" i="1"/>
  <c r="DH112" i="1"/>
  <c r="DG112" i="1"/>
  <c r="DF112" i="1"/>
  <c r="BE111" i="2" s="1"/>
  <c r="DE112" i="1"/>
  <c r="DD112" i="1"/>
  <c r="DC112" i="1"/>
  <c r="DB112" i="1"/>
  <c r="DA112" i="1"/>
  <c r="CZ112" i="1"/>
  <c r="CY112" i="1"/>
  <c r="CX112" i="1"/>
  <c r="BA111" i="2" s="1"/>
  <c r="CW112" i="1"/>
  <c r="CV112" i="1"/>
  <c r="CU112" i="1"/>
  <c r="CT112" i="1"/>
  <c r="CS112" i="1"/>
  <c r="CR112" i="1"/>
  <c r="CQ112" i="1"/>
  <c r="CP112" i="1"/>
  <c r="AW111" i="2" s="1"/>
  <c r="CO112" i="1"/>
  <c r="CN112" i="1"/>
  <c r="CM112" i="1"/>
  <c r="CL112" i="1"/>
  <c r="CK112" i="1"/>
  <c r="CJ112" i="1"/>
  <c r="CI112" i="1"/>
  <c r="CH112" i="1"/>
  <c r="AS111" i="2" s="1"/>
  <c r="CG112" i="1"/>
  <c r="CF112" i="1"/>
  <c r="CE112" i="1"/>
  <c r="CD112" i="1"/>
  <c r="CC112" i="1"/>
  <c r="CB112" i="1"/>
  <c r="CA112" i="1"/>
  <c r="BZ112" i="1"/>
  <c r="AO111" i="2" s="1"/>
  <c r="BY112" i="1"/>
  <c r="BX112" i="1"/>
  <c r="BW112" i="1"/>
  <c r="BV112" i="1"/>
  <c r="BU112" i="1"/>
  <c r="BT112" i="1"/>
  <c r="BS112" i="1"/>
  <c r="BR112" i="1"/>
  <c r="AK111" i="2" s="1"/>
  <c r="BQ112" i="1"/>
  <c r="BP112" i="1"/>
  <c r="BO112" i="1"/>
  <c r="BN112" i="1"/>
  <c r="JE105" i="1"/>
  <c r="JD105" i="1"/>
  <c r="JC105" i="1"/>
  <c r="JB105" i="1"/>
  <c r="JA105" i="1"/>
  <c r="IZ105" i="1"/>
  <c r="IY105" i="1"/>
  <c r="IX105" i="1"/>
  <c r="IW105" i="1"/>
  <c r="IV105" i="1"/>
  <c r="IU105" i="1"/>
  <c r="IT105" i="1"/>
  <c r="IS105" i="1"/>
  <c r="IR105" i="1"/>
  <c r="IQ105" i="1"/>
  <c r="IP105" i="1"/>
  <c r="IO105" i="1"/>
  <c r="IN105" i="1"/>
  <c r="IM105" i="1"/>
  <c r="IL105" i="1"/>
  <c r="IK105" i="1"/>
  <c r="IJ105" i="1"/>
  <c r="II105" i="1"/>
  <c r="IH105" i="1"/>
  <c r="IG105" i="1"/>
  <c r="IF105" i="1"/>
  <c r="IE105" i="1"/>
  <c r="ID105" i="1"/>
  <c r="IC105" i="1"/>
  <c r="IB105" i="1"/>
  <c r="IA105" i="1"/>
  <c r="HZ105" i="1"/>
  <c r="HY105" i="1"/>
  <c r="HX105" i="1"/>
  <c r="HW105" i="1"/>
  <c r="HV105" i="1"/>
  <c r="HU105" i="1"/>
  <c r="HT105" i="1"/>
  <c r="HS105" i="1"/>
  <c r="HR105" i="1"/>
  <c r="HQ105" i="1"/>
  <c r="HP105" i="1"/>
  <c r="HO105" i="1"/>
  <c r="HN105" i="1"/>
  <c r="HM105" i="1"/>
  <c r="HL105" i="1"/>
  <c r="HK105" i="1"/>
  <c r="HJ105" i="1"/>
  <c r="HI105" i="1"/>
  <c r="HH105" i="1"/>
  <c r="HG105" i="1"/>
  <c r="HF105" i="1"/>
  <c r="HE105" i="1"/>
  <c r="HD105" i="1"/>
  <c r="HC105" i="1"/>
  <c r="HB105" i="1"/>
  <c r="HA105" i="1"/>
  <c r="GZ105" i="1"/>
  <c r="GY105" i="1"/>
  <c r="GX105" i="1"/>
  <c r="GW105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BK104" i="2" s="1"/>
  <c r="DQ105" i="1"/>
  <c r="DP105" i="1"/>
  <c r="DO105" i="1"/>
  <c r="DN105" i="1"/>
  <c r="DM105" i="1"/>
  <c r="DL105" i="1"/>
  <c r="DK105" i="1"/>
  <c r="DJ105" i="1"/>
  <c r="BG104" i="2" s="1"/>
  <c r="DI105" i="1"/>
  <c r="DH105" i="1"/>
  <c r="DG105" i="1"/>
  <c r="DF105" i="1"/>
  <c r="DE105" i="1"/>
  <c r="DD105" i="1"/>
  <c r="DC105" i="1"/>
  <c r="DB105" i="1"/>
  <c r="BC104" i="2" s="1"/>
  <c r="DA105" i="1"/>
  <c r="CZ105" i="1"/>
  <c r="CY105" i="1"/>
  <c r="CX105" i="1"/>
  <c r="CW105" i="1"/>
  <c r="CV105" i="1"/>
  <c r="CU105" i="1"/>
  <c r="CT105" i="1"/>
  <c r="AY104" i="2" s="1"/>
  <c r="CS105" i="1"/>
  <c r="CR105" i="1"/>
  <c r="CQ105" i="1"/>
  <c r="CP105" i="1"/>
  <c r="CO105" i="1"/>
  <c r="CN105" i="1"/>
  <c r="CM105" i="1"/>
  <c r="CL105" i="1"/>
  <c r="AU104" i="2" s="1"/>
  <c r="CK105" i="1"/>
  <c r="CJ105" i="1"/>
  <c r="CI105" i="1"/>
  <c r="CH105" i="1"/>
  <c r="CG105" i="1"/>
  <c r="CF105" i="1"/>
  <c r="CE105" i="1"/>
  <c r="CD105" i="1"/>
  <c r="AQ104" i="2" s="1"/>
  <c r="CC105" i="1"/>
  <c r="CB105" i="1"/>
  <c r="CA105" i="1"/>
  <c r="BZ105" i="1"/>
  <c r="BY105" i="1"/>
  <c r="BX105" i="1"/>
  <c r="BW105" i="1"/>
  <c r="BV105" i="1"/>
  <c r="AM104" i="2" s="1"/>
  <c r="BU105" i="1"/>
  <c r="BT105" i="1"/>
  <c r="BS105" i="1"/>
  <c r="BR105" i="1"/>
  <c r="BQ105" i="1"/>
  <c r="BP105" i="1"/>
  <c r="BO105" i="1"/>
  <c r="BN105" i="1"/>
  <c r="AI104" i="2" s="1"/>
  <c r="BM105" i="1"/>
  <c r="BL105" i="1"/>
  <c r="BK105" i="1"/>
  <c r="BJ105" i="1"/>
  <c r="BI105" i="1"/>
  <c r="BH105" i="1"/>
  <c r="BG105" i="1"/>
  <c r="BF105" i="1"/>
  <c r="AE104" i="2" s="1"/>
  <c r="BE105" i="1"/>
  <c r="BD105" i="1"/>
  <c r="JE100" i="1"/>
  <c r="JD100" i="1"/>
  <c r="JC100" i="1"/>
  <c r="JB100" i="1"/>
  <c r="JA100" i="1"/>
  <c r="IZ100" i="1"/>
  <c r="IY100" i="1"/>
  <c r="IX100" i="1"/>
  <c r="IW100" i="1"/>
  <c r="IV100" i="1"/>
  <c r="IU100" i="1"/>
  <c r="IT100" i="1"/>
  <c r="IS100" i="1"/>
  <c r="IR100" i="1"/>
  <c r="IQ100" i="1"/>
  <c r="IP100" i="1"/>
  <c r="IO100" i="1"/>
  <c r="IN100" i="1"/>
  <c r="IM100" i="1"/>
  <c r="IL100" i="1"/>
  <c r="IK100" i="1"/>
  <c r="IJ100" i="1"/>
  <c r="II100" i="1"/>
  <c r="IH100" i="1"/>
  <c r="IG100" i="1"/>
  <c r="IF100" i="1"/>
  <c r="IE100" i="1"/>
  <c r="ID100" i="1"/>
  <c r="IC100" i="1"/>
  <c r="IB100" i="1"/>
  <c r="IA100" i="1"/>
  <c r="HZ100" i="1"/>
  <c r="HY100" i="1"/>
  <c r="HX100" i="1"/>
  <c r="HW100" i="1"/>
  <c r="HV100" i="1"/>
  <c r="HU100" i="1"/>
  <c r="HT100" i="1"/>
  <c r="HS100" i="1"/>
  <c r="HR100" i="1"/>
  <c r="HQ100" i="1"/>
  <c r="HP100" i="1"/>
  <c r="HO100" i="1"/>
  <c r="HN100" i="1"/>
  <c r="HM100" i="1"/>
  <c r="HL100" i="1"/>
  <c r="HK100" i="1"/>
  <c r="HJ100" i="1"/>
  <c r="HI100" i="1"/>
  <c r="HH100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BX66" i="2" s="1"/>
  <c r="EQ67" i="1"/>
  <c r="EP67" i="1"/>
  <c r="EO67" i="1"/>
  <c r="EN67" i="1"/>
  <c r="EM67" i="1"/>
  <c r="EL67" i="1"/>
  <c r="EK67" i="1"/>
  <c r="EJ67" i="1"/>
  <c r="BT66" i="2" s="1"/>
  <c r="EI67" i="1"/>
  <c r="EH67" i="1"/>
  <c r="EG67" i="1"/>
  <c r="EF67" i="1"/>
  <c r="EE67" i="1"/>
  <c r="ED67" i="1"/>
  <c r="EC67" i="1"/>
  <c r="EB67" i="1"/>
  <c r="BP66" i="2" s="1"/>
  <c r="EA67" i="1"/>
  <c r="DZ67" i="1"/>
  <c r="DY67" i="1"/>
  <c r="DX67" i="1"/>
  <c r="DW67" i="1"/>
  <c r="DV67" i="1"/>
  <c r="DU67" i="1"/>
  <c r="DT67" i="1"/>
  <c r="BL66" i="2" s="1"/>
  <c r="DS67" i="1"/>
  <c r="DR67" i="1"/>
  <c r="DQ67" i="1"/>
  <c r="DP67" i="1"/>
  <c r="DO67" i="1"/>
  <c r="DN67" i="1"/>
  <c r="DM67" i="1"/>
  <c r="DL67" i="1"/>
  <c r="BH66" i="2" s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AZ66" i="2" s="1"/>
  <c r="CU67" i="1"/>
  <c r="CT67" i="1"/>
  <c r="CS67" i="1"/>
  <c r="CR67" i="1"/>
  <c r="CQ67" i="1"/>
  <c r="CP67" i="1"/>
  <c r="CO67" i="1"/>
  <c r="CN67" i="1"/>
  <c r="AV66" i="2" s="1"/>
  <c r="CM67" i="1"/>
  <c r="CL67" i="1"/>
  <c r="CK67" i="1"/>
  <c r="CJ67" i="1"/>
  <c r="CI67" i="1"/>
  <c r="CH67" i="1"/>
  <c r="CG67" i="1"/>
  <c r="CF67" i="1"/>
  <c r="AR66" i="2" s="1"/>
  <c r="CE67" i="1"/>
  <c r="CD67" i="1"/>
  <c r="CC67" i="1"/>
  <c r="CB67" i="1"/>
  <c r="CA67" i="1"/>
  <c r="BZ67" i="1"/>
  <c r="BY67" i="1"/>
  <c r="BX67" i="1"/>
  <c r="AN66" i="2" s="1"/>
  <c r="BW67" i="1"/>
  <c r="BV67" i="1"/>
  <c r="BU67" i="1"/>
  <c r="BT67" i="1"/>
  <c r="BS67" i="1"/>
  <c r="BR67" i="1"/>
  <c r="BQ67" i="1"/>
  <c r="BP67" i="1"/>
  <c r="AJ66" i="2" s="1"/>
  <c r="BO67" i="1"/>
  <c r="BN67" i="1"/>
  <c r="BM67" i="1"/>
  <c r="BL67" i="1"/>
  <c r="BK67" i="1"/>
  <c r="BJ67" i="1"/>
  <c r="BI67" i="1"/>
  <c r="BH67" i="1"/>
  <c r="AF66" i="2" s="1"/>
  <c r="BG67" i="1"/>
  <c r="BF67" i="1"/>
  <c r="BE67" i="1"/>
  <c r="BD67" i="1"/>
  <c r="BC67" i="1"/>
  <c r="BB67" i="1"/>
  <c r="BA67" i="1"/>
  <c r="AZ67" i="1"/>
  <c r="AB66" i="2" s="1"/>
  <c r="AY67" i="1"/>
  <c r="AX67" i="1"/>
  <c r="AW67" i="1"/>
  <c r="AV67" i="1"/>
  <c r="AU67" i="1"/>
  <c r="AT67" i="1"/>
  <c r="AS67" i="1"/>
  <c r="AR67" i="1"/>
  <c r="X66" i="2" s="1"/>
  <c r="AQ67" i="1"/>
  <c r="AP67" i="1"/>
  <c r="AO67" i="1"/>
  <c r="AN67" i="1"/>
  <c r="AM67" i="1"/>
  <c r="AL67" i="1"/>
  <c r="AK67" i="1"/>
  <c r="AJ67" i="1"/>
  <c r="T66" i="2" s="1"/>
  <c r="AI67" i="1"/>
  <c r="AH67" i="1"/>
  <c r="AG67" i="1"/>
  <c r="AF67" i="1"/>
  <c r="AE67" i="1"/>
  <c r="AD67" i="1"/>
  <c r="AC67" i="1"/>
  <c r="AB67" i="1"/>
  <c r="P66" i="2" s="1"/>
  <c r="AA67" i="1"/>
  <c r="Z67" i="1"/>
  <c r="Y67" i="1"/>
  <c r="X67" i="1"/>
  <c r="W67" i="1"/>
  <c r="V67" i="1"/>
  <c r="U67" i="1"/>
  <c r="T67" i="1"/>
  <c r="L66" i="2" s="1"/>
  <c r="S67" i="1"/>
  <c r="R67" i="1"/>
  <c r="Q67" i="1"/>
  <c r="P67" i="1"/>
  <c r="O67" i="1"/>
  <c r="N67" i="1"/>
  <c r="M67" i="1"/>
  <c r="L67" i="1"/>
  <c r="H66" i="2" s="1"/>
  <c r="K67" i="1"/>
  <c r="J67" i="1"/>
  <c r="I67" i="1"/>
  <c r="H67" i="1"/>
  <c r="G67" i="1"/>
  <c r="F67" i="1"/>
  <c r="E67" i="1"/>
  <c r="D67" i="1"/>
  <c r="D66" i="2" s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BW57" i="2" s="1"/>
  <c r="EO58" i="1"/>
  <c r="EN58" i="1"/>
  <c r="EM58" i="1"/>
  <c r="EL58" i="1"/>
  <c r="EK58" i="1"/>
  <c r="EJ58" i="1"/>
  <c r="EI58" i="1"/>
  <c r="EH58" i="1"/>
  <c r="BS57" i="2" s="1"/>
  <c r="EG58" i="1"/>
  <c r="EF58" i="1"/>
  <c r="EE58" i="1"/>
  <c r="ED58" i="1"/>
  <c r="EC58" i="1"/>
  <c r="EB58" i="1"/>
  <c r="EA58" i="1"/>
  <c r="DZ58" i="1"/>
  <c r="BO57" i="2" s="1"/>
  <c r="DY58" i="1"/>
  <c r="DX58" i="1"/>
  <c r="DW58" i="1"/>
  <c r="DV58" i="1"/>
  <c r="DU58" i="1"/>
  <c r="DT58" i="1"/>
  <c r="DS58" i="1"/>
  <c r="DR58" i="1"/>
  <c r="BK57" i="2" s="1"/>
  <c r="DQ58" i="1"/>
  <c r="DP58" i="1"/>
  <c r="DO58" i="1"/>
  <c r="DN58" i="1"/>
  <c r="DM58" i="1"/>
  <c r="DL58" i="1"/>
  <c r="DK58" i="1"/>
  <c r="DJ58" i="1"/>
  <c r="BG57" i="2" s="1"/>
  <c r="DI58" i="1"/>
  <c r="DH58" i="1"/>
  <c r="DG58" i="1"/>
  <c r="DF58" i="1"/>
  <c r="DE58" i="1"/>
  <c r="DD58" i="1"/>
  <c r="DC58" i="1"/>
  <c r="DB58" i="1"/>
  <c r="BC57" i="2" s="1"/>
  <c r="DA58" i="1"/>
  <c r="CZ58" i="1"/>
  <c r="CY58" i="1"/>
  <c r="CX58" i="1"/>
  <c r="CW58" i="1"/>
  <c r="CV58" i="1"/>
  <c r="CU58" i="1"/>
  <c r="CT58" i="1"/>
  <c r="AY57" i="2" s="1"/>
  <c r="CS58" i="1"/>
  <c r="CR58" i="1"/>
  <c r="CQ58" i="1"/>
  <c r="CP58" i="1"/>
  <c r="CO58" i="1"/>
  <c r="CN58" i="1"/>
  <c r="CM58" i="1"/>
  <c r="CL58" i="1"/>
  <c r="AU57" i="2" s="1"/>
  <c r="CK58" i="1"/>
  <c r="CJ58" i="1"/>
  <c r="CI58" i="1"/>
  <c r="CH58" i="1"/>
  <c r="CG58" i="1"/>
  <c r="CF58" i="1"/>
  <c r="CE58" i="1"/>
  <c r="CD58" i="1"/>
  <c r="AQ57" i="2" s="1"/>
  <c r="CC58" i="1"/>
  <c r="CB58" i="1"/>
  <c r="CA58" i="1"/>
  <c r="BZ58" i="1"/>
  <c r="BY58" i="1"/>
  <c r="BX58" i="1"/>
  <c r="BW58" i="1"/>
  <c r="BV58" i="1"/>
  <c r="AM57" i="2" s="1"/>
  <c r="BU58" i="1"/>
  <c r="BT58" i="1"/>
  <c r="BS58" i="1"/>
  <c r="BR58" i="1"/>
  <c r="BQ58" i="1"/>
  <c r="BP58" i="1"/>
  <c r="BO58" i="1"/>
  <c r="BN58" i="1"/>
  <c r="AI57" i="2" s="1"/>
  <c r="BM58" i="1"/>
  <c r="BL58" i="1"/>
  <c r="BK58" i="1"/>
  <c r="BJ58" i="1"/>
  <c r="BI58" i="1"/>
  <c r="BH58" i="1"/>
  <c r="BG58" i="1"/>
  <c r="BF58" i="1"/>
  <c r="AE57" i="2" s="1"/>
  <c r="BE58" i="1"/>
  <c r="BD58" i="1"/>
  <c r="BC58" i="1"/>
  <c r="BB58" i="1"/>
  <c r="BA58" i="1"/>
  <c r="AZ58" i="1"/>
  <c r="AY58" i="1"/>
  <c r="AX58" i="1"/>
  <c r="AA57" i="2" s="1"/>
  <c r="AW58" i="1"/>
  <c r="AV58" i="1"/>
  <c r="AU58" i="1"/>
  <c r="AT58" i="1"/>
  <c r="AS58" i="1"/>
  <c r="AR58" i="1"/>
  <c r="AQ58" i="1"/>
  <c r="AP58" i="1"/>
  <c r="W57" i="2" s="1"/>
  <c r="AO58" i="1"/>
  <c r="AN58" i="1"/>
  <c r="AM58" i="1"/>
  <c r="AL58" i="1"/>
  <c r="AK58" i="1"/>
  <c r="AJ58" i="1"/>
  <c r="AI58" i="1"/>
  <c r="AH58" i="1"/>
  <c r="S57" i="2" s="1"/>
  <c r="AG58" i="1"/>
  <c r="AF58" i="1"/>
  <c r="AE58" i="1"/>
  <c r="AD58" i="1"/>
  <c r="AC58" i="1"/>
  <c r="AB58" i="1"/>
  <c r="AA58" i="1"/>
  <c r="Z58" i="1"/>
  <c r="O57" i="2" s="1"/>
  <c r="Y58" i="1"/>
  <c r="X58" i="1"/>
  <c r="W58" i="1"/>
  <c r="V58" i="1"/>
  <c r="U58" i="1"/>
  <c r="T58" i="1"/>
  <c r="S58" i="1"/>
  <c r="R58" i="1"/>
  <c r="K57" i="2" s="1"/>
  <c r="Q58" i="1"/>
  <c r="P58" i="1"/>
  <c r="O58" i="1"/>
  <c r="N58" i="1"/>
  <c r="M58" i="1"/>
  <c r="L58" i="1"/>
  <c r="K58" i="1"/>
  <c r="J58" i="1"/>
  <c r="G57" i="2" s="1"/>
  <c r="I58" i="1"/>
  <c r="H58" i="1"/>
  <c r="G58" i="1"/>
  <c r="F58" i="1"/>
  <c r="E58" i="1"/>
  <c r="D58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U31" i="1"/>
  <c r="BT31" i="1"/>
  <c r="BS31" i="1"/>
  <c r="BR31" i="1"/>
  <c r="BQ31" i="1"/>
  <c r="BP31" i="1"/>
  <c r="AJ30" i="2" s="1"/>
  <c r="BO31" i="1"/>
  <c r="BN31" i="1"/>
  <c r="BM31" i="1"/>
  <c r="BK31" i="1"/>
  <c r="BJ31" i="1"/>
  <c r="BI31" i="1"/>
  <c r="BH31" i="1"/>
  <c r="AF30" i="2" s="1"/>
  <c r="BG31" i="1"/>
  <c r="BF31" i="1"/>
  <c r="BE31" i="1"/>
  <c r="BD31" i="1"/>
  <c r="BC31" i="1"/>
  <c r="BB31" i="1"/>
  <c r="BA31" i="1"/>
  <c r="AZ31" i="1"/>
  <c r="AB30" i="2" s="1"/>
  <c r="AY31" i="1"/>
  <c r="AX31" i="1"/>
  <c r="AW31" i="1"/>
  <c r="AV31" i="1"/>
  <c r="AU31" i="1"/>
  <c r="AS31" i="1"/>
  <c r="AR31" i="1"/>
  <c r="X30" i="2" s="1"/>
  <c r="AQ31" i="1"/>
  <c r="AP31" i="1"/>
  <c r="AO31" i="1"/>
  <c r="AN31" i="1"/>
  <c r="AM31" i="1"/>
  <c r="AL31" i="1"/>
  <c r="AK31" i="1"/>
  <c r="AJ31" i="1"/>
  <c r="T30" i="2" s="1"/>
  <c r="AI31" i="1"/>
  <c r="AH31" i="1"/>
  <c r="AG31" i="1"/>
  <c r="AF31" i="1"/>
  <c r="AE31" i="1"/>
  <c r="AD31" i="1"/>
  <c r="AC31" i="1"/>
  <c r="AB31" i="1"/>
  <c r="P30" i="2" s="1"/>
  <c r="AA31" i="1"/>
  <c r="Z31" i="1"/>
  <c r="Y31" i="1"/>
  <c r="X31" i="1"/>
  <c r="W31" i="1"/>
  <c r="V31" i="1"/>
  <c r="U31" i="1"/>
  <c r="T31" i="1"/>
  <c r="L30" i="2" s="1"/>
  <c r="S31" i="1"/>
  <c r="R31" i="1"/>
  <c r="Q31" i="1"/>
  <c r="P31" i="1"/>
  <c r="O31" i="1"/>
  <c r="N31" i="1"/>
  <c r="M31" i="1"/>
  <c r="L31" i="1"/>
  <c r="H30" i="2" s="1"/>
  <c r="K31" i="1"/>
  <c r="J31" i="1"/>
  <c r="I31" i="1"/>
  <c r="H31" i="1"/>
  <c r="G31" i="1"/>
  <c r="F31" i="1"/>
  <c r="E31" i="1"/>
  <c r="D31" i="1"/>
  <c r="D30" i="2" s="1"/>
  <c r="BL23" i="1"/>
  <c r="AH22" i="2" s="1"/>
  <c r="BL19" i="1"/>
  <c r="AH18" i="2" s="1"/>
  <c r="BL13" i="1"/>
  <c r="AH12" i="2" s="1"/>
  <c r="AT13" i="1"/>
  <c r="Y12" i="2" s="1"/>
  <c r="BL12" i="1"/>
  <c r="AH11" i="2" s="1"/>
  <c r="BV9" i="1"/>
  <c r="AM8" i="2" s="1"/>
  <c r="BL7" i="1"/>
  <c r="AH6" i="2" s="1"/>
  <c r="FV8" i="3" l="1"/>
  <c r="FV25" i="3"/>
  <c r="D58" i="3"/>
  <c r="CP67" i="3"/>
  <c r="DN67" i="3"/>
  <c r="EL67" i="3"/>
  <c r="FJ67" i="3"/>
  <c r="FV64" i="3"/>
  <c r="AX83" i="3"/>
  <c r="BR89" i="3"/>
  <c r="CH89" i="3"/>
  <c r="FT89" i="3"/>
  <c r="H121" i="3"/>
  <c r="P121" i="3"/>
  <c r="AF121" i="3"/>
  <c r="AN121" i="3"/>
  <c r="N128" i="3"/>
  <c r="V128" i="3"/>
  <c r="AL128" i="3"/>
  <c r="AT128" i="3"/>
  <c r="BJ128" i="3"/>
  <c r="BR128" i="3"/>
  <c r="CH128" i="3"/>
  <c r="CP128" i="3"/>
  <c r="DF128" i="3"/>
  <c r="DN128" i="3"/>
  <c r="FV124" i="3"/>
  <c r="FV5" i="3"/>
  <c r="FV37" i="3"/>
  <c r="CG58" i="3"/>
  <c r="CS67" i="3"/>
  <c r="DE67" i="3"/>
  <c r="DQ67" i="3"/>
  <c r="EC67" i="3"/>
  <c r="EO67" i="3"/>
  <c r="FA67" i="3"/>
  <c r="FM67" i="3"/>
  <c r="D67" i="3"/>
  <c r="FV62" i="3"/>
  <c r="Q74" i="3"/>
  <c r="Y74" i="3"/>
  <c r="AO74" i="3"/>
  <c r="AW74" i="3"/>
  <c r="BM74" i="3"/>
  <c r="BU74" i="3"/>
  <c r="H83" i="3"/>
  <c r="FT83" i="3"/>
  <c r="BS89" i="3"/>
  <c r="CA89" i="3"/>
  <c r="FU89" i="3"/>
  <c r="CW95" i="3"/>
  <c r="DE95" i="3"/>
  <c r="DU95" i="3"/>
  <c r="EC95" i="3"/>
  <c r="ES95" i="3"/>
  <c r="FA95" i="3"/>
  <c r="FQ95" i="3"/>
  <c r="DC121" i="3"/>
  <c r="EA121" i="3"/>
  <c r="EY121" i="3"/>
  <c r="E31" i="3"/>
  <c r="M31" i="3"/>
  <c r="M129" i="3" s="1"/>
  <c r="M130" i="3" s="1"/>
  <c r="AC31" i="3"/>
  <c r="AC129" i="3" s="1"/>
  <c r="AC130" i="3" s="1"/>
  <c r="AK31" i="3"/>
  <c r="BA31" i="3"/>
  <c r="BI31" i="3"/>
  <c r="BY31" i="3"/>
  <c r="CG31" i="3"/>
  <c r="CW31" i="3"/>
  <c r="DE31" i="3"/>
  <c r="DU31" i="3"/>
  <c r="EC31" i="3"/>
  <c r="ES31" i="3"/>
  <c r="FA31" i="3"/>
  <c r="FQ31" i="3"/>
  <c r="DF67" i="3"/>
  <c r="ED67" i="3"/>
  <c r="FB67" i="3"/>
  <c r="E67" i="3"/>
  <c r="J74" i="3"/>
  <c r="Z74" i="3"/>
  <c r="CP95" i="3"/>
  <c r="DF95" i="3"/>
  <c r="DN95" i="3"/>
  <c r="ED95" i="3"/>
  <c r="EL95" i="3"/>
  <c r="FB95" i="3"/>
  <c r="FJ95" i="3"/>
  <c r="FV92" i="3"/>
  <c r="CW100" i="3"/>
  <c r="J121" i="3"/>
  <c r="Z121" i="3"/>
  <c r="BG121" i="3"/>
  <c r="BO121" i="3"/>
  <c r="CE121" i="3"/>
  <c r="CN121" i="3"/>
  <c r="CV121" i="3"/>
  <c r="DL121" i="3"/>
  <c r="DT121" i="3"/>
  <c r="EJ121" i="3"/>
  <c r="ER121" i="3"/>
  <c r="FH121" i="3"/>
  <c r="FP121" i="3"/>
  <c r="FV116" i="3"/>
  <c r="FV126" i="3"/>
  <c r="AO67" i="3"/>
  <c r="AW67" i="3"/>
  <c r="BM67" i="3"/>
  <c r="BU67" i="3"/>
  <c r="CK67" i="3"/>
  <c r="CV67" i="3"/>
  <c r="DT67" i="3"/>
  <c r="ER67" i="3"/>
  <c r="FP67" i="3"/>
  <c r="K74" i="3"/>
  <c r="S74" i="3"/>
  <c r="AI74" i="3"/>
  <c r="AQ74" i="3"/>
  <c r="BG74" i="3"/>
  <c r="BO74" i="3"/>
  <c r="J83" i="3"/>
  <c r="AK83" i="3"/>
  <c r="BA83" i="3"/>
  <c r="BI83" i="3"/>
  <c r="BY83" i="3"/>
  <c r="CG83" i="3"/>
  <c r="DF83" i="3"/>
  <c r="DN83" i="3"/>
  <c r="ED83" i="3"/>
  <c r="EL83" i="3"/>
  <c r="FB83" i="3"/>
  <c r="FJ83" i="3"/>
  <c r="K121" i="3"/>
  <c r="S121" i="3"/>
  <c r="AI121" i="3"/>
  <c r="AQ121" i="3"/>
  <c r="BM128" i="3"/>
  <c r="BU128" i="3"/>
  <c r="CK128" i="3"/>
  <c r="CS128" i="3"/>
  <c r="DI128" i="3"/>
  <c r="DQ128" i="3"/>
  <c r="FJ44" i="3"/>
  <c r="FV55" i="3"/>
  <c r="FV68" i="3"/>
  <c r="BJ83" i="3"/>
  <c r="FU105" i="3"/>
  <c r="FV104" i="3"/>
  <c r="FV120" i="3"/>
  <c r="FV9" i="3"/>
  <c r="FK44" i="3"/>
  <c r="FV50" i="3"/>
  <c r="AQ67" i="3"/>
  <c r="BG67" i="3"/>
  <c r="BO67" i="3"/>
  <c r="CE67" i="3"/>
  <c r="CM67" i="3"/>
  <c r="DK67" i="3"/>
  <c r="EI67" i="3"/>
  <c r="FG67" i="3"/>
  <c r="CK74" i="3"/>
  <c r="CS74" i="3"/>
  <c r="DI74" i="3"/>
  <c r="DQ74" i="3"/>
  <c r="CV83" i="3"/>
  <c r="E121" i="3"/>
  <c r="BJ121" i="3"/>
  <c r="CH121" i="3"/>
  <c r="CQ121" i="3"/>
  <c r="CY121" i="3"/>
  <c r="DO121" i="3"/>
  <c r="DW121" i="3"/>
  <c r="EM121" i="3"/>
  <c r="EU121" i="3"/>
  <c r="FK121" i="3"/>
  <c r="FV6" i="3"/>
  <c r="FV11" i="3"/>
  <c r="FV21" i="3"/>
  <c r="FV26" i="3"/>
  <c r="FU67" i="3"/>
  <c r="FV72" i="3"/>
  <c r="FV76" i="3"/>
  <c r="CB83" i="3"/>
  <c r="CJ83" i="3"/>
  <c r="CS83" i="3"/>
  <c r="DI83" i="3"/>
  <c r="DQ83" i="3"/>
  <c r="EG83" i="3"/>
  <c r="EO83" i="3"/>
  <c r="FE83" i="3"/>
  <c r="FM83" i="3"/>
  <c r="CN89" i="3"/>
  <c r="FV88" i="3"/>
  <c r="FV102" i="3"/>
  <c r="FV110" i="3"/>
  <c r="N121" i="3"/>
  <c r="V121" i="3"/>
  <c r="AL121" i="3"/>
  <c r="BS121" i="3"/>
  <c r="EG48" i="2"/>
  <c r="EG61" i="2"/>
  <c r="EG63" i="2"/>
  <c r="EG80" i="2"/>
  <c r="EG89" i="2"/>
  <c r="EG93" i="2"/>
  <c r="EE104" i="2"/>
  <c r="EG17" i="2"/>
  <c r="EG84" i="2"/>
  <c r="EG97" i="2"/>
  <c r="EG117" i="2"/>
  <c r="EG118" i="2"/>
  <c r="EG134" i="2"/>
  <c r="EE127" i="2"/>
  <c r="EG127" i="2" s="1"/>
  <c r="EG40" i="2"/>
  <c r="EG44" i="2"/>
  <c r="EE82" i="2"/>
  <c r="EE99" i="2"/>
  <c r="EF111" i="2"/>
  <c r="EF127" i="2"/>
  <c r="EG25" i="2"/>
  <c r="EF99" i="2"/>
  <c r="EG116" i="2"/>
  <c r="EG24" i="2"/>
  <c r="EG71" i="2"/>
  <c r="EG9" i="2"/>
  <c r="EG21" i="2"/>
  <c r="EG26" i="2"/>
  <c r="EG96" i="2"/>
  <c r="EG101" i="2"/>
  <c r="EG113" i="2"/>
  <c r="FU116" i="1"/>
  <c r="FU123" i="1" s="1"/>
  <c r="HA116" i="1"/>
  <c r="HA123" i="1" s="1"/>
  <c r="HY116" i="1"/>
  <c r="HY123" i="1" s="1"/>
  <c r="IO116" i="1"/>
  <c r="IO123" i="1" s="1"/>
  <c r="EY116" i="1"/>
  <c r="EY123" i="1" s="1"/>
  <c r="FG116" i="1"/>
  <c r="FG123" i="1" s="1"/>
  <c r="FO116" i="1"/>
  <c r="FO123" i="1" s="1"/>
  <c r="FW116" i="1"/>
  <c r="FW123" i="1" s="1"/>
  <c r="GE116" i="1"/>
  <c r="GE123" i="1" s="1"/>
  <c r="GM116" i="1"/>
  <c r="GM123" i="1" s="1"/>
  <c r="GM140" i="1" s="1"/>
  <c r="GM154" i="1" s="1"/>
  <c r="GU116" i="1"/>
  <c r="GU123" i="1" s="1"/>
  <c r="HC116" i="1"/>
  <c r="HC123" i="1" s="1"/>
  <c r="HK116" i="1"/>
  <c r="HK123" i="1" s="1"/>
  <c r="HS116" i="1"/>
  <c r="HS123" i="1" s="1"/>
  <c r="HS140" i="1" s="1"/>
  <c r="HS154" i="1" s="1"/>
  <c r="IA116" i="1"/>
  <c r="IA123" i="1" s="1"/>
  <c r="II116" i="1"/>
  <c r="II123" i="1" s="1"/>
  <c r="IQ116" i="1"/>
  <c r="IQ123" i="1" s="1"/>
  <c r="AF104" i="2"/>
  <c r="AJ104" i="2"/>
  <c r="AN104" i="2"/>
  <c r="AR104" i="2"/>
  <c r="AV104" i="2"/>
  <c r="AZ104" i="2"/>
  <c r="BH104" i="2"/>
  <c r="BL104" i="2"/>
  <c r="BP104" i="2"/>
  <c r="BT104" i="2"/>
  <c r="BX104" i="2"/>
  <c r="AI130" i="2"/>
  <c r="AM130" i="2"/>
  <c r="AQ130" i="2"/>
  <c r="AU130" i="2"/>
  <c r="BG130" i="2"/>
  <c r="BK130" i="2"/>
  <c r="BO130" i="2"/>
  <c r="IF149" i="1"/>
  <c r="IV149" i="1"/>
  <c r="EE30" i="2"/>
  <c r="EG5" i="2"/>
  <c r="EG23" i="2"/>
  <c r="EG104" i="2"/>
  <c r="FM116" i="1"/>
  <c r="FM123" i="1" s="1"/>
  <c r="GS116" i="1"/>
  <c r="GS123" i="1" s="1"/>
  <c r="HQ116" i="1"/>
  <c r="HQ123" i="1" s="1"/>
  <c r="IW116" i="1"/>
  <c r="IW123" i="1" s="1"/>
  <c r="AN30" i="2"/>
  <c r="AR30" i="2"/>
  <c r="AV30" i="2"/>
  <c r="AZ30" i="2"/>
  <c r="BH30" i="2"/>
  <c r="BL30" i="2"/>
  <c r="BP30" i="2"/>
  <c r="BT30" i="2"/>
  <c r="BX30" i="2"/>
  <c r="S137" i="2"/>
  <c r="W137" i="2"/>
  <c r="AA137" i="2"/>
  <c r="AE137" i="2"/>
  <c r="AI137" i="2"/>
  <c r="AM137" i="2"/>
  <c r="AQ137" i="2"/>
  <c r="BP137" i="2"/>
  <c r="EF30" i="2"/>
  <c r="EG12" i="2"/>
  <c r="EG13" i="2"/>
  <c r="EG19" i="2"/>
  <c r="EE43" i="2"/>
  <c r="EG38" i="2"/>
  <c r="EG39" i="2"/>
  <c r="EE57" i="2"/>
  <c r="EG7" i="2"/>
  <c r="EG46" i="2"/>
  <c r="FC116" i="1"/>
  <c r="FC123" i="1" s="1"/>
  <c r="FC140" i="1" s="1"/>
  <c r="FC154" i="1" s="1"/>
  <c r="FK116" i="1"/>
  <c r="FK123" i="1" s="1"/>
  <c r="FS116" i="1"/>
  <c r="FS123" i="1" s="1"/>
  <c r="FS140" i="1" s="1"/>
  <c r="FS154" i="1" s="1"/>
  <c r="GA116" i="1"/>
  <c r="GA123" i="1" s="1"/>
  <c r="GI116" i="1"/>
  <c r="GI123" i="1" s="1"/>
  <c r="GI140" i="1" s="1"/>
  <c r="GI154" i="1" s="1"/>
  <c r="GQ116" i="1"/>
  <c r="GQ123" i="1" s="1"/>
  <c r="GY116" i="1"/>
  <c r="GY123" i="1" s="1"/>
  <c r="GY140" i="1" s="1"/>
  <c r="GY154" i="1" s="1"/>
  <c r="HG116" i="1"/>
  <c r="HG123" i="1" s="1"/>
  <c r="HO116" i="1"/>
  <c r="HO123" i="1" s="1"/>
  <c r="HO140" i="1" s="1"/>
  <c r="HO154" i="1" s="1"/>
  <c r="HW116" i="1"/>
  <c r="HW123" i="1" s="1"/>
  <c r="IE116" i="1"/>
  <c r="IE123" i="1" s="1"/>
  <c r="IE140" i="1" s="1"/>
  <c r="IM116" i="1"/>
  <c r="IM123" i="1" s="1"/>
  <c r="IU116" i="1"/>
  <c r="IU123" i="1" s="1"/>
  <c r="IU140" i="1" s="1"/>
  <c r="JC116" i="1"/>
  <c r="JC123" i="1" s="1"/>
  <c r="AS137" i="2"/>
  <c r="AW137" i="2"/>
  <c r="BI137" i="2"/>
  <c r="BM137" i="2"/>
  <c r="EG4" i="2"/>
  <c r="EG6" i="2"/>
  <c r="EG11" i="2"/>
  <c r="EG28" i="2"/>
  <c r="EG72" i="2"/>
  <c r="E30" i="2"/>
  <c r="I30" i="2"/>
  <c r="M30" i="2"/>
  <c r="Q30" i="2"/>
  <c r="U30" i="2"/>
  <c r="AT31" i="1"/>
  <c r="Y30" i="2" s="1"/>
  <c r="FL116" i="1"/>
  <c r="FL123" i="1" s="1"/>
  <c r="D57" i="2"/>
  <c r="H57" i="2"/>
  <c r="L57" i="2"/>
  <c r="AL73" i="2"/>
  <c r="AP73" i="2"/>
  <c r="AT73" i="2"/>
  <c r="AX73" i="2"/>
  <c r="BB73" i="2"/>
  <c r="BF73" i="2"/>
  <c r="BJ73" i="2"/>
  <c r="BN73" i="2"/>
  <c r="BR73" i="2"/>
  <c r="BV73" i="2"/>
  <c r="U137" i="2"/>
  <c r="Y137" i="2"/>
  <c r="AC137" i="2"/>
  <c r="AG137" i="2"/>
  <c r="AK137" i="2"/>
  <c r="AO137" i="2"/>
  <c r="BN127" i="2"/>
  <c r="BR127" i="2"/>
  <c r="BV127" i="2"/>
  <c r="EG20" i="2"/>
  <c r="EW116" i="1"/>
  <c r="EW123" i="1" s="1"/>
  <c r="GK116" i="1"/>
  <c r="GK123" i="1" s="1"/>
  <c r="IG116" i="1"/>
  <c r="IG123" i="1" s="1"/>
  <c r="BO104" i="2"/>
  <c r="BS104" i="2"/>
  <c r="BW104" i="2"/>
  <c r="AM111" i="2"/>
  <c r="AQ111" i="2"/>
  <c r="AU111" i="2"/>
  <c r="AY111" i="2"/>
  <c r="BC111" i="2"/>
  <c r="BG111" i="2"/>
  <c r="BK111" i="2"/>
  <c r="BO111" i="2"/>
  <c r="BS111" i="2"/>
  <c r="BW111" i="2"/>
  <c r="AR120" i="2"/>
  <c r="AV120" i="2"/>
  <c r="AZ120" i="2"/>
  <c r="BH120" i="2"/>
  <c r="BP120" i="2"/>
  <c r="BX120" i="2"/>
  <c r="EG3" i="2"/>
  <c r="EG8" i="2"/>
  <c r="EG15" i="2"/>
  <c r="EG16" i="2"/>
  <c r="EG41" i="2"/>
  <c r="FE116" i="1"/>
  <c r="FE123" i="1" s="1"/>
  <c r="GC116" i="1"/>
  <c r="GC123" i="1" s="1"/>
  <c r="HI116" i="1"/>
  <c r="HI123" i="1" s="1"/>
  <c r="JE116" i="1"/>
  <c r="JE123" i="1" s="1"/>
  <c r="EF43" i="2"/>
  <c r="DE100" i="3"/>
  <c r="EG52" i="2"/>
  <c r="EF94" i="2"/>
  <c r="EF120" i="2"/>
  <c r="N31" i="3"/>
  <c r="V31" i="3"/>
  <c r="V129" i="3" s="1"/>
  <c r="V130" i="3" s="1"/>
  <c r="AL31" i="3"/>
  <c r="AT31" i="3"/>
  <c r="BJ31" i="3"/>
  <c r="BR31" i="3"/>
  <c r="CH31" i="3"/>
  <c r="CP31" i="3"/>
  <c r="DF31" i="3"/>
  <c r="DN31" i="3"/>
  <c r="ED31" i="3"/>
  <c r="EL31" i="3"/>
  <c r="FB31" i="3"/>
  <c r="FJ31" i="3"/>
  <c r="FV15" i="3"/>
  <c r="FV16" i="3"/>
  <c r="FA44" i="3"/>
  <c r="FV43" i="3"/>
  <c r="AL58" i="3"/>
  <c r="AT58" i="3"/>
  <c r="BJ58" i="3"/>
  <c r="BR58" i="3"/>
  <c r="CH58" i="3"/>
  <c r="CP58" i="3"/>
  <c r="DF58" i="3"/>
  <c r="DN58" i="3"/>
  <c r="ED58" i="3"/>
  <c r="EL58" i="3"/>
  <c r="FB58" i="3"/>
  <c r="FJ58" i="3"/>
  <c r="AN67" i="3"/>
  <c r="BD67" i="3"/>
  <c r="BL67" i="3"/>
  <c r="CB67" i="3"/>
  <c r="CJ67" i="3"/>
  <c r="CT67" i="3"/>
  <c r="DR67" i="3"/>
  <c r="EP67" i="3"/>
  <c r="FN67" i="3"/>
  <c r="AQ83" i="3"/>
  <c r="BG83" i="3"/>
  <c r="BO83" i="3"/>
  <c r="CE83" i="3"/>
  <c r="CM83" i="3"/>
  <c r="CN83" i="3"/>
  <c r="CN95" i="3"/>
  <c r="CV95" i="3"/>
  <c r="DL95" i="3"/>
  <c r="DT95" i="3"/>
  <c r="EJ95" i="3"/>
  <c r="ER95" i="3"/>
  <c r="FH95" i="3"/>
  <c r="FP95" i="3"/>
  <c r="CZ95" i="3"/>
  <c r="EV95" i="3"/>
  <c r="Q121" i="3"/>
  <c r="Y121" i="3"/>
  <c r="AO121" i="3"/>
  <c r="AW121" i="3"/>
  <c r="FV114" i="3"/>
  <c r="BF121" i="3"/>
  <c r="CD121" i="3"/>
  <c r="FV117" i="3"/>
  <c r="J128" i="3"/>
  <c r="Z128" i="3"/>
  <c r="AH128" i="3"/>
  <c r="AX128" i="3"/>
  <c r="BF128" i="3"/>
  <c r="BV128" i="3"/>
  <c r="CD128" i="3"/>
  <c r="CT128" i="3"/>
  <c r="DB128" i="3"/>
  <c r="DR128" i="3"/>
  <c r="FU128" i="3"/>
  <c r="EE88" i="2"/>
  <c r="EG125" i="2"/>
  <c r="G31" i="3"/>
  <c r="W31" i="3"/>
  <c r="W129" i="3" s="1"/>
  <c r="W130" i="3" s="1"/>
  <c r="AE31" i="3"/>
  <c r="AU31" i="3"/>
  <c r="BC31" i="3"/>
  <c r="BS31" i="3"/>
  <c r="CA31" i="3"/>
  <c r="CQ31" i="3"/>
  <c r="CY31" i="3"/>
  <c r="DO31" i="3"/>
  <c r="DW31" i="3"/>
  <c r="EM31" i="3"/>
  <c r="EU31" i="3"/>
  <c r="FK31" i="3"/>
  <c r="FV14" i="3"/>
  <c r="FV17" i="3"/>
  <c r="FV22" i="3"/>
  <c r="FV27" i="3"/>
  <c r="FB44" i="3"/>
  <c r="DH67" i="3"/>
  <c r="EF67" i="3"/>
  <c r="FD67" i="3"/>
  <c r="FV71" i="3"/>
  <c r="FU83" i="3"/>
  <c r="FV83" i="3" s="1"/>
  <c r="AR83" i="3"/>
  <c r="CB89" i="3"/>
  <c r="CJ89" i="3"/>
  <c r="FV84" i="3"/>
  <c r="FV106" i="3"/>
  <c r="AH121" i="3"/>
  <c r="EG50" i="2"/>
  <c r="EG51" i="2"/>
  <c r="EG98" i="2"/>
  <c r="EG108" i="2"/>
  <c r="EG114" i="2"/>
  <c r="H31" i="3"/>
  <c r="P31" i="3"/>
  <c r="AF31" i="3"/>
  <c r="AN31" i="3"/>
  <c r="BD31" i="3"/>
  <c r="BL31" i="3"/>
  <c r="CB31" i="3"/>
  <c r="CJ31" i="3"/>
  <c r="CZ31" i="3"/>
  <c r="DH31" i="3"/>
  <c r="DX31" i="3"/>
  <c r="EF31" i="3"/>
  <c r="EV31" i="3"/>
  <c r="FD31" i="3"/>
  <c r="FV18" i="3"/>
  <c r="FM44" i="3"/>
  <c r="AX67" i="3"/>
  <c r="BF67" i="3"/>
  <c r="CW67" i="3"/>
  <c r="DI67" i="3"/>
  <c r="DU67" i="3"/>
  <c r="EG67" i="3"/>
  <c r="ES67" i="3"/>
  <c r="FE67" i="3"/>
  <c r="FQ67" i="3"/>
  <c r="FV61" i="3"/>
  <c r="D74" i="3"/>
  <c r="T74" i="3"/>
  <c r="AB74" i="3"/>
  <c r="AR74" i="3"/>
  <c r="AZ74" i="3"/>
  <c r="BP74" i="3"/>
  <c r="CA74" i="3"/>
  <c r="CQ74" i="3"/>
  <c r="CY74" i="3"/>
  <c r="DO74" i="3"/>
  <c r="DW74" i="3"/>
  <c r="FU112" i="3"/>
  <c r="FV119" i="3"/>
  <c r="Q31" i="3"/>
  <c r="Q129" i="3" s="1"/>
  <c r="Q130" i="3" s="1"/>
  <c r="Y31" i="3"/>
  <c r="AO31" i="3"/>
  <c r="AW31" i="3"/>
  <c r="AW129" i="3" s="1"/>
  <c r="AW130" i="3" s="1"/>
  <c r="BM31" i="3"/>
  <c r="BU31" i="3"/>
  <c r="BU129" i="3" s="1"/>
  <c r="BU130" i="3" s="1"/>
  <c r="CK31" i="3"/>
  <c r="CK129" i="3" s="1"/>
  <c r="CK130" i="3" s="1"/>
  <c r="CS31" i="3"/>
  <c r="DI31" i="3"/>
  <c r="DQ31" i="3"/>
  <c r="EG31" i="3"/>
  <c r="EO31" i="3"/>
  <c r="FE31" i="3"/>
  <c r="FM31" i="3"/>
  <c r="FN44" i="3"/>
  <c r="FT44" i="3"/>
  <c r="FD44" i="3"/>
  <c r="E58" i="3"/>
  <c r="K83" i="3"/>
  <c r="BV89" i="3"/>
  <c r="CD89" i="3"/>
  <c r="CQ95" i="3"/>
  <c r="CY95" i="3"/>
  <c r="DO95" i="3"/>
  <c r="DW95" i="3"/>
  <c r="EM95" i="3"/>
  <c r="EU95" i="3"/>
  <c r="FK95" i="3"/>
  <c r="EG100" i="3"/>
  <c r="D121" i="3"/>
  <c r="T121" i="3"/>
  <c r="AB121" i="3"/>
  <c r="AR121" i="3"/>
  <c r="FT121" i="3"/>
  <c r="FV121" i="3" s="1"/>
  <c r="CP121" i="3"/>
  <c r="DN121" i="3"/>
  <c r="EL121" i="3"/>
  <c r="FJ121" i="3"/>
  <c r="EG65" i="2"/>
  <c r="EF82" i="2"/>
  <c r="EG82" i="2" s="1"/>
  <c r="EG86" i="2"/>
  <c r="EG92" i="2"/>
  <c r="EG106" i="2"/>
  <c r="EG132" i="2"/>
  <c r="J31" i="3"/>
  <c r="Z31" i="3"/>
  <c r="Z129" i="3" s="1"/>
  <c r="Z130" i="3" s="1"/>
  <c r="AH31" i="3"/>
  <c r="AH129" i="3" s="1"/>
  <c r="AH130" i="3" s="1"/>
  <c r="AX31" i="3"/>
  <c r="AX129" i="3" s="1"/>
  <c r="BF31" i="3"/>
  <c r="BV31" i="3"/>
  <c r="CD31" i="3"/>
  <c r="CT31" i="3"/>
  <c r="DB31" i="3"/>
  <c r="DR31" i="3"/>
  <c r="DR129" i="3" s="1"/>
  <c r="DR130" i="3" s="1"/>
  <c r="DZ31" i="3"/>
  <c r="EP31" i="3"/>
  <c r="EX31" i="3"/>
  <c r="FN31" i="3"/>
  <c r="FT31" i="3"/>
  <c r="FV19" i="3"/>
  <c r="FG44" i="3"/>
  <c r="FU44" i="3"/>
  <c r="FE44" i="3"/>
  <c r="FV42" i="3"/>
  <c r="FV48" i="3"/>
  <c r="CZ67" i="3"/>
  <c r="DX67" i="3"/>
  <c r="EV67" i="3"/>
  <c r="BC83" i="3"/>
  <c r="CE89" i="3"/>
  <c r="CM89" i="3"/>
  <c r="AK112" i="3"/>
  <c r="AK129" i="3" s="1"/>
  <c r="AK130" i="3" s="1"/>
  <c r="BA112" i="3"/>
  <c r="BI112" i="3"/>
  <c r="BY112" i="3"/>
  <c r="CG112" i="3"/>
  <c r="CW112" i="3"/>
  <c r="DE112" i="3"/>
  <c r="DU112" i="3"/>
  <c r="EC112" i="3"/>
  <c r="ES112" i="3"/>
  <c r="FA112" i="3"/>
  <c r="FQ112" i="3"/>
  <c r="FV111" i="3"/>
  <c r="BR121" i="3"/>
  <c r="EG74" i="2"/>
  <c r="EE111" i="2"/>
  <c r="EG111" i="2" s="1"/>
  <c r="EE120" i="2"/>
  <c r="EG124" i="2"/>
  <c r="K31" i="3"/>
  <c r="S31" i="3"/>
  <c r="AI31" i="3"/>
  <c r="AI129" i="3" s="1"/>
  <c r="AI130" i="3" s="1"/>
  <c r="AQ31" i="3"/>
  <c r="BG31" i="3"/>
  <c r="BG129" i="3" s="1"/>
  <c r="BG130" i="3" s="1"/>
  <c r="BO31" i="3"/>
  <c r="BO129" i="3" s="1"/>
  <c r="BO130" i="3" s="1"/>
  <c r="CE31" i="3"/>
  <c r="CM31" i="3"/>
  <c r="DC31" i="3"/>
  <c r="DK31" i="3"/>
  <c r="EA31" i="3"/>
  <c r="EI31" i="3"/>
  <c r="EY31" i="3"/>
  <c r="FG31" i="3"/>
  <c r="FU31" i="3"/>
  <c r="EX44" i="3"/>
  <c r="FT58" i="3"/>
  <c r="FV53" i="3"/>
  <c r="BA67" i="3"/>
  <c r="BA129" i="3" s="1"/>
  <c r="BA130" i="3" s="1"/>
  <c r="BI67" i="3"/>
  <c r="BI129" i="3" s="1"/>
  <c r="BI130" i="3" s="1"/>
  <c r="BY67" i="3"/>
  <c r="BY129" i="3" s="1"/>
  <c r="BY130" i="3" s="1"/>
  <c r="CG67" i="3"/>
  <c r="CG129" i="3" s="1"/>
  <c r="CG130" i="3" s="1"/>
  <c r="G74" i="3"/>
  <c r="W74" i="3"/>
  <c r="AE74" i="3"/>
  <c r="AU74" i="3"/>
  <c r="BC74" i="3"/>
  <c r="BS74" i="3"/>
  <c r="CS95" i="3"/>
  <c r="DI95" i="3"/>
  <c r="DQ95" i="3"/>
  <c r="EG95" i="3"/>
  <c r="EO95" i="3"/>
  <c r="FE95" i="3"/>
  <c r="FM95" i="3"/>
  <c r="AT121" i="3"/>
  <c r="EG54" i="2"/>
  <c r="EG70" i="2"/>
  <c r="EF88" i="2"/>
  <c r="EG90" i="2"/>
  <c r="EG109" i="2"/>
  <c r="EG129" i="2"/>
  <c r="EG135" i="2"/>
  <c r="D31" i="3"/>
  <c r="T31" i="3"/>
  <c r="T129" i="3" s="1"/>
  <c r="AB31" i="3"/>
  <c r="AB129" i="3" s="1"/>
  <c r="AR31" i="3"/>
  <c r="AZ31" i="3"/>
  <c r="BP31" i="3"/>
  <c r="BX31" i="3"/>
  <c r="BX129" i="3" s="1"/>
  <c r="CN31" i="3"/>
  <c r="CN129" i="3" s="1"/>
  <c r="CV31" i="3"/>
  <c r="CV129" i="3" s="1"/>
  <c r="DL31" i="3"/>
  <c r="DT31" i="3"/>
  <c r="EJ31" i="3"/>
  <c r="ER31" i="3"/>
  <c r="FH31" i="3"/>
  <c r="FP31" i="3"/>
  <c r="FV7" i="3"/>
  <c r="FV12" i="3"/>
  <c r="FV20" i="3"/>
  <c r="FQ44" i="3"/>
  <c r="EY44" i="3"/>
  <c r="FH44" i="3"/>
  <c r="FP44" i="3"/>
  <c r="FU58" i="3"/>
  <c r="FV51" i="3"/>
  <c r="FV81" i="3"/>
  <c r="FV82" i="3"/>
  <c r="CT95" i="3"/>
  <c r="DB95" i="3"/>
  <c r="DR95" i="3"/>
  <c r="DZ95" i="3"/>
  <c r="EP95" i="3"/>
  <c r="EX95" i="3"/>
  <c r="FN95" i="3"/>
  <c r="FV90" i="3"/>
  <c r="FV93" i="3"/>
  <c r="FV109" i="3"/>
  <c r="BD121" i="3"/>
  <c r="BL121" i="3"/>
  <c r="CB121" i="3"/>
  <c r="CJ121" i="3"/>
  <c r="CS121" i="3"/>
  <c r="DI121" i="3"/>
  <c r="DQ121" i="3"/>
  <c r="EG121" i="3"/>
  <c r="EO121" i="3"/>
  <c r="FE121" i="3"/>
  <c r="FM121" i="3"/>
  <c r="BD128" i="3"/>
  <c r="BL128" i="3"/>
  <c r="CB128" i="3"/>
  <c r="CJ128" i="3"/>
  <c r="CZ128" i="3"/>
  <c r="DH128" i="3"/>
  <c r="FV123" i="3"/>
  <c r="O31" i="3"/>
  <c r="CB30" i="2"/>
  <c r="EZ116" i="1"/>
  <c r="EZ123" i="1" s="1"/>
  <c r="AJ31" i="3"/>
  <c r="CI30" i="2"/>
  <c r="FP116" i="1"/>
  <c r="FP123" i="1" s="1"/>
  <c r="BH31" i="3"/>
  <c r="CQ30" i="2"/>
  <c r="GF116" i="1"/>
  <c r="GF123" i="1" s="1"/>
  <c r="CF31" i="3"/>
  <c r="CY30" i="2"/>
  <c r="GV116" i="1"/>
  <c r="GV123" i="1" s="1"/>
  <c r="DD31" i="3"/>
  <c r="DG30" i="2"/>
  <c r="HL116" i="1"/>
  <c r="HL123" i="1" s="1"/>
  <c r="DP31" i="3"/>
  <c r="DK30" i="2"/>
  <c r="HT116" i="1"/>
  <c r="HT123" i="1" s="1"/>
  <c r="EN31" i="3"/>
  <c r="DS30" i="2"/>
  <c r="IJ116" i="1"/>
  <c r="IJ123" i="1" s="1"/>
  <c r="FL31" i="3"/>
  <c r="EA30" i="2"/>
  <c r="IZ116" i="1"/>
  <c r="IZ123" i="1" s="1"/>
  <c r="FA116" i="1"/>
  <c r="FA123" i="1" s="1"/>
  <c r="FI116" i="1"/>
  <c r="FI123" i="1" s="1"/>
  <c r="FQ116" i="1"/>
  <c r="FQ123" i="1" s="1"/>
  <c r="FY116" i="1"/>
  <c r="FY123" i="1" s="1"/>
  <c r="GG116" i="1"/>
  <c r="GG123" i="1" s="1"/>
  <c r="GO116" i="1"/>
  <c r="GO123" i="1" s="1"/>
  <c r="GW116" i="1"/>
  <c r="GW123" i="1" s="1"/>
  <c r="HE116" i="1"/>
  <c r="HE123" i="1" s="1"/>
  <c r="HM116" i="1"/>
  <c r="HM123" i="1" s="1"/>
  <c r="HU116" i="1"/>
  <c r="HU123" i="1" s="1"/>
  <c r="IC116" i="1"/>
  <c r="IC123" i="1" s="1"/>
  <c r="IK116" i="1"/>
  <c r="IK123" i="1" s="1"/>
  <c r="IS116" i="1"/>
  <c r="IS123" i="1" s="1"/>
  <c r="JA116" i="1"/>
  <c r="JA123" i="1" s="1"/>
  <c r="EZ44" i="3"/>
  <c r="DW43" i="2"/>
  <c r="FL44" i="3"/>
  <c r="EA43" i="2"/>
  <c r="L83" i="3"/>
  <c r="CA82" i="2"/>
  <c r="X83" i="3"/>
  <c r="CE82" i="2"/>
  <c r="AG83" i="3"/>
  <c r="CH82" i="2"/>
  <c r="AS83" i="3"/>
  <c r="CL82" i="2"/>
  <c r="BE83" i="3"/>
  <c r="BE82" i="3"/>
  <c r="CP82" i="2"/>
  <c r="BQ83" i="3"/>
  <c r="CT82" i="2"/>
  <c r="CC83" i="3"/>
  <c r="CX82" i="2"/>
  <c r="CO83" i="3"/>
  <c r="DB82" i="2"/>
  <c r="AC30" i="2"/>
  <c r="AG30" i="2"/>
  <c r="AK30" i="2"/>
  <c r="AO30" i="2"/>
  <c r="AS30" i="2"/>
  <c r="AW30" i="2"/>
  <c r="BA30" i="2"/>
  <c r="BE30" i="2"/>
  <c r="BI30" i="2"/>
  <c r="BM30" i="2"/>
  <c r="BQ30" i="2"/>
  <c r="BU30" i="2"/>
  <c r="F31" i="3"/>
  <c r="BY30" i="2"/>
  <c r="R31" i="3"/>
  <c r="CC30" i="2"/>
  <c r="FB116" i="1"/>
  <c r="FB123" i="1" s="1"/>
  <c r="AD31" i="3"/>
  <c r="CG30" i="2"/>
  <c r="FJ116" i="1"/>
  <c r="FJ123" i="1" s="1"/>
  <c r="AM31" i="3"/>
  <c r="CJ30" i="2"/>
  <c r="FR116" i="1"/>
  <c r="FR123" i="1" s="1"/>
  <c r="AY31" i="3"/>
  <c r="CN30" i="2"/>
  <c r="FZ116" i="1"/>
  <c r="FZ123" i="1" s="1"/>
  <c r="BK31" i="3"/>
  <c r="CR30" i="2"/>
  <c r="GH116" i="1"/>
  <c r="GH123" i="1" s="1"/>
  <c r="BW31" i="3"/>
  <c r="CV30" i="2"/>
  <c r="GP116" i="1"/>
  <c r="GP123" i="1" s="1"/>
  <c r="CI31" i="3"/>
  <c r="CZ30" i="2"/>
  <c r="GX116" i="1"/>
  <c r="GX123" i="1" s="1"/>
  <c r="CU31" i="3"/>
  <c r="DD30" i="2"/>
  <c r="HF116" i="1"/>
  <c r="HF123" i="1" s="1"/>
  <c r="DG31" i="3"/>
  <c r="DH30" i="2"/>
  <c r="HN116" i="1"/>
  <c r="HN123" i="1" s="1"/>
  <c r="DS31" i="3"/>
  <c r="DL30" i="2"/>
  <c r="HV116" i="1"/>
  <c r="HV123" i="1" s="1"/>
  <c r="EE31" i="3"/>
  <c r="DP30" i="2"/>
  <c r="ID116" i="1"/>
  <c r="ID123" i="1" s="1"/>
  <c r="EQ31" i="3"/>
  <c r="DT30" i="2"/>
  <c r="IL116" i="1"/>
  <c r="IL123" i="1" s="1"/>
  <c r="FC31" i="3"/>
  <c r="DX30" i="2"/>
  <c r="IT116" i="1"/>
  <c r="IT123" i="1" s="1"/>
  <c r="FO31" i="3"/>
  <c r="EB30" i="2"/>
  <c r="JB116" i="1"/>
  <c r="JB123" i="1" s="1"/>
  <c r="P57" i="2"/>
  <c r="T57" i="2"/>
  <c r="X57" i="2"/>
  <c r="AB57" i="2"/>
  <c r="AF57" i="2"/>
  <c r="AJ57" i="2"/>
  <c r="AN57" i="2"/>
  <c r="AR57" i="2"/>
  <c r="AV57" i="2"/>
  <c r="AZ57" i="2"/>
  <c r="BH57" i="2"/>
  <c r="BL57" i="2"/>
  <c r="BP57" i="2"/>
  <c r="BT57" i="2"/>
  <c r="BX57" i="2"/>
  <c r="O58" i="3"/>
  <c r="CB57" i="2"/>
  <c r="AA58" i="3"/>
  <c r="CF57" i="2"/>
  <c r="AJ58" i="3"/>
  <c r="CI57" i="2"/>
  <c r="AV58" i="3"/>
  <c r="CM57" i="2"/>
  <c r="BH58" i="3"/>
  <c r="CQ57" i="2"/>
  <c r="BT58" i="3"/>
  <c r="CU57" i="2"/>
  <c r="CF58" i="3"/>
  <c r="CY57" i="2"/>
  <c r="CR58" i="3"/>
  <c r="DC57" i="2"/>
  <c r="DD58" i="3"/>
  <c r="DG57" i="2"/>
  <c r="DP58" i="3"/>
  <c r="DK57" i="2"/>
  <c r="EB58" i="3"/>
  <c r="DO57" i="2"/>
  <c r="EN58" i="3"/>
  <c r="DS57" i="2"/>
  <c r="EZ58" i="3"/>
  <c r="DW57" i="2"/>
  <c r="FL58" i="3"/>
  <c r="EA57" i="2"/>
  <c r="G73" i="2"/>
  <c r="J116" i="1"/>
  <c r="K73" i="2"/>
  <c r="R116" i="1"/>
  <c r="O73" i="2"/>
  <c r="Z116" i="1"/>
  <c r="S73" i="2"/>
  <c r="AH116" i="1"/>
  <c r="AH123" i="1" s="1"/>
  <c r="W73" i="2"/>
  <c r="AP116" i="1"/>
  <c r="AP123" i="1" s="1"/>
  <c r="AA73" i="2"/>
  <c r="AX116" i="1"/>
  <c r="AX123" i="1" s="1"/>
  <c r="AE73" i="2"/>
  <c r="BF116" i="1"/>
  <c r="BF123" i="1" s="1"/>
  <c r="AI73" i="2"/>
  <c r="BN116" i="1"/>
  <c r="BN123" i="1" s="1"/>
  <c r="AM73" i="2"/>
  <c r="AQ73" i="2"/>
  <c r="CD116" i="1"/>
  <c r="CD123" i="1" s="1"/>
  <c r="AU73" i="2"/>
  <c r="CL116" i="1"/>
  <c r="AY73" i="2"/>
  <c r="CT116" i="1"/>
  <c r="CT123" i="1" s="1"/>
  <c r="BC73" i="2"/>
  <c r="DB116" i="1"/>
  <c r="DB123" i="1" s="1"/>
  <c r="BG73" i="2"/>
  <c r="DJ116" i="1"/>
  <c r="DJ123" i="1" s="1"/>
  <c r="BK73" i="2"/>
  <c r="DR116" i="1"/>
  <c r="DR123" i="1" s="1"/>
  <c r="BO73" i="2"/>
  <c r="DZ116" i="1"/>
  <c r="DZ123" i="1" s="1"/>
  <c r="BS73" i="2"/>
  <c r="EH116" i="1"/>
  <c r="EH123" i="1" s="1"/>
  <c r="BW73" i="2"/>
  <c r="EP116" i="1"/>
  <c r="EP123" i="1" s="1"/>
  <c r="L74" i="3"/>
  <c r="CA73" i="2"/>
  <c r="X74" i="3"/>
  <c r="CE73" i="2"/>
  <c r="AG74" i="3"/>
  <c r="CH73" i="2"/>
  <c r="AS74" i="3"/>
  <c r="CL73" i="2"/>
  <c r="BE74" i="3"/>
  <c r="CP73" i="2"/>
  <c r="BQ74" i="3"/>
  <c r="CT73" i="2"/>
  <c r="CC74" i="3"/>
  <c r="CX73" i="2"/>
  <c r="CO74" i="3"/>
  <c r="DB73" i="2"/>
  <c r="DA74" i="3"/>
  <c r="DF73" i="2"/>
  <c r="DM74" i="3"/>
  <c r="DJ73" i="2"/>
  <c r="DY74" i="3"/>
  <c r="DN73" i="2"/>
  <c r="EK74" i="3"/>
  <c r="DR73" i="2"/>
  <c r="EW74" i="3"/>
  <c r="DV73" i="2"/>
  <c r="FI74" i="3"/>
  <c r="DZ73" i="2"/>
  <c r="FC44" i="3"/>
  <c r="DX43" i="2"/>
  <c r="FO44" i="3"/>
  <c r="EB43" i="2"/>
  <c r="O67" i="3"/>
  <c r="CB66" i="2"/>
  <c r="AA67" i="3"/>
  <c r="CF66" i="2"/>
  <c r="AJ67" i="3"/>
  <c r="CI66" i="2"/>
  <c r="AV67" i="3"/>
  <c r="CM66" i="2"/>
  <c r="BH67" i="3"/>
  <c r="CQ66" i="2"/>
  <c r="BT67" i="3"/>
  <c r="CU66" i="2"/>
  <c r="CF67" i="3"/>
  <c r="CY66" i="2"/>
  <c r="CR67" i="3"/>
  <c r="DC66" i="2"/>
  <c r="DD67" i="3"/>
  <c r="DG66" i="2"/>
  <c r="DP67" i="3"/>
  <c r="DK66" i="2"/>
  <c r="EB67" i="3"/>
  <c r="DO66" i="2"/>
  <c r="EN67" i="3"/>
  <c r="DS66" i="2"/>
  <c r="EZ67" i="3"/>
  <c r="DW66" i="2"/>
  <c r="FL67" i="3"/>
  <c r="EA66" i="2"/>
  <c r="K116" i="1"/>
  <c r="K123" i="1" s="1"/>
  <c r="S116" i="1"/>
  <c r="S123" i="1" s="1"/>
  <c r="AA116" i="1"/>
  <c r="AA123" i="1" s="1"/>
  <c r="AI116" i="1"/>
  <c r="AI123" i="1" s="1"/>
  <c r="AQ116" i="1"/>
  <c r="AQ123" i="1" s="1"/>
  <c r="AY116" i="1"/>
  <c r="AY123" i="1" s="1"/>
  <c r="BG116" i="1"/>
  <c r="BG123" i="1" s="1"/>
  <c r="BO116" i="1"/>
  <c r="BO123" i="1" s="1"/>
  <c r="BW116" i="1"/>
  <c r="BW123" i="1" s="1"/>
  <c r="BW140" i="1" s="1"/>
  <c r="CE116" i="1"/>
  <c r="CE123" i="1" s="1"/>
  <c r="CM116" i="1"/>
  <c r="CM123" i="1" s="1"/>
  <c r="CU116" i="1"/>
  <c r="CU123" i="1" s="1"/>
  <c r="DC116" i="1"/>
  <c r="DC123" i="1" s="1"/>
  <c r="DK116" i="1"/>
  <c r="DK123" i="1" s="1"/>
  <c r="DS116" i="1"/>
  <c r="DS123" i="1" s="1"/>
  <c r="EA116" i="1"/>
  <c r="EA123" i="1" s="1"/>
  <c r="EI116" i="1"/>
  <c r="EI123" i="1" s="1"/>
  <c r="EI140" i="1" s="1"/>
  <c r="EI154" i="1" s="1"/>
  <c r="EQ116" i="1"/>
  <c r="EQ123" i="1" s="1"/>
  <c r="F30" i="2"/>
  <c r="J30" i="2"/>
  <c r="N30" i="2"/>
  <c r="R30" i="2"/>
  <c r="V30" i="2"/>
  <c r="Z30" i="2"/>
  <c r="AD30" i="2"/>
  <c r="BL31" i="1"/>
  <c r="AH30" i="2" s="1"/>
  <c r="AL30" i="2"/>
  <c r="AP30" i="2"/>
  <c r="AT30" i="2"/>
  <c r="AX30" i="2"/>
  <c r="BB30" i="2"/>
  <c r="BF30" i="2"/>
  <c r="BJ30" i="2"/>
  <c r="BN30" i="2"/>
  <c r="BR30" i="2"/>
  <c r="BV30" i="2"/>
  <c r="I31" i="3"/>
  <c r="BZ30" i="2"/>
  <c r="EV116" i="1"/>
  <c r="U31" i="3"/>
  <c r="CD30" i="2"/>
  <c r="FD116" i="1"/>
  <c r="FD123" i="1" s="1"/>
  <c r="FM152" i="1"/>
  <c r="AP31" i="3"/>
  <c r="CK30" i="2"/>
  <c r="FT116" i="1"/>
  <c r="FT123" i="1" s="1"/>
  <c r="BB31" i="3"/>
  <c r="CO30" i="2"/>
  <c r="GB116" i="1"/>
  <c r="GB123" i="1" s="1"/>
  <c r="BN31" i="3"/>
  <c r="CS30" i="2"/>
  <c r="GJ116" i="1"/>
  <c r="GJ123" i="1" s="1"/>
  <c r="BZ31" i="3"/>
  <c r="CW30" i="2"/>
  <c r="GR116" i="1"/>
  <c r="GR123" i="1" s="1"/>
  <c r="D116" i="1"/>
  <c r="DD116" i="1"/>
  <c r="DD123" i="1" s="1"/>
  <c r="FF44" i="3"/>
  <c r="DY43" i="2"/>
  <c r="FR44" i="3"/>
  <c r="EC43" i="2"/>
  <c r="E116" i="1"/>
  <c r="E123" i="1" s="1"/>
  <c r="M116" i="1"/>
  <c r="M123" i="1" s="1"/>
  <c r="U116" i="1"/>
  <c r="U123" i="1" s="1"/>
  <c r="AC116" i="1"/>
  <c r="AC123" i="1" s="1"/>
  <c r="AK116" i="1"/>
  <c r="AK123" i="1" s="1"/>
  <c r="AS116" i="1"/>
  <c r="AS123" i="1" s="1"/>
  <c r="BA116" i="1"/>
  <c r="BA123" i="1" s="1"/>
  <c r="BI116" i="1"/>
  <c r="BI123" i="1" s="1"/>
  <c r="BQ116" i="1"/>
  <c r="BQ123" i="1" s="1"/>
  <c r="BY116" i="1"/>
  <c r="BY123" i="1" s="1"/>
  <c r="CG116" i="1"/>
  <c r="CG123" i="1" s="1"/>
  <c r="CO116" i="1"/>
  <c r="CO123" i="1" s="1"/>
  <c r="CW116" i="1"/>
  <c r="CW123" i="1" s="1"/>
  <c r="DE116" i="1"/>
  <c r="DE123" i="1" s="1"/>
  <c r="DM116" i="1"/>
  <c r="DM123" i="1" s="1"/>
  <c r="DU116" i="1"/>
  <c r="DU123" i="1" s="1"/>
  <c r="EC116" i="1"/>
  <c r="EC123" i="1" s="1"/>
  <c r="EK116" i="1"/>
  <c r="EK123" i="1" s="1"/>
  <c r="ES116" i="1"/>
  <c r="ES123" i="1" s="1"/>
  <c r="EW140" i="1"/>
  <c r="EW154" i="1" s="1"/>
  <c r="FE140" i="1"/>
  <c r="FE154" i="1" s="1"/>
  <c r="GC140" i="1"/>
  <c r="GC154" i="1" s="1"/>
  <c r="HI140" i="1"/>
  <c r="HI154" i="1" s="1"/>
  <c r="IO140" i="1"/>
  <c r="G30" i="2"/>
  <c r="K30" i="2"/>
  <c r="O30" i="2"/>
  <c r="S30" i="2"/>
  <c r="W30" i="2"/>
  <c r="AA30" i="2"/>
  <c r="AE30" i="2"/>
  <c r="AI30" i="2"/>
  <c r="BV31" i="1"/>
  <c r="AM30" i="2" s="1"/>
  <c r="AQ30" i="2"/>
  <c r="AU30" i="2"/>
  <c r="AY30" i="2"/>
  <c r="BC30" i="2"/>
  <c r="BG30" i="2"/>
  <c r="BK30" i="2"/>
  <c r="BO30" i="2"/>
  <c r="BS30" i="2"/>
  <c r="BW30" i="2"/>
  <c r="L31" i="3"/>
  <c r="CA30" i="2"/>
  <c r="EX116" i="1"/>
  <c r="EX123" i="1" s="1"/>
  <c r="X31" i="3"/>
  <c r="CE30" i="2"/>
  <c r="FF116" i="1"/>
  <c r="FF123" i="1" s="1"/>
  <c r="AG31" i="3"/>
  <c r="CH30" i="2"/>
  <c r="FN116" i="1"/>
  <c r="FN123" i="1" s="1"/>
  <c r="AS31" i="3"/>
  <c r="CL30" i="2"/>
  <c r="FV116" i="1"/>
  <c r="FV123" i="1" s="1"/>
  <c r="BE31" i="3"/>
  <c r="CP30" i="2"/>
  <c r="GD116" i="1"/>
  <c r="GD123" i="1" s="1"/>
  <c r="BQ31" i="3"/>
  <c r="CT30" i="2"/>
  <c r="GL116" i="1"/>
  <c r="GL123" i="1" s="1"/>
  <c r="CC31" i="3"/>
  <c r="CX30" i="2"/>
  <c r="GT116" i="1"/>
  <c r="GT123" i="1" s="1"/>
  <c r="CO31" i="3"/>
  <c r="DB30" i="2"/>
  <c r="HB116" i="1"/>
  <c r="HB123" i="1" s="1"/>
  <c r="DA31" i="3"/>
  <c r="DF30" i="2"/>
  <c r="HJ116" i="1"/>
  <c r="HJ123" i="1" s="1"/>
  <c r="DM31" i="3"/>
  <c r="DJ30" i="2"/>
  <c r="HR116" i="1"/>
  <c r="HR123" i="1" s="1"/>
  <c r="DY31" i="3"/>
  <c r="DN30" i="2"/>
  <c r="HZ116" i="1"/>
  <c r="HZ123" i="1" s="1"/>
  <c r="EK31" i="3"/>
  <c r="DR30" i="2"/>
  <c r="IH116" i="1"/>
  <c r="IH123" i="1" s="1"/>
  <c r="EW31" i="3"/>
  <c r="DV30" i="2"/>
  <c r="IP116" i="1"/>
  <c r="IP123" i="1" s="1"/>
  <c r="FI31" i="3"/>
  <c r="DZ30" i="2"/>
  <c r="IX116" i="1"/>
  <c r="IX123" i="1" s="1"/>
  <c r="F57" i="2"/>
  <c r="J57" i="2"/>
  <c r="N57" i="2"/>
  <c r="R57" i="2"/>
  <c r="V57" i="2"/>
  <c r="Z57" i="2"/>
  <c r="AD57" i="2"/>
  <c r="AH57" i="2"/>
  <c r="AL57" i="2"/>
  <c r="AP57" i="2"/>
  <c r="AT57" i="2"/>
  <c r="AX57" i="2"/>
  <c r="BB57" i="2"/>
  <c r="BF57" i="2"/>
  <c r="BJ57" i="2"/>
  <c r="BN57" i="2"/>
  <c r="BR57" i="2"/>
  <c r="BV57" i="2"/>
  <c r="I58" i="3"/>
  <c r="BZ57" i="2"/>
  <c r="U58" i="3"/>
  <c r="CD57" i="2"/>
  <c r="AP58" i="3"/>
  <c r="CK57" i="2"/>
  <c r="BB58" i="3"/>
  <c r="CO57" i="2"/>
  <c r="BN58" i="3"/>
  <c r="CS57" i="2"/>
  <c r="BZ58" i="3"/>
  <c r="CW57" i="2"/>
  <c r="CL58" i="3"/>
  <c r="DA57" i="2"/>
  <c r="CX58" i="3"/>
  <c r="DE57" i="2"/>
  <c r="DJ58" i="3"/>
  <c r="DI57" i="2"/>
  <c r="DV58" i="3"/>
  <c r="DM57" i="2"/>
  <c r="EH58" i="3"/>
  <c r="DQ57" i="2"/>
  <c r="ET58" i="3"/>
  <c r="DU57" i="2"/>
  <c r="FF58" i="3"/>
  <c r="DY57" i="2"/>
  <c r="FR58" i="3"/>
  <c r="EC57" i="2"/>
  <c r="IY116" i="1"/>
  <c r="IY123" i="1" s="1"/>
  <c r="FI44" i="3"/>
  <c r="DZ43" i="2"/>
  <c r="F66" i="2"/>
  <c r="J66" i="2"/>
  <c r="N66" i="2"/>
  <c r="R66" i="2"/>
  <c r="V66" i="2"/>
  <c r="Z66" i="2"/>
  <c r="AD66" i="2"/>
  <c r="AH66" i="2"/>
  <c r="AL66" i="2"/>
  <c r="AP66" i="2"/>
  <c r="AT66" i="2"/>
  <c r="AX66" i="2"/>
  <c r="BB66" i="2"/>
  <c r="BF66" i="2"/>
  <c r="BJ66" i="2"/>
  <c r="BN66" i="2"/>
  <c r="BR66" i="2"/>
  <c r="BV66" i="2"/>
  <c r="I67" i="3"/>
  <c r="I67" i="2"/>
  <c r="BZ66" i="2"/>
  <c r="U67" i="3"/>
  <c r="CD66" i="2"/>
  <c r="AP67" i="3"/>
  <c r="CK66" i="2"/>
  <c r="BB67" i="3"/>
  <c r="CO66" i="2"/>
  <c r="BN67" i="3"/>
  <c r="CS66" i="2"/>
  <c r="BZ67" i="3"/>
  <c r="CW66" i="2"/>
  <c r="CL67" i="3"/>
  <c r="DA66" i="2"/>
  <c r="CX67" i="3"/>
  <c r="DE66" i="2"/>
  <c r="DJ67" i="3"/>
  <c r="DI66" i="2"/>
  <c r="DV67" i="3"/>
  <c r="DM66" i="2"/>
  <c r="EH67" i="3"/>
  <c r="DQ66" i="2"/>
  <c r="ET67" i="3"/>
  <c r="DU66" i="2"/>
  <c r="FF67" i="3"/>
  <c r="DY66" i="2"/>
  <c r="G116" i="1"/>
  <c r="G123" i="1" s="1"/>
  <c r="O116" i="1"/>
  <c r="O123" i="1" s="1"/>
  <c r="W116" i="1"/>
  <c r="W123" i="1" s="1"/>
  <c r="AE116" i="1"/>
  <c r="AE123" i="1" s="1"/>
  <c r="AM116" i="1"/>
  <c r="AM123" i="1" s="1"/>
  <c r="AU116" i="1"/>
  <c r="AU123" i="1" s="1"/>
  <c r="BC116" i="1"/>
  <c r="BC123" i="1" s="1"/>
  <c r="BK116" i="1"/>
  <c r="BK123" i="1" s="1"/>
  <c r="BK140" i="1" s="1"/>
  <c r="BS116" i="1"/>
  <c r="BS123" i="1" s="1"/>
  <c r="CA116" i="1"/>
  <c r="CA123" i="1" s="1"/>
  <c r="CA140" i="1" s="1"/>
  <c r="CI116" i="1"/>
  <c r="CI123" i="1" s="1"/>
  <c r="CQ116" i="1"/>
  <c r="CY116" i="1"/>
  <c r="CY123" i="1" s="1"/>
  <c r="DG116" i="1"/>
  <c r="DO116" i="1"/>
  <c r="DO123" i="1" s="1"/>
  <c r="DW116" i="1"/>
  <c r="EE116" i="1"/>
  <c r="EE123" i="1" s="1"/>
  <c r="EM116" i="1"/>
  <c r="EM123" i="1" s="1"/>
  <c r="EM140" i="1" s="1"/>
  <c r="EM154" i="1" s="1"/>
  <c r="EU116" i="1"/>
  <c r="EU123" i="1" s="1"/>
  <c r="BO140" i="1"/>
  <c r="DC140" i="1"/>
  <c r="EA140" i="1"/>
  <c r="EA154" i="1" s="1"/>
  <c r="FG140" i="1"/>
  <c r="FG154" i="1" s="1"/>
  <c r="IY140" i="1"/>
  <c r="AA31" i="3"/>
  <c r="CF30" i="2"/>
  <c r="FH116" i="1"/>
  <c r="FH123" i="1" s="1"/>
  <c r="AV31" i="3"/>
  <c r="CM30" i="2"/>
  <c r="FX116" i="1"/>
  <c r="FX123" i="1" s="1"/>
  <c r="BT31" i="3"/>
  <c r="CU30" i="2"/>
  <c r="GN116" i="1"/>
  <c r="GN123" i="1" s="1"/>
  <c r="CR31" i="3"/>
  <c r="DC30" i="2"/>
  <c r="HD116" i="1"/>
  <c r="HD123" i="1" s="1"/>
  <c r="EB31" i="3"/>
  <c r="DO30" i="2"/>
  <c r="IB116" i="1"/>
  <c r="IB123" i="1" s="1"/>
  <c r="EZ31" i="3"/>
  <c r="DW30" i="2"/>
  <c r="IR116" i="1"/>
  <c r="IR123" i="1" s="1"/>
  <c r="L58" i="3"/>
  <c r="CA57" i="2"/>
  <c r="X58" i="3"/>
  <c r="CE57" i="2"/>
  <c r="AG58" i="3"/>
  <c r="CH57" i="2"/>
  <c r="AS58" i="3"/>
  <c r="CL57" i="2"/>
  <c r="BE58" i="3"/>
  <c r="CP57" i="2"/>
  <c r="BQ58" i="3"/>
  <c r="CT57" i="2"/>
  <c r="CC58" i="3"/>
  <c r="CX57" i="2"/>
  <c r="CO58" i="3"/>
  <c r="DB57" i="2"/>
  <c r="DA58" i="3"/>
  <c r="DF57" i="2"/>
  <c r="DM58" i="3"/>
  <c r="DJ57" i="2"/>
  <c r="DY58" i="3"/>
  <c r="DN57" i="2"/>
  <c r="EK58" i="3"/>
  <c r="DR57" i="2"/>
  <c r="EW58" i="3"/>
  <c r="DV57" i="2"/>
  <c r="FI58" i="3"/>
  <c r="DZ57" i="2"/>
  <c r="F73" i="2"/>
  <c r="H116" i="1"/>
  <c r="J73" i="2"/>
  <c r="P116" i="1"/>
  <c r="N73" i="2"/>
  <c r="X116" i="1"/>
  <c r="R73" i="2"/>
  <c r="AF116" i="1"/>
  <c r="V73" i="2"/>
  <c r="AN116" i="1"/>
  <c r="AN123" i="1" s="1"/>
  <c r="Z73" i="2"/>
  <c r="AV116" i="1"/>
  <c r="AV123" i="1" s="1"/>
  <c r="AD73" i="2"/>
  <c r="BD116" i="1"/>
  <c r="BD123" i="1" s="1"/>
  <c r="AH73" i="2"/>
  <c r="BL116" i="1"/>
  <c r="BL123" i="1" s="1"/>
  <c r="HT140" i="1"/>
  <c r="IZ140" i="1"/>
  <c r="CL31" i="3"/>
  <c r="DA30" i="2"/>
  <c r="CX31" i="3"/>
  <c r="DE30" i="2"/>
  <c r="DJ31" i="3"/>
  <c r="DI30" i="2"/>
  <c r="DV31" i="3"/>
  <c r="DM30" i="2"/>
  <c r="EH31" i="3"/>
  <c r="DQ30" i="2"/>
  <c r="ET31" i="3"/>
  <c r="DU30" i="2"/>
  <c r="FF31" i="3"/>
  <c r="DY30" i="2"/>
  <c r="FR31" i="3"/>
  <c r="EC30" i="2"/>
  <c r="E57" i="2"/>
  <c r="I57" i="2"/>
  <c r="M57" i="2"/>
  <c r="Q57" i="2"/>
  <c r="U57" i="2"/>
  <c r="Y57" i="2"/>
  <c r="AC57" i="2"/>
  <c r="AG57" i="2"/>
  <c r="AK57" i="2"/>
  <c r="AO57" i="2"/>
  <c r="AS57" i="2"/>
  <c r="AW57" i="2"/>
  <c r="BA57" i="2"/>
  <c r="BE57" i="2"/>
  <c r="BI57" i="2"/>
  <c r="BM57" i="2"/>
  <c r="BQ57" i="2"/>
  <c r="BU57" i="2"/>
  <c r="F58" i="3"/>
  <c r="BY57" i="2"/>
  <c r="R58" i="3"/>
  <c r="CC57" i="2"/>
  <c r="AD58" i="3"/>
  <c r="CG57" i="2"/>
  <c r="AM58" i="3"/>
  <c r="CJ57" i="2"/>
  <c r="AY58" i="3"/>
  <c r="CN57" i="2"/>
  <c r="BK58" i="3"/>
  <c r="CR57" i="2"/>
  <c r="BW58" i="3"/>
  <c r="CV57" i="2"/>
  <c r="CI58" i="3"/>
  <c r="CZ57" i="2"/>
  <c r="CU58" i="3"/>
  <c r="DD57" i="2"/>
  <c r="DG58" i="3"/>
  <c r="DH57" i="2"/>
  <c r="DS58" i="3"/>
  <c r="DL57" i="2"/>
  <c r="EE58" i="3"/>
  <c r="DP57" i="2"/>
  <c r="EQ58" i="3"/>
  <c r="DT57" i="2"/>
  <c r="FC58" i="3"/>
  <c r="DX57" i="2"/>
  <c r="FO58" i="3"/>
  <c r="EB57" i="2"/>
  <c r="H73" i="2"/>
  <c r="L73" i="2"/>
  <c r="P73" i="2"/>
  <c r="T73" i="2"/>
  <c r="X73" i="2"/>
  <c r="AB73" i="2"/>
  <c r="AF73" i="2"/>
  <c r="AJ73" i="2"/>
  <c r="AN73" i="2"/>
  <c r="AR73" i="2"/>
  <c r="AV73" i="2"/>
  <c r="AZ73" i="2"/>
  <c r="BH73" i="2"/>
  <c r="BL73" i="2"/>
  <c r="BP73" i="2"/>
  <c r="BT73" i="2"/>
  <c r="BX73" i="2"/>
  <c r="O74" i="3"/>
  <c r="CB73" i="2"/>
  <c r="AA74" i="3"/>
  <c r="CF73" i="2"/>
  <c r="AJ74" i="3"/>
  <c r="CI73" i="2"/>
  <c r="AV74" i="3"/>
  <c r="CM73" i="2"/>
  <c r="BH74" i="3"/>
  <c r="CQ73" i="2"/>
  <c r="BT74" i="3"/>
  <c r="CU73" i="2"/>
  <c r="CF74" i="3"/>
  <c r="CY73" i="2"/>
  <c r="CR74" i="3"/>
  <c r="DC73" i="2"/>
  <c r="DD74" i="3"/>
  <c r="DG73" i="2"/>
  <c r="DP74" i="3"/>
  <c r="DK73" i="2"/>
  <c r="EB74" i="3"/>
  <c r="DO73" i="2"/>
  <c r="EN74" i="3"/>
  <c r="DS73" i="2"/>
  <c r="EZ74" i="3"/>
  <c r="DW73" i="2"/>
  <c r="FL74" i="3"/>
  <c r="EA73" i="2"/>
  <c r="O83" i="3"/>
  <c r="CB82" i="2"/>
  <c r="AA83" i="3"/>
  <c r="CF82" i="2"/>
  <c r="AJ83" i="3"/>
  <c r="CI82" i="2"/>
  <c r="AV83" i="3"/>
  <c r="AV82" i="3"/>
  <c r="CM82" i="2"/>
  <c r="BH83" i="3"/>
  <c r="BH82" i="3"/>
  <c r="CQ82" i="2"/>
  <c r="BT83" i="3"/>
  <c r="CU82" i="2"/>
  <c r="CF83" i="3"/>
  <c r="CY82" i="2"/>
  <c r="CR83" i="3"/>
  <c r="DC82" i="2"/>
  <c r="DD83" i="3"/>
  <c r="DG82" i="2"/>
  <c r="DP83" i="3"/>
  <c r="DK82" i="2"/>
  <c r="EB83" i="3"/>
  <c r="DO82" i="2"/>
  <c r="EN83" i="3"/>
  <c r="DS82" i="2"/>
  <c r="EZ83" i="3"/>
  <c r="DW82" i="2"/>
  <c r="FL83" i="3"/>
  <c r="EA82" i="2"/>
  <c r="CX95" i="3"/>
  <c r="DE94" i="2"/>
  <c r="DJ95" i="3"/>
  <c r="DI94" i="2"/>
  <c r="DV95" i="3"/>
  <c r="DM94" i="2"/>
  <c r="EH95" i="3"/>
  <c r="DQ94" i="2"/>
  <c r="ET95" i="3"/>
  <c r="DU94" i="2"/>
  <c r="FF95" i="3"/>
  <c r="DY94" i="2"/>
  <c r="FR95" i="3"/>
  <c r="EC94" i="2"/>
  <c r="AG104" i="2"/>
  <c r="AK104" i="2"/>
  <c r="AO104" i="2"/>
  <c r="AS104" i="2"/>
  <c r="AW104" i="2"/>
  <c r="BA104" i="2"/>
  <c r="BE104" i="2"/>
  <c r="BI104" i="2"/>
  <c r="BM104" i="2"/>
  <c r="BQ104" i="2"/>
  <c r="BU104" i="2"/>
  <c r="F105" i="3"/>
  <c r="BY104" i="2"/>
  <c r="R105" i="3"/>
  <c r="CC104" i="2"/>
  <c r="AD105" i="3"/>
  <c r="CG104" i="2"/>
  <c r="AM105" i="3"/>
  <c r="CJ104" i="2"/>
  <c r="AY105" i="3"/>
  <c r="CN104" i="2"/>
  <c r="BK105" i="3"/>
  <c r="CR104" i="2"/>
  <c r="BW105" i="3"/>
  <c r="CV104" i="2"/>
  <c r="CI105" i="3"/>
  <c r="CZ104" i="2"/>
  <c r="CU105" i="3"/>
  <c r="DD104" i="2"/>
  <c r="DG105" i="3"/>
  <c r="DH104" i="2"/>
  <c r="DS105" i="3"/>
  <c r="DL104" i="2"/>
  <c r="EE105" i="3"/>
  <c r="DP104" i="2"/>
  <c r="EQ105" i="3"/>
  <c r="DT104" i="2"/>
  <c r="FC105" i="3"/>
  <c r="DX104" i="2"/>
  <c r="FO105" i="3"/>
  <c r="EB104" i="2"/>
  <c r="AK130" i="2"/>
  <c r="AO130" i="2"/>
  <c r="AS130" i="2"/>
  <c r="AW130" i="2"/>
  <c r="BE130" i="2"/>
  <c r="BM130" i="2"/>
  <c r="BQ130" i="2"/>
  <c r="BT116" i="1"/>
  <c r="BT123" i="1" s="1"/>
  <c r="CZ116" i="1"/>
  <c r="CZ123" i="1" s="1"/>
  <c r="EF116" i="1"/>
  <c r="EF123" i="1" s="1"/>
  <c r="HX116" i="1"/>
  <c r="HX123" i="1" s="1"/>
  <c r="JD116" i="1"/>
  <c r="JD123" i="1" s="1"/>
  <c r="AX140" i="1"/>
  <c r="CD140" i="1"/>
  <c r="DJ140" i="1"/>
  <c r="DX125" i="3"/>
  <c r="IA149" i="1"/>
  <c r="EJ125" i="3"/>
  <c r="II149" i="1"/>
  <c r="EV125" i="3"/>
  <c r="IQ149" i="1"/>
  <c r="E66" i="2"/>
  <c r="I66" i="2"/>
  <c r="M66" i="2"/>
  <c r="Q66" i="2"/>
  <c r="U66" i="2"/>
  <c r="Y66" i="2"/>
  <c r="AC66" i="2"/>
  <c r="AG66" i="2"/>
  <c r="AK66" i="2"/>
  <c r="AO66" i="2"/>
  <c r="AS66" i="2"/>
  <c r="AW66" i="2"/>
  <c r="BA66" i="2"/>
  <c r="BE66" i="2"/>
  <c r="BI66" i="2"/>
  <c r="BM66" i="2"/>
  <c r="BQ66" i="2"/>
  <c r="BU66" i="2"/>
  <c r="F67" i="3"/>
  <c r="BY66" i="2"/>
  <c r="R67" i="3"/>
  <c r="CC66" i="2"/>
  <c r="AD67" i="3"/>
  <c r="CG66" i="2"/>
  <c r="AM67" i="3"/>
  <c r="CJ66" i="2"/>
  <c r="AY67" i="3"/>
  <c r="CN66" i="2"/>
  <c r="BK67" i="3"/>
  <c r="CR66" i="2"/>
  <c r="BW67" i="3"/>
  <c r="CV66" i="2"/>
  <c r="CI67" i="3"/>
  <c r="CZ66" i="2"/>
  <c r="CU67" i="3"/>
  <c r="DD66" i="2"/>
  <c r="DG67" i="3"/>
  <c r="DH66" i="2"/>
  <c r="DS67" i="3"/>
  <c r="DL66" i="2"/>
  <c r="EE67" i="3"/>
  <c r="DP66" i="2"/>
  <c r="EQ67" i="3"/>
  <c r="DT66" i="2"/>
  <c r="FC67" i="3"/>
  <c r="DX66" i="2"/>
  <c r="FO67" i="3"/>
  <c r="EB66" i="2"/>
  <c r="BT89" i="3"/>
  <c r="CU88" i="2"/>
  <c r="CF89" i="3"/>
  <c r="CY88" i="2"/>
  <c r="CR89" i="3"/>
  <c r="DC88" i="2"/>
  <c r="DD89" i="3"/>
  <c r="DG88" i="2"/>
  <c r="DP89" i="3"/>
  <c r="DK88" i="2"/>
  <c r="EB89" i="3"/>
  <c r="DO88" i="2"/>
  <c r="EN89" i="3"/>
  <c r="DS88" i="2"/>
  <c r="EZ89" i="3"/>
  <c r="DW88" i="2"/>
  <c r="FL89" i="3"/>
  <c r="EA88" i="2"/>
  <c r="DD100" i="3"/>
  <c r="DG99" i="2"/>
  <c r="DP100" i="3"/>
  <c r="DK99" i="2"/>
  <c r="EB100" i="3"/>
  <c r="DO99" i="2"/>
  <c r="EN100" i="3"/>
  <c r="DS99" i="2"/>
  <c r="EZ100" i="3"/>
  <c r="DW99" i="2"/>
  <c r="FL100" i="3"/>
  <c r="EA99" i="2"/>
  <c r="AJ111" i="2"/>
  <c r="AN111" i="2"/>
  <c r="AR111" i="2"/>
  <c r="AV111" i="2"/>
  <c r="AZ111" i="2"/>
  <c r="BH111" i="2"/>
  <c r="BL111" i="2"/>
  <c r="BP111" i="2"/>
  <c r="BT111" i="2"/>
  <c r="BX111" i="2"/>
  <c r="O112" i="3"/>
  <c r="CB111" i="2"/>
  <c r="AA112" i="3"/>
  <c r="CF111" i="2"/>
  <c r="AJ112" i="3"/>
  <c r="CI111" i="2"/>
  <c r="AV112" i="3"/>
  <c r="CM111" i="2"/>
  <c r="BH112" i="3"/>
  <c r="CQ111" i="2"/>
  <c r="BT112" i="3"/>
  <c r="CU111" i="2"/>
  <c r="CF112" i="3"/>
  <c r="CY111" i="2"/>
  <c r="CR112" i="3"/>
  <c r="DC111" i="2"/>
  <c r="DD112" i="3"/>
  <c r="DG111" i="2"/>
  <c r="DP112" i="3"/>
  <c r="DK111" i="2"/>
  <c r="EB112" i="3"/>
  <c r="DO111" i="2"/>
  <c r="EN112" i="3"/>
  <c r="DS111" i="2"/>
  <c r="EZ112" i="3"/>
  <c r="DW111" i="2"/>
  <c r="FL112" i="3"/>
  <c r="EA111" i="2"/>
  <c r="T116" i="1"/>
  <c r="AZ116" i="1"/>
  <c r="AZ123" i="1" s="1"/>
  <c r="CF116" i="1"/>
  <c r="DL116" i="1"/>
  <c r="DL123" i="1" s="1"/>
  <c r="ER116" i="1"/>
  <c r="ER123" i="1" s="1"/>
  <c r="V137" i="2"/>
  <c r="AZ137" i="2"/>
  <c r="BS137" i="2"/>
  <c r="AY140" i="1"/>
  <c r="BG140" i="1"/>
  <c r="CE140" i="1"/>
  <c r="CM140" i="1"/>
  <c r="DK140" i="1"/>
  <c r="DS140" i="1"/>
  <c r="EQ140" i="1"/>
  <c r="EQ154" i="1" s="1"/>
  <c r="EY140" i="1"/>
  <c r="EY154" i="1" s="1"/>
  <c r="FO140" i="1"/>
  <c r="FO154" i="1" s="1"/>
  <c r="FW140" i="1"/>
  <c r="FW154" i="1" s="1"/>
  <c r="GE140" i="1"/>
  <c r="GE154" i="1" s="1"/>
  <c r="GU140" i="1"/>
  <c r="GU154" i="1" s="1"/>
  <c r="HC140" i="1"/>
  <c r="HC154" i="1" s="1"/>
  <c r="HK140" i="1"/>
  <c r="HK154" i="1" s="1"/>
  <c r="IA140" i="1"/>
  <c r="II140" i="1"/>
  <c r="II154" i="1" s="1"/>
  <c r="IQ140" i="1"/>
  <c r="IQ154" i="1" s="1"/>
  <c r="CG136" i="1"/>
  <c r="EC123" i="3"/>
  <c r="EE123" i="3"/>
  <c r="DP122" i="2"/>
  <c r="ID149" i="1"/>
  <c r="EQ123" i="3"/>
  <c r="EO123" i="3"/>
  <c r="DT122" i="2"/>
  <c r="IL149" i="1"/>
  <c r="FA123" i="3"/>
  <c r="FC123" i="3"/>
  <c r="DX122" i="2"/>
  <c r="IT149" i="1"/>
  <c r="FO123" i="3"/>
  <c r="FM123" i="3"/>
  <c r="EB122" i="2"/>
  <c r="JB149" i="1"/>
  <c r="DZ124" i="3"/>
  <c r="EB124" i="3"/>
  <c r="DO123" i="2"/>
  <c r="EN124" i="3"/>
  <c r="EL124" i="3"/>
  <c r="DS123" i="2"/>
  <c r="EZ124" i="3"/>
  <c r="EX124" i="3"/>
  <c r="DW123" i="2"/>
  <c r="FJ124" i="3"/>
  <c r="FL124" i="3"/>
  <c r="EA123" i="2"/>
  <c r="E73" i="2"/>
  <c r="F116" i="1"/>
  <c r="I73" i="2"/>
  <c r="N116" i="1"/>
  <c r="M73" i="2"/>
  <c r="V116" i="1"/>
  <c r="Q73" i="2"/>
  <c r="AD116" i="1"/>
  <c r="U73" i="2"/>
  <c r="AL116" i="1"/>
  <c r="AL123" i="1" s="1"/>
  <c r="Y73" i="2"/>
  <c r="AT116" i="1"/>
  <c r="AT123" i="1" s="1"/>
  <c r="AC73" i="2"/>
  <c r="BB116" i="1"/>
  <c r="BB123" i="1" s="1"/>
  <c r="AG73" i="2"/>
  <c r="BJ116" i="1"/>
  <c r="BJ123" i="1" s="1"/>
  <c r="AK73" i="2"/>
  <c r="BR116" i="1"/>
  <c r="BR123" i="1" s="1"/>
  <c r="AO73" i="2"/>
  <c r="AS73" i="2"/>
  <c r="CH116" i="1"/>
  <c r="CH123" i="1" s="1"/>
  <c r="AW73" i="2"/>
  <c r="CP116" i="1"/>
  <c r="CP123" i="1" s="1"/>
  <c r="BA73" i="2"/>
  <c r="CX116" i="1"/>
  <c r="CX123" i="1" s="1"/>
  <c r="BE73" i="2"/>
  <c r="DF116" i="1"/>
  <c r="DF123" i="1" s="1"/>
  <c r="BI73" i="2"/>
  <c r="DN116" i="1"/>
  <c r="DN123" i="1" s="1"/>
  <c r="BM73" i="2"/>
  <c r="DV116" i="1"/>
  <c r="DV123" i="1" s="1"/>
  <c r="BQ73" i="2"/>
  <c r="ED116" i="1"/>
  <c r="ED123" i="1" s="1"/>
  <c r="BU73" i="2"/>
  <c r="EL116" i="1"/>
  <c r="EL123" i="1" s="1"/>
  <c r="F74" i="3"/>
  <c r="BY73" i="2"/>
  <c r="ET116" i="1"/>
  <c r="ET123" i="1" s="1"/>
  <c r="R74" i="3"/>
  <c r="CC73" i="2"/>
  <c r="AD74" i="3"/>
  <c r="CG73" i="2"/>
  <c r="AM74" i="3"/>
  <c r="CJ73" i="2"/>
  <c r="AY74" i="3"/>
  <c r="CN73" i="2"/>
  <c r="BK74" i="3"/>
  <c r="CR73" i="2"/>
  <c r="BW74" i="3"/>
  <c r="CV73" i="2"/>
  <c r="CI74" i="3"/>
  <c r="CZ73" i="2"/>
  <c r="CU74" i="3"/>
  <c r="DD73" i="2"/>
  <c r="DG74" i="3"/>
  <c r="DH73" i="2"/>
  <c r="DS74" i="3"/>
  <c r="DL73" i="2"/>
  <c r="EE74" i="3"/>
  <c r="DP73" i="2"/>
  <c r="EQ74" i="3"/>
  <c r="DT73" i="2"/>
  <c r="FC74" i="3"/>
  <c r="DX73" i="2"/>
  <c r="FO74" i="3"/>
  <c r="EB73" i="2"/>
  <c r="F83" i="3"/>
  <c r="R83" i="3"/>
  <c r="CC82" i="2"/>
  <c r="AD83" i="3"/>
  <c r="CG82" i="2"/>
  <c r="AM83" i="3"/>
  <c r="CJ82" i="2"/>
  <c r="AY83" i="3"/>
  <c r="AY82" i="3"/>
  <c r="CN82" i="2"/>
  <c r="BK83" i="3"/>
  <c r="BK82" i="3"/>
  <c r="CR82" i="2"/>
  <c r="BW83" i="3"/>
  <c r="CV82" i="2"/>
  <c r="CI83" i="3"/>
  <c r="CZ82" i="2"/>
  <c r="CU83" i="3"/>
  <c r="DD82" i="2"/>
  <c r="DG83" i="3"/>
  <c r="DH82" i="2"/>
  <c r="DS83" i="3"/>
  <c r="DL82" i="2"/>
  <c r="EE83" i="3"/>
  <c r="DP82" i="2"/>
  <c r="EQ83" i="3"/>
  <c r="DT82" i="2"/>
  <c r="FC83" i="3"/>
  <c r="DX82" i="2"/>
  <c r="FO83" i="3"/>
  <c r="EB82" i="2"/>
  <c r="CO95" i="3"/>
  <c r="DB94" i="2"/>
  <c r="DA95" i="3"/>
  <c r="DF94" i="2"/>
  <c r="DM95" i="3"/>
  <c r="DJ94" i="2"/>
  <c r="DY95" i="3"/>
  <c r="DN94" i="2"/>
  <c r="EK95" i="3"/>
  <c r="DR94" i="2"/>
  <c r="EW95" i="3"/>
  <c r="DV94" i="2"/>
  <c r="FI95" i="3"/>
  <c r="DZ94" i="2"/>
  <c r="AD104" i="2"/>
  <c r="AH104" i="2"/>
  <c r="AL104" i="2"/>
  <c r="AP104" i="2"/>
  <c r="AT104" i="2"/>
  <c r="AX104" i="2"/>
  <c r="BB104" i="2"/>
  <c r="BF104" i="2"/>
  <c r="BJ104" i="2"/>
  <c r="BN104" i="2"/>
  <c r="BR104" i="2"/>
  <c r="BV104" i="2"/>
  <c r="I105" i="3"/>
  <c r="BZ104" i="2"/>
  <c r="U105" i="3"/>
  <c r="CD104" i="2"/>
  <c r="AP105" i="3"/>
  <c r="CK104" i="2"/>
  <c r="BB105" i="3"/>
  <c r="CO104" i="2"/>
  <c r="BN105" i="3"/>
  <c r="CS104" i="2"/>
  <c r="BZ105" i="3"/>
  <c r="CW104" i="2"/>
  <c r="CL105" i="3"/>
  <c r="DA104" i="2"/>
  <c r="CX105" i="3"/>
  <c r="DE104" i="2"/>
  <c r="DJ105" i="3"/>
  <c r="DI104" i="2"/>
  <c r="DV105" i="3"/>
  <c r="DM104" i="2"/>
  <c r="EH105" i="3"/>
  <c r="DQ104" i="2"/>
  <c r="ET105" i="3"/>
  <c r="DU104" i="2"/>
  <c r="FF105" i="3"/>
  <c r="DY104" i="2"/>
  <c r="FR105" i="3"/>
  <c r="EC104" i="2"/>
  <c r="AH130" i="2"/>
  <c r="AL130" i="2"/>
  <c r="AP130" i="2"/>
  <c r="AT130" i="2"/>
  <c r="CR116" i="1"/>
  <c r="CR123" i="1" s="1"/>
  <c r="DX116" i="1"/>
  <c r="DX123" i="1" s="1"/>
  <c r="HP116" i="1"/>
  <c r="HP123" i="1" s="1"/>
  <c r="IV116" i="1"/>
  <c r="IV123" i="1" s="1"/>
  <c r="AU137" i="2"/>
  <c r="BA137" i="2"/>
  <c r="EE137" i="2"/>
  <c r="BC137" i="2"/>
  <c r="BK137" i="2"/>
  <c r="BO137" i="2"/>
  <c r="AB120" i="2"/>
  <c r="BA136" i="1"/>
  <c r="AF120" i="2"/>
  <c r="BI136" i="1"/>
  <c r="AJ120" i="2"/>
  <c r="BQ136" i="1"/>
  <c r="AN120" i="2"/>
  <c r="BD120" i="2"/>
  <c r="DD140" i="1"/>
  <c r="BL120" i="2"/>
  <c r="BT120" i="2"/>
  <c r="O121" i="3"/>
  <c r="CB120" i="2"/>
  <c r="EZ140" i="1"/>
  <c r="AA121" i="3"/>
  <c r="CF120" i="2"/>
  <c r="AJ121" i="3"/>
  <c r="CI120" i="2"/>
  <c r="FP140" i="1"/>
  <c r="AV121" i="3"/>
  <c r="CM120" i="2"/>
  <c r="BH121" i="3"/>
  <c r="CQ120" i="2"/>
  <c r="GF140" i="1"/>
  <c r="BT121" i="3"/>
  <c r="CU120" i="2"/>
  <c r="CF121" i="3"/>
  <c r="CF128" i="2"/>
  <c r="CY120" i="2"/>
  <c r="GV140" i="1"/>
  <c r="CF121" i="1"/>
  <c r="AR137" i="2" s="1"/>
  <c r="CR121" i="3"/>
  <c r="DC120" i="2"/>
  <c r="DD121" i="3"/>
  <c r="DG120" i="2"/>
  <c r="HL140" i="1"/>
  <c r="DP121" i="3"/>
  <c r="DK120" i="2"/>
  <c r="EB121" i="3"/>
  <c r="DO120" i="2"/>
  <c r="IB140" i="1"/>
  <c r="EN121" i="3"/>
  <c r="DS120" i="2"/>
  <c r="EZ121" i="3"/>
  <c r="DW120" i="2"/>
  <c r="IR140" i="1"/>
  <c r="FL121" i="3"/>
  <c r="EA120" i="2"/>
  <c r="FX140" i="1"/>
  <c r="FK126" i="3"/>
  <c r="FR67" i="3"/>
  <c r="EC66" i="2"/>
  <c r="BW89" i="3"/>
  <c r="CV88" i="2"/>
  <c r="CI89" i="3"/>
  <c r="CZ88" i="2"/>
  <c r="CU89" i="3"/>
  <c r="DD88" i="2"/>
  <c r="DG89" i="3"/>
  <c r="DH88" i="2"/>
  <c r="DS89" i="3"/>
  <c r="DL88" i="2"/>
  <c r="EE89" i="3"/>
  <c r="DP88" i="2"/>
  <c r="EQ89" i="3"/>
  <c r="DT88" i="2"/>
  <c r="FC89" i="3"/>
  <c r="DX88" i="2"/>
  <c r="FO89" i="3"/>
  <c r="EB88" i="2"/>
  <c r="DG100" i="3"/>
  <c r="DH99" i="2"/>
  <c r="DS100" i="3"/>
  <c r="DL99" i="2"/>
  <c r="EE100" i="3"/>
  <c r="DP99" i="2"/>
  <c r="EQ100" i="3"/>
  <c r="DT99" i="2"/>
  <c r="FC100" i="3"/>
  <c r="DX99" i="2"/>
  <c r="FO100" i="3"/>
  <c r="EB99" i="2"/>
  <c r="F112" i="3"/>
  <c r="BY111" i="2"/>
  <c r="R112" i="3"/>
  <c r="CC111" i="2"/>
  <c r="AD112" i="3"/>
  <c r="CG111" i="2"/>
  <c r="AM112" i="3"/>
  <c r="CJ111" i="2"/>
  <c r="AY112" i="3"/>
  <c r="CN111" i="2"/>
  <c r="BK112" i="3"/>
  <c r="CR111" i="2"/>
  <c r="BW112" i="3"/>
  <c r="CV111" i="2"/>
  <c r="CI112" i="3"/>
  <c r="CZ111" i="2"/>
  <c r="CU112" i="3"/>
  <c r="DD111" i="2"/>
  <c r="DG112" i="3"/>
  <c r="DH111" i="2"/>
  <c r="DS112" i="3"/>
  <c r="DL111" i="2"/>
  <c r="EE112" i="3"/>
  <c r="DP111" i="2"/>
  <c r="EQ112" i="3"/>
  <c r="DT111" i="2"/>
  <c r="FC112" i="3"/>
  <c r="DX111" i="2"/>
  <c r="FO112" i="3"/>
  <c r="EB111" i="2"/>
  <c r="L116" i="1"/>
  <c r="AR116" i="1"/>
  <c r="AR123" i="1" s="1"/>
  <c r="BX116" i="1"/>
  <c r="BX123" i="1" s="1"/>
  <c r="EJ116" i="1"/>
  <c r="EJ123" i="1" s="1"/>
  <c r="EJ140" i="1" s="1"/>
  <c r="BB137" i="2"/>
  <c r="EF137" i="2"/>
  <c r="EC125" i="3"/>
  <c r="EE125" i="3"/>
  <c r="DP124" i="2"/>
  <c r="EQ125" i="3"/>
  <c r="EO125" i="3"/>
  <c r="DT124" i="2"/>
  <c r="FA125" i="3"/>
  <c r="FC125" i="3"/>
  <c r="DX124" i="2"/>
  <c r="FO125" i="3"/>
  <c r="FM125" i="3"/>
  <c r="EB124" i="2"/>
  <c r="I74" i="3"/>
  <c r="BZ73" i="2"/>
  <c r="U74" i="3"/>
  <c r="CD73" i="2"/>
  <c r="AP74" i="3"/>
  <c r="CK73" i="2"/>
  <c r="BB74" i="3"/>
  <c r="CO73" i="2"/>
  <c r="BN74" i="3"/>
  <c r="CS73" i="2"/>
  <c r="BZ74" i="3"/>
  <c r="CW73" i="2"/>
  <c r="CL74" i="3"/>
  <c r="DA73" i="2"/>
  <c r="CX74" i="3"/>
  <c r="DE73" i="2"/>
  <c r="DJ74" i="3"/>
  <c r="DI73" i="2"/>
  <c r="DV74" i="3"/>
  <c r="DM73" i="2"/>
  <c r="EH74" i="3"/>
  <c r="DQ73" i="2"/>
  <c r="ET74" i="3"/>
  <c r="DU73" i="2"/>
  <c r="FF74" i="3"/>
  <c r="DY73" i="2"/>
  <c r="FR74" i="3"/>
  <c r="EC73" i="2"/>
  <c r="I83" i="3"/>
  <c r="BZ82" i="2"/>
  <c r="U83" i="3"/>
  <c r="CD82" i="2"/>
  <c r="AP83" i="3"/>
  <c r="CK82" i="2"/>
  <c r="BB83" i="3"/>
  <c r="BB82" i="3"/>
  <c r="CO82" i="2"/>
  <c r="BN83" i="3"/>
  <c r="BN82" i="3"/>
  <c r="CS82" i="2"/>
  <c r="BZ83" i="3"/>
  <c r="CW82" i="2"/>
  <c r="CL83" i="3"/>
  <c r="DA82" i="2"/>
  <c r="CX83" i="3"/>
  <c r="DE82" i="2"/>
  <c r="DJ83" i="3"/>
  <c r="DI82" i="2"/>
  <c r="DV83" i="3"/>
  <c r="DM82" i="2"/>
  <c r="EH83" i="3"/>
  <c r="DQ82" i="2"/>
  <c r="ET83" i="3"/>
  <c r="DU82" i="2"/>
  <c r="FF83" i="3"/>
  <c r="DY82" i="2"/>
  <c r="FR83" i="3"/>
  <c r="EC82" i="2"/>
  <c r="CR95" i="3"/>
  <c r="DC94" i="2"/>
  <c r="DD95" i="3"/>
  <c r="DG94" i="2"/>
  <c r="DP95" i="3"/>
  <c r="DK94" i="2"/>
  <c r="EB95" i="3"/>
  <c r="DO94" i="2"/>
  <c r="EN95" i="3"/>
  <c r="DS94" i="2"/>
  <c r="EZ95" i="3"/>
  <c r="DW94" i="2"/>
  <c r="FL95" i="3"/>
  <c r="EA94" i="2"/>
  <c r="L105" i="3"/>
  <c r="CA104" i="2"/>
  <c r="X105" i="3"/>
  <c r="CE104" i="2"/>
  <c r="AG105" i="3"/>
  <c r="CH104" i="2"/>
  <c r="AS105" i="3"/>
  <c r="CL104" i="2"/>
  <c r="BE105" i="3"/>
  <c r="CP104" i="2"/>
  <c r="BQ105" i="3"/>
  <c r="CT104" i="2"/>
  <c r="CC105" i="3"/>
  <c r="CX104" i="2"/>
  <c r="CO105" i="3"/>
  <c r="DB104" i="2"/>
  <c r="DA105" i="3"/>
  <c r="DF104" i="2"/>
  <c r="DM105" i="3"/>
  <c r="DJ104" i="2"/>
  <c r="DY105" i="3"/>
  <c r="DN104" i="2"/>
  <c r="EK105" i="3"/>
  <c r="DR104" i="2"/>
  <c r="EW105" i="3"/>
  <c r="DV104" i="2"/>
  <c r="FI105" i="3"/>
  <c r="DZ104" i="2"/>
  <c r="EE130" i="2"/>
  <c r="AY130" i="2"/>
  <c r="CJ116" i="1"/>
  <c r="DP116" i="1"/>
  <c r="DP123" i="1" s="1"/>
  <c r="HH116" i="1"/>
  <c r="HH123" i="1" s="1"/>
  <c r="IN116" i="1"/>
  <c r="IN123" i="1" s="1"/>
  <c r="BR140" i="1"/>
  <c r="CX140" i="1"/>
  <c r="ED140" i="1"/>
  <c r="FJ140" i="1"/>
  <c r="GP140" i="1"/>
  <c r="HV140" i="1"/>
  <c r="JB140" i="1"/>
  <c r="G66" i="2"/>
  <c r="K66" i="2"/>
  <c r="O66" i="2"/>
  <c r="S66" i="2"/>
  <c r="W66" i="2"/>
  <c r="AA66" i="2"/>
  <c r="AE66" i="2"/>
  <c r="AI66" i="2"/>
  <c r="AM66" i="2"/>
  <c r="AQ66" i="2"/>
  <c r="AU66" i="2"/>
  <c r="AY66" i="2"/>
  <c r="BC66" i="2"/>
  <c r="BG66" i="2"/>
  <c r="BK66" i="2"/>
  <c r="BO66" i="2"/>
  <c r="BS66" i="2"/>
  <c r="BW66" i="2"/>
  <c r="L67" i="3"/>
  <c r="CA66" i="2"/>
  <c r="X67" i="3"/>
  <c r="CE66" i="2"/>
  <c r="AG67" i="3"/>
  <c r="CH66" i="2"/>
  <c r="AS67" i="3"/>
  <c r="CL66" i="2"/>
  <c r="BE67" i="3"/>
  <c r="CP66" i="2"/>
  <c r="BQ67" i="3"/>
  <c r="CT66" i="2"/>
  <c r="CC67" i="3"/>
  <c r="CX66" i="2"/>
  <c r="CO67" i="3"/>
  <c r="DB66" i="2"/>
  <c r="DA67" i="3"/>
  <c r="DF66" i="2"/>
  <c r="DM67" i="3"/>
  <c r="DJ66" i="2"/>
  <c r="DY67" i="3"/>
  <c r="DN66" i="2"/>
  <c r="EK67" i="3"/>
  <c r="DR66" i="2"/>
  <c r="EW67" i="3"/>
  <c r="DV66" i="2"/>
  <c r="FI67" i="3"/>
  <c r="DZ66" i="2"/>
  <c r="I116" i="1"/>
  <c r="I123" i="1" s="1"/>
  <c r="Q116" i="1"/>
  <c r="Q123" i="1" s="1"/>
  <c r="Y116" i="1"/>
  <c r="Y123" i="1" s="1"/>
  <c r="AG116" i="1"/>
  <c r="AG123" i="1" s="1"/>
  <c r="AO116" i="1"/>
  <c r="AO123" i="1" s="1"/>
  <c r="AW116" i="1"/>
  <c r="AW123" i="1" s="1"/>
  <c r="BE116" i="1"/>
  <c r="BE123" i="1" s="1"/>
  <c r="BE140" i="1" s="1"/>
  <c r="BM116" i="1"/>
  <c r="BM123" i="1" s="1"/>
  <c r="BM140" i="1" s="1"/>
  <c r="BU116" i="1"/>
  <c r="BU123" i="1" s="1"/>
  <c r="CC116" i="1"/>
  <c r="CC123" i="1" s="1"/>
  <c r="CC140" i="1" s="1"/>
  <c r="CK116" i="1"/>
  <c r="CK123" i="1" s="1"/>
  <c r="CK140" i="1" s="1"/>
  <c r="CS116" i="1"/>
  <c r="CS123" i="1" s="1"/>
  <c r="DA116" i="1"/>
  <c r="DA123" i="1" s="1"/>
  <c r="DI116" i="1"/>
  <c r="DI123" i="1" s="1"/>
  <c r="DQ116" i="1"/>
  <c r="DQ123" i="1" s="1"/>
  <c r="DY116" i="1"/>
  <c r="DY123" i="1" s="1"/>
  <c r="EG116" i="1"/>
  <c r="EG123" i="1" s="1"/>
  <c r="EO116" i="1"/>
  <c r="EO123" i="1" s="1"/>
  <c r="BZ89" i="3"/>
  <c r="CW88" i="2"/>
  <c r="CL89" i="3"/>
  <c r="DA88" i="2"/>
  <c r="CX89" i="3"/>
  <c r="DE88" i="2"/>
  <c r="DJ89" i="3"/>
  <c r="DI88" i="2"/>
  <c r="DV89" i="3"/>
  <c r="DM88" i="2"/>
  <c r="EH89" i="3"/>
  <c r="DQ88" i="2"/>
  <c r="ET89" i="3"/>
  <c r="DU88" i="2"/>
  <c r="FF89" i="3"/>
  <c r="DY88" i="2"/>
  <c r="FR89" i="3"/>
  <c r="EC88" i="2"/>
  <c r="CX100" i="3"/>
  <c r="DE99" i="2"/>
  <c r="DJ100" i="3"/>
  <c r="DI99" i="2"/>
  <c r="DV100" i="3"/>
  <c r="DM99" i="2"/>
  <c r="EH100" i="3"/>
  <c r="DQ99" i="2"/>
  <c r="ET100" i="3"/>
  <c r="DU99" i="2"/>
  <c r="FF100" i="3"/>
  <c r="DY99" i="2"/>
  <c r="FR100" i="3"/>
  <c r="EC99" i="2"/>
  <c r="AL111" i="2"/>
  <c r="AP111" i="2"/>
  <c r="AT111" i="2"/>
  <c r="AX111" i="2"/>
  <c r="BB111" i="2"/>
  <c r="BF111" i="2"/>
  <c r="BJ111" i="2"/>
  <c r="BN111" i="2"/>
  <c r="BR111" i="2"/>
  <c r="BV111" i="2"/>
  <c r="I112" i="3"/>
  <c r="BZ111" i="2"/>
  <c r="U112" i="3"/>
  <c r="CD111" i="2"/>
  <c r="AP112" i="3"/>
  <c r="CK111" i="2"/>
  <c r="BB112" i="3"/>
  <c r="CO111" i="2"/>
  <c r="BN112" i="3"/>
  <c r="CS111" i="2"/>
  <c r="BZ112" i="3"/>
  <c r="CW111" i="2"/>
  <c r="CL112" i="3"/>
  <c r="DA111" i="2"/>
  <c r="CX112" i="3"/>
  <c r="DE111" i="2"/>
  <c r="DJ112" i="3"/>
  <c r="DI111" i="2"/>
  <c r="DV112" i="3"/>
  <c r="DM111" i="2"/>
  <c r="EH112" i="3"/>
  <c r="DQ111" i="2"/>
  <c r="ET112" i="3"/>
  <c r="DU111" i="2"/>
  <c r="FF112" i="3"/>
  <c r="DY111" i="2"/>
  <c r="FR112" i="3"/>
  <c r="EC111" i="2"/>
  <c r="EF130" i="2"/>
  <c r="AJ116" i="1"/>
  <c r="AJ123" i="1" s="1"/>
  <c r="BP116" i="1"/>
  <c r="BP123" i="1" s="1"/>
  <c r="BP140" i="1" s="1"/>
  <c r="AJ131" i="2" s="1"/>
  <c r="CV116" i="1"/>
  <c r="CV123" i="1" s="1"/>
  <c r="EB116" i="1"/>
  <c r="EB123" i="1" s="1"/>
  <c r="EB140" i="1" s="1"/>
  <c r="BQ137" i="2"/>
  <c r="BC140" i="1"/>
  <c r="BS140" i="1"/>
  <c r="CI140" i="1"/>
  <c r="CY140" i="1"/>
  <c r="DO140" i="1"/>
  <c r="EE140" i="1"/>
  <c r="EE154" i="1" s="1"/>
  <c r="EU140" i="1"/>
  <c r="EU154" i="1" s="1"/>
  <c r="FK140" i="1"/>
  <c r="FK154" i="1" s="1"/>
  <c r="GA140" i="1"/>
  <c r="GA154" i="1" s="1"/>
  <c r="GQ140" i="1"/>
  <c r="GQ154" i="1" s="1"/>
  <c r="HG140" i="1"/>
  <c r="HG154" i="1" s="1"/>
  <c r="HW140" i="1"/>
  <c r="HW154" i="1" s="1"/>
  <c r="IM140" i="1"/>
  <c r="JC140" i="1"/>
  <c r="DZ122" i="3"/>
  <c r="EB122" i="3"/>
  <c r="DO121" i="2"/>
  <c r="IB149" i="1"/>
  <c r="EK123" i="3"/>
  <c r="EI123" i="3"/>
  <c r="DR122" i="2"/>
  <c r="IH149" i="1"/>
  <c r="EW123" i="3"/>
  <c r="EU123" i="3"/>
  <c r="DV122" i="2"/>
  <c r="IP149" i="1"/>
  <c r="DA83" i="3"/>
  <c r="DF82" i="2"/>
  <c r="DM83" i="3"/>
  <c r="DJ82" i="2"/>
  <c r="DY83" i="3"/>
  <c r="DN82" i="2"/>
  <c r="EK83" i="3"/>
  <c r="DR82" i="2"/>
  <c r="EW83" i="3"/>
  <c r="DV82" i="2"/>
  <c r="FI83" i="3"/>
  <c r="DZ82" i="2"/>
  <c r="CU95" i="3"/>
  <c r="DD94" i="2"/>
  <c r="DG95" i="3"/>
  <c r="DH94" i="2"/>
  <c r="DS95" i="3"/>
  <c r="DL94" i="2"/>
  <c r="EE95" i="3"/>
  <c r="DP94" i="2"/>
  <c r="EQ95" i="3"/>
  <c r="DT94" i="2"/>
  <c r="FC95" i="3"/>
  <c r="DX94" i="2"/>
  <c r="FO95" i="3"/>
  <c r="EB94" i="2"/>
  <c r="O105" i="3"/>
  <c r="CB104" i="2"/>
  <c r="AA105" i="3"/>
  <c r="CF104" i="2"/>
  <c r="AJ105" i="3"/>
  <c r="CI104" i="2"/>
  <c r="AV105" i="3"/>
  <c r="CM104" i="2"/>
  <c r="BH105" i="3"/>
  <c r="CQ104" i="2"/>
  <c r="BT105" i="3"/>
  <c r="CU104" i="2"/>
  <c r="CF105" i="3"/>
  <c r="CY104" i="2"/>
  <c r="CR105" i="3"/>
  <c r="DC104" i="2"/>
  <c r="DD105" i="3"/>
  <c r="DG104" i="2"/>
  <c r="DP105" i="3"/>
  <c r="DK104" i="2"/>
  <c r="EB105" i="3"/>
  <c r="DO104" i="2"/>
  <c r="EN105" i="3"/>
  <c r="DS104" i="2"/>
  <c r="EZ105" i="3"/>
  <c r="DW104" i="2"/>
  <c r="FL105" i="3"/>
  <c r="EA104" i="2"/>
  <c r="CB116" i="1"/>
  <c r="CB123" i="1" s="1"/>
  <c r="DH116" i="1"/>
  <c r="DH123" i="1" s="1"/>
  <c r="EN116" i="1"/>
  <c r="EN123" i="1" s="1"/>
  <c r="GZ116" i="1"/>
  <c r="GZ123" i="1" s="1"/>
  <c r="GZ140" i="1" s="1"/>
  <c r="IF116" i="1"/>
  <c r="IF123" i="1" s="1"/>
  <c r="AD120" i="2"/>
  <c r="BD140" i="1"/>
  <c r="BL135" i="1"/>
  <c r="AL120" i="2"/>
  <c r="BU136" i="1"/>
  <c r="BT140" i="1"/>
  <c r="AP120" i="2"/>
  <c r="CB140" i="1"/>
  <c r="AT120" i="2"/>
  <c r="CK136" i="1"/>
  <c r="AX120" i="2"/>
  <c r="CR140" i="1"/>
  <c r="BB120" i="2"/>
  <c r="CZ140" i="1"/>
  <c r="BF120" i="2"/>
  <c r="DH140" i="1"/>
  <c r="BJ120" i="2"/>
  <c r="DP140" i="1"/>
  <c r="BN120" i="2"/>
  <c r="DX140" i="1"/>
  <c r="BR120" i="2"/>
  <c r="EF140" i="1"/>
  <c r="BV120" i="2"/>
  <c r="EN140" i="1"/>
  <c r="I121" i="3"/>
  <c r="BZ120" i="2"/>
  <c r="U121" i="3"/>
  <c r="CD120" i="2"/>
  <c r="FD140" i="1"/>
  <c r="FL140" i="1"/>
  <c r="FL154" i="1" s="1"/>
  <c r="AP121" i="3"/>
  <c r="CK120" i="2"/>
  <c r="FT140" i="1"/>
  <c r="BB121" i="3"/>
  <c r="CO120" i="2"/>
  <c r="GB140" i="1"/>
  <c r="BN121" i="3"/>
  <c r="CS120" i="2"/>
  <c r="GJ140" i="1"/>
  <c r="BZ121" i="3"/>
  <c r="CW120" i="2"/>
  <c r="GR140" i="1"/>
  <c r="CL121" i="3"/>
  <c r="DA120" i="2"/>
  <c r="CX121" i="3"/>
  <c r="DE120" i="2"/>
  <c r="HH140" i="1"/>
  <c r="DJ121" i="3"/>
  <c r="DI120" i="2"/>
  <c r="HP140" i="1"/>
  <c r="DV121" i="3"/>
  <c r="DM120" i="2"/>
  <c r="HX140" i="1"/>
  <c r="EH121" i="3"/>
  <c r="DQ120" i="2"/>
  <c r="IF140" i="1"/>
  <c r="ET121" i="3"/>
  <c r="DU120" i="2"/>
  <c r="IN140" i="1"/>
  <c r="FF121" i="3"/>
  <c r="DY120" i="2"/>
  <c r="IV140" i="1"/>
  <c r="FR121" i="3"/>
  <c r="EC120" i="2"/>
  <c r="JD140" i="1"/>
  <c r="CC89" i="3"/>
  <c r="CX88" i="2"/>
  <c r="CO89" i="3"/>
  <c r="DB88" i="2"/>
  <c r="DA89" i="3"/>
  <c r="DF88" i="2"/>
  <c r="DM89" i="3"/>
  <c r="DJ88" i="2"/>
  <c r="DY89" i="3"/>
  <c r="DN88" i="2"/>
  <c r="EK89" i="3"/>
  <c r="DR88" i="2"/>
  <c r="EW89" i="3"/>
  <c r="DV88" i="2"/>
  <c r="FI89" i="3"/>
  <c r="DZ88" i="2"/>
  <c r="DA100" i="3"/>
  <c r="DF99" i="2"/>
  <c r="DM100" i="3"/>
  <c r="DJ99" i="2"/>
  <c r="DY100" i="3"/>
  <c r="DN99" i="2"/>
  <c r="EK100" i="3"/>
  <c r="DR99" i="2"/>
  <c r="EW100" i="3"/>
  <c r="DV99" i="2"/>
  <c r="FI100" i="3"/>
  <c r="DZ99" i="2"/>
  <c r="L112" i="3"/>
  <c r="CA111" i="2"/>
  <c r="X112" i="3"/>
  <c r="CE111" i="2"/>
  <c r="AG112" i="3"/>
  <c r="CH111" i="2"/>
  <c r="AS112" i="3"/>
  <c r="CL111" i="2"/>
  <c r="BE112" i="3"/>
  <c r="CP111" i="2"/>
  <c r="BQ112" i="3"/>
  <c r="CT111" i="2"/>
  <c r="CC112" i="3"/>
  <c r="CX111" i="2"/>
  <c r="CO112" i="3"/>
  <c r="DB111" i="2"/>
  <c r="DA112" i="3"/>
  <c r="DF111" i="2"/>
  <c r="DM112" i="3"/>
  <c r="DJ111" i="2"/>
  <c r="DY112" i="3"/>
  <c r="DN111" i="2"/>
  <c r="EK112" i="3"/>
  <c r="DR111" i="2"/>
  <c r="EW112" i="3"/>
  <c r="DV111" i="2"/>
  <c r="FI112" i="3"/>
  <c r="DZ111" i="2"/>
  <c r="AB116" i="1"/>
  <c r="BH116" i="1"/>
  <c r="BH123" i="1" s="1"/>
  <c r="BH140" i="1" s="1"/>
  <c r="AF131" i="2" s="1"/>
  <c r="CN116" i="1"/>
  <c r="DT116" i="1"/>
  <c r="DT123" i="1" s="1"/>
  <c r="BU140" i="1"/>
  <c r="DA140" i="1"/>
  <c r="DI140" i="1"/>
  <c r="EG140" i="1"/>
  <c r="EG154" i="1" s="1"/>
  <c r="EO140" i="1"/>
  <c r="EO154" i="1" s="1"/>
  <c r="FM140" i="1"/>
  <c r="FM154" i="1" s="1"/>
  <c r="FU140" i="1"/>
  <c r="FU154" i="1" s="1"/>
  <c r="GK140" i="1"/>
  <c r="GK154" i="1" s="1"/>
  <c r="GS140" i="1"/>
  <c r="GS154" i="1" s="1"/>
  <c r="HA140" i="1"/>
  <c r="HA154" i="1" s="1"/>
  <c r="HQ140" i="1"/>
  <c r="HQ154" i="1" s="1"/>
  <c r="HY140" i="1"/>
  <c r="HY154" i="1" s="1"/>
  <c r="IG140" i="1"/>
  <c r="IW140" i="1"/>
  <c r="JE140" i="1"/>
  <c r="AX130" i="2"/>
  <c r="BB130" i="2"/>
  <c r="BF130" i="2"/>
  <c r="BJ130" i="2"/>
  <c r="BN130" i="2"/>
  <c r="BR130" i="2"/>
  <c r="AX137" i="2"/>
  <c r="BR137" i="2"/>
  <c r="BA140" i="1"/>
  <c r="BI140" i="1"/>
  <c r="BQ140" i="1"/>
  <c r="BY140" i="1"/>
  <c r="CG140" i="1"/>
  <c r="CO140" i="1"/>
  <c r="CW140" i="1"/>
  <c r="DE140" i="1"/>
  <c r="DM140" i="1"/>
  <c r="DU140" i="1"/>
  <c r="EC140" i="1"/>
  <c r="EC154" i="1" s="1"/>
  <c r="EK140" i="1"/>
  <c r="EK154" i="1" s="1"/>
  <c r="ES140" i="1"/>
  <c r="ES154" i="1" s="1"/>
  <c r="FA140" i="1"/>
  <c r="FA154" i="1" s="1"/>
  <c r="FI140" i="1"/>
  <c r="FI154" i="1" s="1"/>
  <c r="FQ140" i="1"/>
  <c r="FQ154" i="1" s="1"/>
  <c r="FY140" i="1"/>
  <c r="FY154" i="1" s="1"/>
  <c r="GG140" i="1"/>
  <c r="GG154" i="1" s="1"/>
  <c r="GO140" i="1"/>
  <c r="GO154" i="1" s="1"/>
  <c r="GW140" i="1"/>
  <c r="GW154" i="1" s="1"/>
  <c r="HE140" i="1"/>
  <c r="HE154" i="1" s="1"/>
  <c r="HM140" i="1"/>
  <c r="HM154" i="1" s="1"/>
  <c r="HU140" i="1"/>
  <c r="HU154" i="1" s="1"/>
  <c r="IC140" i="1"/>
  <c r="IC154" i="1" s="1"/>
  <c r="IK140" i="1"/>
  <c r="IS140" i="1"/>
  <c r="JA140" i="1"/>
  <c r="AY136" i="1"/>
  <c r="EA122" i="3"/>
  <c r="EA128" i="3" s="1"/>
  <c r="IC149" i="1"/>
  <c r="EJ128" i="3"/>
  <c r="EV128" i="3"/>
  <c r="FH128" i="3"/>
  <c r="IE149" i="1"/>
  <c r="IE154" i="1" s="1"/>
  <c r="IU149" i="1"/>
  <c r="IU154" i="1" s="1"/>
  <c r="Z137" i="2"/>
  <c r="AD137" i="2"/>
  <c r="AH137" i="2"/>
  <c r="AL137" i="2"/>
  <c r="AP137" i="2"/>
  <c r="AT137" i="2"/>
  <c r="AY137" i="2"/>
  <c r="BJ137" i="2"/>
  <c r="BN137" i="2"/>
  <c r="AC120" i="2"/>
  <c r="AG120" i="2"/>
  <c r="BK136" i="1"/>
  <c r="AK120" i="2"/>
  <c r="AO120" i="2"/>
  <c r="CA136" i="1"/>
  <c r="AS120" i="2"/>
  <c r="AW120" i="2"/>
  <c r="BA120" i="2"/>
  <c r="BE120" i="2"/>
  <c r="BI120" i="2"/>
  <c r="BM120" i="2"/>
  <c r="BQ120" i="2"/>
  <c r="BU120" i="2"/>
  <c r="F121" i="3"/>
  <c r="BY120" i="2"/>
  <c r="R121" i="3"/>
  <c r="CC120" i="2"/>
  <c r="AD121" i="3"/>
  <c r="CG120" i="2"/>
  <c r="AM121" i="3"/>
  <c r="CJ120" i="2"/>
  <c r="AY121" i="3"/>
  <c r="CN120" i="2"/>
  <c r="BK121" i="3"/>
  <c r="CR120" i="2"/>
  <c r="BW121" i="3"/>
  <c r="CV120" i="2"/>
  <c r="CI121" i="3"/>
  <c r="CZ120" i="2"/>
  <c r="CU121" i="3"/>
  <c r="DD120" i="2"/>
  <c r="DG121" i="3"/>
  <c r="DH120" i="2"/>
  <c r="DS121" i="3"/>
  <c r="DL120" i="2"/>
  <c r="EE121" i="3"/>
  <c r="DP120" i="2"/>
  <c r="EQ121" i="3"/>
  <c r="DT120" i="2"/>
  <c r="FC121" i="3"/>
  <c r="DX120" i="2"/>
  <c r="FO121" i="3"/>
  <c r="EB120" i="2"/>
  <c r="BS136" i="1"/>
  <c r="DY124" i="3"/>
  <c r="DW124" i="3"/>
  <c r="DN123" i="2"/>
  <c r="EK124" i="3"/>
  <c r="EI124" i="3"/>
  <c r="DR123" i="2"/>
  <c r="EW124" i="3"/>
  <c r="EU124" i="3"/>
  <c r="DV123" i="2"/>
  <c r="FI124" i="3"/>
  <c r="FG124" i="3"/>
  <c r="DZ123" i="2"/>
  <c r="EH126" i="3"/>
  <c r="EF126" i="3"/>
  <c r="DQ125" i="2"/>
  <c r="ER126" i="3"/>
  <c r="ET126" i="3"/>
  <c r="DU125" i="2"/>
  <c r="FF126" i="3"/>
  <c r="FD126" i="3"/>
  <c r="DY125" i="2"/>
  <c r="FP126" i="3"/>
  <c r="FR126" i="3"/>
  <c r="EC125" i="2"/>
  <c r="BC136" i="1"/>
  <c r="BJ140" i="1"/>
  <c r="AG131" i="2" s="1"/>
  <c r="EB123" i="3"/>
  <c r="DZ123" i="3"/>
  <c r="DO122" i="2"/>
  <c r="EM123" i="3"/>
  <c r="EM128" i="3" s="1"/>
  <c r="IK149" i="1"/>
  <c r="EY123" i="3"/>
  <c r="EY128" i="3" s="1"/>
  <c r="IS149" i="1"/>
  <c r="FK123" i="3"/>
  <c r="FK128" i="3" s="1"/>
  <c r="JA149" i="1"/>
  <c r="DY125" i="3"/>
  <c r="DW125" i="3"/>
  <c r="DN124" i="2"/>
  <c r="EK125" i="3"/>
  <c r="EI125" i="3"/>
  <c r="DR124" i="2"/>
  <c r="EW125" i="3"/>
  <c r="EU125" i="3"/>
  <c r="DV124" i="2"/>
  <c r="FI125" i="3"/>
  <c r="FG125" i="3"/>
  <c r="DZ124" i="2"/>
  <c r="BP127" i="2"/>
  <c r="BT127" i="2"/>
  <c r="BX127" i="2"/>
  <c r="O128" i="3"/>
  <c r="CB127" i="2"/>
  <c r="AA128" i="3"/>
  <c r="CF127" i="2"/>
  <c r="AM128" i="3"/>
  <c r="CJ127" i="2"/>
  <c r="AY128" i="3"/>
  <c r="CN127" i="2"/>
  <c r="BK128" i="3"/>
  <c r="CR127" i="2"/>
  <c r="BW128" i="3"/>
  <c r="CV127" i="2"/>
  <c r="CI128" i="3"/>
  <c r="CZ127" i="2"/>
  <c r="CU128" i="3"/>
  <c r="DD127" i="2"/>
  <c r="DY126" i="3"/>
  <c r="DW126" i="3"/>
  <c r="DN125" i="2"/>
  <c r="EK126" i="3"/>
  <c r="EI126" i="3"/>
  <c r="DR125" i="2"/>
  <c r="EW126" i="3"/>
  <c r="EU126" i="3"/>
  <c r="DV125" i="2"/>
  <c r="FI126" i="3"/>
  <c r="FG126" i="3"/>
  <c r="DZ125" i="2"/>
  <c r="IY149" i="1"/>
  <c r="FI128" i="3" s="1"/>
  <c r="EP128" i="3"/>
  <c r="FB128" i="3"/>
  <c r="FN128" i="3"/>
  <c r="EB125" i="3"/>
  <c r="DZ125" i="3"/>
  <c r="DO124" i="2"/>
  <c r="EL125" i="3"/>
  <c r="EN125" i="3"/>
  <c r="DS124" i="2"/>
  <c r="EZ125" i="3"/>
  <c r="EX125" i="3"/>
  <c r="DW124" i="2"/>
  <c r="FJ125" i="3"/>
  <c r="FL125" i="3"/>
  <c r="EA124" i="2"/>
  <c r="F128" i="3"/>
  <c r="BY127" i="2"/>
  <c r="R128" i="3"/>
  <c r="CC127" i="2"/>
  <c r="AD128" i="3"/>
  <c r="CG127" i="2"/>
  <c r="AP128" i="3"/>
  <c r="CK127" i="2"/>
  <c r="BB128" i="3"/>
  <c r="CO127" i="2"/>
  <c r="BN128" i="3"/>
  <c r="CS127" i="2"/>
  <c r="BZ128" i="3"/>
  <c r="CW127" i="2"/>
  <c r="CL128" i="3"/>
  <c r="DA127" i="2"/>
  <c r="CX128" i="3"/>
  <c r="DE127" i="2"/>
  <c r="DJ128" i="3"/>
  <c r="DI127" i="2"/>
  <c r="DV128" i="3"/>
  <c r="DM127" i="2"/>
  <c r="IM149" i="1"/>
  <c r="JC149" i="1"/>
  <c r="BI130" i="2"/>
  <c r="T137" i="2"/>
  <c r="X137" i="2"/>
  <c r="AB137" i="2"/>
  <c r="AF137" i="2"/>
  <c r="AJ137" i="2"/>
  <c r="AN137" i="2"/>
  <c r="AV137" i="2"/>
  <c r="BH137" i="2"/>
  <c r="BL137" i="2"/>
  <c r="AA120" i="2"/>
  <c r="AE120" i="2"/>
  <c r="AI120" i="2"/>
  <c r="AM120" i="2"/>
  <c r="AQ120" i="2"/>
  <c r="AU120" i="2"/>
  <c r="AY120" i="2"/>
  <c r="BC120" i="2"/>
  <c r="BG120" i="2"/>
  <c r="BK120" i="2"/>
  <c r="BO120" i="2"/>
  <c r="BS120" i="2"/>
  <c r="BW120" i="2"/>
  <c r="L121" i="3"/>
  <c r="CA120" i="2"/>
  <c r="X121" i="3"/>
  <c r="CE120" i="2"/>
  <c r="AG121" i="3"/>
  <c r="CH120" i="2"/>
  <c r="AS121" i="3"/>
  <c r="CL120" i="2"/>
  <c r="BE121" i="3"/>
  <c r="CP120" i="2"/>
  <c r="BQ121" i="3"/>
  <c r="CT120" i="2"/>
  <c r="CC121" i="3"/>
  <c r="CX120" i="2"/>
  <c r="CO121" i="3"/>
  <c r="DB120" i="2"/>
  <c r="DA121" i="3"/>
  <c r="DF120" i="2"/>
  <c r="DM121" i="3"/>
  <c r="DJ120" i="2"/>
  <c r="DY121" i="3"/>
  <c r="DN120" i="2"/>
  <c r="EK121" i="3"/>
  <c r="DR120" i="2"/>
  <c r="EW121" i="3"/>
  <c r="DV120" i="2"/>
  <c r="FI121" i="3"/>
  <c r="DZ120" i="2"/>
  <c r="CE136" i="1"/>
  <c r="BN140" i="1"/>
  <c r="AI131" i="2" s="1"/>
  <c r="CT140" i="1"/>
  <c r="DZ140" i="1"/>
  <c r="FF140" i="1"/>
  <c r="GL140" i="1"/>
  <c r="HR140" i="1"/>
  <c r="IX140" i="1"/>
  <c r="DY122" i="3"/>
  <c r="DW122" i="3"/>
  <c r="DN121" i="2"/>
  <c r="EH123" i="3"/>
  <c r="EF123" i="3"/>
  <c r="DQ122" i="2"/>
  <c r="ER123" i="3"/>
  <c r="ET123" i="3"/>
  <c r="DU122" i="2"/>
  <c r="FF123" i="3"/>
  <c r="FD123" i="3"/>
  <c r="DY122" i="2"/>
  <c r="FP123" i="3"/>
  <c r="FR123" i="3"/>
  <c r="EC122" i="2"/>
  <c r="IN149" i="1"/>
  <c r="JD149" i="1"/>
  <c r="EG30" i="2"/>
  <c r="G67" i="2"/>
  <c r="I128" i="3"/>
  <c r="BZ127" i="2"/>
  <c r="U128" i="3"/>
  <c r="CD127" i="2"/>
  <c r="AG128" i="3"/>
  <c r="CH127" i="2"/>
  <c r="AS128" i="3"/>
  <c r="CL127" i="2"/>
  <c r="BE128" i="3"/>
  <c r="CP127" i="2"/>
  <c r="BQ128" i="3"/>
  <c r="CT127" i="2"/>
  <c r="CC128" i="3"/>
  <c r="CX127" i="2"/>
  <c r="CO128" i="3"/>
  <c r="DB127" i="2"/>
  <c r="DA128" i="3"/>
  <c r="DF127" i="2"/>
  <c r="DM128" i="3"/>
  <c r="DJ127" i="2"/>
  <c r="HZ149" i="1"/>
  <c r="FI123" i="3"/>
  <c r="FG123" i="3"/>
  <c r="FG128" i="3" s="1"/>
  <c r="DZ122" i="2"/>
  <c r="EF124" i="3"/>
  <c r="EH124" i="3"/>
  <c r="DQ123" i="2"/>
  <c r="ER124" i="3"/>
  <c r="ET124" i="3"/>
  <c r="DU123" i="2"/>
  <c r="FD124" i="3"/>
  <c r="FF124" i="3"/>
  <c r="DY123" i="2"/>
  <c r="FR124" i="3"/>
  <c r="FP124" i="3"/>
  <c r="EC123" i="2"/>
  <c r="EC126" i="3"/>
  <c r="EE126" i="3"/>
  <c r="DP125" i="2"/>
  <c r="EQ126" i="3"/>
  <c r="EO126" i="3"/>
  <c r="DT125" i="2"/>
  <c r="FA126" i="3"/>
  <c r="FC126" i="3"/>
  <c r="DX125" i="2"/>
  <c r="FO126" i="3"/>
  <c r="FM126" i="3"/>
  <c r="EB125" i="2"/>
  <c r="DY123" i="3"/>
  <c r="DW123" i="3"/>
  <c r="DN122" i="2"/>
  <c r="EN123" i="3"/>
  <c r="EL123" i="3"/>
  <c r="DS122" i="2"/>
  <c r="EZ123" i="3"/>
  <c r="EX123" i="3"/>
  <c r="DW122" i="2"/>
  <c r="FL123" i="3"/>
  <c r="FJ123" i="3"/>
  <c r="EA122" i="2"/>
  <c r="EH125" i="3"/>
  <c r="EF125" i="3"/>
  <c r="DQ124" i="2"/>
  <c r="ET125" i="3"/>
  <c r="ER125" i="3"/>
  <c r="DU124" i="2"/>
  <c r="FF125" i="3"/>
  <c r="FD125" i="3"/>
  <c r="DY124" i="2"/>
  <c r="FR125" i="3"/>
  <c r="FP125" i="3"/>
  <c r="EC124" i="2"/>
  <c r="BO127" i="2"/>
  <c r="BS127" i="2"/>
  <c r="BW127" i="2"/>
  <c r="L128" i="3"/>
  <c r="CA127" i="2"/>
  <c r="X128" i="3"/>
  <c r="CE127" i="2"/>
  <c r="AJ128" i="3"/>
  <c r="CI127" i="2"/>
  <c r="AV128" i="3"/>
  <c r="CM127" i="2"/>
  <c r="BH128" i="3"/>
  <c r="CQ127" i="2"/>
  <c r="BT128" i="3"/>
  <c r="CU127" i="2"/>
  <c r="CF128" i="3"/>
  <c r="CY127" i="2"/>
  <c r="CR128" i="3"/>
  <c r="DC127" i="2"/>
  <c r="DD128" i="3"/>
  <c r="DG127" i="2"/>
  <c r="DP128" i="3"/>
  <c r="DK127" i="2"/>
  <c r="IJ149" i="1"/>
  <c r="IR149" i="1"/>
  <c r="IZ149" i="1"/>
  <c r="EG69" i="2"/>
  <c r="EG99" i="2"/>
  <c r="DG128" i="3"/>
  <c r="DH127" i="2"/>
  <c r="DS128" i="3"/>
  <c r="DL127" i="2"/>
  <c r="EG88" i="2"/>
  <c r="EF57" i="2"/>
  <c r="EG57" i="2" s="1"/>
  <c r="EE73" i="2"/>
  <c r="EG67" i="2"/>
  <c r="DX128" i="3"/>
  <c r="EG128" i="3"/>
  <c r="ES128" i="3"/>
  <c r="FE128" i="3"/>
  <c r="FQ128" i="3"/>
  <c r="EE124" i="3"/>
  <c r="EC124" i="3"/>
  <c r="DP123" i="2"/>
  <c r="EQ124" i="3"/>
  <c r="EO124" i="3"/>
  <c r="DT123" i="2"/>
  <c r="FC124" i="3"/>
  <c r="FA124" i="3"/>
  <c r="DX123" i="2"/>
  <c r="FO124" i="3"/>
  <c r="FM124" i="3"/>
  <c r="EB123" i="2"/>
  <c r="EB126" i="3"/>
  <c r="DZ126" i="3"/>
  <c r="DO125" i="2"/>
  <c r="EN126" i="3"/>
  <c r="EL126" i="3"/>
  <c r="DS125" i="2"/>
  <c r="EZ126" i="3"/>
  <c r="EX126" i="3"/>
  <c r="DW125" i="2"/>
  <c r="FL126" i="3"/>
  <c r="FJ126" i="3"/>
  <c r="EA125" i="2"/>
  <c r="IG149" i="1"/>
  <c r="EH128" i="3" s="1"/>
  <c r="IO149" i="1"/>
  <c r="IW149" i="1"/>
  <c r="FF128" i="3" s="1"/>
  <c r="JE149" i="1"/>
  <c r="EG32" i="2"/>
  <c r="EE66" i="2"/>
  <c r="EG66" i="2" s="1"/>
  <c r="H67" i="2"/>
  <c r="EF66" i="2"/>
  <c r="EF73" i="2"/>
  <c r="EG75" i="2"/>
  <c r="EG95" i="2"/>
  <c r="EG100" i="2"/>
  <c r="EE94" i="2"/>
  <c r="EG94" i="2" s="1"/>
  <c r="EG105" i="2"/>
  <c r="EG121" i="2"/>
  <c r="X130" i="3"/>
  <c r="CB129" i="3"/>
  <c r="CB130" i="3" s="1"/>
  <c r="BV129" i="3"/>
  <c r="BV130" i="3" s="1"/>
  <c r="BW130" i="3" s="1"/>
  <c r="DZ129" i="3"/>
  <c r="FV31" i="3"/>
  <c r="FG129" i="3"/>
  <c r="FV58" i="3"/>
  <c r="CW83" i="3"/>
  <c r="CW129" i="3" s="1"/>
  <c r="CW130" i="3" s="1"/>
  <c r="DE83" i="3"/>
  <c r="DE129" i="3" s="1"/>
  <c r="DE130" i="3" s="1"/>
  <c r="DU83" i="3"/>
  <c r="EC83" i="3"/>
  <c r="ES83" i="3"/>
  <c r="FA83" i="3"/>
  <c r="FQ83" i="3"/>
  <c r="BV67" i="3"/>
  <c r="CD67" i="3"/>
  <c r="CD129" i="3" s="1"/>
  <c r="CD130" i="3" s="1"/>
  <c r="CM95" i="3"/>
  <c r="CM129" i="3" s="1"/>
  <c r="CM130" i="3" s="1"/>
  <c r="DC95" i="3"/>
  <c r="DC129" i="3" s="1"/>
  <c r="DC130" i="3" s="1"/>
  <c r="DK95" i="3"/>
  <c r="DK129" i="3" s="1"/>
  <c r="DK130" i="3" s="1"/>
  <c r="EA95" i="3"/>
  <c r="EA129" i="3" s="1"/>
  <c r="EA130" i="3" s="1"/>
  <c r="EI95" i="3"/>
  <c r="EI129" i="3" s="1"/>
  <c r="EY95" i="3"/>
  <c r="EY129" i="3" s="1"/>
  <c r="FG95" i="3"/>
  <c r="FU95" i="3"/>
  <c r="FV32" i="3"/>
  <c r="CY67" i="3"/>
  <c r="CY129" i="3" s="1"/>
  <c r="CY130" i="3" s="1"/>
  <c r="DW67" i="3"/>
  <c r="DW129" i="3" s="1"/>
  <c r="EU67" i="3"/>
  <c r="EU129" i="3" s="1"/>
  <c r="FU74" i="3"/>
  <c r="CB74" i="3"/>
  <c r="CJ74" i="3"/>
  <c r="CJ129" i="3" s="1"/>
  <c r="CJ130" i="3" s="1"/>
  <c r="CL130" i="3" s="1"/>
  <c r="CZ74" i="3"/>
  <c r="DH74" i="3"/>
  <c r="DX74" i="3"/>
  <c r="DX129" i="3" s="1"/>
  <c r="DX130" i="3" s="1"/>
  <c r="FV91" i="3"/>
  <c r="FV3" i="3"/>
  <c r="DB67" i="3"/>
  <c r="DB129" i="3" s="1"/>
  <c r="DB130" i="3" s="1"/>
  <c r="DZ67" i="3"/>
  <c r="EX67" i="3"/>
  <c r="EX129" i="3" s="1"/>
  <c r="FT67" i="3"/>
  <c r="FV67" i="3" s="1"/>
  <c r="FT74" i="3"/>
  <c r="FV89" i="3"/>
  <c r="H74" i="3"/>
  <c r="H129" i="3" s="1"/>
  <c r="H130" i="3" s="1"/>
  <c r="P74" i="3"/>
  <c r="P129" i="3" s="1"/>
  <c r="P130" i="3" s="1"/>
  <c r="R130" i="3" s="1"/>
  <c r="AF74" i="3"/>
  <c r="AF129" i="3" s="1"/>
  <c r="AF130" i="3" s="1"/>
  <c r="AN74" i="3"/>
  <c r="AN129" i="3" s="1"/>
  <c r="AN130" i="3" s="1"/>
  <c r="BD74" i="3"/>
  <c r="BD129" i="3" s="1"/>
  <c r="BD130" i="3" s="1"/>
  <c r="BL74" i="3"/>
  <c r="BL129" i="3" s="1"/>
  <c r="BL130" i="3" s="1"/>
  <c r="FV73" i="3"/>
  <c r="FV99" i="3"/>
  <c r="CZ100" i="3"/>
  <c r="DH100" i="3"/>
  <c r="DX100" i="3"/>
  <c r="EF100" i="3"/>
  <c r="EF129" i="3" s="1"/>
  <c r="EV100" i="3"/>
  <c r="EV129" i="3" s="1"/>
  <c r="FD100" i="3"/>
  <c r="FD129" i="3" s="1"/>
  <c r="FT95" i="3"/>
  <c r="FE100" i="3"/>
  <c r="FE129" i="3" s="1"/>
  <c r="FE130" i="3" s="1"/>
  <c r="FM100" i="3"/>
  <c r="FM129" i="3" s="1"/>
  <c r="FU100" i="3"/>
  <c r="FV100" i="3" s="1"/>
  <c r="DL100" i="3"/>
  <c r="DL129" i="3" s="1"/>
  <c r="DT100" i="3"/>
  <c r="DT129" i="3" s="1"/>
  <c r="EJ100" i="3"/>
  <c r="EJ129" i="3" s="1"/>
  <c r="EJ130" i="3" s="1"/>
  <c r="ER100" i="3"/>
  <c r="ER129" i="3" s="1"/>
  <c r="FH100" i="3"/>
  <c r="FH129" i="3" s="1"/>
  <c r="FH130" i="3" s="1"/>
  <c r="FP100" i="3"/>
  <c r="FP129" i="3" s="1"/>
  <c r="FV96" i="3"/>
  <c r="FV98" i="3"/>
  <c r="DU100" i="3"/>
  <c r="EC100" i="3"/>
  <c r="ES100" i="3"/>
  <c r="FA100" i="3"/>
  <c r="FQ100" i="3"/>
  <c r="FV75" i="3"/>
  <c r="ED100" i="3"/>
  <c r="ED129" i="3" s="1"/>
  <c r="EL100" i="3"/>
  <c r="EL129" i="3" s="1"/>
  <c r="FB100" i="3"/>
  <c r="FB129" i="3" s="1"/>
  <c r="FJ100" i="3"/>
  <c r="FJ129" i="3" s="1"/>
  <c r="FV101" i="3"/>
  <c r="FT112" i="3"/>
  <c r="FV112" i="3" s="1"/>
  <c r="D128" i="3"/>
  <c r="T128" i="3"/>
  <c r="T130" i="3" s="1"/>
  <c r="AB128" i="3"/>
  <c r="AB130" i="3" s="1"/>
  <c r="AD130" i="3" s="1"/>
  <c r="AR128" i="3"/>
  <c r="AZ128" i="3"/>
  <c r="BP128" i="3"/>
  <c r="BX128" i="3"/>
  <c r="BX130" i="3" s="1"/>
  <c r="CN128" i="3"/>
  <c r="CN130" i="3" s="1"/>
  <c r="CV128" i="3"/>
  <c r="CV130" i="3" s="1"/>
  <c r="DL128" i="3"/>
  <c r="DT128" i="3"/>
  <c r="EC128" i="3"/>
  <c r="ED128" i="3"/>
  <c r="FT105" i="3"/>
  <c r="FV105" i="3" s="1"/>
  <c r="FT128" i="3"/>
  <c r="FV128" i="3" s="1"/>
  <c r="FV122" i="3"/>
  <c r="BN130" i="3" l="1"/>
  <c r="EV130" i="3"/>
  <c r="S129" i="3"/>
  <c r="S130" i="3" s="1"/>
  <c r="AO129" i="3"/>
  <c r="AO130" i="3" s="1"/>
  <c r="AP130" i="3" s="1"/>
  <c r="N129" i="3"/>
  <c r="N130" i="3" s="1"/>
  <c r="O130" i="3" s="1"/>
  <c r="CZ129" i="3"/>
  <c r="CZ130" i="3" s="1"/>
  <c r="DT130" i="3"/>
  <c r="EY130" i="3"/>
  <c r="FQ129" i="3"/>
  <c r="FQ130" i="3" s="1"/>
  <c r="BP129" i="3"/>
  <c r="BP130" i="3" s="1"/>
  <c r="BQ130" i="3" s="1"/>
  <c r="K129" i="3"/>
  <c r="K130" i="3" s="1"/>
  <c r="E129" i="3"/>
  <c r="Y129" i="3"/>
  <c r="Y130" i="3" s="1"/>
  <c r="AA130" i="3" s="1"/>
  <c r="I130" i="3"/>
  <c r="FB130" i="3"/>
  <c r="DU129" i="3"/>
  <c r="DU130" i="3" s="1"/>
  <c r="DL130" i="3"/>
  <c r="FG130" i="3"/>
  <c r="FI130" i="3" s="1"/>
  <c r="G129" i="3"/>
  <c r="G130" i="3" s="1"/>
  <c r="U130" i="3"/>
  <c r="D129" i="3"/>
  <c r="D130" i="3" s="1"/>
  <c r="AQ129" i="3"/>
  <c r="AQ130" i="3" s="1"/>
  <c r="J129" i="3"/>
  <c r="J130" i="3" s="1"/>
  <c r="L130" i="3" s="1"/>
  <c r="BM129" i="3"/>
  <c r="BM130" i="3" s="1"/>
  <c r="CA129" i="3"/>
  <c r="CA130" i="3" s="1"/>
  <c r="CC130" i="3" s="1"/>
  <c r="EG120" i="2"/>
  <c r="E130" i="3"/>
  <c r="ED130" i="3"/>
  <c r="DH129" i="3"/>
  <c r="DH130" i="3" s="1"/>
  <c r="FA129" i="3"/>
  <c r="IA154" i="1"/>
  <c r="CU140" i="1"/>
  <c r="AZ129" i="3"/>
  <c r="AZ130" i="3" s="1"/>
  <c r="BB130" i="3" s="1"/>
  <c r="BF129" i="3"/>
  <c r="BF130" i="3" s="1"/>
  <c r="BH130" i="3" s="1"/>
  <c r="DI129" i="3"/>
  <c r="DI130" i="3" s="1"/>
  <c r="EM129" i="3"/>
  <c r="EM130" i="3" s="1"/>
  <c r="AU129" i="3"/>
  <c r="AU130" i="3" s="1"/>
  <c r="DF129" i="3"/>
  <c r="DF130" i="3" s="1"/>
  <c r="DG130" i="3" s="1"/>
  <c r="FL152" i="1"/>
  <c r="FU129" i="3"/>
  <c r="FU130" i="3" s="1"/>
  <c r="CX130" i="3"/>
  <c r="ES129" i="3"/>
  <c r="ES130" i="3" s="1"/>
  <c r="AR129" i="3"/>
  <c r="AR130" i="3" s="1"/>
  <c r="AS130" i="3" s="1"/>
  <c r="CE129" i="3"/>
  <c r="CE130" i="3" s="1"/>
  <c r="EP129" i="3"/>
  <c r="EP130" i="3" s="1"/>
  <c r="AX130" i="3"/>
  <c r="AY130" i="3" s="1"/>
  <c r="FV44" i="3"/>
  <c r="CS129" i="3"/>
  <c r="CS130" i="3" s="1"/>
  <c r="AE129" i="3"/>
  <c r="AE130" i="3" s="1"/>
  <c r="AG130" i="3" s="1"/>
  <c r="CP129" i="3"/>
  <c r="CP130" i="3" s="1"/>
  <c r="FV95" i="3"/>
  <c r="EC129" i="3"/>
  <c r="EC130" i="3" s="1"/>
  <c r="EE130" i="3" s="1"/>
  <c r="AJ130" i="3"/>
  <c r="DO129" i="3"/>
  <c r="DO130" i="3" s="1"/>
  <c r="CH129" i="3"/>
  <c r="CH130" i="3" s="1"/>
  <c r="CI130" i="3" s="1"/>
  <c r="BZ130" i="3"/>
  <c r="BR129" i="3"/>
  <c r="BR130" i="3" s="1"/>
  <c r="AY131" i="2"/>
  <c r="CQ129" i="3"/>
  <c r="CQ130" i="3" s="1"/>
  <c r="BJ129" i="3"/>
  <c r="BJ130" i="3" s="1"/>
  <c r="BK130" i="3" s="1"/>
  <c r="CT129" i="3"/>
  <c r="CT130" i="3" s="1"/>
  <c r="EO129" i="3"/>
  <c r="AT129" i="3"/>
  <c r="AT130" i="3" s="1"/>
  <c r="AV130" i="3" s="1"/>
  <c r="EG43" i="2"/>
  <c r="CF130" i="3"/>
  <c r="EG73" i="2"/>
  <c r="BF131" i="2"/>
  <c r="EG129" i="3"/>
  <c r="EG130" i="3" s="1"/>
  <c r="FK129" i="3"/>
  <c r="FK130" i="3" s="1"/>
  <c r="BS129" i="3"/>
  <c r="BS130" i="3" s="1"/>
  <c r="AL129" i="3"/>
  <c r="AL130" i="3" s="1"/>
  <c r="AM130" i="3" s="1"/>
  <c r="DD130" i="3"/>
  <c r="FN129" i="3"/>
  <c r="FN130" i="3" s="1"/>
  <c r="DQ129" i="3"/>
  <c r="DQ130" i="3" s="1"/>
  <c r="DS130" i="3" s="1"/>
  <c r="BC129" i="3"/>
  <c r="BC130" i="3" s="1"/>
  <c r="BE130" i="3" s="1"/>
  <c r="DN129" i="3"/>
  <c r="DN130" i="3" s="1"/>
  <c r="CO130" i="3"/>
  <c r="BT131" i="2"/>
  <c r="EJ154" i="1"/>
  <c r="CL129" i="3"/>
  <c r="DA131" i="2"/>
  <c r="GZ154" i="1"/>
  <c r="BP131" i="2"/>
  <c r="EB154" i="1"/>
  <c r="DM130" i="3"/>
  <c r="EZ128" i="3"/>
  <c r="DW127" i="2"/>
  <c r="EF131" i="2"/>
  <c r="EE131" i="2"/>
  <c r="DW128" i="3"/>
  <c r="DW130" i="3" s="1"/>
  <c r="DY130" i="3" s="1"/>
  <c r="IK154" i="1"/>
  <c r="U129" i="3"/>
  <c r="CD131" i="2"/>
  <c r="FD154" i="1"/>
  <c r="BR131" i="2"/>
  <c r="EF154" i="1"/>
  <c r="BB131" i="2"/>
  <c r="AL131" i="2"/>
  <c r="BV138" i="2"/>
  <c r="EO138" i="1"/>
  <c r="EO152" i="1"/>
  <c r="EO124" i="1"/>
  <c r="DS129" i="3"/>
  <c r="DL131" i="2"/>
  <c r="HV154" i="1"/>
  <c r="BJ138" i="2"/>
  <c r="DQ138" i="1"/>
  <c r="DQ124" i="1"/>
  <c r="DQ127" i="2"/>
  <c r="AV129" i="3"/>
  <c r="CM131" i="2"/>
  <c r="FX154" i="1"/>
  <c r="AJ129" i="3"/>
  <c r="CI131" i="2"/>
  <c r="FP154" i="1"/>
  <c r="CS138" i="1"/>
  <c r="CS124" i="1"/>
  <c r="AX138" i="2" s="1"/>
  <c r="BY138" i="2"/>
  <c r="EU138" i="1"/>
  <c r="EU152" i="1"/>
  <c r="EU124" i="1"/>
  <c r="ET140" i="1"/>
  <c r="BC138" i="1"/>
  <c r="BC124" i="1"/>
  <c r="AC138" i="2" s="1"/>
  <c r="BB140" i="1"/>
  <c r="AC131" i="2" s="1"/>
  <c r="M131" i="2"/>
  <c r="V123" i="1"/>
  <c r="W124" i="1" s="1"/>
  <c r="BX138" i="2"/>
  <c r="ES138" i="1"/>
  <c r="ES124" i="1"/>
  <c r="ES152" i="1"/>
  <c r="ER140" i="1"/>
  <c r="AQ131" i="2"/>
  <c r="FL129" i="3"/>
  <c r="EA131" i="2"/>
  <c r="IZ154" i="1"/>
  <c r="V131" i="2"/>
  <c r="AO124" i="1"/>
  <c r="V138" i="2" s="1"/>
  <c r="F131" i="2"/>
  <c r="H123" i="1"/>
  <c r="I124" i="1" s="1"/>
  <c r="DW138" i="2"/>
  <c r="IS152" i="1"/>
  <c r="IS124" i="1"/>
  <c r="IS138" i="1"/>
  <c r="DZ138" i="2"/>
  <c r="IY138" i="1"/>
  <c r="IY124" i="1"/>
  <c r="IY152" i="1"/>
  <c r="CT138" i="2"/>
  <c r="GM138" i="1"/>
  <c r="GM124" i="1"/>
  <c r="GM152" i="1"/>
  <c r="CK138" i="2"/>
  <c r="FU152" i="1"/>
  <c r="FU124" i="1"/>
  <c r="FU138" i="1"/>
  <c r="BS138" i="2"/>
  <c r="EI152" i="1"/>
  <c r="EI138" i="1"/>
  <c r="EI124" i="1"/>
  <c r="EH140" i="1"/>
  <c r="DC138" i="1"/>
  <c r="DC124" i="1"/>
  <c r="BC138" i="2" s="1"/>
  <c r="DB140" i="1"/>
  <c r="BC131" i="2" s="1"/>
  <c r="BV116" i="1"/>
  <c r="BV123" i="1" s="1"/>
  <c r="W131" i="2"/>
  <c r="AQ124" i="1"/>
  <c r="W138" i="2" s="1"/>
  <c r="G131" i="2"/>
  <c r="J123" i="1"/>
  <c r="K124" i="1" s="1"/>
  <c r="DX138" i="2"/>
  <c r="IU152" i="1"/>
  <c r="IT140" i="1"/>
  <c r="IU124" i="1"/>
  <c r="IU138" i="1"/>
  <c r="CR138" i="2"/>
  <c r="GI152" i="1"/>
  <c r="GH140" i="1"/>
  <c r="GI138" i="1"/>
  <c r="GI124" i="1"/>
  <c r="EA138" i="2"/>
  <c r="JA152" i="1"/>
  <c r="JA124" i="1"/>
  <c r="JA138" i="1"/>
  <c r="EN128" i="3"/>
  <c r="DS127" i="2"/>
  <c r="EX128" i="3"/>
  <c r="EX130" i="3" s="1"/>
  <c r="DY128" i="3"/>
  <c r="DN127" i="2"/>
  <c r="FR128" i="3"/>
  <c r="EC127" i="2"/>
  <c r="JE154" i="1"/>
  <c r="BL138" i="2"/>
  <c r="DU124" i="1"/>
  <c r="DU138" i="1"/>
  <c r="ET129" i="3"/>
  <c r="DU131" i="2"/>
  <c r="IN154" i="1"/>
  <c r="BB129" i="3"/>
  <c r="CO131" i="2"/>
  <c r="GB154" i="1"/>
  <c r="DI138" i="1"/>
  <c r="DI124" i="1"/>
  <c r="BF138" i="2" s="1"/>
  <c r="EU128" i="3"/>
  <c r="EU130" i="3" s="1"/>
  <c r="EW130" i="3" s="1"/>
  <c r="BW129" i="3"/>
  <c r="CV131" i="2"/>
  <c r="GP154" i="1"/>
  <c r="CJ140" i="1"/>
  <c r="AT131" i="2" s="1"/>
  <c r="CJ123" i="1"/>
  <c r="BI138" i="2"/>
  <c r="DO138" i="1"/>
  <c r="DO124" i="1"/>
  <c r="DN140" i="1"/>
  <c r="BI131" i="2" s="1"/>
  <c r="CI138" i="1"/>
  <c r="CI124" i="1"/>
  <c r="AS138" i="2" s="1"/>
  <c r="CH140" i="1"/>
  <c r="AS131" i="2" s="1"/>
  <c r="FA128" i="3"/>
  <c r="DM124" i="1"/>
  <c r="BH138" i="2" s="1"/>
  <c r="DM138" i="1"/>
  <c r="DL140" i="1"/>
  <c r="BH131" i="2" s="1"/>
  <c r="AA131" i="2"/>
  <c r="DP129" i="3"/>
  <c r="DK131" i="2"/>
  <c r="HT154" i="1"/>
  <c r="CU138" i="2"/>
  <c r="GO152" i="1"/>
  <c r="GN140" i="1"/>
  <c r="GO138" i="1"/>
  <c r="GO124" i="1"/>
  <c r="DN138" i="2"/>
  <c r="IA152" i="1"/>
  <c r="IA124" i="1"/>
  <c r="IA138" i="1"/>
  <c r="HZ140" i="1"/>
  <c r="CH138" i="2"/>
  <c r="FO152" i="1"/>
  <c r="FO124" i="1"/>
  <c r="FN140" i="1"/>
  <c r="FO138" i="1"/>
  <c r="DY140" i="1"/>
  <c r="DY154" i="1" s="1"/>
  <c r="DL138" i="2"/>
  <c r="HW152" i="1"/>
  <c r="HW124" i="1"/>
  <c r="HW138" i="1"/>
  <c r="CG138" i="2"/>
  <c r="FM138" i="1"/>
  <c r="FK152" i="1"/>
  <c r="FM124" i="1"/>
  <c r="FL124" i="1"/>
  <c r="FK124" i="1"/>
  <c r="DG138" i="2"/>
  <c r="HM152" i="1"/>
  <c r="HM124" i="1"/>
  <c r="HM138" i="1"/>
  <c r="DA130" i="3"/>
  <c r="ET128" i="3"/>
  <c r="DU127" i="2"/>
  <c r="FI129" i="3"/>
  <c r="DZ131" i="2"/>
  <c r="IX154" i="1"/>
  <c r="IW154" i="1"/>
  <c r="CN123" i="1"/>
  <c r="CN140" i="1"/>
  <c r="AV131" i="2" s="1"/>
  <c r="DJ129" i="3"/>
  <c r="DI131" i="2"/>
  <c r="HP154" i="1"/>
  <c r="BN131" i="2"/>
  <c r="DX154" i="1"/>
  <c r="CC138" i="1"/>
  <c r="CC124" i="1"/>
  <c r="AP138" i="2" s="1"/>
  <c r="DZ128" i="3"/>
  <c r="DZ130" i="3" s="1"/>
  <c r="EB130" i="3" s="1"/>
  <c r="BP138" i="2"/>
  <c r="EC124" i="1"/>
  <c r="EC152" i="1"/>
  <c r="EC138" i="1"/>
  <c r="AD129" i="3"/>
  <c r="CG131" i="2"/>
  <c r="FJ154" i="1"/>
  <c r="EB129" i="3"/>
  <c r="DO131" i="2"/>
  <c r="IB154" i="1"/>
  <c r="DT140" i="1"/>
  <c r="BL131" i="2" s="1"/>
  <c r="EG137" i="2"/>
  <c r="Y131" i="2"/>
  <c r="AU124" i="1"/>
  <c r="Y138" i="2" s="1"/>
  <c r="I131" i="2"/>
  <c r="N123" i="1"/>
  <c r="O124" i="1" s="1"/>
  <c r="FO128" i="3"/>
  <c r="EB127" i="2"/>
  <c r="EQ128" i="3"/>
  <c r="DT127" i="2"/>
  <c r="CF123" i="1"/>
  <c r="EC138" i="2"/>
  <c r="JE138" i="1"/>
  <c r="JE152" i="1"/>
  <c r="JE124" i="1"/>
  <c r="BM138" i="1"/>
  <c r="BM124" i="1"/>
  <c r="AH138" i="2" s="1"/>
  <c r="R131" i="2"/>
  <c r="AF123" i="1"/>
  <c r="AG124" i="1" s="1"/>
  <c r="IY154" i="1"/>
  <c r="DB138" i="2"/>
  <c r="HC138" i="1"/>
  <c r="HC124" i="1"/>
  <c r="HC152" i="1"/>
  <c r="HB140" i="1"/>
  <c r="DQ140" i="1"/>
  <c r="BJ131" i="2" s="1"/>
  <c r="CS138" i="2"/>
  <c r="GK152" i="1"/>
  <c r="GK138" i="1"/>
  <c r="GK124" i="1"/>
  <c r="BO138" i="2"/>
  <c r="EA152" i="1"/>
  <c r="EA124" i="1"/>
  <c r="EA138" i="1"/>
  <c r="EE138" i="2"/>
  <c r="CU138" i="1"/>
  <c r="CU124" i="1"/>
  <c r="AY138" i="2" s="1"/>
  <c r="BO138" i="1"/>
  <c r="BO124" i="1"/>
  <c r="AI138" i="2" s="1"/>
  <c r="S131" i="2"/>
  <c r="AI124" i="1"/>
  <c r="S138" i="2" s="1"/>
  <c r="CZ138" i="2"/>
  <c r="GY152" i="1"/>
  <c r="GY138" i="1"/>
  <c r="GY124" i="1"/>
  <c r="GX140" i="1"/>
  <c r="CI138" i="2"/>
  <c r="FQ152" i="1"/>
  <c r="FQ138" i="1"/>
  <c r="FQ124" i="1"/>
  <c r="ER128" i="3"/>
  <c r="ER130" i="3" s="1"/>
  <c r="DM129" i="3"/>
  <c r="DJ131" i="2"/>
  <c r="HR154" i="1"/>
  <c r="IG154" i="1"/>
  <c r="BI124" i="1"/>
  <c r="AF138" i="2" s="1"/>
  <c r="BI138" i="1"/>
  <c r="FR129" i="3"/>
  <c r="EC131" i="2"/>
  <c r="JD154" i="1"/>
  <c r="BZ129" i="3"/>
  <c r="CW131" i="2"/>
  <c r="GR154" i="1"/>
  <c r="AH120" i="2"/>
  <c r="BL140" i="1"/>
  <c r="AH131" i="2" s="1"/>
  <c r="BM136" i="1"/>
  <c r="EK128" i="3"/>
  <c r="DR127" i="2"/>
  <c r="JC154" i="1"/>
  <c r="CW124" i="1"/>
  <c r="AZ138" i="2" s="1"/>
  <c r="CV140" i="1"/>
  <c r="AZ131" i="2" s="1"/>
  <c r="CW138" i="1"/>
  <c r="BQ131" i="2"/>
  <c r="ED154" i="1"/>
  <c r="EG130" i="2"/>
  <c r="BH129" i="3"/>
  <c r="CQ131" i="2"/>
  <c r="GF154" i="1"/>
  <c r="BU138" i="2"/>
  <c r="EM152" i="1"/>
  <c r="EM124" i="1"/>
  <c r="EL140" i="1"/>
  <c r="EM138" i="1"/>
  <c r="DF140" i="1"/>
  <c r="BA124" i="1"/>
  <c r="AB138" i="2" s="1"/>
  <c r="BA138" i="1"/>
  <c r="AZ140" i="1"/>
  <c r="AB131" i="2" s="1"/>
  <c r="DM138" i="2"/>
  <c r="HY138" i="1"/>
  <c r="HY152" i="1"/>
  <c r="HY124" i="1"/>
  <c r="DO138" i="2"/>
  <c r="IC152" i="1"/>
  <c r="IC138" i="1"/>
  <c r="IC124" i="1"/>
  <c r="DW123" i="1"/>
  <c r="DW138" i="1" s="1"/>
  <c r="DW140" i="1"/>
  <c r="DW154" i="1" s="1"/>
  <c r="DV138" i="2"/>
  <c r="IQ152" i="1"/>
  <c r="IQ138" i="1"/>
  <c r="IQ124" i="1"/>
  <c r="IP140" i="1"/>
  <c r="CP138" i="2"/>
  <c r="GE152" i="1"/>
  <c r="GE138" i="1"/>
  <c r="GE124" i="1"/>
  <c r="GD140" i="1"/>
  <c r="CS140" i="1"/>
  <c r="AX131" i="2" s="1"/>
  <c r="DT138" i="2"/>
  <c r="IM152" i="1"/>
  <c r="IL140" i="1"/>
  <c r="IM138" i="1"/>
  <c r="IM124" i="1"/>
  <c r="CN138" i="2"/>
  <c r="GA152" i="1"/>
  <c r="FZ140" i="1"/>
  <c r="GA138" i="1"/>
  <c r="GA124" i="1"/>
  <c r="DS138" i="2"/>
  <c r="IK152" i="1"/>
  <c r="IK138" i="1"/>
  <c r="IK124" i="1"/>
  <c r="IJ140" i="1"/>
  <c r="EL128" i="3"/>
  <c r="EL130" i="3" s="1"/>
  <c r="EN130" i="3" s="1"/>
  <c r="BQ129" i="3"/>
  <c r="CT131" i="2"/>
  <c r="GL154" i="1"/>
  <c r="P131" i="2"/>
  <c r="AB123" i="1"/>
  <c r="AC124" i="1" s="1"/>
  <c r="EH129" i="3"/>
  <c r="DQ131" i="2"/>
  <c r="IF154" i="1"/>
  <c r="AP129" i="3"/>
  <c r="CK131" i="2"/>
  <c r="FT154" i="1"/>
  <c r="AD131" i="2"/>
  <c r="IM154" i="1"/>
  <c r="BQ124" i="1"/>
  <c r="AJ138" i="2" s="1"/>
  <c r="BQ138" i="1"/>
  <c r="BA131" i="2"/>
  <c r="BT138" i="2"/>
  <c r="EK152" i="1"/>
  <c r="EK138" i="1"/>
  <c r="EK124" i="1"/>
  <c r="BS138" i="1"/>
  <c r="BS124" i="1"/>
  <c r="AK138" i="2" s="1"/>
  <c r="U131" i="2"/>
  <c r="AM124" i="1"/>
  <c r="U138" i="2" s="1"/>
  <c r="E131" i="2"/>
  <c r="F123" i="1"/>
  <c r="G124" i="1" s="1"/>
  <c r="FM128" i="3"/>
  <c r="FM130" i="3" s="1"/>
  <c r="EO128" i="3"/>
  <c r="EO130" i="3" s="1"/>
  <c r="EQ130" i="3" s="1"/>
  <c r="L131" i="2"/>
  <c r="T123" i="1"/>
  <c r="U124" i="1" s="1"/>
  <c r="BR138" i="2"/>
  <c r="EG152" i="1"/>
  <c r="EG138" i="1"/>
  <c r="EG124" i="1"/>
  <c r="BE138" i="1"/>
  <c r="BE124" i="1"/>
  <c r="AD138" i="2" s="1"/>
  <c r="N131" i="2"/>
  <c r="X123" i="1"/>
  <c r="Y124" i="1" s="1"/>
  <c r="CM138" i="2"/>
  <c r="FY152" i="1"/>
  <c r="FY138" i="1"/>
  <c r="FY124" i="1"/>
  <c r="DJ138" i="2"/>
  <c r="HS138" i="1"/>
  <c r="HS124" i="1"/>
  <c r="HS152" i="1"/>
  <c r="CE138" i="2"/>
  <c r="FG152" i="1"/>
  <c r="FG138" i="1"/>
  <c r="FG124" i="1"/>
  <c r="IO154" i="1"/>
  <c r="CD138" i="2"/>
  <c r="FE138" i="1"/>
  <c r="FE152" i="1"/>
  <c r="FE124" i="1"/>
  <c r="BK138" i="2"/>
  <c r="DS124" i="1"/>
  <c r="DS138" i="1"/>
  <c r="DR140" i="1"/>
  <c r="BK131" i="2" s="1"/>
  <c r="CL140" i="1"/>
  <c r="AU131" i="2" s="1"/>
  <c r="CL123" i="1"/>
  <c r="BG124" i="1"/>
  <c r="AE138" i="2" s="1"/>
  <c r="BF140" i="1"/>
  <c r="AE131" i="2" s="1"/>
  <c r="BG138" i="1"/>
  <c r="O131" i="2"/>
  <c r="Z123" i="1"/>
  <c r="AA124" i="1" s="1"/>
  <c r="DH138" i="2"/>
  <c r="HO152" i="1"/>
  <c r="HN140" i="1"/>
  <c r="HO138" i="1"/>
  <c r="HO124" i="1"/>
  <c r="CC138" i="2"/>
  <c r="FC152" i="1"/>
  <c r="FB140" i="1"/>
  <c r="FC124" i="1"/>
  <c r="FC138" i="1"/>
  <c r="CY138" i="2"/>
  <c r="GW152" i="1"/>
  <c r="GW124" i="1"/>
  <c r="GW138" i="1"/>
  <c r="FV74" i="3"/>
  <c r="FT129" i="3"/>
  <c r="FP128" i="3"/>
  <c r="FP130" i="3" s="1"/>
  <c r="FR130" i="3" s="1"/>
  <c r="EF128" i="3"/>
  <c r="EF130" i="3" s="1"/>
  <c r="EH130" i="3" s="1"/>
  <c r="X129" i="3"/>
  <c r="CE131" i="2"/>
  <c r="FF154" i="1"/>
  <c r="CX129" i="3"/>
  <c r="DE131" i="2"/>
  <c r="HH154" i="1"/>
  <c r="DZ127" i="2"/>
  <c r="EI128" i="3"/>
  <c r="EI130" i="3" s="1"/>
  <c r="EK130" i="3" s="1"/>
  <c r="T131" i="2"/>
  <c r="AK124" i="1"/>
  <c r="T138" i="2" s="1"/>
  <c r="AK131" i="2"/>
  <c r="BY138" i="1"/>
  <c r="BY124" i="1"/>
  <c r="AN138" i="2" s="1"/>
  <c r="EZ129" i="3"/>
  <c r="DW131" i="2"/>
  <c r="IR154" i="1"/>
  <c r="CF129" i="3"/>
  <c r="CY131" i="2"/>
  <c r="GV154" i="1"/>
  <c r="O129" i="3"/>
  <c r="CB131" i="2"/>
  <c r="EZ154" i="1"/>
  <c r="DY138" i="2"/>
  <c r="IW152" i="1"/>
  <c r="IW138" i="1"/>
  <c r="IW124" i="1"/>
  <c r="BQ138" i="2"/>
  <c r="EE138" i="1"/>
  <c r="EE152" i="1"/>
  <c r="EE124" i="1"/>
  <c r="CY138" i="1"/>
  <c r="CY124" i="1"/>
  <c r="BA138" i="2" s="1"/>
  <c r="DA138" i="1"/>
  <c r="DA124" i="1"/>
  <c r="BB138" i="2" s="1"/>
  <c r="DG123" i="1"/>
  <c r="EF138" i="2" s="1"/>
  <c r="DG140" i="1"/>
  <c r="CX138" i="2"/>
  <c r="GU152" i="1"/>
  <c r="GU124" i="1"/>
  <c r="GU138" i="1"/>
  <c r="GT140" i="1"/>
  <c r="DE124" i="1"/>
  <c r="BD138" i="2" s="1"/>
  <c r="DE138" i="1"/>
  <c r="CO138" i="2"/>
  <c r="GC138" i="1"/>
  <c r="GC152" i="1"/>
  <c r="GC124" i="1"/>
  <c r="EB138" i="2"/>
  <c r="JC152" i="1"/>
  <c r="JC124" i="1"/>
  <c r="JC138" i="1"/>
  <c r="CV138" i="2"/>
  <c r="GQ152" i="1"/>
  <c r="GQ138" i="1"/>
  <c r="GQ124" i="1"/>
  <c r="CB138" i="2"/>
  <c r="FA152" i="1"/>
  <c r="FA124" i="1"/>
  <c r="FA138" i="1"/>
  <c r="FJ128" i="3"/>
  <c r="FJ130" i="3" s="1"/>
  <c r="BO131" i="2"/>
  <c r="DZ154" i="1"/>
  <c r="JA154" i="1"/>
  <c r="FF129" i="3"/>
  <c r="DY131" i="2"/>
  <c r="IV154" i="1"/>
  <c r="BN129" i="3"/>
  <c r="CS131" i="2"/>
  <c r="GJ154" i="1"/>
  <c r="BV131" i="2"/>
  <c r="EN154" i="1"/>
  <c r="AP131" i="2"/>
  <c r="DQ138" i="2"/>
  <c r="IG152" i="1"/>
  <c r="IG138" i="1"/>
  <c r="IG124" i="1"/>
  <c r="DU138" i="2"/>
  <c r="IO138" i="1"/>
  <c r="IO152" i="1"/>
  <c r="IO124" i="1"/>
  <c r="DY127" i="2"/>
  <c r="X131" i="2"/>
  <c r="AS124" i="1"/>
  <c r="X138" i="2" s="1"/>
  <c r="BX140" i="1"/>
  <c r="AN131" i="2" s="1"/>
  <c r="DI138" i="2"/>
  <c r="HQ152" i="1"/>
  <c r="HQ138" i="1"/>
  <c r="HQ124" i="1"/>
  <c r="BK138" i="1"/>
  <c r="BK124" i="1"/>
  <c r="AG138" i="2" s="1"/>
  <c r="Q131" i="2"/>
  <c r="AD123" i="1"/>
  <c r="AE124" i="1" s="1"/>
  <c r="FC128" i="3"/>
  <c r="DX127" i="2"/>
  <c r="EE128" i="3"/>
  <c r="DP127" i="2"/>
  <c r="BU138" i="1"/>
  <c r="BU124" i="1"/>
  <c r="AL138" i="2" s="1"/>
  <c r="Z131" i="2"/>
  <c r="AW124" i="1"/>
  <c r="Z138" i="2" s="1"/>
  <c r="J131" i="2"/>
  <c r="P123" i="1"/>
  <c r="Q124" i="1" s="1"/>
  <c r="DC138" i="2"/>
  <c r="HE152" i="1"/>
  <c r="HE124" i="1"/>
  <c r="HD140" i="1"/>
  <c r="HE138" i="1"/>
  <c r="DR138" i="2"/>
  <c r="II138" i="1"/>
  <c r="II124" i="1"/>
  <c r="II152" i="1"/>
  <c r="IH140" i="1"/>
  <c r="CL138" i="2"/>
  <c r="FW138" i="1"/>
  <c r="FW124" i="1"/>
  <c r="FW152" i="1"/>
  <c r="FV140" i="1"/>
  <c r="D131" i="2"/>
  <c r="D123" i="1"/>
  <c r="E124" i="1" s="1"/>
  <c r="BW138" i="2"/>
  <c r="EQ152" i="1"/>
  <c r="EP140" i="1"/>
  <c r="EQ124" i="1"/>
  <c r="EQ138" i="1"/>
  <c r="DK138" i="1"/>
  <c r="DK124" i="1"/>
  <c r="BG138" i="2" s="1"/>
  <c r="CE124" i="1"/>
  <c r="AQ138" i="2" s="1"/>
  <c r="CE138" i="1"/>
  <c r="AY138" i="1"/>
  <c r="AY124" i="1"/>
  <c r="AA138" i="2" s="1"/>
  <c r="K131" i="2"/>
  <c r="R123" i="1"/>
  <c r="S124" i="1" s="1"/>
  <c r="DP138" i="2"/>
  <c r="IE152" i="1"/>
  <c r="IE138" i="1"/>
  <c r="IE124" i="1"/>
  <c r="ID140" i="1"/>
  <c r="CJ138" i="2"/>
  <c r="FS152" i="1"/>
  <c r="FS124" i="1"/>
  <c r="FS138" i="1"/>
  <c r="FR140" i="1"/>
  <c r="DK138" i="2"/>
  <c r="HU138" i="1"/>
  <c r="HU152" i="1"/>
  <c r="HU124" i="1"/>
  <c r="FL128" i="3"/>
  <c r="EA127" i="2"/>
  <c r="FD128" i="3"/>
  <c r="FD130" i="3" s="1"/>
  <c r="FF130" i="3" s="1"/>
  <c r="IS154" i="1"/>
  <c r="DV129" i="3"/>
  <c r="DM131" i="2"/>
  <c r="HX154" i="1"/>
  <c r="DA138" i="2"/>
  <c r="HA152" i="1"/>
  <c r="HA138" i="1"/>
  <c r="HA124" i="1"/>
  <c r="EW128" i="3"/>
  <c r="DV127" i="2"/>
  <c r="EB128" i="3"/>
  <c r="DO127" i="2"/>
  <c r="FO129" i="3"/>
  <c r="EB131" i="2"/>
  <c r="JB154" i="1"/>
  <c r="DE138" i="2"/>
  <c r="HI138" i="1"/>
  <c r="HI152" i="1"/>
  <c r="HI124" i="1"/>
  <c r="H131" i="2"/>
  <c r="L123" i="1"/>
  <c r="M124" i="1" s="1"/>
  <c r="DD129" i="3"/>
  <c r="DG131" i="2"/>
  <c r="HL154" i="1"/>
  <c r="BN138" i="2"/>
  <c r="DY138" i="1"/>
  <c r="DY152" i="1"/>
  <c r="DY124" i="1"/>
  <c r="BM138" i="2"/>
  <c r="DW152" i="1"/>
  <c r="DV140" i="1"/>
  <c r="DW124" i="1"/>
  <c r="CP140" i="1"/>
  <c r="AW131" i="2" s="1"/>
  <c r="BG131" i="2"/>
  <c r="CF138" i="2"/>
  <c r="FI124" i="1"/>
  <c r="FI152" i="1"/>
  <c r="FI138" i="1"/>
  <c r="FH140" i="1"/>
  <c r="CQ123" i="1"/>
  <c r="CQ124" i="1" s="1"/>
  <c r="AW138" i="2" s="1"/>
  <c r="CQ140" i="1"/>
  <c r="DF138" i="2"/>
  <c r="HK152" i="1"/>
  <c r="HK124" i="1"/>
  <c r="HJ140" i="1"/>
  <c r="HK138" i="1"/>
  <c r="CA138" i="2"/>
  <c r="EY152" i="1"/>
  <c r="EY124" i="1"/>
  <c r="EY138" i="1"/>
  <c r="EX140" i="1"/>
  <c r="CW138" i="2"/>
  <c r="GS138" i="1"/>
  <c r="GS152" i="1"/>
  <c r="GS124" i="1"/>
  <c r="BZ116" i="1"/>
  <c r="BZ123" i="1" s="1"/>
  <c r="EV123" i="1"/>
  <c r="DD138" i="2"/>
  <c r="HG152" i="1"/>
  <c r="HG138" i="1"/>
  <c r="HF140" i="1"/>
  <c r="HG124" i="1"/>
  <c r="CQ138" i="2"/>
  <c r="GG152" i="1"/>
  <c r="GG124" i="1"/>
  <c r="GG138" i="1"/>
  <c r="DV130" i="3" l="1"/>
  <c r="FO130" i="3"/>
  <c r="F129" i="3"/>
  <c r="F130" i="3"/>
  <c r="ET130" i="3"/>
  <c r="DP130" i="3"/>
  <c r="EZ130" i="3"/>
  <c r="FA130" i="3"/>
  <c r="FC130" i="3" s="1"/>
  <c r="CR130" i="3"/>
  <c r="FL130" i="3"/>
  <c r="BT130" i="3"/>
  <c r="DJ130" i="3"/>
  <c r="CU130" i="3"/>
  <c r="CA124" i="1"/>
  <c r="AO138" i="2" s="1"/>
  <c r="CA138" i="1"/>
  <c r="BZ140" i="1"/>
  <c r="AO131" i="2" s="1"/>
  <c r="DG129" i="3"/>
  <c r="DH131" i="2"/>
  <c r="HN154" i="1"/>
  <c r="CM124" i="1"/>
  <c r="AU138" i="2" s="1"/>
  <c r="CM138" i="1"/>
  <c r="BE129" i="3"/>
  <c r="CP131" i="2"/>
  <c r="GD154" i="1"/>
  <c r="DG138" i="1"/>
  <c r="CK138" i="1"/>
  <c r="CK124" i="1"/>
  <c r="AT138" i="2" s="1"/>
  <c r="BY131" i="2"/>
  <c r="ET154" i="1"/>
  <c r="L129" i="3"/>
  <c r="CA131" i="2"/>
  <c r="EX154" i="1"/>
  <c r="DG124" i="1"/>
  <c r="BE138" i="2" s="1"/>
  <c r="CO124" i="1"/>
  <c r="AV138" i="2" s="1"/>
  <c r="CO138" i="1"/>
  <c r="BK129" i="3"/>
  <c r="CR131" i="2"/>
  <c r="GH154" i="1"/>
  <c r="BS131" i="2"/>
  <c r="EH154" i="1"/>
  <c r="EG131" i="2"/>
  <c r="BW131" i="2"/>
  <c r="EP154" i="1"/>
  <c r="CR129" i="3"/>
  <c r="DC131" i="2"/>
  <c r="HD154" i="1"/>
  <c r="EG138" i="2"/>
  <c r="CG138" i="1"/>
  <c r="CG124" i="1"/>
  <c r="AR138" i="2" s="1"/>
  <c r="CF140" i="1"/>
  <c r="AR131" i="2" s="1"/>
  <c r="BZ138" i="2"/>
  <c r="EW152" i="1"/>
  <c r="EW138" i="1"/>
  <c r="EW124" i="1"/>
  <c r="EV140" i="1"/>
  <c r="CQ138" i="1"/>
  <c r="EE129" i="3"/>
  <c r="DP131" i="2"/>
  <c r="ID154" i="1"/>
  <c r="CC129" i="3"/>
  <c r="CX131" i="2"/>
  <c r="GT154" i="1"/>
  <c r="FV129" i="3"/>
  <c r="FT130" i="3"/>
  <c r="FV130" i="3" s="1"/>
  <c r="R129" i="3"/>
  <c r="CC131" i="2"/>
  <c r="FB154" i="1"/>
  <c r="EQ129" i="3"/>
  <c r="DT131" i="2"/>
  <c r="IL154" i="1"/>
  <c r="BU131" i="2"/>
  <c r="EL154" i="1"/>
  <c r="AG129" i="3"/>
  <c r="CH131" i="2"/>
  <c r="FN154" i="1"/>
  <c r="EK129" i="3"/>
  <c r="DR131" i="2"/>
  <c r="IH154" i="1"/>
  <c r="CO129" i="3"/>
  <c r="DB131" i="2"/>
  <c r="HB154" i="1"/>
  <c r="AA129" i="3"/>
  <c r="CF131" i="2"/>
  <c r="FH154" i="1"/>
  <c r="EW129" i="3"/>
  <c r="DV131" i="2"/>
  <c r="IP154" i="1"/>
  <c r="BW138" i="1"/>
  <c r="BW124" i="1"/>
  <c r="AM138" i="2" s="1"/>
  <c r="BV140" i="1"/>
  <c r="AM131" i="2" s="1"/>
  <c r="AM129" i="3"/>
  <c r="CJ131" i="2"/>
  <c r="FR154" i="1"/>
  <c r="AY129" i="3"/>
  <c r="CN131" i="2"/>
  <c r="FZ154" i="1"/>
  <c r="BT129" i="3"/>
  <c r="CU131" i="2"/>
  <c r="GN154" i="1"/>
  <c r="FC129" i="3"/>
  <c r="DX131" i="2"/>
  <c r="IT154" i="1"/>
  <c r="BX131" i="2"/>
  <c r="ER154" i="1"/>
  <c r="CU129" i="3"/>
  <c r="DD131" i="2"/>
  <c r="HF154" i="1"/>
  <c r="DA129" i="3"/>
  <c r="DF131" i="2"/>
  <c r="HJ154" i="1"/>
  <c r="BM131" i="2"/>
  <c r="DV154" i="1"/>
  <c r="AS129" i="3"/>
  <c r="CL131" i="2"/>
  <c r="FV154" i="1"/>
  <c r="EN129" i="3"/>
  <c r="DS131" i="2"/>
  <c r="IJ154" i="1"/>
  <c r="BE131" i="2"/>
  <c r="CI129" i="3"/>
  <c r="CZ131" i="2"/>
  <c r="GX154" i="1"/>
  <c r="DY129" i="3"/>
  <c r="DN131" i="2"/>
  <c r="HZ154" i="1"/>
  <c r="I129" i="3" l="1"/>
  <c r="BZ131" i="2"/>
  <c r="EV1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Joanne Marshall (SID)</author>
    <author>Marcus Cook</author>
    <author>Elizabeth Gouldson</author>
    <author>Joanne Marshall</author>
    <author>Peter Wharton (SID)</author>
    <author>Tina-Louise Timmings</author>
    <author>Simon Fry</author>
  </authors>
  <commentList>
    <comment ref="DB3" authorId="0" shapeId="0" xr:uid="{907A6338-E2DD-4332-8202-D7F80CCFECD7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3 cases still/back under investigation considered as not reported.</t>
        </r>
      </text>
    </comment>
    <comment ref="EB3" authorId="0" shapeId="0" xr:uid="{36DF06D4-4E19-4DDF-82BF-CDF3486F1ABB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One alert still under investigation when results pulled.</t>
        </r>
      </text>
    </comment>
    <comment ref="GO3" authorId="1" shapeId="0" xr:uid="{F0D316A6-9817-4C23-AE11-2E56DB7151C7}">
      <text>
        <r>
          <rPr>
            <b/>
            <sz val="9"/>
            <color indexed="81"/>
            <rFont val="Tahoma"/>
            <family val="2"/>
          </rPr>
          <t>Marcus Cook:</t>
        </r>
        <r>
          <rPr>
            <sz val="9"/>
            <color indexed="81"/>
            <rFont val="Tahoma"/>
            <family val="2"/>
          </rPr>
          <t xml:space="preserve">
2 cases checked looks sensible</t>
        </r>
      </text>
    </comment>
    <comment ref="AN4" authorId="2" shapeId="0" xr:uid="{43CE367F-BC4A-4CB2-ABC7-E16ACB69AC26}">
      <text>
        <r>
          <rPr>
            <b/>
            <sz val="8"/>
            <color indexed="81"/>
            <rFont val="Tahoma"/>
            <family val="2"/>
          </rPr>
          <t>Elizabeth Gouldson:</t>
        </r>
        <r>
          <rPr>
            <sz val="8"/>
            <color indexed="81"/>
            <rFont val="Tahoma"/>
            <family val="2"/>
          </rPr>
          <t xml:space="preserve">
1 more to do</t>
        </r>
      </text>
    </comment>
    <comment ref="GO4" authorId="1" shapeId="0" xr:uid="{7FB0EB7E-DAD0-49EC-B786-40260E36BADD}">
      <text>
        <r>
          <rPr>
            <b/>
            <sz val="9"/>
            <color indexed="81"/>
            <rFont val="Tahoma"/>
            <family val="2"/>
          </rPr>
          <t>Marcus Cook:</t>
        </r>
        <r>
          <rPr>
            <sz val="9"/>
            <color indexed="81"/>
            <rFont val="Tahoma"/>
            <family val="2"/>
          </rPr>
          <t xml:space="preserve">
tested 2 cases looks corrrect</t>
        </r>
      </text>
    </comment>
    <comment ref="DA5" authorId="0" shapeId="0" xr:uid="{949D98B1-5ED5-415E-98E5-C6D5CE49A5E0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77 turnover run
</t>
        </r>
      </text>
    </comment>
    <comment ref="AN6" authorId="2" shapeId="0" xr:uid="{F8733863-CCAA-4DC9-A8B9-3FAE8B8486F5}">
      <text>
        <r>
          <rPr>
            <b/>
            <sz val="8"/>
            <color indexed="81"/>
            <rFont val="Tahoma"/>
            <family val="2"/>
          </rPr>
          <t>Elizabeth Gouldson: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Y6" authorId="0" shapeId="0" xr:uid="{E802CC73-1052-469C-8D8C-42985D10927C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this should be 1 less I think, so 41, as one obs had no cis so deleted. </t>
        </r>
      </text>
    </comment>
    <comment ref="DA6" authorId="0" shapeId="0" xr:uid="{3B76B379-D4AF-45D8-BAC6-F3C0090ABC3A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34 turnover run
</t>
        </r>
      </text>
    </comment>
    <comment ref="DE6" authorId="0" shapeId="0" xr:uid="{B52D0DD9-BF4E-4B71-88B6-4960563ABF70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1 record with no acount number or customer number removed. </t>
        </r>
      </text>
    </comment>
    <comment ref="EB6" authorId="0" shapeId="0" xr:uid="{BED87E78-A544-4F44-BB23-F43754D49688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One alert still under investigation when results pulled. 
</t>
        </r>
      </text>
    </comment>
    <comment ref="GO6" authorId="1" shapeId="0" xr:uid="{17DC5427-F1A2-438D-841E-F193B87EE8CD}">
      <text>
        <r>
          <rPr>
            <b/>
            <sz val="9"/>
            <color indexed="81"/>
            <rFont val="Tahoma"/>
            <family val="2"/>
          </rPr>
          <t>Marcus Cook:</t>
        </r>
        <r>
          <rPr>
            <sz val="9"/>
            <color indexed="81"/>
            <rFont val="Tahoma"/>
            <family val="2"/>
          </rPr>
          <t xml:space="preserve">
2 cases checked sensible output</t>
        </r>
      </text>
    </comment>
    <comment ref="C7" authorId="3" shapeId="0" xr:uid="{849584FB-3F4B-425C-9794-430E687D877E}">
      <text>
        <r>
          <rPr>
            <b/>
            <sz val="8"/>
            <color indexed="81"/>
            <rFont val="Tahoma"/>
            <family val="2"/>
          </rPr>
          <t>Joanne Marshall:</t>
        </r>
        <r>
          <rPr>
            <sz val="8"/>
            <color indexed="81"/>
            <rFont val="Tahoma"/>
            <family val="2"/>
          </rPr>
          <t xml:space="preserve">
check name on this as in proc freq it's decribed as 
Rule 1.5B Flex ACs &gt;5 £3K Cr &amp; &gt;5 £3K Wd
</t>
        </r>
      </text>
    </comment>
    <comment ref="DB10" authorId="0" shapeId="0" xr:uid="{F885791C-0448-4E95-A7AD-7ED0716A3C6D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2 cases still/back under investigation are treated as not reported. </t>
        </r>
      </text>
    </comment>
    <comment ref="DS10" authorId="4" shapeId="0" xr:uid="{D604DA76-1961-4D0A-80B4-C83E0ADCC316}">
      <text>
        <r>
          <rPr>
            <sz val="9"/>
            <color indexed="81"/>
            <rFont val="Tahoma"/>
            <family val="2"/>
          </rPr>
          <t>benefit payment amounts fixed, see version control v1.24</t>
        </r>
      </text>
    </comment>
    <comment ref="EB12" authorId="0" shapeId="0" xr:uid="{7DB23B99-E870-4888-ACDB-D3CDF98689C7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Three alerts still under investigation when results pulled.</t>
        </r>
      </text>
    </comment>
    <comment ref="IS12" authorId="5" shapeId="0" xr:uid="{0A4E8838-0D59-44CF-ABB4-282648DC1F6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11</t>
        </r>
      </text>
    </comment>
    <comment ref="DB13" authorId="0" shapeId="0" xr:uid="{3F365B19-7ECA-41BB-868D-0E0AED19C43A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3 cases still/back under investigation are treated as not reported. </t>
        </r>
      </text>
    </comment>
    <comment ref="EB14" authorId="0" shapeId="0" xr:uid="{266CBB92-FA15-4126-B4D9-A019489F1597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One alert still under investigation when results pulled.</t>
        </r>
      </text>
    </comment>
    <comment ref="AE15" authorId="2" shapeId="0" xr:uid="{012E17C9-052C-4EDE-A685-05F72F48F325}">
      <text>
        <r>
          <rPr>
            <b/>
            <sz val="8"/>
            <color indexed="81"/>
            <rFont val="Tahoma"/>
            <family val="2"/>
          </rPr>
          <t>Elizabeth Gouldson:</t>
        </r>
        <r>
          <rPr>
            <sz val="8"/>
            <color indexed="81"/>
            <rFont val="Tahoma"/>
            <family val="2"/>
          </rPr>
          <t xml:space="preserve">
57 were deceased cases</t>
        </r>
      </text>
    </comment>
    <comment ref="EB15" authorId="0" shapeId="0" xr:uid="{34A585D9-B53F-4DC6-A9D4-A89F8DD5E7DD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One alert still under investigation when results pulled.
</t>
        </r>
      </text>
    </comment>
    <comment ref="IO15" authorId="5" shapeId="0" xr:uid="{EB63D5E2-3018-4643-9FE8-95F34B4E811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41
</t>
        </r>
        <r>
          <rPr>
            <sz val="9"/>
            <color indexed="10"/>
            <rFont val="Tahoma"/>
            <family val="2"/>
          </rPr>
          <t>Rule Suspended</t>
        </r>
      </text>
    </comment>
    <comment ref="EB19" authorId="0" shapeId="0" xr:uid="{BC080703-5F95-4952-9F57-E433CDE3F754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Six alerts still under investigation when results pulled.</t>
        </r>
      </text>
    </comment>
    <comment ref="GG19" authorId="6" shapeId="0" xr:uid="{D25372E9-5394-432F-8B11-4AC4A2A31095}">
      <text>
        <r>
          <rPr>
            <b/>
            <sz val="9"/>
            <color indexed="81"/>
            <rFont val="Tahoma"/>
            <family val="2"/>
          </rPr>
          <t>Simon Fry:</t>
        </r>
        <r>
          <rPr>
            <sz val="9"/>
            <color indexed="81"/>
            <rFont val="Tahoma"/>
            <family val="2"/>
          </rPr>
          <t xml:space="preserve">
Originally 358 but 123 removed following changes to rule criteria post loading.
235 entered by SF but replced with 282 following rule performance code run.</t>
        </r>
      </text>
    </comment>
    <comment ref="GI19" authorId="5" shapeId="0" xr:uid="{D1B145E3-CE7D-4ECC-9FCC-B072E804FF37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Error made in code.  Rule reran.  Run 1 generated 182 alerts.</t>
        </r>
      </text>
    </comment>
    <comment ref="HE19" authorId="5" shapeId="0" xr:uid="{E2F06017-9B87-4A4D-B7A9-FD303F3CAE7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408</t>
        </r>
      </text>
    </comment>
    <comment ref="HG19" authorId="5" shapeId="0" xr:uid="{EDD902D0-B929-4FF2-9D99-BAEB728567A7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308</t>
        </r>
      </text>
    </comment>
    <comment ref="HI19" authorId="5" shapeId="0" xr:uid="{3CEF166D-AAB0-4043-9BB0-888A52D7F50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325</t>
        </r>
      </text>
    </comment>
    <comment ref="HK19" authorId="5" shapeId="0" xr:uid="{B281D1DD-E1AA-4594-87C2-D0C29A444A70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380</t>
        </r>
      </text>
    </comment>
    <comment ref="HM19" authorId="5" shapeId="0" xr:uid="{1D6417F7-9CBD-4452-8FC2-D1AC2E1A9A9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347</t>
        </r>
      </text>
    </comment>
    <comment ref="HO19" authorId="5" shapeId="0" xr:uid="{9029CE07-A8B0-450B-941B-D9DCFCE5F3B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366</t>
        </r>
      </text>
    </comment>
    <comment ref="HQ19" authorId="5" shapeId="0" xr:uid="{A51BA57D-5587-4874-97B5-2E75713FF76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384</t>
        </r>
      </text>
    </comment>
    <comment ref="HS19" authorId="5" shapeId="0" xr:uid="{D651F3C2-6FF6-4B94-8E33-CF8D6DA8B995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270</t>
        </r>
      </text>
    </comment>
    <comment ref="HU19" authorId="5" shapeId="0" xr:uid="{02473101-3E41-4E13-983B-B1D1F891130D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322</t>
        </r>
      </text>
    </comment>
    <comment ref="HW19" authorId="5" shapeId="0" xr:uid="{D8DEE78E-C183-4BAE-BB46-442181511DBD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472</t>
        </r>
      </text>
    </comment>
    <comment ref="HY19" authorId="5" shapeId="0" xr:uid="{BA69B5E6-D9CA-45FF-B516-A456544D8F24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548</t>
        </r>
      </text>
    </comment>
    <comment ref="IA19" authorId="5" shapeId="0" xr:uid="{5EA27285-7296-4324-8EEC-0053EDE249F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584</t>
        </r>
      </text>
    </comment>
    <comment ref="IC19" authorId="5" shapeId="0" xr:uid="{ED589E88-B7E2-472E-829C-363EAEAE7484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689</t>
        </r>
      </text>
    </comment>
    <comment ref="IE19" authorId="5" shapeId="0" xr:uid="{7594BE63-DFD3-459B-98D2-63D6127340F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527</t>
        </r>
      </text>
    </comment>
    <comment ref="IG19" authorId="5" shapeId="0" xr:uid="{729BF55F-846E-4AAB-81E5-C9E12DA00EC0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600</t>
        </r>
      </text>
    </comment>
    <comment ref="II19" authorId="5" shapeId="0" xr:uid="{6619D875-9336-4D3F-BB96-C0CDC6DADB14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640</t>
        </r>
      </text>
    </comment>
    <comment ref="IK19" authorId="5" shapeId="0" xr:uid="{82F7F604-DA6C-43DF-A526-63FE41BF64FD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595</t>
        </r>
      </text>
    </comment>
    <comment ref="IM19" authorId="5" shapeId="0" xr:uid="{E836A6B2-359B-44E7-9937-3E37214A39F7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655</t>
        </r>
      </text>
    </comment>
    <comment ref="IO19" authorId="5" shapeId="0" xr:uid="{056C8BC1-49A0-4DC7-A57F-9E4E91F5D63C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526</t>
        </r>
      </text>
    </comment>
    <comment ref="IQ19" authorId="5" shapeId="0" xr:uid="{0CFEBF73-FFEF-48E3-9FFF-0080375C94B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505</t>
        </r>
      </text>
    </comment>
    <comment ref="IS19" authorId="5" shapeId="0" xr:uid="{3F7DDC24-81FD-4254-9072-8D4B14AB6A57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Initiall load = 938</t>
        </r>
      </text>
    </comment>
    <comment ref="EB22" authorId="0" shapeId="0" xr:uid="{97CF22B3-474D-4210-94B4-0B07655B3302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Five alerts still under investigation when results pulled. 
</t>
        </r>
      </text>
    </comment>
    <comment ref="GG22" authorId="6" shapeId="0" xr:uid="{B8B674AC-4B69-4872-BDBD-733EAD76FEE0}">
      <text>
        <r>
          <rPr>
            <b/>
            <sz val="9"/>
            <color indexed="81"/>
            <rFont val="Tahoma"/>
            <family val="2"/>
          </rPr>
          <t>Simon Fry:</t>
        </r>
        <r>
          <rPr>
            <sz val="9"/>
            <color indexed="81"/>
            <rFont val="Tahoma"/>
            <family val="2"/>
          </rPr>
          <t xml:space="preserve">
Originally 393 but 136 removed following changes to rule criteria post loading.
257 entered by SF but replced with 282 following rule performance code run.</t>
        </r>
      </text>
    </comment>
    <comment ref="GU22" authorId="6" shapeId="0" xr:uid="{335BB75F-972A-4DDD-840D-8A3293BB5EC8}">
      <text>
        <r>
          <rPr>
            <b/>
            <sz val="9"/>
            <color indexed="81"/>
            <rFont val="Tahoma"/>
            <family val="2"/>
          </rPr>
          <t>Simon Fry:</t>
        </r>
        <r>
          <rPr>
            <sz val="9"/>
            <color indexed="81"/>
            <rFont val="Tahoma"/>
            <family val="2"/>
          </rPr>
          <t xml:space="preserve">
Originally 205.  62 alerts removed following change to criteria to reduce false positives.</t>
        </r>
      </text>
    </comment>
    <comment ref="HE22" authorId="5" shapeId="0" xr:uid="{67967A38-BF43-4E65-A2CF-D7426422449D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364</t>
        </r>
      </text>
    </comment>
    <comment ref="HG22" authorId="5" shapeId="0" xr:uid="{A556B1F0-D89E-426F-BAE4-39EACA9792BE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348</t>
        </r>
      </text>
    </comment>
    <comment ref="HI22" authorId="5" shapeId="0" xr:uid="{141B89A6-4147-49B3-B6B1-F3CA94283213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315</t>
        </r>
      </text>
    </comment>
    <comment ref="HK22" authorId="5" shapeId="0" xr:uid="{227F6DA7-FF42-4AA7-87A4-ECD09B72D3D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312</t>
        </r>
      </text>
    </comment>
    <comment ref="HM22" authorId="5" shapeId="0" xr:uid="{133703E4-F113-4171-A7E7-5FC5B80C598B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369</t>
        </r>
      </text>
    </comment>
    <comment ref="HO22" authorId="5" shapeId="0" xr:uid="{FEE81CD5-7B82-437B-81DA-F126B563FCA3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389</t>
        </r>
      </text>
    </comment>
    <comment ref="HQ22" authorId="5" shapeId="0" xr:uid="{6EE65C32-4C11-49BA-AD5C-5AE3A7FFDB62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394</t>
        </r>
      </text>
    </comment>
    <comment ref="HS22" authorId="5" shapeId="0" xr:uid="{E100BE9E-40D9-42BD-84AD-1FE8F8376C2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311</t>
        </r>
      </text>
    </comment>
    <comment ref="HU22" authorId="5" shapeId="0" xr:uid="{5618C482-8F4A-42F4-A3E4-087BAB70388B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Initiall load = 352</t>
        </r>
      </text>
    </comment>
    <comment ref="HW22" authorId="5" shapeId="0" xr:uid="{7A9098E1-033D-46E5-8C73-2EE55482515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433</t>
        </r>
      </text>
    </comment>
    <comment ref="HY22" authorId="5" shapeId="0" xr:uid="{9DE16B57-F4BF-4D6B-B492-F244AA92E805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555</t>
        </r>
      </text>
    </comment>
    <comment ref="IA22" authorId="5" shapeId="0" xr:uid="{92DDF8EE-D0F0-43BA-A95A-2AC6EFC4966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602</t>
        </r>
      </text>
    </comment>
    <comment ref="IC22" authorId="5" shapeId="0" xr:uid="{30E6B589-D6C5-46C9-B700-40532F3771C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686</t>
        </r>
      </text>
    </comment>
    <comment ref="IE22" authorId="5" shapeId="0" xr:uid="{E05BC46E-BA52-48FB-A818-7D0C4E87D85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567</t>
        </r>
      </text>
    </comment>
    <comment ref="IG22" authorId="5" shapeId="0" xr:uid="{D4452521-DDF8-4246-B7B5-74900412CACB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552</t>
        </r>
      </text>
    </comment>
    <comment ref="II22" authorId="5" shapeId="0" xr:uid="{8F18D868-16E5-4482-9966-0C4B577C0F2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641</t>
        </r>
      </text>
    </comment>
    <comment ref="IK22" authorId="5" shapeId="0" xr:uid="{E42B7D37-4C81-45BF-B703-6A9F6087BA16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737</t>
        </r>
      </text>
    </comment>
    <comment ref="IM22" authorId="5" shapeId="0" xr:uid="{A6707594-D2C9-4D90-AEDC-B93AB51F547D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849</t>
        </r>
      </text>
    </comment>
    <comment ref="IO22" authorId="5" shapeId="0" xr:uid="{BB1E3700-592C-4A70-94E2-EC31A1860776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623</t>
        </r>
      </text>
    </comment>
    <comment ref="IQ22" authorId="5" shapeId="0" xr:uid="{8AA83D10-B439-4FDA-BBF6-C9FF19F7EE6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630</t>
        </r>
      </text>
    </comment>
    <comment ref="IS22" authorId="5" shapeId="0" xr:uid="{2A11D37B-3139-48E0-9644-5055E3394312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Initiall load = 973</t>
        </r>
      </text>
    </comment>
    <comment ref="GG23" authorId="6" shapeId="0" xr:uid="{FB3FAD84-C3B8-45C3-9071-D82FB7159D0E}">
      <text>
        <r>
          <rPr>
            <b/>
            <sz val="9"/>
            <color indexed="81"/>
            <rFont val="Tahoma"/>
            <family val="2"/>
          </rPr>
          <t>Simon Fry:</t>
        </r>
        <r>
          <rPr>
            <sz val="9"/>
            <color indexed="81"/>
            <rFont val="Tahoma"/>
            <family val="2"/>
          </rPr>
          <t xml:space="preserve">
Originally 139 but 53 removed following changes to rule criteria post loading.</t>
        </r>
      </text>
    </comment>
    <comment ref="HE23" authorId="5" shapeId="0" xr:uid="{1CA25471-7AF9-417A-93CE-CDEC8328C46E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106</t>
        </r>
      </text>
    </comment>
    <comment ref="HG23" authorId="5" shapeId="0" xr:uid="{AFC2E21A-479F-4A33-9185-4972FB4A42B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69</t>
        </r>
      </text>
    </comment>
    <comment ref="HI23" authorId="5" shapeId="0" xr:uid="{7B5E54C5-2A96-4F20-9F20-7E247EC9C52B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70</t>
        </r>
      </text>
    </comment>
    <comment ref="HK23" authorId="5" shapeId="0" xr:uid="{6787AB10-58E6-4F77-B4D0-E9AFE59A6805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82</t>
        </r>
      </text>
    </comment>
    <comment ref="HM23" authorId="5" shapeId="0" xr:uid="{351935A4-F880-4D3E-B0B7-C7EF49E6FB5B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79</t>
        </r>
      </text>
    </comment>
    <comment ref="HO23" authorId="5" shapeId="0" xr:uid="{65228F66-8E31-4392-A0D2-8B385958988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77</t>
        </r>
      </text>
    </comment>
    <comment ref="HQ23" authorId="5" shapeId="0" xr:uid="{7BC475D1-336F-4B4E-8BB8-44B7D3A50B3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84</t>
        </r>
      </text>
    </comment>
    <comment ref="HS23" authorId="5" shapeId="0" xr:uid="{42E0B473-371C-464F-9B00-88A3470F74E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60</t>
        </r>
      </text>
    </comment>
    <comment ref="HU23" authorId="5" shapeId="0" xr:uid="{090CBDD1-5D08-430B-8620-A418257EE6D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131</t>
        </r>
      </text>
    </comment>
    <comment ref="HW23" authorId="5" shapeId="0" xr:uid="{F8FFDDD0-A173-472F-ABA4-649A07CFE6A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48</t>
        </r>
      </text>
    </comment>
    <comment ref="HY23" authorId="5" shapeId="0" xr:uid="{A7A785D0-D0E4-43C5-A70D-10AEB6D4778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54</t>
        </r>
      </text>
    </comment>
    <comment ref="IA23" authorId="5" shapeId="0" xr:uid="{12D700EF-D241-400D-9C8D-22832CAC1576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85</t>
        </r>
      </text>
    </comment>
    <comment ref="IC23" authorId="5" shapeId="0" xr:uid="{75E0C2B5-BAA1-47A7-818A-29CE506B1206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97</t>
        </r>
      </text>
    </comment>
    <comment ref="IE23" authorId="5" shapeId="0" xr:uid="{0229597F-57B3-4EDE-8501-73D61F7552B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68</t>
        </r>
      </text>
    </comment>
    <comment ref="IG23" authorId="5" shapeId="0" xr:uid="{2041FB50-FB36-40AB-A62D-3AC3BA5068B0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116</t>
        </r>
      </text>
    </comment>
    <comment ref="II23" authorId="5" shapeId="0" xr:uid="{1975AA94-059A-47F1-87EB-EFF49E07AE6C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93</t>
        </r>
      </text>
    </comment>
    <comment ref="IK23" authorId="5" shapeId="0" xr:uid="{810288AE-69C6-4FF3-AC13-EA589E449A76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68</t>
        </r>
      </text>
    </comment>
    <comment ref="IM23" authorId="5" shapeId="0" xr:uid="{08D5CB8A-361C-4284-A480-48A43FEC14FE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85</t>
        </r>
      </text>
    </comment>
    <comment ref="IO23" authorId="5" shapeId="0" xr:uid="{D7539F04-F835-4466-9BD7-570D4798DCD2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46</t>
        </r>
      </text>
    </comment>
    <comment ref="IQ23" authorId="5" shapeId="0" xr:uid="{39518991-C936-4A02-B339-22D90B469A4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52</t>
        </r>
      </text>
    </comment>
    <comment ref="IS23" authorId="5" shapeId="0" xr:uid="{197BCEB4-2764-48F4-B287-F1F8FFFE933E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95</t>
        </r>
      </text>
    </comment>
    <comment ref="C24" authorId="3" shapeId="0" xr:uid="{66B07ACB-0611-44CC-82C2-5F04340B95A9}">
      <text>
        <r>
          <rPr>
            <b/>
            <sz val="8"/>
            <color indexed="81"/>
            <rFont val="Tahoma"/>
            <family val="2"/>
          </rPr>
          <t>Joanne Marshall:</t>
        </r>
        <r>
          <rPr>
            <sz val="8"/>
            <color indexed="81"/>
            <rFont val="Tahoma"/>
            <family val="2"/>
          </rPr>
          <t xml:space="preserve">
02/09/14 this is actually ge 2 chaps not 4. Also, this is where the BPs total £4.5k or more?
</t>
        </r>
      </text>
    </comment>
    <comment ref="C25" authorId="0" shapeId="0" xr:uid="{2A55950C-8C82-4CCE-9600-51D6F4926F7C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2 MONTHS OLD OR LESS.
</t>
        </r>
      </text>
    </comment>
    <comment ref="DA25" authorId="0" shapeId="0" xr:uid="{7181F147-61E7-4392-9B4B-836E8DC2FA2D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in Turnover rule intergration test this came to 53</t>
        </r>
      </text>
    </comment>
    <comment ref="GO26" authorId="1" shapeId="0" xr:uid="{E3C1650A-427F-4A91-86FF-B6B595D4F2C1}">
      <text>
        <r>
          <rPr>
            <b/>
            <sz val="9"/>
            <color indexed="81"/>
            <rFont val="Tahoma"/>
            <family val="2"/>
          </rPr>
          <t>Marcus Cook:</t>
        </r>
        <r>
          <rPr>
            <sz val="9"/>
            <color indexed="81"/>
            <rFont val="Tahoma"/>
            <family val="2"/>
          </rPr>
          <t xml:space="preserve">
4 hits fairly common number no concern</t>
        </r>
      </text>
    </comment>
    <comment ref="DA27" authorId="0" shapeId="0" xr:uid="{1077F1CE-0A62-400B-9AC8-5D88049D0038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11 turnover run</t>
        </r>
      </text>
    </comment>
    <comment ref="DA28" authorId="0" shapeId="0" xr:uid="{82B43A35-D293-4F64-9E48-0340369250C2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51 turnover run</t>
        </r>
      </text>
    </comment>
    <comment ref="EB30" authorId="0" shapeId="0" xr:uid="{1CA600EC-87F6-4ACF-8E27-E24A32340C01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One alert still under investigation when results pulled. </t>
        </r>
      </text>
    </comment>
    <comment ref="HE30" authorId="5" shapeId="0" xr:uid="{8E2EBC2D-9813-4581-971A-66E6AC384D46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121</t>
        </r>
      </text>
    </comment>
    <comment ref="HI30" authorId="5" shapeId="0" xr:uid="{F7E6218A-D472-4F8B-9776-2F8187E5EEB7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Retrospective run completed in December.  Alerts loaded with November alert date.  Requested by Nick Hogg.</t>
        </r>
      </text>
    </comment>
    <comment ref="HK30" authorId="5" shapeId="0" xr:uid="{D0D68AAB-6370-4625-B4B9-65A3C0F82524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Retrospective run completed in December.  Alerts loaded with November alert date.  Requested by Nick Hogg.</t>
        </r>
      </text>
    </comment>
    <comment ref="IO30" authorId="5" shapeId="0" xr:uid="{E7044A19-8A94-4FD8-B2B3-89D0E1E94AA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46
</t>
        </r>
        <r>
          <rPr>
            <sz val="9"/>
            <color indexed="10"/>
            <rFont val="Tahoma"/>
            <family val="2"/>
          </rPr>
          <t>Rule Suspended</t>
        </r>
      </text>
    </comment>
    <comment ref="JA37" authorId="5" shapeId="0" xr:uid="{4EFC88DE-8133-40A7-A21B-6C16EF1AEA8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Count equaled 80 but 1 alert was a duplicate.  Genuine duplicate confirmed by Marcus on 06/08/21.</t>
        </r>
      </text>
    </comment>
    <comment ref="IY40" authorId="5" shapeId="0" xr:uid="{46B46600-74C6-4718-85B6-917BEDD1B66D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0"/>
            <rFont val="Tahoma"/>
            <family val="2"/>
          </rPr>
          <t>Initial volume = 681</t>
        </r>
        <r>
          <rPr>
            <sz val="9"/>
            <color indexed="81"/>
            <rFont val="Tahoma"/>
            <family val="2"/>
          </rPr>
          <t xml:space="preserve">
An issue with rule 49 was identified.  The issue was connected to the fcd.feedfasterpayments table which did not capture the destination of funds counter party details during a period in June (18th to 28th June).  The issue was resolved and the rule code reran.</t>
        </r>
      </text>
    </comment>
    <comment ref="CY47" authorId="0" shapeId="0" xr:uid="{846E41B2-4E8A-4112-BE6F-D98EAAF0834F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28 when removing odd clause.
</t>
        </r>
      </text>
    </comment>
    <comment ref="GS57" authorId="6" shapeId="0" xr:uid="{7604D6DE-CEBF-457F-9BD4-FE5E5377CCA6}">
      <text>
        <r>
          <rPr>
            <b/>
            <sz val="9"/>
            <color indexed="81"/>
            <rFont val="Tahoma"/>
            <family val="2"/>
          </rPr>
          <t>Simon Fry:</t>
        </r>
        <r>
          <rPr>
            <sz val="9"/>
            <color indexed="81"/>
            <rFont val="Tahoma"/>
            <family val="2"/>
          </rPr>
          <t xml:space="preserve">
Originally 106 but 34 were removed following agreement to drop poor performing drawdown qualifier (11/03/2019).</t>
        </r>
      </text>
    </comment>
    <comment ref="HQ57" authorId="5" shapeId="0" xr:uid="{4D7124F8-36D4-4BBF-90D9-DE15FC2ABBA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1 alert was duplicated and both closed as triaged</t>
        </r>
      </text>
    </comment>
    <comment ref="B59" authorId="5" shapeId="0" xr:uid="{5E7B53AE-F539-44C2-9E69-E04093EE71DC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Previously named 'Loans (with &gt;18 month term), £3k or more, repaid early and within 12 months. Excludes any 'top-up' accounts previously redeemed.'</t>
        </r>
      </text>
    </comment>
    <comment ref="GY59" authorId="5" shapeId="0" xr:uid="{3101F071-D76E-4EB5-8FDD-9C5AE38D3742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104</t>
        </r>
      </text>
    </comment>
    <comment ref="HW59" authorId="5" shapeId="0" xr:uid="{581C92C8-8A6D-46DB-9432-7D70E4B61FC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MC ran rules code three times this month and the following are the volumes each run generated:
</t>
        </r>
        <r>
          <rPr>
            <sz val="9"/>
            <color indexed="10"/>
            <rFont val="Tahoma"/>
            <family val="2"/>
          </rPr>
          <t>First run = 35
Second run = 58
Third run = 219
Fourth run = 236</t>
        </r>
      </text>
    </comment>
    <comment ref="B61" authorId="5" shapeId="0" xr:uid="{6CE48987-C111-47FA-8F02-31C80721F0E7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Changed from "Loans with overpayments equal to or greater than 20% of the loan in first 12 months, where advance amount &gt;= £10k." MC Mar 18
Changed from "Loans with overpayments £1k and greater in first 3 months, where advance amount &gt; =£5,000." TT Feb 17</t>
        </r>
      </text>
    </comment>
    <comment ref="GW61" authorId="5" shapeId="0" xr:uid="{8455AA36-BFFB-43C8-8FCE-0F7490AD36A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volume = 70</t>
        </r>
      </text>
    </comment>
    <comment ref="GY61" authorId="5" shapeId="0" xr:uid="{710500C7-DA81-497F-8AB6-2CDE95A9EFF4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30</t>
        </r>
      </text>
    </comment>
    <comment ref="HW61" authorId="5" shapeId="0" xr:uid="{DF746656-BC70-49ED-BC34-AC1A94E446F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MC ran rules code three times this month and the following are the volumes each run generated:
</t>
        </r>
        <r>
          <rPr>
            <sz val="9"/>
            <color indexed="10"/>
            <rFont val="Tahoma"/>
            <family val="2"/>
          </rPr>
          <t>Second run = 41
Third run = 21
Fourth run = 19</t>
        </r>
      </text>
    </comment>
    <comment ref="DA63" authorId="0" shapeId="0" xr:uid="{FAB7EC77-FEF9-4D61-91C6-5B89BF3A1927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5 turnover run
</t>
        </r>
      </text>
    </comment>
    <comment ref="GY65" authorId="5" shapeId="0" xr:uid="{91293E9A-771C-4BCF-842B-C2E72C2CF22E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6</t>
        </r>
      </text>
    </comment>
    <comment ref="HW65" authorId="5" shapeId="0" xr:uid="{5942476C-98F3-4883-8B47-FE070B4D1D7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MC ran rules code three times this month and the following are the volumes each run generated:
</t>
        </r>
        <r>
          <rPr>
            <sz val="9"/>
            <color indexed="10"/>
            <rFont val="Tahoma"/>
            <family val="2"/>
          </rPr>
          <t>First run = 45
Fourth run = 2</t>
        </r>
      </text>
    </comment>
    <comment ref="GY66" authorId="5" shapeId="0" xr:uid="{BFF2E5F3-27C1-4C7D-8FE8-81DF39FD70F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2</t>
        </r>
      </text>
    </comment>
    <comment ref="HW66" authorId="5" shapeId="0" xr:uid="{9764B573-13BA-4F7F-AFFC-FF05F2BBB47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MC ran rules code three times this month and the following are the volumes each run generated:
</t>
        </r>
        <r>
          <rPr>
            <sz val="9"/>
            <color indexed="10"/>
            <rFont val="Tahoma"/>
            <family val="2"/>
          </rPr>
          <t>First run = 1</t>
        </r>
      </text>
    </comment>
    <comment ref="B68" authorId="5" shapeId="0" xr:uid="{81637404-86AD-4E1C-99CF-E3DA960DA61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Changed from "Cash withdrawals in CoC, either &gt;=20 transactions or transactions total £2k+." TT 21/04/17</t>
        </r>
      </text>
    </comment>
    <comment ref="GO68" authorId="1" shapeId="0" xr:uid="{54AB6E21-33E8-47D0-A50F-719731D3CA50}">
      <text>
        <r>
          <rPr>
            <b/>
            <sz val="9"/>
            <color indexed="81"/>
            <rFont val="Tahoma"/>
            <family val="2"/>
          </rPr>
          <t>Marcus Cook:</t>
        </r>
        <r>
          <rPr>
            <sz val="9"/>
            <color indexed="81"/>
            <rFont val="Tahoma"/>
            <family val="2"/>
          </rPr>
          <t xml:space="preserve">
7 hits has occurred repeatedly</t>
        </r>
      </text>
    </comment>
    <comment ref="B70" authorId="5" shapeId="0" xr:uid="{909E2755-E4D7-4C20-8A46-2ABA797C28C3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Changed from "Credit Card with &gt;£5k positive balance for past two months." TT 21/04/17 </t>
        </r>
      </text>
    </comment>
    <comment ref="B72" authorId="5" shapeId="0" xr:uid="{3C7CCA13-7753-4454-8FB8-3FCF6E6E8C7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Changed from "Credit Card purchases, totalling £10k+ in past 12 months, at tobacconists, supermarkets and duty free stores in Europe." TT 21/04/17
Returned to 12 month time period - TT 08/05/19</t>
        </r>
      </text>
    </comment>
    <comment ref="GQ84" authorId="5" shapeId="0" xr:uid="{FE355D10-B600-4E76-A22E-CC18C6B2F9B3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8</t>
        </r>
      </text>
    </comment>
    <comment ref="GQ85" authorId="5" shapeId="0" xr:uid="{27B93A59-7EDE-4886-9DDA-557CF184CB7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187</t>
        </r>
      </text>
    </comment>
    <comment ref="GQ86" authorId="5" shapeId="0" xr:uid="{D4F7F3C1-2193-480F-82C9-BA32ADE336D6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0</t>
        </r>
      </text>
    </comment>
    <comment ref="GQ87" authorId="5" shapeId="0" xr:uid="{6931852E-2FB2-4A3B-8C24-0068600A5F23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27</t>
        </r>
      </text>
    </comment>
    <comment ref="GQ88" authorId="5" shapeId="0" xr:uid="{22001AD1-194A-4B81-8678-15332DA43AD3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2</t>
        </r>
      </text>
    </comment>
    <comment ref="HC91" authorId="5" shapeId="0" xr:uid="{2D6FD060-0162-4E23-BF65-98FB068A279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59</t>
        </r>
      </text>
    </comment>
    <comment ref="HE91" authorId="5" shapeId="0" xr:uid="{9256927E-98F2-4355-BAEB-775EA9C1537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27</t>
        </r>
      </text>
    </comment>
    <comment ref="HC93" authorId="5" shapeId="0" xr:uid="{45D7FCC4-030B-4383-9FDD-5BBFF39A9F0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56</t>
        </r>
      </text>
    </comment>
    <comment ref="HE93" authorId="5" shapeId="0" xr:uid="{0F297279-89CF-48D3-AA03-314FFD44B3D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23</t>
        </r>
      </text>
    </comment>
    <comment ref="HC94" authorId="5" shapeId="0" xr:uid="{3C15BAA5-221E-411D-9CE4-C3A5E785F453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Load = 9</t>
        </r>
      </text>
    </comment>
    <comment ref="IW96" authorId="5" shapeId="0" xr:uid="{4B27A587-CEE0-44CE-9F50-0B30C58809C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volume = 27</t>
        </r>
      </text>
    </comment>
    <comment ref="IW97" authorId="5" shapeId="0" xr:uid="{894F4725-942F-4805-AF31-B3DC079178CE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volume = 24</t>
        </r>
      </text>
    </comment>
    <comment ref="IW98" authorId="5" shapeId="0" xr:uid="{5071BE26-BB7A-4E32-AE5D-0DEA27DDED30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 volume = 31</t>
        </r>
      </text>
    </comment>
    <comment ref="CS102" authorId="0" shapeId="0" xr:uid="{DA876322-7E53-4A8B-BC56-9E3CA4749661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this one rolled though. 
Into one of the above.
</t>
        </r>
      </text>
    </comment>
    <comment ref="DC103" authorId="0" shapeId="0" xr:uid="{94D0E9D0-E33B-4EBE-BA44-5F71E3BC1FAC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This one has rolled with a 5.4 alert (ofac rolls before load) leaving 32 obs</t>
        </r>
      </text>
    </comment>
    <comment ref="AP119" authorId="2" shapeId="0" xr:uid="{E06DCEDF-A7E8-4217-81AB-642DA4C26C24}">
      <text>
        <r>
          <rPr>
            <b/>
            <sz val="8"/>
            <color indexed="81"/>
            <rFont val="Tahoma"/>
            <family val="2"/>
          </rPr>
          <t>Elizabeth Gouldson:</t>
        </r>
        <r>
          <rPr>
            <sz val="8"/>
            <color indexed="81"/>
            <rFont val="Tahoma"/>
            <family val="2"/>
          </rPr>
          <t xml:space="preserve">
2 left</t>
        </r>
      </text>
    </comment>
    <comment ref="AY119" authorId="2" shapeId="0" xr:uid="{9DA39886-6FF8-4BAD-8D22-BCDC9A78D90D}">
      <text>
        <r>
          <rPr>
            <b/>
            <sz val="8"/>
            <color indexed="81"/>
            <rFont val="Tahoma"/>
            <family val="2"/>
          </rPr>
          <t>Elizabeth Gouldson:</t>
        </r>
        <r>
          <rPr>
            <sz val="8"/>
            <color indexed="81"/>
            <rFont val="Tahoma"/>
            <family val="2"/>
          </rPr>
          <t xml:space="preserve">
Not run due to DWP pilot</t>
        </r>
      </text>
    </comment>
    <comment ref="FY126" authorId="5" shapeId="0" xr:uid="{9C34FD24-DA96-40FC-B08D-758B0F62B01D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Initially alerted 540 cases.  This was investigated and 530 were deleted from FCRM.  Issue with DWP UC payment description.</t>
        </r>
      </text>
    </comment>
    <comment ref="GC126" authorId="5" shapeId="0" xr:uid="{DD6208DD-10CA-4827-B7EB-7B847A899FCA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First run = 7</t>
        </r>
      </text>
    </comment>
    <comment ref="GC127" authorId="5" shapeId="0" xr:uid="{F2046B06-98C9-40B6-9E16-5F70454103E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First run = 0</t>
        </r>
      </text>
    </comment>
    <comment ref="FY128" authorId="5" shapeId="0" xr:uid="{D2CFA6A1-293D-44D5-9002-0F39A99410CC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1 customer who alerted against DWP1 and DWP3 was deleted due to the DWP1 false alerting.  The customer will be added to April alerts.</t>
        </r>
      </text>
    </comment>
    <comment ref="GA128" authorId="5" shapeId="0" xr:uid="{792A67C3-55C1-41BD-9041-CAA24B32F474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25 alerts plus one from march run</t>
        </r>
      </text>
    </comment>
    <comment ref="GC128" authorId="5" shapeId="0" xr:uid="{8E94D599-A3F8-48B0-A655-59BF1482CE80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First run = 26</t>
        </r>
      </text>
    </comment>
    <comment ref="GZ128" authorId="5" shapeId="0" xr:uid="{19590DEC-7C1F-4DCD-BA7B-B9FD112A0D9F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Rules suspended due to concerns over data being excluded in original code.</t>
        </r>
      </text>
    </comment>
    <comment ref="HA128" authorId="5" shapeId="0" xr:uid="{68979A15-CDE6-4282-8E9E-1BD207F7BD78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Rules suspended due to concerns over data being excluded in original code.</t>
        </r>
      </text>
    </comment>
    <comment ref="B129" authorId="5" shapeId="0" xr:uid="{A7C4D50E-9C9A-4776-8A2D-5BB6ED39A664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Changed from "Foreign address recorded &gt;=8 weeks ago, and account receiving benefits (JSA/CHB)." - TT 21/04/17</t>
        </r>
      </text>
    </comment>
    <comment ref="GC129" authorId="5" shapeId="0" xr:uid="{1F3E4B1E-44AC-42D3-86E7-BEC4BDFA227C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First run = 27</t>
        </r>
      </text>
    </comment>
    <comment ref="GZ129" authorId="5" shapeId="0" xr:uid="{44BFFA2B-EB28-4678-A945-19F48291E80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Rules suspended due to concerns over data being excluded in original code.</t>
        </r>
      </text>
    </comment>
    <comment ref="HA129" authorId="5" shapeId="0" xr:uid="{820EDA53-FDEC-424F-BE17-12F7DC652622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Rules suspended due to concerns over data being excluded in original code.</t>
        </r>
      </text>
    </comment>
    <comment ref="B130" authorId="5" shapeId="0" xr:uid="{80D71441-5E87-4195-97BE-453FAAB6C1BC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Changed from "Customer in receipt of JSA for &gt;=6 months and has B&amp;S account balances totalling £40k+" - TT 18/09/18</t>
        </r>
      </text>
    </comment>
    <comment ref="EB130" authorId="0" shapeId="0" xr:uid="{4E7C7AB8-C92F-4A0A-8D3F-503E0341A9A3}">
      <text>
        <r>
          <rPr>
            <b/>
            <sz val="9"/>
            <color indexed="81"/>
            <rFont val="Tahoma"/>
            <family val="2"/>
          </rPr>
          <t>Joanne Marshall (SID):</t>
        </r>
        <r>
          <rPr>
            <sz val="9"/>
            <color indexed="81"/>
            <rFont val="Tahoma"/>
            <family val="2"/>
          </rPr>
          <t xml:space="preserve">
One alert still under investigation when results pulled. 
</t>
        </r>
      </text>
    </comment>
    <comment ref="GC130" authorId="5" shapeId="0" xr:uid="{E800EA1D-B255-4170-B417-6D6B17C2D311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First run = 17</t>
        </r>
      </text>
    </comment>
    <comment ref="GZ130" authorId="5" shapeId="0" xr:uid="{6BB851FB-22B1-4CE3-9CC9-A6C6AAA9F46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Rules suspended due to concerns over data being excluded in original code.</t>
        </r>
      </text>
    </comment>
    <comment ref="HA130" authorId="5" shapeId="0" xr:uid="{0CEC8485-F6A6-4405-9F38-2F28D3B48709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Rules suspended due to concerns over data being excluded in original code.</t>
        </r>
      </text>
    </comment>
    <comment ref="GC131" authorId="5" shapeId="0" xr:uid="{02351201-F455-496D-AAED-22A5122F4F96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First run = 52</t>
        </r>
      </text>
    </comment>
    <comment ref="A133" authorId="5" shapeId="0" xr:uid="{B7384983-26DF-4F57-9094-DB6472597875}">
      <text>
        <r>
          <rPr>
            <b/>
            <sz val="9"/>
            <color indexed="81"/>
            <rFont val="Tahoma"/>
            <family val="2"/>
          </rPr>
          <t>Tina-Louise Timmings:</t>
        </r>
        <r>
          <rPr>
            <sz val="9"/>
            <color indexed="81"/>
            <rFont val="Tahoma"/>
            <family val="2"/>
          </rPr>
          <t xml:space="preserve">
This was to be a new rule but it was never built as Mark Davies reavaluated the need for this rule.</t>
        </r>
      </text>
    </comment>
  </commentList>
</comments>
</file>

<file path=xl/sharedStrings.xml><?xml version="1.0" encoding="utf-8"?>
<sst xmlns="http://schemas.openxmlformats.org/spreadsheetml/2006/main" count="10442" uniqueCount="268">
  <si>
    <t>Reported</t>
  </si>
  <si>
    <t>Alerts</t>
  </si>
  <si>
    <t>Take 1
Alerts</t>
  </si>
  <si>
    <t>Take2 12/10/17</t>
  </si>
  <si>
    <t>Flex accounts with &gt;=2 cash credits (CR) &amp; at least 1 withdrawal (WD) in same day (occurred at least three times last month).</t>
  </si>
  <si>
    <t>Flex Accounts with &gt;2 Cash Credits per Day with withdrawal the same day</t>
  </si>
  <si>
    <t>Savings accounts with &gt;=2 cash credits (CR) &amp; at least 1 withdrawal (WD) in same day (occurred at least three times in month).</t>
  </si>
  <si>
    <t>Save Accounts with &gt;2 Cash Credits per Day with withdrawal the same day</t>
  </si>
  <si>
    <t>Flex accounts with large number (7+) of branches used (CR, CQ, WD) and min cash credits of £1k per month.</t>
  </si>
  <si>
    <t>Flex Accs with &gt;6 branches used</t>
  </si>
  <si>
    <t>Savings accounts with large number (7+) of branches used (CR, CQ, WD) and min cash credits of £1k per month.</t>
  </si>
  <si>
    <t>Save Accs with &gt;6 branches used</t>
  </si>
  <si>
    <t>Flex accounts with &gt;=5 £3k+ credits (CR,CQ) and &gt;=4 £3k+ withdrawals (W4,WR) last month.</t>
  </si>
  <si>
    <t>Accounts with &gt;=5 £3K+ Credits per Month with &gt;=4 £3K+ withdrawal</t>
  </si>
  <si>
    <t xml:space="preserve">Fixed term Bonds/ISAs closed within 6 months of opening, but after cooling-off period, and Nationwide cheque issued. </t>
  </si>
  <si>
    <t>Bonds closed within 6 months and Nationwide cheque issued</t>
  </si>
  <si>
    <t>Child accounts with &gt;1 credit (CR, CQ) and at least 1 debit (WA, WD, TW, W4), each £1k+, totalling at least £2k in &amp; £2.5k out last month.</t>
  </si>
  <si>
    <t>Child accounts with more than £1K in and out in a month</t>
  </si>
  <si>
    <t>Flex accounts of Eastern Europeans, possibly benefits paid (Child Benefit, JSA etc) and may live abroad (2 or more VW in last 3 months).</t>
  </si>
  <si>
    <t>Flex Accounts of Eastern Europeans, possibly benefits paid (Child Benefit, JSA etc) and may live abroad</t>
  </si>
  <si>
    <t>Debit cards with £2k+ monthly spend on virtual games (includes Second Life, Eve Online and Blizzard).</t>
  </si>
  <si>
    <t>Debit cards with large (£500+) monthly spend on virtual games</t>
  </si>
  <si>
    <t>Flex accounts receiving 5 or more £3k+ cash credits last month.</t>
  </si>
  <si>
    <t>Accounts with &gt;=5 £3K+ Cash Credits per Month</t>
  </si>
  <si>
    <t xml:space="preserve">Flex accounts where 5+ branches used (CR) and transactions total £2k+ last month. </t>
  </si>
  <si>
    <t>Flex Accs with 5&lt;&gt;6 branches used and total trans &gt;£2K</t>
  </si>
  <si>
    <t>Savings accounts where 5+ branches used (CR) and transactions total £2k+ last month.</t>
  </si>
  <si>
    <t>Save Accs with 5&lt;&gt;6 branches used</t>
  </si>
  <si>
    <t>Flex accounts receiving £40k+ last month by at least 2 cash credits (CR).</t>
  </si>
  <si>
    <t>Accounts with &gt;£40K+ Cash Credits per Month</t>
  </si>
  <si>
    <t>Suspended</t>
  </si>
  <si>
    <t>Large No of LAs, C score Flex with CR or WP, Account Recently Opened</t>
  </si>
  <si>
    <t>1.18C</t>
  </si>
  <si>
    <t>Large No of LAs, C score Flex (&gt;40)</t>
  </si>
  <si>
    <t>1.18D</t>
  </si>
  <si>
    <t>Large No of LAs, D score Flex (&gt;40)</t>
  </si>
  <si>
    <t xml:space="preserve">Flex accounts receiving &gt;=30 LAs (each £100+) last month. </t>
  </si>
  <si>
    <t>Large No of LAs, Flex (&gt;40)</t>
  </si>
  <si>
    <t xml:space="preserve">Transfers via Chitoro (Zimbabwean money-transfer buisness). </t>
  </si>
  <si>
    <t>Transfers via Chitoro, Zimbabwe</t>
  </si>
  <si>
    <t>1.20</t>
  </si>
  <si>
    <t>£1,000 cash or more via Drop Box</t>
  </si>
  <si>
    <t xml:space="preserve">Flex accounts with 40 or more bill payments (WPs), totalling £4.5k or more, last month. </t>
  </si>
  <si>
    <t>40 or More WPs in the month</t>
  </si>
  <si>
    <t>Multiple (4+) Chaps/Swifts received totalling £10k or more.</t>
  </si>
  <si>
    <t>Multiple Chaps/Swifts received totalling £10K or more</t>
  </si>
  <si>
    <t>10 or more WPs (totalling at least £4.5k) and 2+ Chaps/Swifts (C7s), totalling at least £10k, last month.</t>
  </si>
  <si>
    <t>10 or More WPs and 4+ Chaps ge £10K in the month</t>
  </si>
  <si>
    <t>New (2 months or less) and sole account with NW, with CQ paid in and closed.</t>
  </si>
  <si>
    <t>New Accounts with CQ paid in and closed</t>
  </si>
  <si>
    <t>Debit card purchase (£300+ per transaction and £2.5k+ in total) of large amount of booze/fags - Europe over past 3 months.</t>
  </si>
  <si>
    <t>Debit Card Purchase of large amount of Booze/Fags -Europe</t>
  </si>
  <si>
    <t>Treasurers Trust with high proportion (40% or greater) of cash WDs &amp; balance of £5k+.</t>
  </si>
  <si>
    <t>Treasureres Trust with High proportion of cash WD</t>
  </si>
  <si>
    <t xml:space="preserve">Accounts with £50k+ in and out via LAs (between 10-29), WPs &amp; VPs (WP+VP 25 plus).   </t>
  </si>
  <si>
    <t>Accounts with 50K plus in and Out via LA, WP, VP</t>
  </si>
  <si>
    <t>Treasurers Trust, Business Investor and Portfolio Investor accounts conducting Swifts.</t>
  </si>
  <si>
    <t>Organisation Accounts with Swifts</t>
  </si>
  <si>
    <t>Accounts with a £40k+ turnover, where 80%+ of debit value is withdrawn via WP or Cash, receiving 20+ credits (each £900+) last month.</t>
  </si>
  <si>
    <t>Banking Total</t>
  </si>
  <si>
    <t>Value of virtual currency transactions are inconsistent with customer's known income</t>
  </si>
  <si>
    <t>Deposit values are inconsistent with customer's prior account activity</t>
  </si>
  <si>
    <t>Non-Cash Deposit values are inconsistent with customer's known income</t>
  </si>
  <si>
    <t>Cash Deposit values are inconsistent with customer's known income</t>
  </si>
  <si>
    <t>47a</t>
  </si>
  <si>
    <t>Significant deviation from historical profile based on value of debit transactions</t>
  </si>
  <si>
    <t>47b</t>
  </si>
  <si>
    <t>Significant deviation from historical profile based on volume of transactions</t>
  </si>
  <si>
    <t>Significant Deviation from Peer-Group activity based on Total Volume and/or Value of Transaction</t>
  </si>
  <si>
    <t>48b</t>
  </si>
  <si>
    <t>Significant Deviation from Peer-Group activity based on Total Volume of Distinct Counter Part</t>
  </si>
  <si>
    <t>49b</t>
  </si>
  <si>
    <t>Significant Deviation from Peer-Group activity based on Volume/Value of High-Risk Transaction</t>
  </si>
  <si>
    <t>51b</t>
  </si>
  <si>
    <t>Banking New Total</t>
  </si>
  <si>
    <t xml:space="preserve">Accounts, 24+ months old, redeemed whilst in arrears for 12+ months with a £5k+ payment. </t>
  </si>
  <si>
    <t>Redeemed while in Arrears</t>
  </si>
  <si>
    <t>Accounts (with at least six excepted payments) receiving overpayments totalling at least £10k, for 3+ months in the past 6 months.</t>
  </si>
  <si>
    <t>Accounts with Overpayments (at least 6*expected) for 3 consecutive Months</t>
  </si>
  <si>
    <t xml:space="preserve">Mortgages (customer &lt; 55 years old) with variable overpayments over the past 3 months: 1st month overpay &gt;=£2k, next month no overpay, 3rd month overpay &gt;=£1k. </t>
  </si>
  <si>
    <t>Mortgages with variable overpayments</t>
  </si>
  <si>
    <t xml:space="preserve">Overpayments totalling £501+ each month, for past 6 months, on mortgages &lt;12 months old. </t>
  </si>
  <si>
    <t>Overpayments of £500 for 6 months</t>
  </si>
  <si>
    <t xml:space="preserve">Mortages with one or more drawdowns and one or more repayments, each totalling £5k+, in past 6 months. </t>
  </si>
  <si>
    <t>3 drawdowns greater than 5K and an overpayment</t>
  </si>
  <si>
    <t>Mortgage redeemed with a large overpayment - subsequent cheque refund for £5k+.</t>
  </si>
  <si>
    <t>Mort redeemed by cheque</t>
  </si>
  <si>
    <t>Accounts redeemed within 12 months of inception (customer &lt;55 years old).</t>
  </si>
  <si>
    <t>Redeemed less than 12 months old</t>
  </si>
  <si>
    <t>New Accounts (&lt;=5months) with 2-3 missed payments</t>
  </si>
  <si>
    <t>An overpayment incurring an early redemption fee on a mortgage &lt;= 12 months old.</t>
  </si>
  <si>
    <t>Overpayment (non HO) and fee incurred, less than 12 months old</t>
  </si>
  <si>
    <t>3.10</t>
  </si>
  <si>
    <t>Mortgage accounts receiving 6 or more electronic payments last month.</t>
  </si>
  <si>
    <t>6 or more electronic payments in a month</t>
  </si>
  <si>
    <t>Accounts receiving 2 or more chaps payments (one at least £1k) last month.</t>
  </si>
  <si>
    <t>2 or more chaps payments in a month</t>
  </si>
  <si>
    <t>Mortgage redeemed within 12 months of inception</t>
  </si>
  <si>
    <t>Prime Mortgage with a one off overpayment more than 10% (which is not then redeemed in the same month)</t>
  </si>
  <si>
    <t>Mortgage Total</t>
  </si>
  <si>
    <t>Loans repaid early and within 12 months and Loan Amount &gt;=£10k</t>
  </si>
  <si>
    <t>Loans over £3000 repaid early and within 12 months</t>
  </si>
  <si>
    <t>Loans with 3 missed DDs in 1st 4 months</t>
  </si>
  <si>
    <t>Loans with overpayments equal to or greater than 20% of the loan in first 12 months</t>
  </si>
  <si>
    <t>Loans with overpayments £1k and greater in 1st 3 months</t>
  </si>
  <si>
    <t>Loans over £5000 followed by 4+ Visa payments &gt; £1K within 3 months</t>
  </si>
  <si>
    <t>Flex accounts with a £5k+ loan received 3 months ago and 10+ foreign Visa withdrawals (VW), each £100+, totalling £3k+ within past 3 months.</t>
  </si>
  <si>
    <t>Loans over £5000 followed by 10+ Foreign Visa WD total £3K+ within 3 months</t>
  </si>
  <si>
    <t>1.10</t>
  </si>
  <si>
    <t>Flex accounts with a £5k+ loan received 3 months ago and a CHAPS/SWIFT to a CoC in past 3 months.</t>
  </si>
  <si>
    <t>Loans over £5000 with CHAPS/SWIFT to CoC within 3 months</t>
  </si>
  <si>
    <t>Multiple Loans 3+ Loans £5k minimum loan value within 1 year</t>
  </si>
  <si>
    <t>Fraud or Suspect in SIRA or Payment from high risk countries/tax havens into customer’s accounts, within 30 days</t>
  </si>
  <si>
    <t>Loan Total</t>
  </si>
  <si>
    <t>Credit Card Cash withdrawals in CoC where transactions total £3k+.</t>
  </si>
  <si>
    <t>Cash withdrawals in Countries of concern</t>
  </si>
  <si>
    <t>Large Non DD payment and a large spend</t>
  </si>
  <si>
    <t>Credit Card with &gt;£10k positive balance for past three months.</t>
  </si>
  <si>
    <t>Postive Balances on Card (gt £5K)</t>
  </si>
  <si>
    <t>Credit Cards with £2k+ spend on virtual games last month (includes Second Life, Eve Online and Blizzard).</t>
  </si>
  <si>
    <t>Credit cards with large (£500+) monthly spend on virtual games</t>
  </si>
  <si>
    <t>Credit Card purchases, totalling £3k+ in past 3 months, at tobacconists, supermarkets and duty free stores in Europe.</t>
  </si>
  <si>
    <t>Credit Card Purchase of large amount of Booze/Fags -Europe</t>
  </si>
  <si>
    <t xml:space="preserve">Credit Card with at least £20k in &amp; £20k out last month. </t>
  </si>
  <si>
    <t>Credit Card with high turnover in month</t>
  </si>
  <si>
    <t>Credit Card Total</t>
  </si>
  <si>
    <t>CT1</t>
  </si>
  <si>
    <t>CT2</t>
  </si>
  <si>
    <t>CT3</t>
  </si>
  <si>
    <t>Swift Payments to or from Afghanistan, VISA spend in Afghanistan and Online bank activity in Afghanistan</t>
  </si>
  <si>
    <t>CT4</t>
  </si>
  <si>
    <t>Swift Payments to or from Iraq, VISA spend in Iraq and Online bank activity in Iraq</t>
  </si>
  <si>
    <t>CT5</t>
  </si>
  <si>
    <t>Swift Payments to or from Somalia, VISA spend in Somalia and Online bank activity in Somalia</t>
  </si>
  <si>
    <t>CT6</t>
  </si>
  <si>
    <t>Swift Payments to or from Syria, VISA spend in Syria and Online bank activity in Syria</t>
  </si>
  <si>
    <t>CT7</t>
  </si>
  <si>
    <t>Swift Payments to or from Yemen, VISA spend in Yemen and Online bank activity in Yemen</t>
  </si>
  <si>
    <t>CT8</t>
  </si>
  <si>
    <t>Swift Payments to or from Libya, VISA spend in Libya and Online bank activity in Libya</t>
  </si>
  <si>
    <t>CTF Total</t>
  </si>
  <si>
    <t>HRC TM1</t>
  </si>
  <si>
    <t>Cash Deposits &gt;=£10K In 3 or more transactions</t>
  </si>
  <si>
    <t>HRC TM2</t>
  </si>
  <si>
    <t>Branch Visits &gt;=3 Branches in 2 weeks</t>
  </si>
  <si>
    <t>HRC TM3</t>
  </si>
  <si>
    <t>Transaction to Coc &gt;=£10k exc if payment to ctry of nationality/residency</t>
  </si>
  <si>
    <t>HRC TM4</t>
  </si>
  <si>
    <t>£30K Credit - Debit 200+ transactions</t>
  </si>
  <si>
    <t>HRC TM5</t>
  </si>
  <si>
    <t>High Value Transactions - Credits &gt;= £100K</t>
  </si>
  <si>
    <t>HRC TM Total</t>
  </si>
  <si>
    <t>HRC TM1 (RRP)</t>
  </si>
  <si>
    <t>HRC TM2 (RRP)</t>
  </si>
  <si>
    <t>HRC TM3 (RRP)</t>
  </si>
  <si>
    <t>HRC TM4 (RRP)</t>
  </si>
  <si>
    <t>HRC TM5 (RRP)</t>
  </si>
  <si>
    <t>RRP TM Total</t>
  </si>
  <si>
    <t>HTMS1</t>
  </si>
  <si>
    <t>Victims</t>
  </si>
  <si>
    <t>HTMS2</t>
  </si>
  <si>
    <t>Offenders</t>
  </si>
  <si>
    <t>HTMS3</t>
  </si>
  <si>
    <t>Forced Criminality</t>
  </si>
  <si>
    <t>HTMS4</t>
  </si>
  <si>
    <t>HTMS Total</t>
  </si>
  <si>
    <t xml:space="preserve">Customer residing in OFAC sanctioned country performing a £100+ transaction on a B&amp;S account last month (excludes standing orders, direct debits and interest transactions). </t>
  </si>
  <si>
    <t>OFAC Resident transaction £100 or more</t>
  </si>
  <si>
    <t>Customer residing in OFAC sanctioned country, transacting last month on B&amp;S account and not reviewed for 6 months.</t>
  </si>
  <si>
    <t>OFAC Resident transaction and not reviewed for 6 months</t>
  </si>
  <si>
    <t xml:space="preserve">Customer has changed their country of residence to one of the OFAC sanctioned countries. </t>
  </si>
  <si>
    <t>Customer address changed to OFAC country</t>
  </si>
  <si>
    <t>Customer with open accounts that resides in an OFAC sanctioned country and has not been reviewed for 12 months.</t>
  </si>
  <si>
    <t>Customer with OFAC address and not reviewed for 12 months</t>
  </si>
  <si>
    <t>OFAC Total</t>
  </si>
  <si>
    <t>TMW accounts redeemed when in arrears for 3+ months.</t>
  </si>
  <si>
    <t>TMW Redeemed when In arrears for at least 3 months</t>
  </si>
  <si>
    <t>TMW accounts redeemed within 12 months of inception.</t>
  </si>
  <si>
    <t>TMW Redeemed within 12 Months of inception</t>
  </si>
  <si>
    <t>TMW accounts with £15k+ capital repayment within 3 months of inception.</t>
  </si>
  <si>
    <t>TMW £15K+ Capital repayment within 3 months of inception</t>
  </si>
  <si>
    <t>TMW accounts with at least one £5k+ overpayment in each of the past 3 months.</t>
  </si>
  <si>
    <t>TMW Overpayments at least £5k, 3 or more in 3 months</t>
  </si>
  <si>
    <t>Specialist Mortgages redeemed within 365 days of inception</t>
  </si>
  <si>
    <t>Specialist Mortgages with a one off overpayment more than 10% (which is not then redeemed in the same month)</t>
  </si>
  <si>
    <t>TMW Total</t>
  </si>
  <si>
    <t>DBS1</t>
  </si>
  <si>
    <t>7 or more branches visited in month</t>
  </si>
  <si>
    <t>DBS2</t>
  </si>
  <si>
    <t>Accounts with &gt;2 Cash Credits per Day with withdrawal the same day at least 2x in month</t>
  </si>
  <si>
    <t>DBS Total</t>
  </si>
  <si>
    <t>Totals</t>
  </si>
  <si>
    <t>Total</t>
  </si>
  <si>
    <t>AH1</t>
  </si>
  <si>
    <t>Customer with DWP IS payments &amp; £16k+ in savings</t>
  </si>
  <si>
    <t>AH2</t>
  </si>
  <si>
    <t>Multiple DWP IS payments into account, with more than one NINO present</t>
  </si>
  <si>
    <t>AH3</t>
  </si>
  <si>
    <t>Foreign Address and receiving Benefits for &gt;8 weeks</t>
  </si>
  <si>
    <t>AH4</t>
  </si>
  <si>
    <t>Receipt of JSA (£142 per fortnight) and £16K+ savings</t>
  </si>
  <si>
    <t>Rule DWP1</t>
  </si>
  <si>
    <t>Multiple JSA and DWP UC (&gt;=3 different NINOs) received over all customer's B&amp;S accounts.</t>
  </si>
  <si>
    <t>Multiple JSA</t>
  </si>
  <si>
    <t>Rule DWP2</t>
  </si>
  <si>
    <t xml:space="preserve">Multiple IS (&gt;=3 different NINOs) received over all customer's B&amp;S accounts. </t>
  </si>
  <si>
    <t>Multiple IS</t>
  </si>
  <si>
    <t>Rule DWP3</t>
  </si>
  <si>
    <t>Receives IS and has B&amp;S account balances totalling £17k+.</t>
  </si>
  <si>
    <t>IS and &gt;£16K savings</t>
  </si>
  <si>
    <t>Rule DWP4</t>
  </si>
  <si>
    <t>Foreign address recorded &gt;=6 months ago and account receiving CHB benefits</t>
  </si>
  <si>
    <t>JSA/CHB and living Abroad</t>
  </si>
  <si>
    <t>Rule DWP5</t>
  </si>
  <si>
    <t>Customer in receipt of JSA for &gt;=7 months and has B&amp;S account balances totalling £17k+.</t>
  </si>
  <si>
    <t>JSA 6 months 40K savings</t>
  </si>
  <si>
    <t>Rule DWP6</t>
  </si>
  <si>
    <t>ISA/JSA/DWP UC received for &gt;=6 months and £3k+ cash received last month.</t>
  </si>
  <si>
    <t>IS/JSA 6 months 3K cash</t>
  </si>
  <si>
    <t>Rule DWP7</t>
  </si>
  <si>
    <t>IS/JSA received and salary of (LFs) £1800+ received for past 2 months.</t>
  </si>
  <si>
    <t>IS/JSA and salary £1800 or more</t>
  </si>
  <si>
    <t>Rule DWP8</t>
  </si>
  <si>
    <t>JSA received for &gt;=9 months and £5k+ cash received in previous 2 months</t>
  </si>
  <si>
    <t>Rule DWP9</t>
  </si>
  <si>
    <t>DWP Total</t>
  </si>
  <si>
    <t>AMB</t>
  </si>
  <si>
    <t>Behavioural Alerts</t>
  </si>
  <si>
    <t>POC</t>
  </si>
  <si>
    <t>POCA Alerts</t>
  </si>
  <si>
    <t>COC</t>
  </si>
  <si>
    <t>Country of Concern</t>
  </si>
  <si>
    <t>AMM</t>
  </si>
  <si>
    <t>AML Mule Referrals</t>
  </si>
  <si>
    <t>CL</t>
  </si>
  <si>
    <t>County Lines</t>
  </si>
  <si>
    <t>TCT</t>
  </si>
  <si>
    <t>Third Country Transactions</t>
  </si>
  <si>
    <t>Rolling 12 Month Reported</t>
  </si>
  <si>
    <t>Rolling 12 Month Alerted</t>
  </si>
  <si>
    <t>Rolling 12 Month Rate</t>
  </si>
  <si>
    <t>Flex Accounts with &gt;2 CRs per Day with WD the same day</t>
  </si>
  <si>
    <t>Save Accs with &gt;2 CRs per Day with WD the same day</t>
  </si>
  <si>
    <t>Decomissioned</t>
  </si>
  <si>
    <t>Bonds closed within 6 months/ Nationwide cheque issued</t>
  </si>
  <si>
    <t>Debit cards with £500+ monthly spend on virtual games</t>
  </si>
  <si>
    <t>Flex Accs with 5&lt;&gt;6 branches used and total trans &gt;£3K</t>
  </si>
  <si>
    <t>Save Accs with 5&lt;&gt;6 branches used and total trans £1K</t>
  </si>
  <si>
    <t>Loans with variable overpayments</t>
  </si>
  <si>
    <t>Missed payments early in Account life</t>
  </si>
  <si>
    <t>Loans over £5K then 4+ Visa payments &gt; £1K n 3 months</t>
  </si>
  <si>
    <t>Loans over £5K then 10+ Foreign Visa WD total £3K+ in 3 months</t>
  </si>
  <si>
    <t>Loans over £5K with CHAPS/SWIFT to CoC in 3 months</t>
  </si>
  <si>
    <t>CCs with large (£500+) monthly spend on virtual games</t>
  </si>
  <si>
    <t>Counter Terrorist Financing Total</t>
  </si>
  <si>
    <t>HRC Total</t>
  </si>
  <si>
    <t>Other Total</t>
  </si>
  <si>
    <t>Overall Rules Total</t>
  </si>
  <si>
    <t>Ad-Hoc Total</t>
  </si>
  <si>
    <t>Alerted</t>
  </si>
  <si>
    <t>Report Rate</t>
  </si>
  <si>
    <t>Flex Accs with &gt;6 BVanches used</t>
  </si>
  <si>
    <t>Save Accs with &gt;6 BVanches used</t>
  </si>
  <si>
    <t>Flex Accounts of Eastern Europeans, possibly benefits paid (Child Benefit, JSA etc) and may live aBVoad</t>
  </si>
  <si>
    <t>Flex Accs with 5&lt;&gt;6 BVanches used and total trans &gt;£3K</t>
  </si>
  <si>
    <t>Save Accs with 5&lt;&gt;6 BVanches used and total trans £1K</t>
  </si>
  <si>
    <t>JSA/CHB and living ABVoad</t>
  </si>
  <si>
    <t>All Rules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</si>
</sst>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;[Red]\-&quot;£&quot;#,##0.00"/>
    <numFmt numFmtId="165" formatCode="0.0%"/>
  </numFmts>
  <fonts count="25" x14ac:knownFonts="1"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8"/>
      <color theme="5" tint="-0.249977111117893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  <font>
      <b/>
      <sz val="10"/>
      <color indexed="9"/>
      <name val="Arial"/>
      <family val="2"/>
    </font>
    <font>
      <b/>
      <sz val="10"/>
      <color theme="0" tint="-0.499984740745262"/>
      <name val="Arial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10"/>
      <name val="Tahoma"/>
      <family val="2"/>
    </font>
    <font>
      <b/>
      <i/>
      <sz val="10"/>
      <color indexed="9"/>
      <name val="Arial"/>
      <family val="2"/>
    </font>
    <font>
      <sz val="6"/>
      <name val="Arial"/>
      <family val="2"/>
    </font>
    <font>
      <sz val="6"/>
      <color rgb="FFFF000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6"/>
      <color rgb="FF002060"/>
      <name val="Arial"/>
      <family val="2"/>
    </font>
    <font>
      <sz val="10"/>
      <color rgb="FF00206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FD1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CCE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Up">
        <bgColor indexed="41"/>
      </patternFill>
    </fill>
    <fill>
      <patternFill patternType="solid">
        <fgColor rgb="FFCCFFCC"/>
        <bgColor indexed="64"/>
      </patternFill>
    </fill>
    <fill>
      <patternFill patternType="lightUp">
        <bgColor indexed="31"/>
      </patternFill>
    </fill>
    <fill>
      <patternFill patternType="lightUp">
        <bgColor indexed="22"/>
      </patternFill>
    </fill>
    <fill>
      <patternFill patternType="solid">
        <fgColor rgb="FF00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42424"/>
        <bgColor indexed="64"/>
      </patternFill>
    </fill>
    <fill>
      <patternFill patternType="solid">
        <fgColor rgb="FF99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FF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FF0000"/>
      </left>
      <right style="thin">
        <color indexed="64"/>
      </right>
      <top style="thin">
        <color indexed="64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 style="thin">
        <color indexed="64"/>
      </top>
      <bottom/>
      <diagonal/>
    </border>
    <border>
      <left style="double">
        <color rgb="FFFF0000"/>
      </left>
      <right/>
      <top style="thin">
        <color indexed="64"/>
      </top>
      <bottom/>
      <diagonal/>
    </border>
    <border>
      <left/>
      <right style="double">
        <color rgb="FFFF0000"/>
      </right>
      <top/>
      <bottom/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double">
        <color theme="0"/>
      </left>
      <right style="thin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34998626667073579"/>
      </left>
      <right style="double">
        <color theme="0"/>
      </right>
      <top style="thin">
        <color theme="1" tint="0.34998626667073579"/>
      </top>
      <bottom style="thin">
        <color theme="1" tint="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double">
        <color theme="0"/>
      </left>
      <right/>
      <top style="thin">
        <color theme="1" tint="0.34998626667073579"/>
      </top>
      <bottom style="thin">
        <color theme="1" tint="0.499984740745262"/>
      </bottom>
      <diagonal/>
    </border>
    <border>
      <left/>
      <right/>
      <top style="thin">
        <color theme="1" tint="0.34998626667073579"/>
      </top>
      <bottom style="thin">
        <color theme="1" tint="0.499984740745262"/>
      </bottom>
      <diagonal/>
    </border>
    <border>
      <left/>
      <right style="double">
        <color theme="0"/>
      </right>
      <top style="thin">
        <color theme="1" tint="0.34998626667073579"/>
      </top>
      <bottom style="thin">
        <color theme="1" tint="0.499984740745262"/>
      </bottom>
      <diagonal/>
    </border>
    <border>
      <left style="double">
        <color theme="0"/>
      </left>
      <right style="double">
        <color theme="0"/>
      </right>
      <top style="thin">
        <color theme="1" tint="0.34998626667073579"/>
      </top>
      <bottom style="thin">
        <color theme="1" tint="0.499984740745262"/>
      </bottom>
      <diagonal/>
    </border>
    <border>
      <left style="double">
        <color theme="1" tint="0.499984740745262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double">
        <color theme="1" tint="0.34998626667073579"/>
      </right>
      <top/>
      <bottom style="medium">
        <color theme="1" tint="0.34998626667073579"/>
      </bottom>
      <diagonal/>
    </border>
    <border>
      <left style="double">
        <color theme="1" tint="0.34998626667073579"/>
      </left>
      <right style="thin">
        <color theme="1" tint="0.499984740745262"/>
      </right>
      <top style="thin">
        <color theme="1" tint="0.499984740745262"/>
      </top>
      <bottom style="medium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34998626667073579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34998626667073579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34998626667073579"/>
      </bottom>
      <diagonal/>
    </border>
    <border>
      <left style="double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34998626667073579"/>
      </bottom>
      <diagonal/>
    </border>
    <border>
      <left style="thin">
        <color theme="1" tint="0.499984740745262"/>
      </left>
      <right style="thin">
        <color theme="1" tint="0.34998626667073579"/>
      </right>
      <top style="thin">
        <color theme="1" tint="0.499984740745262"/>
      </top>
      <bottom style="medium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5" borderId="2" xfId="0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0" fillId="5" borderId="1" xfId="0" applyFill="1" applyBorder="1" applyAlignment="1">
      <alignment wrapText="1"/>
    </xf>
    <xf numFmtId="1" fontId="1" fillId="0" borderId="1" xfId="0" applyNumberFormat="1" applyFont="1" applyBorder="1"/>
    <xf numFmtId="1" fontId="1" fillId="0" borderId="2" xfId="0" applyNumberFormat="1" applyFont="1" applyBorder="1"/>
    <xf numFmtId="1" fontId="1" fillId="0" borderId="4" xfId="0" applyNumberFormat="1" applyFont="1" applyBorder="1"/>
    <xf numFmtId="1" fontId="1" fillId="4" borderId="1" xfId="0" applyNumberFormat="1" applyFont="1" applyFill="1" applyBorder="1"/>
    <xf numFmtId="0" fontId="0" fillId="5" borderId="1" xfId="0" applyFill="1" applyBorder="1"/>
    <xf numFmtId="1" fontId="5" fillId="0" borderId="1" xfId="0" applyNumberFormat="1" applyFont="1" applyBorder="1"/>
    <xf numFmtId="1" fontId="1" fillId="6" borderId="1" xfId="0" applyNumberFormat="1" applyFont="1" applyFill="1" applyBorder="1"/>
    <xf numFmtId="1" fontId="1" fillId="6" borderId="2" xfId="0" applyNumberFormat="1" applyFont="1" applyFill="1" applyBorder="1"/>
    <xf numFmtId="1" fontId="1" fillId="6" borderId="4" xfId="0" applyNumberFormat="1" applyFont="1" applyFill="1" applyBorder="1"/>
    <xf numFmtId="0" fontId="0" fillId="5" borderId="6" xfId="0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0" fillId="5" borderId="0" xfId="0" applyFill="1" applyAlignment="1">
      <alignment wrapText="1"/>
    </xf>
    <xf numFmtId="2" fontId="0" fillId="5" borderId="2" xfId="0" applyNumberFormat="1" applyFill="1" applyBorder="1" applyAlignment="1">
      <alignment horizontal="left" wrapText="1"/>
    </xf>
    <xf numFmtId="2" fontId="1" fillId="5" borderId="2" xfId="0" applyNumberFormat="1" applyFont="1" applyFill="1" applyBorder="1" applyAlignment="1">
      <alignment horizontal="left" wrapText="1"/>
    </xf>
    <xf numFmtId="0" fontId="1" fillId="5" borderId="1" xfId="0" applyFont="1" applyFill="1" applyBorder="1" applyAlignment="1">
      <alignment wrapText="1"/>
    </xf>
    <xf numFmtId="1" fontId="1" fillId="7" borderId="1" xfId="0" applyNumberFormat="1" applyFont="1" applyFill="1" applyBorder="1"/>
    <xf numFmtId="0" fontId="0" fillId="5" borderId="1" xfId="0" applyFill="1" applyBorder="1" applyAlignment="1">
      <alignment horizontal="left" wrapText="1"/>
    </xf>
    <xf numFmtId="1" fontId="5" fillId="4" borderId="1" xfId="0" applyNumberFormat="1" applyFont="1" applyFill="1" applyBorder="1"/>
    <xf numFmtId="0" fontId="6" fillId="6" borderId="1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left" wrapText="1"/>
    </xf>
    <xf numFmtId="0" fontId="0" fillId="5" borderId="7" xfId="0" applyFill="1" applyBorder="1" applyAlignment="1">
      <alignment wrapText="1"/>
    </xf>
    <xf numFmtId="1" fontId="1" fillId="7" borderId="2" xfId="0" applyNumberFormat="1" applyFont="1" applyFill="1" applyBorder="1"/>
    <xf numFmtId="1" fontId="1" fillId="7" borderId="4" xfId="0" applyNumberFormat="1" applyFont="1" applyFill="1" applyBorder="1"/>
    <xf numFmtId="1" fontId="1" fillId="8" borderId="1" xfId="0" applyNumberFormat="1" applyFont="1" applyFill="1" applyBorder="1"/>
    <xf numFmtId="0" fontId="1" fillId="5" borderId="7" xfId="0" applyFont="1" applyFill="1" applyBorder="1" applyAlignment="1">
      <alignment horizontal="left" wrapText="1"/>
    </xf>
    <xf numFmtId="0" fontId="0" fillId="5" borderId="1" xfId="0" quotePrefix="1" applyFill="1" applyBorder="1" applyAlignment="1">
      <alignment horizontal="left" wrapText="1"/>
    </xf>
    <xf numFmtId="0" fontId="0" fillId="5" borderId="7" xfId="0" quotePrefix="1" applyFill="1" applyBorder="1" applyAlignment="1">
      <alignment horizontal="left" wrapText="1"/>
    </xf>
    <xf numFmtId="0" fontId="1" fillId="5" borderId="7" xfId="0" quotePrefix="1" applyFont="1" applyFill="1" applyBorder="1" applyAlignment="1">
      <alignment horizontal="left" wrapText="1"/>
    </xf>
    <xf numFmtId="1" fontId="1" fillId="0" borderId="6" xfId="0" applyNumberFormat="1" applyFont="1" applyBorder="1"/>
    <xf numFmtId="1" fontId="1" fillId="0" borderId="8" xfId="0" applyNumberFormat="1" applyFont="1" applyBorder="1"/>
    <xf numFmtId="1" fontId="1" fillId="4" borderId="6" xfId="0" applyNumberFormat="1" applyFont="1" applyFill="1" applyBorder="1"/>
    <xf numFmtId="1" fontId="5" fillId="4" borderId="6" xfId="0" applyNumberFormat="1" applyFont="1" applyFill="1" applyBorder="1"/>
    <xf numFmtId="0" fontId="1" fillId="5" borderId="1" xfId="0" quotePrefix="1" applyFont="1" applyFill="1" applyBorder="1" applyAlignment="1">
      <alignment horizontal="left" wrapText="1"/>
    </xf>
    <xf numFmtId="1" fontId="1" fillId="0" borderId="9" xfId="0" applyNumberFormat="1" applyFont="1" applyBorder="1"/>
    <xf numFmtId="1" fontId="1" fillId="0" borderId="7" xfId="0" applyNumberFormat="1" applyFont="1" applyBorder="1"/>
    <xf numFmtId="1" fontId="1" fillId="0" borderId="10" xfId="0" applyNumberFormat="1" applyFont="1" applyBorder="1"/>
    <xf numFmtId="1" fontId="1" fillId="4" borderId="7" xfId="0" applyNumberFormat="1" applyFont="1" applyFill="1" applyBorder="1"/>
    <xf numFmtId="1" fontId="5" fillId="4" borderId="7" xfId="0" applyNumberFormat="1" applyFont="1" applyFill="1" applyBorder="1"/>
    <xf numFmtId="0" fontId="0" fillId="5" borderId="0" xfId="0" quotePrefix="1" applyFill="1" applyAlignment="1">
      <alignment horizontal="left" wrapText="1"/>
    </xf>
    <xf numFmtId="0" fontId="1" fillId="5" borderId="7" xfId="0" applyFont="1" applyFill="1" applyBorder="1" applyAlignment="1">
      <alignment wrapText="1"/>
    </xf>
    <xf numFmtId="1" fontId="7" fillId="9" borderId="1" xfId="0" applyNumberFormat="1" applyFont="1" applyFill="1" applyBorder="1"/>
    <xf numFmtId="0" fontId="4" fillId="10" borderId="0" xfId="0" applyFont="1" applyFill="1"/>
    <xf numFmtId="0" fontId="4" fillId="10" borderId="11" xfId="0" applyFont="1" applyFill="1" applyBorder="1" applyAlignment="1">
      <alignment horizontal="right" wrapText="1"/>
    </xf>
    <xf numFmtId="0" fontId="4" fillId="10" borderId="7" xfId="0" applyFont="1" applyFill="1" applyBorder="1" applyAlignment="1">
      <alignment horizontal="right" wrapText="1"/>
    </xf>
    <xf numFmtId="0" fontId="4" fillId="10" borderId="1" xfId="0" applyFont="1" applyFill="1" applyBorder="1"/>
    <xf numFmtId="0" fontId="4" fillId="10" borderId="10" xfId="0" applyFont="1" applyFill="1" applyBorder="1"/>
    <xf numFmtId="0" fontId="4" fillId="10" borderId="12" xfId="0" applyFont="1" applyFill="1" applyBorder="1"/>
    <xf numFmtId="0" fontId="1" fillId="11" borderId="1" xfId="0" quotePrefix="1" applyFont="1" applyFill="1" applyBorder="1" applyAlignment="1">
      <alignment horizontal="left" wrapText="1"/>
    </xf>
    <xf numFmtId="0" fontId="1" fillId="11" borderId="1" xfId="0" applyFont="1" applyFill="1" applyBorder="1" applyAlignment="1">
      <alignment horizontal="left" wrapText="1"/>
    </xf>
    <xf numFmtId="0" fontId="4" fillId="11" borderId="7" xfId="0" applyFont="1" applyFill="1" applyBorder="1" applyAlignment="1">
      <alignment horizontal="right" wrapText="1"/>
    </xf>
    <xf numFmtId="0" fontId="4" fillId="12" borderId="1" xfId="0" applyFont="1" applyFill="1" applyBorder="1"/>
    <xf numFmtId="0" fontId="4" fillId="12" borderId="10" xfId="0" applyFont="1" applyFill="1" applyBorder="1"/>
    <xf numFmtId="0" fontId="4" fillId="12" borderId="12" xfId="0" applyFont="1" applyFill="1" applyBorder="1"/>
    <xf numFmtId="0" fontId="1" fillId="0" borderId="1" xfId="0" applyFont="1" applyBorder="1"/>
    <xf numFmtId="0" fontId="1" fillId="11" borderId="1" xfId="0" applyFont="1" applyFill="1" applyBorder="1"/>
    <xf numFmtId="0" fontId="0" fillId="13" borderId="1" xfId="0" applyFill="1" applyBorder="1" applyAlignment="1">
      <alignment horizontal="left" wrapText="1"/>
    </xf>
    <xf numFmtId="0" fontId="1" fillId="13" borderId="1" xfId="0" applyFont="1" applyFill="1" applyBorder="1" applyAlignment="1">
      <alignment horizontal="left" wrapText="1"/>
    </xf>
    <xf numFmtId="0" fontId="0" fillId="13" borderId="1" xfId="0" applyFill="1" applyBorder="1" applyAlignment="1">
      <alignment wrapText="1"/>
    </xf>
    <xf numFmtId="0" fontId="0" fillId="0" borderId="1" xfId="0" applyBorder="1"/>
    <xf numFmtId="0" fontId="0" fillId="6" borderId="1" xfId="0" applyFill="1" applyBorder="1"/>
    <xf numFmtId="0" fontId="1" fillId="0" borderId="2" xfId="0" applyFont="1" applyBorder="1"/>
    <xf numFmtId="0" fontId="0" fillId="0" borderId="4" xfId="0" applyBorder="1"/>
    <xf numFmtId="0" fontId="1" fillId="6" borderId="1" xfId="0" applyFont="1" applyFill="1" applyBorder="1"/>
    <xf numFmtId="0" fontId="0" fillId="7" borderId="1" xfId="0" applyFill="1" applyBorder="1"/>
    <xf numFmtId="0" fontId="0" fillId="13" borderId="1" xfId="0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0" fillId="7" borderId="4" xfId="0" applyFill="1" applyBorder="1"/>
    <xf numFmtId="0" fontId="0" fillId="13" borderId="1" xfId="0" quotePrefix="1" applyFill="1" applyBorder="1" applyAlignment="1">
      <alignment horizontal="left" wrapText="1"/>
    </xf>
    <xf numFmtId="0" fontId="0" fillId="13" borderId="7" xfId="0" applyFill="1" applyBorder="1" applyAlignment="1">
      <alignment wrapText="1"/>
    </xf>
    <xf numFmtId="0" fontId="0" fillId="7" borderId="7" xfId="0" applyFill="1" applyBorder="1"/>
    <xf numFmtId="0" fontId="0" fillId="6" borderId="7" xfId="0" applyFill="1" applyBorder="1"/>
    <xf numFmtId="0" fontId="0" fillId="0" borderId="7" xfId="0" applyBorder="1"/>
    <xf numFmtId="0" fontId="1" fillId="0" borderId="7" xfId="0" applyFont="1" applyBorder="1"/>
    <xf numFmtId="0" fontId="1" fillId="0" borderId="10" xfId="0" applyFont="1" applyBorder="1"/>
    <xf numFmtId="0" fontId="0" fillId="0" borderId="12" xfId="0" applyBorder="1"/>
    <xf numFmtId="0" fontId="1" fillId="6" borderId="7" xfId="0" applyFont="1" applyFill="1" applyBorder="1"/>
    <xf numFmtId="0" fontId="1" fillId="6" borderId="10" xfId="0" applyFont="1" applyFill="1" applyBorder="1"/>
    <xf numFmtId="0" fontId="0" fillId="6" borderId="12" xfId="0" applyFill="1" applyBorder="1"/>
    <xf numFmtId="0" fontId="4" fillId="10" borderId="7" xfId="0" applyFont="1" applyFill="1" applyBorder="1"/>
    <xf numFmtId="0" fontId="0" fillId="14" borderId="2" xfId="0" applyFill="1" applyBorder="1" applyAlignment="1">
      <alignment horizontal="left" wrapText="1"/>
    </xf>
    <xf numFmtId="0" fontId="1" fillId="14" borderId="2" xfId="0" applyFont="1" applyFill="1" applyBorder="1" applyAlignment="1">
      <alignment horizontal="left" wrapText="1"/>
    </xf>
    <xf numFmtId="0" fontId="0" fillId="14" borderId="1" xfId="0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0" fontId="1" fillId="15" borderId="1" xfId="0" applyFont="1" applyFill="1" applyBorder="1"/>
    <xf numFmtId="0" fontId="8" fillId="4" borderId="1" xfId="0" applyFont="1" applyFill="1" applyBorder="1"/>
    <xf numFmtId="0" fontId="3" fillId="4" borderId="1" xfId="0" applyFont="1" applyFill="1" applyBorder="1"/>
    <xf numFmtId="0" fontId="0" fillId="14" borderId="2" xfId="0" quotePrefix="1" applyFill="1" applyBorder="1" applyAlignment="1">
      <alignment horizontal="left" wrapText="1"/>
    </xf>
    <xf numFmtId="0" fontId="1" fillId="14" borderId="2" xfId="0" quotePrefix="1" applyFont="1" applyFill="1" applyBorder="1" applyAlignment="1">
      <alignment horizontal="left" wrapText="1"/>
    </xf>
    <xf numFmtId="0" fontId="1" fillId="6" borderId="2" xfId="0" applyFont="1" applyFill="1" applyBorder="1"/>
    <xf numFmtId="0" fontId="4" fillId="10" borderId="1" xfId="0" applyFont="1" applyFill="1" applyBorder="1" applyAlignment="1">
      <alignment horizontal="right" wrapText="1"/>
    </xf>
    <xf numFmtId="0" fontId="0" fillId="16" borderId="2" xfId="0" applyFill="1" applyBorder="1" applyAlignment="1">
      <alignment horizontal="left" wrapText="1"/>
    </xf>
    <xf numFmtId="0" fontId="1" fillId="16" borderId="2" xfId="0" applyFont="1" applyFill="1" applyBorder="1" applyAlignment="1">
      <alignment horizontal="left" wrapText="1"/>
    </xf>
    <xf numFmtId="0" fontId="0" fillId="16" borderId="1" xfId="0" applyFill="1" applyBorder="1" applyAlignment="1">
      <alignment wrapText="1"/>
    </xf>
    <xf numFmtId="0" fontId="1" fillId="4" borderId="1" xfId="0" applyFont="1" applyFill="1" applyBorder="1"/>
    <xf numFmtId="0" fontId="0" fillId="16" borderId="1" xfId="0" applyFill="1" applyBorder="1" applyAlignment="1">
      <alignment horizontal="left" wrapText="1"/>
    </xf>
    <xf numFmtId="0" fontId="1" fillId="16" borderId="1" xfId="0" applyFont="1" applyFill="1" applyBorder="1" applyAlignment="1">
      <alignment horizontal="left" wrapText="1"/>
    </xf>
    <xf numFmtId="0" fontId="1" fillId="16" borderId="1" xfId="0" applyFont="1" applyFill="1" applyBorder="1" applyAlignment="1">
      <alignment wrapText="1"/>
    </xf>
    <xf numFmtId="0" fontId="8" fillId="6" borderId="1" xfId="0" applyFont="1" applyFill="1" applyBorder="1"/>
    <xf numFmtId="0" fontId="1" fillId="16" borderId="7" xfId="0" applyFont="1" applyFill="1" applyBorder="1" applyAlignment="1">
      <alignment horizontal="left" wrapText="1"/>
    </xf>
    <xf numFmtId="0" fontId="1" fillId="16" borderId="7" xfId="0" applyFont="1" applyFill="1" applyBorder="1" applyAlignment="1">
      <alignment wrapText="1"/>
    </xf>
    <xf numFmtId="0" fontId="0" fillId="8" borderId="1" xfId="0" applyFill="1" applyBorder="1"/>
    <xf numFmtId="0" fontId="1" fillId="16" borderId="0" xfId="0" applyFont="1" applyFill="1" applyAlignment="1">
      <alignment horizontal="left" wrapText="1"/>
    </xf>
    <xf numFmtId="0" fontId="1" fillId="16" borderId="11" xfId="0" applyFont="1" applyFill="1" applyBorder="1" applyAlignment="1">
      <alignment wrapText="1"/>
    </xf>
    <xf numFmtId="0" fontId="1" fillId="17" borderId="2" xfId="0" applyFont="1" applyFill="1" applyBorder="1" applyAlignment="1">
      <alignment horizontal="left" wrapText="1"/>
    </xf>
    <xf numFmtId="0" fontId="0" fillId="17" borderId="1" xfId="0" applyFill="1" applyBorder="1" applyAlignment="1">
      <alignment wrapText="1"/>
    </xf>
    <xf numFmtId="0" fontId="0" fillId="7" borderId="10" xfId="0" applyFill="1" applyBorder="1"/>
    <xf numFmtId="0" fontId="0" fillId="7" borderId="12" xfId="0" applyFill="1" applyBorder="1"/>
    <xf numFmtId="0" fontId="0" fillId="0" borderId="11" xfId="0" applyBorder="1"/>
    <xf numFmtId="0" fontId="4" fillId="10" borderId="11" xfId="0" applyFont="1" applyFill="1" applyBorder="1"/>
    <xf numFmtId="0" fontId="4" fillId="10" borderId="2" xfId="0" applyFont="1" applyFill="1" applyBorder="1"/>
    <xf numFmtId="0" fontId="4" fillId="10" borderId="4" xfId="0" applyFont="1" applyFill="1" applyBorder="1"/>
    <xf numFmtId="0" fontId="1" fillId="18" borderId="1" xfId="0" applyFont="1" applyFill="1" applyBorder="1"/>
    <xf numFmtId="0" fontId="1" fillId="18" borderId="1" xfId="0" applyFont="1" applyFill="1" applyBorder="1" applyAlignment="1">
      <alignment horizontal="left" wrapText="1"/>
    </xf>
    <xf numFmtId="0" fontId="1" fillId="19" borderId="1" xfId="0" applyFont="1" applyFill="1" applyBorder="1" applyAlignment="1">
      <alignment horizontal="right" wrapText="1"/>
    </xf>
    <xf numFmtId="0" fontId="0" fillId="0" borderId="6" xfId="0" applyBorder="1"/>
    <xf numFmtId="0" fontId="0" fillId="7" borderId="6" xfId="0" applyFill="1" applyBorder="1"/>
    <xf numFmtId="0" fontId="1" fillId="0" borderId="6" xfId="0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right" wrapText="1"/>
    </xf>
    <xf numFmtId="0" fontId="1" fillId="20" borderId="1" xfId="0" applyFont="1" applyFill="1" applyBorder="1"/>
    <xf numFmtId="0" fontId="1" fillId="20" borderId="1" xfId="0" applyFont="1" applyFill="1" applyBorder="1" applyAlignment="1">
      <alignment horizontal="left" wrapText="1"/>
    </xf>
    <xf numFmtId="0" fontId="1" fillId="20" borderId="1" xfId="0" applyFont="1" applyFill="1" applyBorder="1" applyAlignment="1">
      <alignment horizontal="right" wrapText="1"/>
    </xf>
    <xf numFmtId="0" fontId="4" fillId="3" borderId="6" xfId="0" applyFont="1" applyFill="1" applyBorder="1"/>
    <xf numFmtId="0" fontId="4" fillId="3" borderId="8" xfId="0" applyFont="1" applyFill="1" applyBorder="1"/>
    <xf numFmtId="0" fontId="4" fillId="3" borderId="13" xfId="0" applyFont="1" applyFill="1" applyBorder="1"/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right" wrapText="1"/>
    </xf>
    <xf numFmtId="0" fontId="1" fillId="6" borderId="6" xfId="0" applyFont="1" applyFill="1" applyBorder="1"/>
    <xf numFmtId="0" fontId="0" fillId="21" borderId="1" xfId="0" applyFill="1" applyBorder="1" applyAlignment="1">
      <alignment horizontal="left" wrapText="1"/>
    </xf>
    <xf numFmtId="0" fontId="1" fillId="21" borderId="1" xfId="0" applyFont="1" applyFill="1" applyBorder="1" applyAlignment="1">
      <alignment horizontal="left" wrapText="1"/>
    </xf>
    <xf numFmtId="0" fontId="0" fillId="21" borderId="1" xfId="0" applyFill="1" applyBorder="1" applyAlignment="1">
      <alignment wrapText="1"/>
    </xf>
    <xf numFmtId="0" fontId="0" fillId="6" borderId="6" xfId="0" applyFill="1" applyBorder="1"/>
    <xf numFmtId="0" fontId="1" fillId="0" borderId="8" xfId="0" applyFont="1" applyBorder="1"/>
    <xf numFmtId="0" fontId="0" fillId="0" borderId="14" xfId="0" applyBorder="1"/>
    <xf numFmtId="0" fontId="1" fillId="6" borderId="8" xfId="0" applyFont="1" applyFill="1" applyBorder="1"/>
    <xf numFmtId="0" fontId="0" fillId="6" borderId="14" xfId="0" applyFill="1" applyBorder="1"/>
    <xf numFmtId="0" fontId="4" fillId="10" borderId="6" xfId="0" applyFont="1" applyFill="1" applyBorder="1"/>
    <xf numFmtId="0" fontId="4" fillId="10" borderId="8" xfId="0" applyFont="1" applyFill="1" applyBorder="1"/>
    <xf numFmtId="0" fontId="4" fillId="10" borderId="14" xfId="0" applyFont="1" applyFill="1" applyBorder="1"/>
    <xf numFmtId="0" fontId="0" fillId="22" borderId="1" xfId="0" applyFill="1" applyBorder="1" applyAlignment="1">
      <alignment horizontal="left"/>
    </xf>
    <xf numFmtId="0" fontId="0" fillId="22" borderId="1" xfId="0" applyFill="1" applyBorder="1" applyAlignment="1">
      <alignment wrapText="1"/>
    </xf>
    <xf numFmtId="0" fontId="0" fillId="23" borderId="1" xfId="0" applyFill="1" applyBorder="1"/>
    <xf numFmtId="0" fontId="0" fillId="23" borderId="1" xfId="0" applyFill="1" applyBorder="1" applyAlignment="1">
      <alignment horizontal="left" wrapText="1"/>
    </xf>
    <xf numFmtId="0" fontId="9" fillId="10" borderId="0" xfId="0" applyFont="1" applyFill="1"/>
    <xf numFmtId="0" fontId="9" fillId="10" borderId="6" xfId="0" applyFont="1" applyFill="1" applyBorder="1" applyAlignment="1">
      <alignment wrapText="1"/>
    </xf>
    <xf numFmtId="0" fontId="9" fillId="10" borderId="6" xfId="0" applyFont="1" applyFill="1" applyBorder="1"/>
    <xf numFmtId="0" fontId="9" fillId="10" borderId="8" xfId="0" applyFont="1" applyFill="1" applyBorder="1"/>
    <xf numFmtId="0" fontId="9" fillId="10" borderId="14" xfId="0" applyFont="1" applyFill="1" applyBorder="1"/>
    <xf numFmtId="0" fontId="10" fillId="4" borderId="6" xfId="0" applyFont="1" applyFill="1" applyBorder="1"/>
    <xf numFmtId="0" fontId="3" fillId="4" borderId="6" xfId="0" applyFont="1" applyFill="1" applyBorder="1"/>
    <xf numFmtId="0" fontId="0" fillId="24" borderId="1" xfId="0" applyFill="1" applyBorder="1" applyAlignment="1">
      <alignment wrapText="1"/>
    </xf>
    <xf numFmtId="0" fontId="1" fillId="7" borderId="0" xfId="0" applyFont="1" applyFill="1"/>
    <xf numFmtId="0" fontId="8" fillId="7" borderId="0" xfId="0" applyFont="1" applyFill="1"/>
    <xf numFmtId="0" fontId="0" fillId="0" borderId="1" xfId="0" quotePrefix="1" applyBorder="1" applyAlignment="1">
      <alignment horizontal="right"/>
    </xf>
    <xf numFmtId="165" fontId="4" fillId="10" borderId="1" xfId="1" applyNumberFormat="1" applyFont="1" applyFill="1" applyBorder="1"/>
    <xf numFmtId="9" fontId="4" fillId="10" borderId="1" xfId="1" applyFont="1" applyFill="1" applyBorder="1"/>
    <xf numFmtId="0" fontId="8" fillId="10" borderId="0" xfId="0" applyFont="1" applyFill="1"/>
    <xf numFmtId="165" fontId="0" fillId="0" borderId="0" xfId="1" applyNumberFormat="1" applyFont="1"/>
    <xf numFmtId="0" fontId="1" fillId="0" borderId="0" xfId="0" applyFont="1"/>
    <xf numFmtId="0" fontId="0" fillId="0" borderId="15" xfId="0" applyBorder="1"/>
    <xf numFmtId="0" fontId="8" fillId="0" borderId="0" xfId="0" applyFont="1"/>
    <xf numFmtId="1" fontId="0" fillId="0" borderId="0" xfId="0" applyNumberFormat="1"/>
    <xf numFmtId="0" fontId="8" fillId="4" borderId="0" xfId="0" applyFont="1" applyFill="1"/>
    <xf numFmtId="0" fontId="7" fillId="4" borderId="0" xfId="0" applyFont="1" applyFill="1"/>
    <xf numFmtId="9" fontId="0" fillId="0" borderId="0" xfId="1" applyFont="1"/>
    <xf numFmtId="9" fontId="0" fillId="0" borderId="15" xfId="1" applyFont="1" applyBorder="1"/>
    <xf numFmtId="9" fontId="0" fillId="0" borderId="0" xfId="1" applyFont="1" applyBorder="1"/>
    <xf numFmtId="9" fontId="8" fillId="4" borderId="0" xfId="1" applyFont="1" applyFill="1"/>
    <xf numFmtId="9" fontId="7" fillId="4" borderId="0" xfId="1" applyFont="1" applyFill="1"/>
    <xf numFmtId="9" fontId="1" fillId="0" borderId="0" xfId="1" applyFont="1" applyFill="1"/>
    <xf numFmtId="0" fontId="11" fillId="25" borderId="1" xfId="2" applyFont="1" applyFill="1" applyBorder="1"/>
    <xf numFmtId="0" fontId="1" fillId="25" borderId="1" xfId="0" applyFont="1" applyFill="1" applyBorder="1" applyAlignment="1">
      <alignment wrapText="1"/>
    </xf>
    <xf numFmtId="0" fontId="1" fillId="25" borderId="1" xfId="0" applyFont="1" applyFill="1" applyBorder="1"/>
    <xf numFmtId="0" fontId="5" fillId="25" borderId="1" xfId="0" applyFont="1" applyFill="1" applyBorder="1"/>
    <xf numFmtId="0" fontId="1" fillId="25" borderId="2" xfId="0" applyFont="1" applyFill="1" applyBorder="1"/>
    <xf numFmtId="0" fontId="1" fillId="25" borderId="4" xfId="0" applyFont="1" applyFill="1" applyBorder="1"/>
    <xf numFmtId="0" fontId="11" fillId="15" borderId="1" xfId="2" applyFont="1" applyFill="1" applyBorder="1"/>
    <xf numFmtId="0" fontId="1" fillId="15" borderId="1" xfId="0" applyFont="1" applyFill="1" applyBorder="1" applyAlignment="1">
      <alignment wrapText="1"/>
    </xf>
    <xf numFmtId="0" fontId="0" fillId="7" borderId="2" xfId="0" applyFill="1" applyBorder="1"/>
    <xf numFmtId="0" fontId="5" fillId="0" borderId="0" xfId="0" applyFont="1"/>
    <xf numFmtId="0" fontId="5" fillId="0" borderId="15" xfId="0" applyFont="1" applyBorder="1"/>
    <xf numFmtId="0" fontId="10" fillId="4" borderId="0" xfId="0" applyFont="1" applyFill="1"/>
    <xf numFmtId="0" fontId="3" fillId="4" borderId="0" xfId="0" applyFont="1" applyFill="1"/>
    <xf numFmtId="9" fontId="1" fillId="0" borderId="0" xfId="1" applyFont="1"/>
    <xf numFmtId="9" fontId="1" fillId="0" borderId="0" xfId="1" applyFont="1" applyBorder="1"/>
    <xf numFmtId="0" fontId="5" fillId="0" borderId="5" xfId="0" applyFont="1" applyBorder="1"/>
    <xf numFmtId="0" fontId="5" fillId="0" borderId="9" xfId="0" applyFont="1" applyBorder="1"/>
    <xf numFmtId="0" fontId="10" fillId="4" borderId="5" xfId="0" applyFont="1" applyFill="1" applyBorder="1"/>
    <xf numFmtId="0" fontId="3" fillId="4" borderId="5" xfId="0" applyFont="1" applyFill="1" applyBorder="1"/>
    <xf numFmtId="1" fontId="1" fillId="0" borderId="0" xfId="0" applyNumberFormat="1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6" borderId="1" xfId="0" applyFont="1" applyFill="1" applyBorder="1" applyAlignment="1">
      <alignment vertical="center"/>
    </xf>
    <xf numFmtId="0" fontId="1" fillId="27" borderId="1" xfId="0" applyFont="1" applyFill="1" applyBorder="1"/>
    <xf numFmtId="0" fontId="0" fillId="26" borderId="1" xfId="0" applyFill="1" applyBorder="1" applyAlignment="1">
      <alignment vertical="center"/>
    </xf>
    <xf numFmtId="0" fontId="0" fillId="26" borderId="19" xfId="0" applyFill="1" applyBorder="1" applyAlignment="1">
      <alignment vertical="center"/>
    </xf>
    <xf numFmtId="0" fontId="0" fillId="26" borderId="4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9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5" fillId="0" borderId="18" xfId="0" applyFont="1" applyBorder="1"/>
    <xf numFmtId="9" fontId="0" fillId="0" borderId="18" xfId="1" applyFont="1" applyBorder="1"/>
    <xf numFmtId="0" fontId="5" fillId="0" borderId="20" xfId="0" applyFont="1" applyBorder="1"/>
    <xf numFmtId="164" fontId="0" fillId="0" borderId="0" xfId="0" applyNumberFormat="1"/>
    <xf numFmtId="0" fontId="4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7" fontId="9" fillId="10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5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165" fontId="0" fillId="5" borderId="1" xfId="1" applyNumberFormat="1" applyFont="1" applyFill="1" applyBorder="1" applyAlignment="1">
      <alignment vertical="center"/>
    </xf>
    <xf numFmtId="165" fontId="0" fillId="10" borderId="1" xfId="1" applyNumberFormat="1" applyFont="1" applyFill="1" applyBorder="1" applyAlignment="1">
      <alignment vertical="center"/>
    </xf>
    <xf numFmtId="3" fontId="0" fillId="5" borderId="1" xfId="0" applyNumberFormat="1" applyFill="1" applyBorder="1" applyAlignment="1">
      <alignment horizontal="right" vertical="center"/>
    </xf>
    <xf numFmtId="165" fontId="5" fillId="5" borderId="1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165" fontId="1" fillId="5" borderId="1" xfId="1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5" fontId="19" fillId="6" borderId="1" xfId="1" applyNumberFormat="1" applyFont="1" applyFill="1" applyBorder="1" applyAlignment="1">
      <alignment vertical="center"/>
    </xf>
    <xf numFmtId="2" fontId="0" fillId="5" borderId="1" xfId="0" applyNumberForma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165" fontId="0" fillId="7" borderId="1" xfId="1" applyNumberFormat="1" applyFont="1" applyFill="1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0" fillId="5" borderId="1" xfId="0" quotePrefix="1" applyFill="1" applyBorder="1" applyAlignment="1">
      <alignment horizontal="left" vertical="center" wrapText="1"/>
    </xf>
    <xf numFmtId="165" fontId="20" fillId="6" borderId="1" xfId="1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vertical="center" wrapText="1"/>
    </xf>
    <xf numFmtId="165" fontId="1" fillId="6" borderId="1" xfId="1" applyNumberFormat="1" applyFont="1" applyFill="1" applyBorder="1" applyAlignment="1">
      <alignment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right" vertical="center" wrapText="1"/>
    </xf>
    <xf numFmtId="165" fontId="9" fillId="10" borderId="1" xfId="1" applyNumberFormat="1" applyFont="1" applyFill="1" applyBorder="1" applyAlignment="1">
      <alignment vertical="center"/>
    </xf>
    <xf numFmtId="3" fontId="9" fillId="10" borderId="1" xfId="0" applyNumberFormat="1" applyFont="1" applyFill="1" applyBorder="1" applyAlignment="1">
      <alignment horizontal="right" vertical="center"/>
    </xf>
    <xf numFmtId="165" fontId="9" fillId="10" borderId="1" xfId="1" applyNumberFormat="1" applyFont="1" applyFill="1" applyBorder="1" applyAlignment="1">
      <alignment horizontal="right" vertical="center"/>
    </xf>
    <xf numFmtId="165" fontId="9" fillId="12" borderId="1" xfId="1" applyNumberFormat="1" applyFont="1" applyFill="1" applyBorder="1" applyAlignment="1">
      <alignment vertical="center"/>
    </xf>
    <xf numFmtId="165" fontId="0" fillId="11" borderId="1" xfId="1" applyNumberFormat="1" applyFont="1" applyFill="1" applyBorder="1" applyAlignment="1">
      <alignment vertical="center"/>
    </xf>
    <xf numFmtId="3" fontId="0" fillId="11" borderId="1" xfId="0" applyNumberFormat="1" applyFill="1" applyBorder="1" applyAlignment="1">
      <alignment horizontal="right" vertical="center"/>
    </xf>
    <xf numFmtId="165" fontId="5" fillId="11" borderId="1" xfId="1" applyNumberFormat="1" applyFont="1" applyFill="1" applyBorder="1" applyAlignment="1">
      <alignment horizontal="right" vertical="center"/>
    </xf>
    <xf numFmtId="0" fontId="0" fillId="13" borderId="1" xfId="0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vertical="center" wrapText="1"/>
    </xf>
    <xf numFmtId="165" fontId="0" fillId="13" borderId="1" xfId="1" applyNumberFormat="1" applyFont="1" applyFill="1" applyBorder="1" applyAlignment="1">
      <alignment vertical="center"/>
    </xf>
    <xf numFmtId="165" fontId="0" fillId="28" borderId="1" xfId="1" applyNumberFormat="1" applyFont="1" applyFill="1" applyBorder="1" applyAlignment="1">
      <alignment vertical="center"/>
    </xf>
    <xf numFmtId="3" fontId="0" fillId="13" borderId="1" xfId="0" applyNumberFormat="1" applyFill="1" applyBorder="1" applyAlignment="1">
      <alignment horizontal="right" vertical="center"/>
    </xf>
    <xf numFmtId="165" fontId="5" fillId="13" borderId="1" xfId="1" applyNumberFormat="1" applyFont="1" applyFill="1" applyBorder="1" applyAlignment="1">
      <alignment horizontal="right" vertical="center"/>
    </xf>
    <xf numFmtId="0" fontId="0" fillId="13" borderId="1" xfId="0" quotePrefix="1" applyFill="1" applyBorder="1" applyAlignment="1">
      <alignment horizontal="left" vertical="center" wrapText="1"/>
    </xf>
    <xf numFmtId="0" fontId="0" fillId="13" borderId="7" xfId="0" applyFill="1" applyBorder="1" applyAlignment="1">
      <alignment vertical="center" wrapText="1"/>
    </xf>
    <xf numFmtId="0" fontId="0" fillId="14" borderId="1" xfId="0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vertical="center" wrapText="1"/>
    </xf>
    <xf numFmtId="165" fontId="0" fillId="14" borderId="1" xfId="1" applyNumberFormat="1" applyFont="1" applyFill="1" applyBorder="1" applyAlignment="1">
      <alignment vertical="center"/>
    </xf>
    <xf numFmtId="165" fontId="0" fillId="29" borderId="1" xfId="1" applyNumberFormat="1" applyFont="1" applyFill="1" applyBorder="1" applyAlignment="1">
      <alignment vertical="center"/>
    </xf>
    <xf numFmtId="3" fontId="0" fillId="14" borderId="1" xfId="0" applyNumberFormat="1" applyFill="1" applyBorder="1" applyAlignment="1">
      <alignment horizontal="right" vertical="center"/>
    </xf>
    <xf numFmtId="165" fontId="5" fillId="14" borderId="1" xfId="1" applyNumberFormat="1" applyFont="1" applyFill="1" applyBorder="1" applyAlignment="1">
      <alignment horizontal="right" vertical="center"/>
    </xf>
    <xf numFmtId="3" fontId="0" fillId="7" borderId="1" xfId="0" applyNumberFormat="1" applyFill="1" applyBorder="1" applyAlignment="1">
      <alignment horizontal="right" vertical="center"/>
    </xf>
    <xf numFmtId="165" fontId="5" fillId="7" borderId="1" xfId="1" applyNumberFormat="1" applyFont="1" applyFill="1" applyBorder="1" applyAlignment="1">
      <alignment horizontal="right" vertical="center"/>
    </xf>
    <xf numFmtId="0" fontId="0" fillId="14" borderId="1" xfId="0" quotePrefix="1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vertical="center" wrapText="1"/>
    </xf>
    <xf numFmtId="165" fontId="0" fillId="16" borderId="1" xfId="1" applyNumberFormat="1" applyFont="1" applyFill="1" applyBorder="1" applyAlignment="1">
      <alignment vertical="center"/>
    </xf>
    <xf numFmtId="165" fontId="0" fillId="30" borderId="1" xfId="1" applyNumberFormat="1" applyFont="1" applyFill="1" applyBorder="1" applyAlignment="1">
      <alignment vertical="center"/>
    </xf>
    <xf numFmtId="3" fontId="0" fillId="16" borderId="1" xfId="0" applyNumberFormat="1" applyFill="1" applyBorder="1" applyAlignment="1">
      <alignment horizontal="right" vertical="center"/>
    </xf>
    <xf numFmtId="165" fontId="5" fillId="16" borderId="1" xfId="1" applyNumberFormat="1" applyFont="1" applyFill="1" applyBorder="1" applyAlignment="1">
      <alignment horizontal="right" vertical="center"/>
    </xf>
    <xf numFmtId="0" fontId="1" fillId="16" borderId="1" xfId="0" applyFont="1" applyFill="1" applyBorder="1" applyAlignment="1">
      <alignment vertical="center" wrapText="1"/>
    </xf>
    <xf numFmtId="0" fontId="1" fillId="16" borderId="7" xfId="0" applyFont="1" applyFill="1" applyBorder="1" applyAlignment="1">
      <alignment vertical="center" wrapText="1"/>
    </xf>
    <xf numFmtId="0" fontId="0" fillId="16" borderId="0" xfId="0" applyFill="1" applyAlignment="1">
      <alignment horizontal="left" vertical="center" wrapText="1"/>
    </xf>
    <xf numFmtId="0" fontId="1" fillId="16" borderId="11" xfId="0" applyFont="1" applyFill="1" applyBorder="1" applyAlignment="1">
      <alignment vertical="center" wrapText="1"/>
    </xf>
    <xf numFmtId="165" fontId="0" fillId="31" borderId="1" xfId="1" applyNumberFormat="1" applyFont="1" applyFill="1" applyBorder="1" applyAlignment="1">
      <alignment vertical="center"/>
    </xf>
    <xf numFmtId="0" fontId="1" fillId="17" borderId="2" xfId="0" applyFont="1" applyFill="1" applyBorder="1" applyAlignment="1">
      <alignment horizontal="left" vertical="center" wrapText="1"/>
    </xf>
    <xf numFmtId="165" fontId="9" fillId="6" borderId="1" xfId="1" applyNumberFormat="1" applyFont="1" applyFill="1" applyBorder="1" applyAlignment="1">
      <alignment vertical="center"/>
    </xf>
    <xf numFmtId="165" fontId="1" fillId="17" borderId="1" xfId="1" applyNumberFormat="1" applyFont="1" applyFill="1" applyBorder="1" applyAlignment="1">
      <alignment vertical="center"/>
    </xf>
    <xf numFmtId="3" fontId="0" fillId="17" borderId="1" xfId="0" applyNumberFormat="1" applyFill="1" applyBorder="1" applyAlignment="1">
      <alignment horizontal="right" vertical="center"/>
    </xf>
    <xf numFmtId="165" fontId="5" fillId="17" borderId="1" xfId="1" applyNumberFormat="1" applyFont="1" applyFill="1" applyBorder="1" applyAlignment="1">
      <alignment horizontal="right" vertical="center"/>
    </xf>
    <xf numFmtId="0" fontId="1" fillId="17" borderId="2" xfId="0" quotePrefix="1" applyFont="1" applyFill="1" applyBorder="1" applyAlignment="1">
      <alignment horizontal="left" vertical="center" wrapText="1"/>
    </xf>
    <xf numFmtId="165" fontId="0" fillId="17" borderId="1" xfId="1" applyNumberFormat="1" applyFont="1" applyFill="1" applyBorder="1" applyAlignment="1">
      <alignment vertical="center"/>
    </xf>
    <xf numFmtId="0" fontId="1" fillId="18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right" vertical="center" wrapText="1"/>
    </xf>
    <xf numFmtId="165" fontId="0" fillId="18" borderId="1" xfId="1" applyNumberFormat="1" applyFont="1" applyFill="1" applyBorder="1" applyAlignment="1">
      <alignment vertical="center"/>
    </xf>
    <xf numFmtId="3" fontId="0" fillId="18" borderId="1" xfId="0" applyNumberFormat="1" applyFill="1" applyBorder="1" applyAlignment="1">
      <alignment horizontal="right" vertical="center"/>
    </xf>
    <xf numFmtId="165" fontId="5" fillId="18" borderId="1" xfId="1" applyNumberFormat="1" applyFont="1" applyFill="1" applyBorder="1" applyAlignment="1">
      <alignment horizontal="right" vertical="center"/>
    </xf>
    <xf numFmtId="0" fontId="1" fillId="20" borderId="1" xfId="0" applyFont="1" applyFill="1" applyBorder="1" applyAlignment="1">
      <alignment vertical="center"/>
    </xf>
    <xf numFmtId="0" fontId="1" fillId="20" borderId="1" xfId="0" applyFont="1" applyFill="1" applyBorder="1" applyAlignment="1">
      <alignment horizontal="left" vertical="center" wrapText="1"/>
    </xf>
    <xf numFmtId="165" fontId="0" fillId="20" borderId="1" xfId="1" applyNumberFormat="1" applyFont="1" applyFill="1" applyBorder="1" applyAlignment="1">
      <alignment vertical="center"/>
    </xf>
    <xf numFmtId="3" fontId="0" fillId="20" borderId="1" xfId="0" applyNumberFormat="1" applyFill="1" applyBorder="1" applyAlignment="1">
      <alignment horizontal="right" vertical="center"/>
    </xf>
    <xf numFmtId="165" fontId="5" fillId="20" borderId="1" xfId="1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 wrapText="1"/>
    </xf>
    <xf numFmtId="165" fontId="0" fillId="4" borderId="1" xfId="1" applyNumberFormat="1" applyFont="1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5" fontId="5" fillId="4" borderId="1" xfId="1" applyNumberFormat="1" applyFont="1" applyFill="1" applyBorder="1" applyAlignment="1">
      <alignment horizontal="right" vertical="center"/>
    </xf>
    <xf numFmtId="0" fontId="0" fillId="21" borderId="1" xfId="0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 wrapText="1"/>
    </xf>
    <xf numFmtId="0" fontId="0" fillId="21" borderId="1" xfId="0" applyFill="1" applyBorder="1" applyAlignment="1">
      <alignment vertical="center" wrapText="1"/>
    </xf>
    <xf numFmtId="165" fontId="9" fillId="7" borderId="1" xfId="1" applyNumberFormat="1" applyFont="1" applyFill="1" applyBorder="1" applyAlignment="1">
      <alignment vertical="center"/>
    </xf>
    <xf numFmtId="165" fontId="1" fillId="21" borderId="1" xfId="1" applyNumberFormat="1" applyFont="1" applyFill="1" applyBorder="1" applyAlignment="1">
      <alignment vertical="center"/>
    </xf>
    <xf numFmtId="3" fontId="0" fillId="21" borderId="1" xfId="0" applyNumberFormat="1" applyFill="1" applyBorder="1" applyAlignment="1">
      <alignment horizontal="right" vertical="center"/>
    </xf>
    <xf numFmtId="165" fontId="5" fillId="21" borderId="1" xfId="1" applyNumberFormat="1" applyFont="1" applyFill="1" applyBorder="1" applyAlignment="1">
      <alignment horizontal="right" vertical="center"/>
    </xf>
    <xf numFmtId="0" fontId="0" fillId="22" borderId="1" xfId="0" applyFill="1" applyBorder="1" applyAlignment="1">
      <alignment horizontal="left" vertical="center"/>
    </xf>
    <xf numFmtId="0" fontId="1" fillId="22" borderId="1" xfId="0" applyFont="1" applyFill="1" applyBorder="1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0" fillId="6" borderId="6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9" fontId="0" fillId="7" borderId="6" xfId="1" applyFont="1" applyFill="1" applyBorder="1" applyAlignment="1">
      <alignment vertical="center"/>
    </xf>
    <xf numFmtId="165" fontId="1" fillId="22" borderId="1" xfId="1" applyNumberFormat="1" applyFont="1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3" fontId="0" fillId="22" borderId="1" xfId="0" applyNumberFormat="1" applyFill="1" applyBorder="1" applyAlignment="1">
      <alignment horizontal="right" vertical="center"/>
    </xf>
    <xf numFmtId="165" fontId="5" fillId="22" borderId="1" xfId="1" applyNumberFormat="1" applyFont="1" applyFill="1" applyBorder="1" applyAlignment="1">
      <alignment horizontal="right" vertical="center"/>
    </xf>
    <xf numFmtId="165" fontId="0" fillId="32" borderId="1" xfId="1" applyNumberFormat="1" applyFont="1" applyFill="1" applyBorder="1" applyAlignment="1">
      <alignment vertical="center"/>
    </xf>
    <xf numFmtId="0" fontId="12" fillId="10" borderId="1" xfId="0" applyFont="1" applyFill="1" applyBorder="1" applyAlignment="1">
      <alignment horizontal="right" vertical="center" wrapText="1"/>
    </xf>
    <xf numFmtId="0" fontId="11" fillId="25" borderId="1" xfId="2" applyFont="1" applyFill="1" applyBorder="1" applyAlignment="1">
      <alignment vertical="center"/>
    </xf>
    <xf numFmtId="0" fontId="1" fillId="25" borderId="1" xfId="0" applyFont="1" applyFill="1" applyBorder="1" applyAlignment="1">
      <alignment vertical="center" wrapText="1"/>
    </xf>
    <xf numFmtId="0" fontId="1" fillId="25" borderId="1" xfId="0" applyFont="1" applyFill="1" applyBorder="1" applyAlignment="1">
      <alignment vertical="center"/>
    </xf>
    <xf numFmtId="165" fontId="1" fillId="33" borderId="1" xfId="1" applyNumberFormat="1" applyFont="1" applyFill="1" applyBorder="1" applyAlignment="1">
      <alignment vertical="center"/>
    </xf>
    <xf numFmtId="165" fontId="4" fillId="33" borderId="1" xfId="1" applyNumberFormat="1" applyFont="1" applyFill="1" applyBorder="1" applyAlignment="1">
      <alignment vertical="center"/>
    </xf>
    <xf numFmtId="165" fontId="1" fillId="25" borderId="1" xfId="1" applyNumberFormat="1" applyFont="1" applyFill="1" applyBorder="1" applyAlignment="1">
      <alignment vertical="center"/>
    </xf>
    <xf numFmtId="3" fontId="0" fillId="25" borderId="1" xfId="0" applyNumberFormat="1" applyFill="1" applyBorder="1" applyAlignment="1">
      <alignment horizontal="right" vertical="center"/>
    </xf>
    <xf numFmtId="165" fontId="5" fillId="25" borderId="1" xfId="1" applyNumberFormat="1" applyFont="1" applyFill="1" applyBorder="1" applyAlignment="1">
      <alignment horizontal="right" vertical="center"/>
    </xf>
    <xf numFmtId="165" fontId="2" fillId="3" borderId="1" xfId="1" applyNumberFormat="1" applyFont="1" applyFill="1" applyBorder="1" applyAlignment="1">
      <alignment vertical="center"/>
    </xf>
    <xf numFmtId="1" fontId="9" fillId="10" borderId="1" xfId="0" applyNumberFormat="1" applyFont="1" applyFill="1" applyBorder="1" applyAlignment="1">
      <alignment horizontal="right" vertical="center"/>
    </xf>
    <xf numFmtId="0" fontId="1" fillId="26" borderId="1" xfId="0" applyFont="1" applyFill="1" applyBorder="1"/>
    <xf numFmtId="165" fontId="1" fillId="26" borderId="1" xfId="1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3" fontId="0" fillId="26" borderId="1" xfId="0" applyNumberFormat="1" applyFill="1" applyBorder="1" applyAlignment="1">
      <alignment horizontal="right" vertical="center"/>
    </xf>
    <xf numFmtId="165" fontId="5" fillId="26" borderId="1" xfId="1" applyNumberFormat="1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right" vertical="center" wrapText="1"/>
    </xf>
    <xf numFmtId="0" fontId="0" fillId="23" borderId="1" xfId="0" applyFill="1" applyBorder="1" applyAlignment="1">
      <alignment vertical="center"/>
    </xf>
    <xf numFmtId="0" fontId="0" fillId="23" borderId="1" xfId="0" applyFill="1" applyBorder="1" applyAlignment="1">
      <alignment horizontal="left" vertical="center" wrapText="1"/>
    </xf>
    <xf numFmtId="165" fontId="5" fillId="23" borderId="1" xfId="1" applyNumberFormat="1" applyFont="1" applyFill="1" applyBorder="1" applyAlignment="1">
      <alignment vertical="center"/>
    </xf>
    <xf numFmtId="3" fontId="0" fillId="23" borderId="1" xfId="0" applyNumberFormat="1" applyFill="1" applyBorder="1" applyAlignment="1">
      <alignment horizontal="right" vertical="center"/>
    </xf>
    <xf numFmtId="165" fontId="5" fillId="23" borderId="1" xfId="1" applyNumberFormat="1" applyFont="1" applyFill="1" applyBorder="1" applyAlignment="1">
      <alignment horizontal="right" vertical="center"/>
    </xf>
    <xf numFmtId="0" fontId="5" fillId="34" borderId="1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right" vertical="center" wrapText="1"/>
    </xf>
    <xf numFmtId="165" fontId="5" fillId="34" borderId="1" xfId="1" applyNumberFormat="1" applyFont="1" applyFill="1" applyBorder="1" applyAlignment="1">
      <alignment vertical="center"/>
    </xf>
    <xf numFmtId="165" fontId="5" fillId="10" borderId="1" xfId="1" applyNumberFormat="1" applyFont="1" applyFill="1" applyBorder="1" applyAlignment="1">
      <alignment vertical="center"/>
    </xf>
    <xf numFmtId="3" fontId="5" fillId="34" borderId="1" xfId="0" applyNumberFormat="1" applyFont="1" applyFill="1" applyBorder="1" applyAlignment="1">
      <alignment horizontal="right" vertical="center"/>
    </xf>
    <xf numFmtId="165" fontId="5" fillId="34" borderId="1" xfId="1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3" fontId="0" fillId="10" borderId="1" xfId="0" applyNumberFormat="1" applyFill="1" applyBorder="1" applyAlignment="1">
      <alignment horizontal="right" vertical="center"/>
    </xf>
    <xf numFmtId="0" fontId="0" fillId="2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5" fontId="0" fillId="24" borderId="1" xfId="1" applyNumberFormat="1" applyFont="1" applyFill="1" applyBorder="1" applyAlignment="1">
      <alignment vertical="center"/>
    </xf>
    <xf numFmtId="0" fontId="0" fillId="24" borderId="1" xfId="0" applyFill="1" applyBorder="1" applyAlignment="1">
      <alignment vertical="center" wrapText="1"/>
    </xf>
    <xf numFmtId="0" fontId="0" fillId="34" borderId="1" xfId="0" applyFill="1" applyBorder="1" applyAlignment="1">
      <alignment vertical="center"/>
    </xf>
    <xf numFmtId="0" fontId="5" fillId="34" borderId="1" xfId="0" applyFont="1" applyFill="1" applyBorder="1" applyAlignment="1">
      <alignment horizontal="right" vertical="center"/>
    </xf>
    <xf numFmtId="0" fontId="5" fillId="34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9" fontId="5" fillId="35" borderId="1" xfId="0" applyNumberFormat="1" applyFont="1" applyFill="1" applyBorder="1" applyAlignment="1">
      <alignment vertical="center"/>
    </xf>
    <xf numFmtId="9" fontId="5" fillId="35" borderId="0" xfId="0" applyNumberFormat="1" applyFont="1" applyFill="1" applyAlignment="1">
      <alignment vertical="center"/>
    </xf>
    <xf numFmtId="3" fontId="5" fillId="35" borderId="1" xfId="0" applyNumberFormat="1" applyFont="1" applyFill="1" applyBorder="1" applyAlignment="1">
      <alignment horizontal="right" vertical="center"/>
    </xf>
    <xf numFmtId="165" fontId="5" fillId="36" borderId="1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21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3" borderId="32" xfId="0" applyFill="1" applyBorder="1" applyAlignment="1">
      <alignment vertical="center"/>
    </xf>
    <xf numFmtId="0" fontId="0" fillId="3" borderId="22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4" fillId="33" borderId="33" xfId="0" applyFont="1" applyFill="1" applyBorder="1" applyAlignment="1">
      <alignment horizontal="center" vertical="center"/>
    </xf>
    <xf numFmtId="0" fontId="4" fillId="33" borderId="34" xfId="0" applyFont="1" applyFill="1" applyBorder="1" applyAlignment="1">
      <alignment horizontal="center" vertical="center"/>
    </xf>
    <xf numFmtId="0" fontId="4" fillId="33" borderId="35" xfId="0" applyFont="1" applyFill="1" applyBorder="1" applyAlignment="1">
      <alignment horizontal="center" vertical="center"/>
    </xf>
    <xf numFmtId="17" fontId="9" fillId="33" borderId="36" xfId="0" applyNumberFormat="1" applyFont="1" applyFill="1" applyBorder="1" applyAlignment="1">
      <alignment horizontal="center" vertical="center"/>
    </xf>
    <xf numFmtId="17" fontId="9" fillId="33" borderId="37" xfId="0" applyNumberFormat="1" applyFont="1" applyFill="1" applyBorder="1" applyAlignment="1">
      <alignment horizontal="center" vertical="center"/>
    </xf>
    <xf numFmtId="17" fontId="9" fillId="33" borderId="38" xfId="0" applyNumberFormat="1" applyFont="1" applyFill="1" applyBorder="1" applyAlignment="1">
      <alignment horizontal="center" vertical="center" wrapText="1"/>
    </xf>
    <xf numFmtId="17" fontId="9" fillId="33" borderId="39" xfId="0" applyNumberFormat="1" applyFont="1" applyFill="1" applyBorder="1" applyAlignment="1">
      <alignment horizontal="center" vertical="center"/>
    </xf>
    <xf numFmtId="17" fontId="9" fillId="33" borderId="40" xfId="0" applyNumberFormat="1" applyFont="1" applyFill="1" applyBorder="1" applyAlignment="1">
      <alignment horizontal="center" vertical="center" wrapText="1"/>
    </xf>
    <xf numFmtId="17" fontId="9" fillId="3" borderId="41" xfId="0" applyNumberFormat="1" applyFont="1" applyFill="1" applyBorder="1" applyAlignment="1">
      <alignment horizontal="center" vertical="center"/>
    </xf>
    <xf numFmtId="17" fontId="9" fillId="33" borderId="42" xfId="0" applyNumberFormat="1" applyFont="1" applyFill="1" applyBorder="1" applyAlignment="1">
      <alignment horizontal="center" vertical="center" wrapText="1"/>
    </xf>
    <xf numFmtId="17" fontId="9" fillId="33" borderId="37" xfId="0" applyNumberFormat="1" applyFont="1" applyFill="1" applyBorder="1" applyAlignment="1">
      <alignment horizontal="center" vertical="center" wrapText="1"/>
    </xf>
    <xf numFmtId="17" fontId="9" fillId="33" borderId="43" xfId="0" applyNumberFormat="1" applyFont="1" applyFill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left" vertical="center" wrapText="1"/>
    </xf>
    <xf numFmtId="0" fontId="0" fillId="5" borderId="45" xfId="0" applyFill="1" applyBorder="1" applyAlignment="1">
      <alignment vertical="center" wrapText="1"/>
    </xf>
    <xf numFmtId="1" fontId="21" fillId="5" borderId="46" xfId="0" applyNumberFormat="1" applyFont="1" applyFill="1" applyBorder="1" applyAlignment="1">
      <alignment vertical="center" wrapText="1"/>
    </xf>
    <xf numFmtId="1" fontId="21" fillId="5" borderId="44" xfId="0" applyNumberFormat="1" applyFont="1" applyFill="1" applyBorder="1" applyAlignment="1">
      <alignment vertical="center" wrapText="1"/>
    </xf>
    <xf numFmtId="165" fontId="22" fillId="5" borderId="47" xfId="1" applyNumberFormat="1" applyFont="1" applyFill="1" applyBorder="1" applyAlignment="1">
      <alignment vertical="center"/>
    </xf>
    <xf numFmtId="165" fontId="22" fillId="37" borderId="45" xfId="1" applyNumberFormat="1" applyFont="1" applyFill="1" applyBorder="1" applyAlignment="1">
      <alignment vertical="center"/>
    </xf>
    <xf numFmtId="165" fontId="0" fillId="3" borderId="41" xfId="1" applyNumberFormat="1" applyFont="1" applyFill="1" applyBorder="1" applyAlignment="1">
      <alignment vertical="center"/>
    </xf>
    <xf numFmtId="3" fontId="21" fillId="5" borderId="48" xfId="0" applyNumberFormat="1" applyFont="1" applyFill="1" applyBorder="1" applyAlignment="1">
      <alignment horizontal="right" vertical="center"/>
    </xf>
    <xf numFmtId="3" fontId="21" fillId="5" borderId="44" xfId="0" applyNumberFormat="1" applyFont="1" applyFill="1" applyBorder="1" applyAlignment="1">
      <alignment horizontal="right" vertical="center"/>
    </xf>
    <xf numFmtId="165" fontId="22" fillId="5" borderId="44" xfId="1" applyNumberFormat="1" applyFont="1" applyFill="1" applyBorder="1" applyAlignment="1">
      <alignment horizontal="right" vertical="center"/>
    </xf>
    <xf numFmtId="0" fontId="21" fillId="5" borderId="49" xfId="0" applyFont="1" applyFill="1" applyBorder="1" applyAlignment="1">
      <alignment horizontal="left" vertical="center" wrapText="1"/>
    </xf>
    <xf numFmtId="0" fontId="0" fillId="5" borderId="50" xfId="0" applyFill="1" applyBorder="1" applyAlignment="1">
      <alignment vertical="center" wrapText="1"/>
    </xf>
    <xf numFmtId="1" fontId="21" fillId="5" borderId="51" xfId="0" applyNumberFormat="1" applyFont="1" applyFill="1" applyBorder="1" applyAlignment="1">
      <alignment vertical="center" wrapText="1"/>
    </xf>
    <xf numFmtId="1" fontId="21" fillId="5" borderId="49" xfId="0" applyNumberFormat="1" applyFont="1" applyFill="1" applyBorder="1" applyAlignment="1">
      <alignment vertical="center" wrapText="1"/>
    </xf>
    <xf numFmtId="165" fontId="22" fillId="5" borderId="52" xfId="1" applyNumberFormat="1" applyFont="1" applyFill="1" applyBorder="1" applyAlignment="1">
      <alignment vertical="center"/>
    </xf>
    <xf numFmtId="165" fontId="22" fillId="37" borderId="50" xfId="1" applyNumberFormat="1" applyFont="1" applyFill="1" applyBorder="1" applyAlignment="1">
      <alignment vertical="center"/>
    </xf>
    <xf numFmtId="3" fontId="21" fillId="5" borderId="53" xfId="0" applyNumberFormat="1" applyFont="1" applyFill="1" applyBorder="1" applyAlignment="1">
      <alignment horizontal="right" vertical="center"/>
    </xf>
    <xf numFmtId="3" fontId="21" fillId="5" borderId="49" xfId="0" applyNumberFormat="1" applyFont="1" applyFill="1" applyBorder="1" applyAlignment="1">
      <alignment horizontal="right" vertical="center"/>
    </xf>
    <xf numFmtId="165" fontId="22" fillId="5" borderId="49" xfId="1" applyNumberFormat="1" applyFont="1" applyFill="1" applyBorder="1" applyAlignment="1">
      <alignment horizontal="right" vertical="center"/>
    </xf>
    <xf numFmtId="0" fontId="0" fillId="5" borderId="50" xfId="0" applyFill="1" applyBorder="1" applyAlignment="1">
      <alignment vertical="center"/>
    </xf>
    <xf numFmtId="165" fontId="23" fillId="6" borderId="51" xfId="1" applyNumberFormat="1" applyFont="1" applyFill="1" applyBorder="1" applyAlignment="1">
      <alignment vertical="center"/>
    </xf>
    <xf numFmtId="165" fontId="23" fillId="6" borderId="49" xfId="1" applyNumberFormat="1" applyFont="1" applyFill="1" applyBorder="1" applyAlignment="1">
      <alignment vertical="center"/>
    </xf>
    <xf numFmtId="165" fontId="23" fillId="6" borderId="52" xfId="1" applyNumberFormat="1" applyFont="1" applyFill="1" applyBorder="1" applyAlignment="1">
      <alignment vertical="center"/>
    </xf>
    <xf numFmtId="165" fontId="23" fillId="6" borderId="50" xfId="1" applyNumberFormat="1" applyFont="1" applyFill="1" applyBorder="1" applyAlignment="1">
      <alignment vertical="center"/>
    </xf>
    <xf numFmtId="2" fontId="21" fillId="5" borderId="49" xfId="0" applyNumberFormat="1" applyFont="1" applyFill="1" applyBorder="1" applyAlignment="1">
      <alignment horizontal="left" vertical="center" wrapText="1"/>
    </xf>
    <xf numFmtId="0" fontId="1" fillId="5" borderId="50" xfId="0" applyFont="1" applyFill="1" applyBorder="1" applyAlignment="1">
      <alignment vertical="center" wrapText="1"/>
    </xf>
    <xf numFmtId="165" fontId="23" fillId="6" borderId="51" xfId="1" applyNumberFormat="1" applyFont="1" applyFill="1" applyBorder="1" applyAlignment="1">
      <alignment horizontal="center" vertical="center"/>
    </xf>
    <xf numFmtId="165" fontId="23" fillId="6" borderId="49" xfId="1" applyNumberFormat="1" applyFont="1" applyFill="1" applyBorder="1" applyAlignment="1">
      <alignment horizontal="center" vertical="center"/>
    </xf>
    <xf numFmtId="165" fontId="23" fillId="6" borderId="50" xfId="1" applyNumberFormat="1" applyFont="1" applyFill="1" applyBorder="1" applyAlignment="1">
      <alignment horizontal="center" vertical="center"/>
    </xf>
    <xf numFmtId="0" fontId="21" fillId="5" borderId="49" xfId="0" quotePrefix="1" applyFont="1" applyFill="1" applyBorder="1" applyAlignment="1">
      <alignment horizontal="left" vertical="center" wrapText="1"/>
    </xf>
    <xf numFmtId="165" fontId="21" fillId="5" borderId="52" xfId="1" applyNumberFormat="1" applyFont="1" applyFill="1" applyBorder="1" applyAlignment="1">
      <alignment vertical="center"/>
    </xf>
    <xf numFmtId="165" fontId="21" fillId="37" borderId="50" xfId="1" applyNumberFormat="1" applyFont="1" applyFill="1" applyBorder="1" applyAlignment="1">
      <alignment vertical="center"/>
    </xf>
    <xf numFmtId="165" fontId="23" fillId="6" borderId="52" xfId="1" applyNumberFormat="1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left" vertical="center" wrapText="1"/>
    </xf>
    <xf numFmtId="0" fontId="4" fillId="10" borderId="49" xfId="0" applyFont="1" applyFill="1" applyBorder="1" applyAlignment="1">
      <alignment horizontal="right" vertical="center" wrapText="1"/>
    </xf>
    <xf numFmtId="0" fontId="4" fillId="10" borderId="50" xfId="0" applyFont="1" applyFill="1" applyBorder="1" applyAlignment="1">
      <alignment horizontal="right" vertical="center" wrapText="1"/>
    </xf>
    <xf numFmtId="1" fontId="9" fillId="10" borderId="51" xfId="0" applyNumberFormat="1" applyFont="1" applyFill="1" applyBorder="1" applyAlignment="1">
      <alignment horizontal="right" vertical="center" wrapText="1"/>
    </xf>
    <xf numFmtId="1" fontId="9" fillId="10" borderId="49" xfId="0" applyNumberFormat="1" applyFont="1" applyFill="1" applyBorder="1" applyAlignment="1">
      <alignment horizontal="right" vertical="center" wrapText="1"/>
    </xf>
    <xf numFmtId="165" fontId="9" fillId="10" borderId="52" xfId="1" applyNumberFormat="1" applyFont="1" applyFill="1" applyBorder="1" applyAlignment="1">
      <alignment vertical="center"/>
    </xf>
    <xf numFmtId="1" fontId="9" fillId="10" borderId="51" xfId="1" applyNumberFormat="1" applyFont="1" applyFill="1" applyBorder="1" applyAlignment="1">
      <alignment vertical="center"/>
    </xf>
    <xf numFmtId="0" fontId="9" fillId="10" borderId="49" xfId="1" applyNumberFormat="1" applyFont="1" applyFill="1" applyBorder="1" applyAlignment="1">
      <alignment vertical="center"/>
    </xf>
    <xf numFmtId="0" fontId="9" fillId="10" borderId="51" xfId="1" applyNumberFormat="1" applyFont="1" applyFill="1" applyBorder="1" applyAlignment="1">
      <alignment vertical="center"/>
    </xf>
    <xf numFmtId="165" fontId="9" fillId="10" borderId="50" xfId="1" applyNumberFormat="1" applyFont="1" applyFill="1" applyBorder="1" applyAlignment="1">
      <alignment vertical="center"/>
    </xf>
    <xf numFmtId="1" fontId="9" fillId="10" borderId="49" xfId="1" applyNumberFormat="1" applyFont="1" applyFill="1" applyBorder="1" applyAlignment="1">
      <alignment vertical="center"/>
    </xf>
    <xf numFmtId="165" fontId="2" fillId="3" borderId="50" xfId="1" applyNumberFormat="1" applyFont="1" applyFill="1" applyBorder="1" applyAlignment="1">
      <alignment vertical="center"/>
    </xf>
    <xf numFmtId="165" fontId="9" fillId="3" borderId="41" xfId="1" applyNumberFormat="1" applyFont="1" applyFill="1" applyBorder="1" applyAlignment="1">
      <alignment vertical="center"/>
    </xf>
    <xf numFmtId="3" fontId="9" fillId="10" borderId="53" xfId="0" applyNumberFormat="1" applyFont="1" applyFill="1" applyBorder="1" applyAlignment="1">
      <alignment horizontal="right" vertical="center"/>
    </xf>
    <xf numFmtId="3" fontId="9" fillId="10" borderId="49" xfId="0" applyNumberFormat="1" applyFont="1" applyFill="1" applyBorder="1" applyAlignment="1">
      <alignment horizontal="right" vertical="center"/>
    </xf>
    <xf numFmtId="165" fontId="9" fillId="10" borderId="49" xfId="1" applyNumberFormat="1" applyFont="1" applyFill="1" applyBorder="1" applyAlignment="1">
      <alignment horizontal="right" vertical="center"/>
    </xf>
    <xf numFmtId="0" fontId="21" fillId="11" borderId="49" xfId="0" quotePrefix="1" applyFont="1" applyFill="1" applyBorder="1" applyAlignment="1">
      <alignment horizontal="left" vertical="center" wrapText="1"/>
    </xf>
    <xf numFmtId="0" fontId="21" fillId="11" borderId="44" xfId="0" applyFont="1" applyFill="1" applyBorder="1" applyAlignment="1">
      <alignment horizontal="left" vertical="center" wrapText="1"/>
    </xf>
    <xf numFmtId="1" fontId="9" fillId="38" borderId="51" xfId="0" applyNumberFormat="1" applyFont="1" applyFill="1" applyBorder="1" applyAlignment="1">
      <alignment horizontal="right" vertical="center" wrapText="1"/>
    </xf>
    <xf numFmtId="1" fontId="9" fillId="38" borderId="49" xfId="0" applyNumberFormat="1" applyFont="1" applyFill="1" applyBorder="1" applyAlignment="1">
      <alignment horizontal="right" vertical="center" wrapText="1"/>
    </xf>
    <xf numFmtId="165" fontId="9" fillId="38" borderId="52" xfId="1" applyNumberFormat="1" applyFont="1" applyFill="1" applyBorder="1" applyAlignment="1">
      <alignment vertical="center"/>
    </xf>
    <xf numFmtId="1" fontId="9" fillId="38" borderId="51" xfId="1" applyNumberFormat="1" applyFont="1" applyFill="1" applyBorder="1" applyAlignment="1">
      <alignment vertical="center"/>
    </xf>
    <xf numFmtId="0" fontId="9" fillId="38" borderId="49" xfId="1" applyNumberFormat="1" applyFont="1" applyFill="1" applyBorder="1" applyAlignment="1">
      <alignment vertical="center"/>
    </xf>
    <xf numFmtId="0" fontId="9" fillId="38" borderId="51" xfId="1" applyNumberFormat="1" applyFont="1" applyFill="1" applyBorder="1" applyAlignment="1">
      <alignment vertical="center"/>
    </xf>
    <xf numFmtId="165" fontId="9" fillId="38" borderId="50" xfId="1" applyNumberFormat="1" applyFont="1" applyFill="1" applyBorder="1" applyAlignment="1">
      <alignment vertical="center"/>
    </xf>
    <xf numFmtId="1" fontId="9" fillId="38" borderId="49" xfId="1" applyNumberFormat="1" applyFont="1" applyFill="1" applyBorder="1" applyAlignment="1">
      <alignment vertical="center"/>
    </xf>
    <xf numFmtId="165" fontId="2" fillId="38" borderId="50" xfId="1" applyNumberFormat="1" applyFont="1" applyFill="1" applyBorder="1" applyAlignment="1">
      <alignment vertical="center"/>
    </xf>
    <xf numFmtId="1" fontId="21" fillId="11" borderId="51" xfId="0" applyNumberFormat="1" applyFont="1" applyFill="1" applyBorder="1" applyAlignment="1">
      <alignment vertical="center" wrapText="1"/>
    </xf>
    <xf numFmtId="1" fontId="21" fillId="11" borderId="49" xfId="0" applyNumberFormat="1" applyFont="1" applyFill="1" applyBorder="1" applyAlignment="1">
      <alignment vertical="center" wrapText="1"/>
    </xf>
    <xf numFmtId="165" fontId="22" fillId="11" borderId="50" xfId="1" applyNumberFormat="1" applyFont="1" applyFill="1" applyBorder="1" applyAlignment="1">
      <alignment vertical="center"/>
    </xf>
    <xf numFmtId="3" fontId="21" fillId="11" borderId="53" xfId="0" applyNumberFormat="1" applyFont="1" applyFill="1" applyBorder="1" applyAlignment="1">
      <alignment horizontal="right" vertical="center"/>
    </xf>
    <xf numFmtId="3" fontId="21" fillId="11" borderId="49" xfId="0" applyNumberFormat="1" applyFont="1" applyFill="1" applyBorder="1" applyAlignment="1">
      <alignment horizontal="right" vertical="center"/>
    </xf>
    <xf numFmtId="165" fontId="22" fillId="11" borderId="49" xfId="1" applyNumberFormat="1" applyFont="1" applyFill="1" applyBorder="1" applyAlignment="1">
      <alignment horizontal="right" vertical="center"/>
    </xf>
    <xf numFmtId="0" fontId="21" fillId="11" borderId="45" xfId="0" applyFont="1" applyFill="1" applyBorder="1" applyAlignment="1">
      <alignment horizontal="left" vertical="center" wrapText="1"/>
    </xf>
    <xf numFmtId="0" fontId="21" fillId="13" borderId="49" xfId="0" applyFont="1" applyFill="1" applyBorder="1" applyAlignment="1">
      <alignment horizontal="left" vertical="center" wrapText="1"/>
    </xf>
    <xf numFmtId="0" fontId="0" fillId="13" borderId="50" xfId="0" applyFill="1" applyBorder="1" applyAlignment="1">
      <alignment vertical="center" wrapText="1"/>
    </xf>
    <xf numFmtId="1" fontId="21" fillId="39" borderId="51" xfId="0" applyNumberFormat="1" applyFont="1" applyFill="1" applyBorder="1" applyAlignment="1">
      <alignment vertical="center" wrapText="1"/>
    </xf>
    <xf numFmtId="1" fontId="21" fillId="39" borderId="49" xfId="0" applyNumberFormat="1" applyFont="1" applyFill="1" applyBorder="1" applyAlignment="1">
      <alignment vertical="center" wrapText="1"/>
    </xf>
    <xf numFmtId="165" fontId="22" fillId="13" borderId="52" xfId="1" applyNumberFormat="1" applyFont="1" applyFill="1" applyBorder="1" applyAlignment="1">
      <alignment vertical="center"/>
    </xf>
    <xf numFmtId="165" fontId="0" fillId="10" borderId="41" xfId="1" applyNumberFormat="1" applyFont="1" applyFill="1" applyBorder="1" applyAlignment="1">
      <alignment vertical="center"/>
    </xf>
    <xf numFmtId="3" fontId="21" fillId="13" borderId="53" xfId="0" applyNumberFormat="1" applyFont="1" applyFill="1" applyBorder="1" applyAlignment="1">
      <alignment horizontal="right" vertical="center"/>
    </xf>
    <xf numFmtId="3" fontId="21" fillId="13" borderId="49" xfId="0" applyNumberFormat="1" applyFont="1" applyFill="1" applyBorder="1" applyAlignment="1">
      <alignment horizontal="right" vertical="center"/>
    </xf>
    <xf numFmtId="165" fontId="22" fillId="13" borderId="49" xfId="1" applyNumberFormat="1" applyFont="1" applyFill="1" applyBorder="1" applyAlignment="1">
      <alignment horizontal="right" vertical="center"/>
    </xf>
    <xf numFmtId="1" fontId="21" fillId="6" borderId="51" xfId="0" applyNumberFormat="1" applyFont="1" applyFill="1" applyBorder="1" applyAlignment="1">
      <alignment vertical="center" wrapText="1"/>
    </xf>
    <xf numFmtId="1" fontId="21" fillId="6" borderId="49" xfId="0" applyNumberFormat="1" applyFont="1" applyFill="1" applyBorder="1" applyAlignment="1">
      <alignment vertical="center" wrapText="1"/>
    </xf>
    <xf numFmtId="165" fontId="22" fillId="6" borderId="52" xfId="1" applyNumberFormat="1" applyFont="1" applyFill="1" applyBorder="1" applyAlignment="1">
      <alignment vertical="center"/>
    </xf>
    <xf numFmtId="165" fontId="21" fillId="6" borderId="51" xfId="1" applyNumberFormat="1" applyFont="1" applyFill="1" applyBorder="1" applyAlignment="1">
      <alignment vertical="center"/>
    </xf>
    <xf numFmtId="165" fontId="21" fillId="6" borderId="49" xfId="1" applyNumberFormat="1" applyFont="1" applyFill="1" applyBorder="1" applyAlignment="1">
      <alignment vertical="center"/>
    </xf>
    <xf numFmtId="165" fontId="21" fillId="6" borderId="52" xfId="1" applyNumberFormat="1" applyFont="1" applyFill="1" applyBorder="1" applyAlignment="1">
      <alignment vertical="center"/>
    </xf>
    <xf numFmtId="0" fontId="21" fillId="13" borderId="49" xfId="0" quotePrefix="1" applyFont="1" applyFill="1" applyBorder="1" applyAlignment="1">
      <alignment horizontal="left" vertical="center" wrapText="1"/>
    </xf>
    <xf numFmtId="0" fontId="21" fillId="13" borderId="49" xfId="1" applyNumberFormat="1" applyFont="1" applyFill="1" applyBorder="1" applyAlignment="1">
      <alignment vertical="center"/>
    </xf>
    <xf numFmtId="0" fontId="21" fillId="13" borderId="51" xfId="1" applyNumberFormat="1" applyFont="1" applyFill="1" applyBorder="1" applyAlignment="1">
      <alignment vertical="center"/>
    </xf>
    <xf numFmtId="165" fontId="22" fillId="13" borderId="50" xfId="1" applyNumberFormat="1" applyFont="1" applyFill="1" applyBorder="1" applyAlignment="1">
      <alignment vertical="center"/>
    </xf>
    <xf numFmtId="165" fontId="22" fillId="39" borderId="50" xfId="1" applyNumberFormat="1" applyFont="1" applyFill="1" applyBorder="1" applyAlignment="1">
      <alignment vertical="center"/>
    </xf>
    <xf numFmtId="165" fontId="9" fillId="10" borderId="41" xfId="1" applyNumberFormat="1" applyFont="1" applyFill="1" applyBorder="1" applyAlignment="1">
      <alignment vertical="center"/>
    </xf>
    <xf numFmtId="0" fontId="21" fillId="14" borderId="49" xfId="0" applyFont="1" applyFill="1" applyBorder="1" applyAlignment="1">
      <alignment horizontal="left" vertical="center" wrapText="1"/>
    </xf>
    <xf numFmtId="0" fontId="0" fillId="14" borderId="50" xfId="0" applyFill="1" applyBorder="1" applyAlignment="1">
      <alignment vertical="center" wrapText="1"/>
    </xf>
    <xf numFmtId="165" fontId="23" fillId="6" borderId="53" xfId="1" applyNumberFormat="1" applyFont="1" applyFill="1" applyBorder="1" applyAlignment="1">
      <alignment horizontal="center" vertical="center"/>
    </xf>
    <xf numFmtId="165" fontId="23" fillId="6" borderId="54" xfId="1" applyNumberFormat="1" applyFont="1" applyFill="1" applyBorder="1" applyAlignment="1">
      <alignment horizontal="center" vertical="center"/>
    </xf>
    <xf numFmtId="0" fontId="21" fillId="29" borderId="51" xfId="1" applyNumberFormat="1" applyFont="1" applyFill="1" applyBorder="1" applyAlignment="1">
      <alignment vertical="center"/>
    </xf>
    <xf numFmtId="0" fontId="21" fillId="29" borderId="49" xfId="1" applyNumberFormat="1" applyFont="1" applyFill="1" applyBorder="1" applyAlignment="1">
      <alignment vertical="center"/>
    </xf>
    <xf numFmtId="165" fontId="22" fillId="29" borderId="52" xfId="1" applyNumberFormat="1" applyFont="1" applyFill="1" applyBorder="1" applyAlignment="1">
      <alignment vertical="center"/>
    </xf>
    <xf numFmtId="165" fontId="22" fillId="29" borderId="50" xfId="1" applyNumberFormat="1" applyFont="1" applyFill="1" applyBorder="1" applyAlignment="1">
      <alignment vertical="center"/>
    </xf>
    <xf numFmtId="1" fontId="21" fillId="29" borderId="51" xfId="0" applyNumberFormat="1" applyFont="1" applyFill="1" applyBorder="1" applyAlignment="1">
      <alignment vertical="center" wrapText="1"/>
    </xf>
    <xf numFmtId="1" fontId="21" fillId="29" borderId="49" xfId="0" applyNumberFormat="1" applyFont="1" applyFill="1" applyBorder="1" applyAlignment="1">
      <alignment vertical="center" wrapText="1"/>
    </xf>
    <xf numFmtId="3" fontId="21" fillId="14" borderId="53" xfId="0" applyNumberFormat="1" applyFont="1" applyFill="1" applyBorder="1" applyAlignment="1">
      <alignment horizontal="right" vertical="center"/>
    </xf>
    <xf numFmtId="3" fontId="21" fillId="14" borderId="49" xfId="0" applyNumberFormat="1" applyFont="1" applyFill="1" applyBorder="1" applyAlignment="1">
      <alignment horizontal="right" vertical="center"/>
    </xf>
    <xf numFmtId="165" fontId="22" fillId="14" borderId="49" xfId="1" applyNumberFormat="1" applyFont="1" applyFill="1" applyBorder="1" applyAlignment="1">
      <alignment horizontal="right" vertical="center"/>
    </xf>
    <xf numFmtId="165" fontId="21" fillId="7" borderId="52" xfId="1" applyNumberFormat="1" applyFont="1" applyFill="1" applyBorder="1" applyAlignment="1">
      <alignment vertical="center"/>
    </xf>
    <xf numFmtId="165" fontId="21" fillId="7" borderId="51" xfId="1" applyNumberFormat="1" applyFont="1" applyFill="1" applyBorder="1" applyAlignment="1">
      <alignment vertical="center"/>
    </xf>
    <xf numFmtId="165" fontId="21" fillId="7" borderId="49" xfId="1" applyNumberFormat="1" applyFont="1" applyFill="1" applyBorder="1" applyAlignment="1">
      <alignment vertical="center"/>
    </xf>
    <xf numFmtId="165" fontId="21" fillId="7" borderId="55" xfId="1" applyNumberFormat="1" applyFont="1" applyFill="1" applyBorder="1" applyAlignment="1">
      <alignment vertical="center"/>
    </xf>
    <xf numFmtId="165" fontId="21" fillId="7" borderId="56" xfId="1" applyNumberFormat="1" applyFont="1" applyFill="1" applyBorder="1" applyAlignment="1">
      <alignment vertical="center"/>
    </xf>
    <xf numFmtId="165" fontId="21" fillId="7" borderId="54" xfId="1" applyNumberFormat="1" applyFont="1" applyFill="1" applyBorder="1" applyAlignment="1">
      <alignment vertical="center"/>
    </xf>
    <xf numFmtId="165" fontId="22" fillId="14" borderId="52" xfId="1" applyNumberFormat="1" applyFont="1" applyFill="1" applyBorder="1" applyAlignment="1">
      <alignment vertical="center"/>
    </xf>
    <xf numFmtId="165" fontId="22" fillId="14" borderId="50" xfId="1" applyNumberFormat="1" applyFont="1" applyFill="1" applyBorder="1" applyAlignment="1">
      <alignment vertical="center"/>
    </xf>
    <xf numFmtId="3" fontId="21" fillId="7" borderId="53" xfId="0" applyNumberFormat="1" applyFont="1" applyFill="1" applyBorder="1" applyAlignment="1">
      <alignment horizontal="right" vertical="center"/>
    </xf>
    <xf numFmtId="3" fontId="21" fillId="7" borderId="49" xfId="0" applyNumberFormat="1" applyFont="1" applyFill="1" applyBorder="1" applyAlignment="1">
      <alignment horizontal="right" vertical="center"/>
    </xf>
    <xf numFmtId="165" fontId="22" fillId="7" borderId="49" xfId="1" applyNumberFormat="1" applyFont="1" applyFill="1" applyBorder="1" applyAlignment="1">
      <alignment horizontal="right" vertical="center"/>
    </xf>
    <xf numFmtId="165" fontId="22" fillId="14" borderId="54" xfId="1" applyNumberFormat="1" applyFont="1" applyFill="1" applyBorder="1" applyAlignment="1">
      <alignment vertical="center"/>
    </xf>
    <xf numFmtId="165" fontId="21" fillId="7" borderId="50" xfId="1" applyNumberFormat="1" applyFont="1" applyFill="1" applyBorder="1" applyAlignment="1">
      <alignment vertical="center"/>
    </xf>
    <xf numFmtId="165" fontId="23" fillId="6" borderId="53" xfId="1" applyNumberFormat="1" applyFont="1" applyFill="1" applyBorder="1" applyAlignment="1">
      <alignment vertical="center"/>
    </xf>
    <xf numFmtId="165" fontId="23" fillId="6" borderId="54" xfId="1" applyNumberFormat="1" applyFont="1" applyFill="1" applyBorder="1" applyAlignment="1">
      <alignment vertical="center"/>
    </xf>
    <xf numFmtId="0" fontId="21" fillId="14" borderId="49" xfId="0" quotePrefix="1" applyFont="1" applyFill="1" applyBorder="1" applyAlignment="1">
      <alignment horizontal="left" vertical="center" wrapText="1"/>
    </xf>
    <xf numFmtId="0" fontId="9" fillId="10" borderId="51" xfId="0" applyFont="1" applyFill="1" applyBorder="1" applyAlignment="1">
      <alignment horizontal="right" vertical="center" wrapText="1"/>
    </xf>
    <xf numFmtId="0" fontId="9" fillId="10" borderId="49" xfId="0" applyFont="1" applyFill="1" applyBorder="1" applyAlignment="1">
      <alignment horizontal="right" vertical="center" wrapText="1"/>
    </xf>
    <xf numFmtId="0" fontId="4" fillId="10" borderId="51" xfId="0" applyFont="1" applyFill="1" applyBorder="1" applyAlignment="1">
      <alignment horizontal="right" vertical="center" wrapText="1"/>
    </xf>
    <xf numFmtId="0" fontId="21" fillId="16" borderId="49" xfId="0" applyFont="1" applyFill="1" applyBorder="1" applyAlignment="1">
      <alignment horizontal="left" vertical="center" wrapText="1"/>
    </xf>
    <xf numFmtId="0" fontId="0" fillId="16" borderId="50" xfId="0" applyFill="1" applyBorder="1" applyAlignment="1">
      <alignment vertical="center" wrapText="1"/>
    </xf>
    <xf numFmtId="1" fontId="21" fillId="40" borderId="51" xfId="0" applyNumberFormat="1" applyFont="1" applyFill="1" applyBorder="1" applyAlignment="1">
      <alignment vertical="center" wrapText="1"/>
    </xf>
    <xf numFmtId="1" fontId="21" fillId="40" borderId="49" xfId="0" applyNumberFormat="1" applyFont="1" applyFill="1" applyBorder="1" applyAlignment="1">
      <alignment vertical="center" wrapText="1"/>
    </xf>
    <xf numFmtId="165" fontId="22" fillId="16" borderId="52" xfId="1" applyNumberFormat="1" applyFont="1" applyFill="1" applyBorder="1" applyAlignment="1">
      <alignment vertical="center"/>
    </xf>
    <xf numFmtId="165" fontId="22" fillId="16" borderId="50" xfId="1" applyNumberFormat="1" applyFont="1" applyFill="1" applyBorder="1" applyAlignment="1">
      <alignment vertical="center"/>
    </xf>
    <xf numFmtId="165" fontId="22" fillId="40" borderId="50" xfId="1" applyNumberFormat="1" applyFont="1" applyFill="1" applyBorder="1" applyAlignment="1">
      <alignment vertical="center"/>
    </xf>
    <xf numFmtId="3" fontId="21" fillId="16" borderId="53" xfId="0" applyNumberFormat="1" applyFont="1" applyFill="1" applyBorder="1" applyAlignment="1">
      <alignment horizontal="right" vertical="center"/>
    </xf>
    <xf numFmtId="3" fontId="21" fillId="16" borderId="49" xfId="0" applyNumberFormat="1" applyFont="1" applyFill="1" applyBorder="1" applyAlignment="1">
      <alignment horizontal="right" vertical="center"/>
    </xf>
    <xf numFmtId="165" fontId="22" fillId="16" borderId="49" xfId="1" applyNumberFormat="1" applyFont="1" applyFill="1" applyBorder="1" applyAlignment="1">
      <alignment horizontal="right" vertical="center"/>
    </xf>
    <xf numFmtId="165" fontId="22" fillId="6" borderId="50" xfId="1" applyNumberFormat="1" applyFont="1" applyFill="1" applyBorder="1" applyAlignment="1">
      <alignment vertical="center"/>
    </xf>
    <xf numFmtId="3" fontId="21" fillId="6" borderId="53" xfId="0" applyNumberFormat="1" applyFont="1" applyFill="1" applyBorder="1" applyAlignment="1">
      <alignment horizontal="right" vertical="center"/>
    </xf>
    <xf numFmtId="3" fontId="21" fillId="6" borderId="49" xfId="0" applyNumberFormat="1" applyFont="1" applyFill="1" applyBorder="1" applyAlignment="1">
      <alignment horizontal="right" vertical="center"/>
    </xf>
    <xf numFmtId="165" fontId="22" fillId="6" borderId="49" xfId="1" applyNumberFormat="1" applyFont="1" applyFill="1" applyBorder="1" applyAlignment="1">
      <alignment horizontal="right" vertical="center"/>
    </xf>
    <xf numFmtId="0" fontId="1" fillId="16" borderId="50" xfId="0" applyFont="1" applyFill="1" applyBorder="1" applyAlignment="1">
      <alignment vertical="center" wrapText="1"/>
    </xf>
    <xf numFmtId="0" fontId="21" fillId="17" borderId="49" xfId="0" applyFont="1" applyFill="1" applyBorder="1" applyAlignment="1">
      <alignment horizontal="left" vertical="center" wrapText="1"/>
    </xf>
    <xf numFmtId="0" fontId="1" fillId="17" borderId="50" xfId="0" applyFont="1" applyFill="1" applyBorder="1" applyAlignment="1">
      <alignment horizontal="left" vertical="center" wrapText="1"/>
    </xf>
    <xf numFmtId="0" fontId="21" fillId="17" borderId="51" xfId="1" applyNumberFormat="1" applyFont="1" applyFill="1" applyBorder="1" applyAlignment="1">
      <alignment vertical="center"/>
    </xf>
    <xf numFmtId="0" fontId="21" fillId="17" borderId="49" xfId="1" applyNumberFormat="1" applyFont="1" applyFill="1" applyBorder="1" applyAlignment="1">
      <alignment vertical="center"/>
    </xf>
    <xf numFmtId="165" fontId="22" fillId="17" borderId="52" xfId="1" applyNumberFormat="1" applyFont="1" applyFill="1" applyBorder="1" applyAlignment="1">
      <alignment vertical="center"/>
    </xf>
    <xf numFmtId="3" fontId="21" fillId="17" borderId="53" xfId="0" applyNumberFormat="1" applyFont="1" applyFill="1" applyBorder="1" applyAlignment="1">
      <alignment horizontal="right" vertical="center"/>
    </xf>
    <xf numFmtId="3" fontId="21" fillId="17" borderId="49" xfId="0" applyNumberFormat="1" applyFont="1" applyFill="1" applyBorder="1" applyAlignment="1">
      <alignment horizontal="right" vertical="center"/>
    </xf>
    <xf numFmtId="165" fontId="22" fillId="17" borderId="49" xfId="1" applyNumberFormat="1" applyFont="1" applyFill="1" applyBorder="1" applyAlignment="1">
      <alignment horizontal="right" vertical="center"/>
    </xf>
    <xf numFmtId="0" fontId="21" fillId="17" borderId="49" xfId="0" quotePrefix="1" applyFont="1" applyFill="1" applyBorder="1" applyAlignment="1">
      <alignment horizontal="left" vertical="center" wrapText="1"/>
    </xf>
    <xf numFmtId="0" fontId="21" fillId="17" borderId="53" xfId="1" applyNumberFormat="1" applyFont="1" applyFill="1" applyBorder="1" applyAlignment="1">
      <alignment vertical="center"/>
    </xf>
    <xf numFmtId="165" fontId="22" fillId="17" borderId="50" xfId="1" applyNumberFormat="1" applyFont="1" applyFill="1" applyBorder="1" applyAlignment="1">
      <alignment vertical="center"/>
    </xf>
    <xf numFmtId="1" fontId="21" fillId="17" borderId="51" xfId="0" applyNumberFormat="1" applyFont="1" applyFill="1" applyBorder="1" applyAlignment="1">
      <alignment vertical="center" wrapText="1"/>
    </xf>
    <xf numFmtId="1" fontId="21" fillId="17" borderId="49" xfId="0" applyNumberFormat="1" applyFont="1" applyFill="1" applyBorder="1" applyAlignment="1">
      <alignment vertical="center" wrapText="1"/>
    </xf>
    <xf numFmtId="0" fontId="4" fillId="10" borderId="57" xfId="0" applyFont="1" applyFill="1" applyBorder="1" applyAlignment="1">
      <alignment horizontal="left" vertical="center" wrapText="1"/>
    </xf>
    <xf numFmtId="0" fontId="4" fillId="10" borderId="57" xfId="0" applyFont="1" applyFill="1" applyBorder="1" applyAlignment="1">
      <alignment horizontal="right" vertical="center" wrapText="1"/>
    </xf>
    <xf numFmtId="0" fontId="4" fillId="10" borderId="58" xfId="0" applyFont="1" applyFill="1" applyBorder="1" applyAlignment="1">
      <alignment horizontal="right" vertical="center" wrapText="1"/>
    </xf>
    <xf numFmtId="0" fontId="21" fillId="18" borderId="49" xfId="0" applyFont="1" applyFill="1" applyBorder="1" applyAlignment="1">
      <alignment vertical="center"/>
    </xf>
    <xf numFmtId="0" fontId="21" fillId="18" borderId="49" xfId="0" applyFont="1" applyFill="1" applyBorder="1" applyAlignment="1">
      <alignment horizontal="left" vertical="center" wrapText="1"/>
    </xf>
    <xf numFmtId="0" fontId="4" fillId="18" borderId="49" xfId="0" applyFont="1" applyFill="1" applyBorder="1" applyAlignment="1">
      <alignment horizontal="right" vertical="center" wrapText="1"/>
    </xf>
    <xf numFmtId="165" fontId="21" fillId="7" borderId="53" xfId="1" applyNumberFormat="1" applyFont="1" applyFill="1" applyBorder="1" applyAlignment="1">
      <alignment vertical="center"/>
    </xf>
    <xf numFmtId="1" fontId="21" fillId="18" borderId="51" xfId="0" applyNumberFormat="1" applyFont="1" applyFill="1" applyBorder="1" applyAlignment="1">
      <alignment vertical="center" wrapText="1"/>
    </xf>
    <xf numFmtId="1" fontId="21" fillId="18" borderId="49" xfId="0" applyNumberFormat="1" applyFont="1" applyFill="1" applyBorder="1" applyAlignment="1">
      <alignment vertical="center" wrapText="1"/>
    </xf>
    <xf numFmtId="165" fontId="22" fillId="18" borderId="50" xfId="1" applyNumberFormat="1" applyFont="1" applyFill="1" applyBorder="1" applyAlignment="1">
      <alignment vertical="center"/>
    </xf>
    <xf numFmtId="3" fontId="21" fillId="18" borderId="53" xfId="0" applyNumberFormat="1" applyFont="1" applyFill="1" applyBorder="1" applyAlignment="1">
      <alignment horizontal="right" vertical="center"/>
    </xf>
    <xf numFmtId="3" fontId="21" fillId="18" borderId="49" xfId="0" applyNumberFormat="1" applyFont="1" applyFill="1" applyBorder="1" applyAlignment="1">
      <alignment horizontal="right" vertical="center"/>
    </xf>
    <xf numFmtId="165" fontId="22" fillId="18" borderId="49" xfId="1" applyNumberFormat="1" applyFont="1" applyFill="1" applyBorder="1" applyAlignment="1">
      <alignment horizontal="right" vertical="center"/>
    </xf>
    <xf numFmtId="0" fontId="4" fillId="10" borderId="59" xfId="0" applyFont="1" applyFill="1" applyBorder="1" applyAlignment="1">
      <alignment horizontal="left" vertical="center" wrapText="1"/>
    </xf>
    <xf numFmtId="0" fontId="4" fillId="10" borderId="11" xfId="0" applyFont="1" applyFill="1" applyBorder="1" applyAlignment="1">
      <alignment horizontal="right" vertical="center" wrapText="1"/>
    </xf>
    <xf numFmtId="0" fontId="4" fillId="10" borderId="60" xfId="0" applyFont="1" applyFill="1" applyBorder="1" applyAlignment="1">
      <alignment horizontal="right" vertical="center" wrapText="1"/>
    </xf>
    <xf numFmtId="0" fontId="21" fillId="20" borderId="49" xfId="0" applyFont="1" applyFill="1" applyBorder="1" applyAlignment="1">
      <alignment vertical="center"/>
    </xf>
    <xf numFmtId="0" fontId="21" fillId="20" borderId="49" xfId="0" applyFont="1" applyFill="1" applyBorder="1" applyAlignment="1">
      <alignment horizontal="left" vertical="center" wrapText="1"/>
    </xf>
    <xf numFmtId="0" fontId="4" fillId="20" borderId="49" xfId="0" applyFont="1" applyFill="1" applyBorder="1" applyAlignment="1">
      <alignment horizontal="right" vertical="center" wrapText="1"/>
    </xf>
    <xf numFmtId="1" fontId="21" fillId="20" borderId="51" xfId="1" applyNumberFormat="1" applyFont="1" applyFill="1" applyBorder="1" applyAlignment="1">
      <alignment vertical="center"/>
    </xf>
    <xf numFmtId="1" fontId="21" fillId="20" borderId="49" xfId="1" applyNumberFormat="1" applyFont="1" applyFill="1" applyBorder="1" applyAlignment="1">
      <alignment vertical="center"/>
    </xf>
    <xf numFmtId="165" fontId="22" fillId="20" borderId="50" xfId="1" applyNumberFormat="1" applyFont="1" applyFill="1" applyBorder="1" applyAlignment="1">
      <alignment vertical="center"/>
    </xf>
    <xf numFmtId="3" fontId="21" fillId="20" borderId="53" xfId="0" applyNumberFormat="1" applyFont="1" applyFill="1" applyBorder="1" applyAlignment="1">
      <alignment horizontal="right" vertical="center"/>
    </xf>
    <xf numFmtId="3" fontId="21" fillId="20" borderId="49" xfId="0" applyNumberFormat="1" applyFont="1" applyFill="1" applyBorder="1" applyAlignment="1">
      <alignment horizontal="right" vertical="center"/>
    </xf>
    <xf numFmtId="165" fontId="22" fillId="20" borderId="49" xfId="1" applyNumberFormat="1" applyFont="1" applyFill="1" applyBorder="1" applyAlignment="1">
      <alignment horizontal="right" vertical="center"/>
    </xf>
    <xf numFmtId="0" fontId="4" fillId="10" borderId="44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right" wrapText="1"/>
    </xf>
    <xf numFmtId="0" fontId="4" fillId="10" borderId="45" xfId="0" applyFont="1" applyFill="1" applyBorder="1" applyAlignment="1">
      <alignment horizontal="right" vertical="center" wrapText="1"/>
    </xf>
    <xf numFmtId="0" fontId="21" fillId="4" borderId="49" xfId="0" applyFont="1" applyFill="1" applyBorder="1" applyAlignment="1">
      <alignment vertical="center"/>
    </xf>
    <xf numFmtId="0" fontId="21" fillId="4" borderId="49" xfId="0" applyFont="1" applyFill="1" applyBorder="1" applyAlignment="1">
      <alignment horizontal="left" vertical="center" wrapText="1"/>
    </xf>
    <xf numFmtId="0" fontId="4" fillId="4" borderId="45" xfId="0" applyFont="1" applyFill="1" applyBorder="1" applyAlignment="1">
      <alignment horizontal="right" vertical="center" wrapText="1"/>
    </xf>
    <xf numFmtId="1" fontId="21" fillId="4" borderId="51" xfId="1" applyNumberFormat="1" applyFont="1" applyFill="1" applyBorder="1" applyAlignment="1">
      <alignment vertical="center"/>
    </xf>
    <xf numFmtId="1" fontId="21" fillId="4" borderId="49" xfId="1" applyNumberFormat="1" applyFont="1" applyFill="1" applyBorder="1" applyAlignment="1">
      <alignment vertical="center"/>
    </xf>
    <xf numFmtId="165" fontId="22" fillId="4" borderId="50" xfId="1" applyNumberFormat="1" applyFont="1" applyFill="1" applyBorder="1" applyAlignment="1">
      <alignment vertical="center"/>
    </xf>
    <xf numFmtId="3" fontId="21" fillId="4" borderId="53" xfId="0" applyNumberFormat="1" applyFont="1" applyFill="1" applyBorder="1" applyAlignment="1">
      <alignment horizontal="right" vertical="center"/>
    </xf>
    <xf numFmtId="3" fontId="21" fillId="4" borderId="49" xfId="0" applyNumberFormat="1" applyFont="1" applyFill="1" applyBorder="1" applyAlignment="1">
      <alignment horizontal="right" vertical="center"/>
    </xf>
    <xf numFmtId="165" fontId="22" fillId="4" borderId="49" xfId="1" applyNumberFormat="1" applyFont="1" applyFill="1" applyBorder="1" applyAlignment="1">
      <alignment horizontal="right" vertical="center"/>
    </xf>
    <xf numFmtId="0" fontId="21" fillId="21" borderId="49" xfId="0" applyFont="1" applyFill="1" applyBorder="1" applyAlignment="1">
      <alignment horizontal="left" vertical="center" wrapText="1"/>
    </xf>
    <xf numFmtId="0" fontId="0" fillId="21" borderId="50" xfId="0" applyFill="1" applyBorder="1" applyAlignment="1">
      <alignment vertical="center" wrapText="1"/>
    </xf>
    <xf numFmtId="3" fontId="21" fillId="21" borderId="53" xfId="0" applyNumberFormat="1" applyFont="1" applyFill="1" applyBorder="1" applyAlignment="1">
      <alignment horizontal="right" vertical="center"/>
    </xf>
    <xf numFmtId="3" fontId="21" fillId="21" borderId="49" xfId="0" applyNumberFormat="1" applyFont="1" applyFill="1" applyBorder="1" applyAlignment="1">
      <alignment horizontal="right" vertical="center"/>
    </xf>
    <xf numFmtId="165" fontId="22" fillId="21" borderId="49" xfId="1" applyNumberFormat="1" applyFont="1" applyFill="1" applyBorder="1" applyAlignment="1">
      <alignment horizontal="right" vertical="center"/>
    </xf>
    <xf numFmtId="3" fontId="9" fillId="10" borderId="51" xfId="1" applyNumberFormat="1" applyFont="1" applyFill="1" applyBorder="1" applyAlignment="1">
      <alignment vertical="center"/>
    </xf>
    <xf numFmtId="3" fontId="9" fillId="10" borderId="49" xfId="1" applyNumberFormat="1" applyFont="1" applyFill="1" applyBorder="1" applyAlignment="1">
      <alignment vertical="center"/>
    </xf>
    <xf numFmtId="0" fontId="21" fillId="22" borderId="49" xfId="0" applyFont="1" applyFill="1" applyBorder="1" applyAlignment="1">
      <alignment horizontal="left" vertical="center"/>
    </xf>
    <xf numFmtId="0" fontId="21" fillId="22" borderId="49" xfId="0" applyFont="1" applyFill="1" applyBorder="1" applyAlignment="1">
      <alignment vertical="center" wrapText="1"/>
    </xf>
    <xf numFmtId="0" fontId="0" fillId="22" borderId="50" xfId="0" applyFill="1" applyBorder="1" applyAlignment="1">
      <alignment vertical="center" wrapText="1"/>
    </xf>
    <xf numFmtId="0" fontId="0" fillId="10" borderId="41" xfId="0" applyFill="1" applyBorder="1" applyAlignment="1">
      <alignment vertical="center"/>
    </xf>
    <xf numFmtId="3" fontId="21" fillId="22" borderId="53" xfId="0" applyNumberFormat="1" applyFont="1" applyFill="1" applyBorder="1" applyAlignment="1">
      <alignment horizontal="right" vertical="center"/>
    </xf>
    <xf numFmtId="3" fontId="21" fillId="22" borderId="49" xfId="0" applyNumberFormat="1" applyFont="1" applyFill="1" applyBorder="1" applyAlignment="1">
      <alignment horizontal="right" vertical="center"/>
    </xf>
    <xf numFmtId="165" fontId="22" fillId="22" borderId="49" xfId="1" applyNumberFormat="1" applyFont="1" applyFill="1" applyBorder="1" applyAlignment="1">
      <alignment horizontal="right" vertical="center"/>
    </xf>
    <xf numFmtId="1" fontId="21" fillId="32" borderId="51" xfId="0" applyNumberFormat="1" applyFont="1" applyFill="1" applyBorder="1" applyAlignment="1">
      <alignment vertical="center" wrapText="1"/>
    </xf>
    <xf numFmtId="1" fontId="21" fillId="32" borderId="49" xfId="0" applyNumberFormat="1" applyFont="1" applyFill="1" applyBorder="1" applyAlignment="1">
      <alignment vertical="center" wrapText="1"/>
    </xf>
    <xf numFmtId="165" fontId="22" fillId="22" borderId="52" xfId="1" applyNumberFormat="1" applyFont="1" applyFill="1" applyBorder="1" applyAlignment="1">
      <alignment vertical="center"/>
    </xf>
    <xf numFmtId="165" fontId="21" fillId="22" borderId="52" xfId="1" applyNumberFormat="1" applyFont="1" applyFill="1" applyBorder="1" applyAlignment="1">
      <alignment vertical="center"/>
    </xf>
    <xf numFmtId="165" fontId="22" fillId="32" borderId="52" xfId="1" applyNumberFormat="1" applyFont="1" applyFill="1" applyBorder="1" applyAlignment="1">
      <alignment vertical="center"/>
    </xf>
    <xf numFmtId="165" fontId="22" fillId="32" borderId="50" xfId="1" applyNumberFormat="1" applyFont="1" applyFill="1" applyBorder="1" applyAlignment="1">
      <alignment vertical="center"/>
    </xf>
    <xf numFmtId="0" fontId="12" fillId="10" borderId="49" xfId="0" applyFont="1" applyFill="1" applyBorder="1" applyAlignment="1">
      <alignment horizontal="right" vertical="center" wrapText="1"/>
    </xf>
    <xf numFmtId="0" fontId="12" fillId="10" borderId="50" xfId="0" applyFont="1" applyFill="1" applyBorder="1" applyAlignment="1">
      <alignment horizontal="right" vertical="center" wrapText="1"/>
    </xf>
    <xf numFmtId="0" fontId="2" fillId="10" borderId="51" xfId="0" applyFont="1" applyFill="1" applyBorder="1" applyAlignment="1">
      <alignment horizontal="right" vertical="center" wrapText="1"/>
    </xf>
    <xf numFmtId="0" fontId="2" fillId="10" borderId="49" xfId="0" applyFont="1" applyFill="1" applyBorder="1" applyAlignment="1">
      <alignment horizontal="right" vertical="center" wrapText="1"/>
    </xf>
    <xf numFmtId="0" fontId="24" fillId="25" borderId="49" xfId="2" applyFont="1" applyFill="1" applyBorder="1" applyAlignment="1">
      <alignment vertical="center"/>
    </xf>
    <xf numFmtId="0" fontId="21" fillId="25" borderId="49" xfId="0" applyFont="1" applyFill="1" applyBorder="1" applyAlignment="1">
      <alignment vertical="center" wrapText="1"/>
    </xf>
    <xf numFmtId="0" fontId="1" fillId="25" borderId="50" xfId="0" applyFont="1" applyFill="1" applyBorder="1" applyAlignment="1">
      <alignment vertical="center"/>
    </xf>
    <xf numFmtId="1" fontId="21" fillId="25" borderId="51" xfId="0" applyNumberFormat="1" applyFont="1" applyFill="1" applyBorder="1" applyAlignment="1">
      <alignment vertical="center" wrapText="1"/>
    </xf>
    <xf numFmtId="1" fontId="21" fillId="25" borderId="49" xfId="0" applyNumberFormat="1" applyFont="1" applyFill="1" applyBorder="1" applyAlignment="1">
      <alignment vertical="center" wrapText="1"/>
    </xf>
    <xf numFmtId="165" fontId="22" fillId="25" borderId="52" xfId="1" applyNumberFormat="1" applyFont="1" applyFill="1" applyBorder="1" applyAlignment="1">
      <alignment vertical="center"/>
    </xf>
    <xf numFmtId="165" fontId="21" fillId="25" borderId="52" xfId="1" applyNumberFormat="1" applyFont="1" applyFill="1" applyBorder="1" applyAlignment="1">
      <alignment vertical="center"/>
    </xf>
    <xf numFmtId="165" fontId="22" fillId="25" borderId="50" xfId="1" applyNumberFormat="1" applyFont="1" applyFill="1" applyBorder="1" applyAlignment="1">
      <alignment vertical="center"/>
    </xf>
    <xf numFmtId="3" fontId="21" fillId="25" borderId="53" xfId="0" applyNumberFormat="1" applyFont="1" applyFill="1" applyBorder="1" applyAlignment="1">
      <alignment horizontal="right" vertical="center"/>
    </xf>
    <xf numFmtId="3" fontId="21" fillId="25" borderId="49" xfId="0" applyNumberFormat="1" applyFont="1" applyFill="1" applyBorder="1" applyAlignment="1">
      <alignment horizontal="right" vertical="center"/>
    </xf>
    <xf numFmtId="165" fontId="22" fillId="25" borderId="49" xfId="1" applyNumberFormat="1" applyFont="1" applyFill="1" applyBorder="1" applyAlignment="1">
      <alignment horizontal="right" vertical="center"/>
    </xf>
    <xf numFmtId="0" fontId="1" fillId="25" borderId="50" xfId="0" applyFont="1" applyFill="1" applyBorder="1" applyAlignment="1">
      <alignment vertical="center" wrapText="1"/>
    </xf>
    <xf numFmtId="1" fontId="2" fillId="10" borderId="51" xfId="0" applyNumberFormat="1" applyFont="1" applyFill="1" applyBorder="1" applyAlignment="1">
      <alignment horizontal="right" vertical="center" wrapText="1"/>
    </xf>
    <xf numFmtId="1" fontId="2" fillId="10" borderId="49" xfId="0" applyNumberFormat="1" applyFont="1" applyFill="1" applyBorder="1" applyAlignment="1">
      <alignment horizontal="right" vertical="center" wrapText="1"/>
    </xf>
    <xf numFmtId="165" fontId="2" fillId="3" borderId="52" xfId="1" applyNumberFormat="1" applyFont="1" applyFill="1" applyBorder="1" applyAlignment="1">
      <alignment vertical="center"/>
    </xf>
    <xf numFmtId="0" fontId="2" fillId="3" borderId="51" xfId="1" applyNumberFormat="1" applyFont="1" applyFill="1" applyBorder="1" applyAlignment="1">
      <alignment vertical="center"/>
    </xf>
    <xf numFmtId="0" fontId="2" fillId="3" borderId="49" xfId="1" applyNumberFormat="1" applyFont="1" applyFill="1" applyBorder="1" applyAlignment="1">
      <alignment vertical="center"/>
    </xf>
    <xf numFmtId="0" fontId="2" fillId="3" borderId="53" xfId="1" applyNumberFormat="1" applyFont="1" applyFill="1" applyBorder="1" applyAlignment="1">
      <alignment vertical="center"/>
    </xf>
    <xf numFmtId="3" fontId="2" fillId="3" borderId="53" xfId="1" applyNumberFormat="1" applyFont="1" applyFill="1" applyBorder="1" applyAlignment="1">
      <alignment vertical="center"/>
    </xf>
    <xf numFmtId="3" fontId="2" fillId="3" borderId="51" xfId="1" applyNumberFormat="1" applyFont="1" applyFill="1" applyBorder="1" applyAlignment="1">
      <alignment vertical="center"/>
    </xf>
    <xf numFmtId="3" fontId="2" fillId="3" borderId="49" xfId="1" applyNumberFormat="1" applyFont="1" applyFill="1" applyBorder="1" applyAlignment="1">
      <alignment vertical="center"/>
    </xf>
    <xf numFmtId="1" fontId="9" fillId="10" borderId="49" xfId="0" applyNumberFormat="1" applyFont="1" applyFill="1" applyBorder="1" applyAlignment="1">
      <alignment horizontal="right" vertical="center"/>
    </xf>
    <xf numFmtId="0" fontId="24" fillId="26" borderId="49" xfId="2" applyFont="1" applyFill="1" applyBorder="1" applyAlignment="1">
      <alignment vertical="center"/>
    </xf>
    <xf numFmtId="0" fontId="21" fillId="26" borderId="49" xfId="0" applyFont="1" applyFill="1" applyBorder="1" applyAlignment="1">
      <alignment vertical="center" wrapText="1"/>
    </xf>
    <xf numFmtId="1" fontId="21" fillId="26" borderId="51" xfId="0" applyNumberFormat="1" applyFont="1" applyFill="1" applyBorder="1" applyAlignment="1">
      <alignment vertical="center" wrapText="1"/>
    </xf>
    <xf numFmtId="1" fontId="21" fillId="26" borderId="49" xfId="0" applyNumberFormat="1" applyFont="1" applyFill="1" applyBorder="1" applyAlignment="1">
      <alignment vertical="center" wrapText="1"/>
    </xf>
    <xf numFmtId="165" fontId="22" fillId="26" borderId="52" xfId="1" applyNumberFormat="1" applyFont="1" applyFill="1" applyBorder="1" applyAlignment="1">
      <alignment vertical="center"/>
    </xf>
    <xf numFmtId="165" fontId="21" fillId="26" borderId="52" xfId="1" applyNumberFormat="1" applyFont="1" applyFill="1" applyBorder="1" applyAlignment="1">
      <alignment vertical="center"/>
    </xf>
    <xf numFmtId="3" fontId="21" fillId="26" borderId="53" xfId="0" applyNumberFormat="1" applyFont="1" applyFill="1" applyBorder="1" applyAlignment="1">
      <alignment horizontal="right" vertical="center"/>
    </xf>
    <xf numFmtId="3" fontId="21" fillId="26" borderId="49" xfId="0" applyNumberFormat="1" applyFont="1" applyFill="1" applyBorder="1" applyAlignment="1">
      <alignment horizontal="right" vertical="center"/>
    </xf>
    <xf numFmtId="165" fontId="22" fillId="26" borderId="49" xfId="1" applyNumberFormat="1" applyFont="1" applyFill="1" applyBorder="1" applyAlignment="1">
      <alignment horizontal="right" vertical="center"/>
    </xf>
    <xf numFmtId="0" fontId="2" fillId="10" borderId="50" xfId="0" applyFont="1" applyFill="1" applyBorder="1" applyAlignment="1">
      <alignment horizontal="right" vertical="center" wrapText="1"/>
    </xf>
    <xf numFmtId="0" fontId="2" fillId="41" borderId="49" xfId="0" applyFont="1" applyFill="1" applyBorder="1" applyAlignment="1">
      <alignment horizontal="left" vertical="center" wrapText="1"/>
    </xf>
    <xf numFmtId="0" fontId="2" fillId="41" borderId="49" xfId="0" applyFont="1" applyFill="1" applyBorder="1" applyAlignment="1">
      <alignment horizontal="right" vertical="center" wrapText="1"/>
    </xf>
    <xf numFmtId="0" fontId="2" fillId="41" borderId="50" xfId="0" applyFont="1" applyFill="1" applyBorder="1" applyAlignment="1">
      <alignment horizontal="right" vertical="center" wrapText="1"/>
    </xf>
    <xf numFmtId="1" fontId="2" fillId="41" borderId="51" xfId="0" applyNumberFormat="1" applyFont="1" applyFill="1" applyBorder="1" applyAlignment="1">
      <alignment horizontal="right" vertical="center" wrapText="1"/>
    </xf>
    <xf numFmtId="1" fontId="2" fillId="41" borderId="49" xfId="0" applyNumberFormat="1" applyFont="1" applyFill="1" applyBorder="1" applyAlignment="1">
      <alignment horizontal="right" vertical="center" wrapText="1"/>
    </xf>
    <xf numFmtId="165" fontId="2" fillId="41" borderId="52" xfId="1" applyNumberFormat="1" applyFont="1" applyFill="1" applyBorder="1" applyAlignment="1">
      <alignment vertical="center"/>
    </xf>
    <xf numFmtId="165" fontId="2" fillId="41" borderId="50" xfId="1" applyNumberFormat="1" applyFont="1" applyFill="1" applyBorder="1" applyAlignment="1">
      <alignment vertical="center"/>
    </xf>
    <xf numFmtId="165" fontId="5" fillId="10" borderId="41" xfId="1" applyNumberFormat="1" applyFont="1" applyFill="1" applyBorder="1" applyAlignment="1">
      <alignment vertical="center"/>
    </xf>
    <xf numFmtId="1" fontId="2" fillId="41" borderId="53" xfId="0" applyNumberFormat="1" applyFont="1" applyFill="1" applyBorder="1" applyAlignment="1">
      <alignment horizontal="right" vertical="center" wrapText="1"/>
    </xf>
    <xf numFmtId="165" fontId="2" fillId="41" borderId="49" xfId="1" applyNumberFormat="1" applyFont="1" applyFill="1" applyBorder="1" applyAlignment="1">
      <alignment horizontal="right" vertical="center"/>
    </xf>
    <xf numFmtId="0" fontId="2" fillId="42" borderId="49" xfId="0" applyFont="1" applyFill="1" applyBorder="1" applyAlignment="1">
      <alignment horizontal="left" vertical="center" wrapText="1"/>
    </xf>
    <xf numFmtId="0" fontId="2" fillId="42" borderId="49" xfId="0" applyFont="1" applyFill="1" applyBorder="1" applyAlignment="1">
      <alignment horizontal="right" vertical="center" wrapText="1"/>
    </xf>
    <xf numFmtId="0" fontId="2" fillId="42" borderId="50" xfId="0" applyFont="1" applyFill="1" applyBorder="1" applyAlignment="1">
      <alignment horizontal="right" vertical="center" wrapText="1"/>
    </xf>
    <xf numFmtId="1" fontId="2" fillId="42" borderId="51" xfId="0" applyNumberFormat="1" applyFont="1" applyFill="1" applyBorder="1" applyAlignment="1">
      <alignment horizontal="right" vertical="center" wrapText="1"/>
    </xf>
    <xf numFmtId="1" fontId="2" fillId="42" borderId="49" xfId="0" applyNumberFormat="1" applyFont="1" applyFill="1" applyBorder="1" applyAlignment="1">
      <alignment horizontal="right" vertical="center" wrapText="1"/>
    </xf>
    <xf numFmtId="165" fontId="2" fillId="42" borderId="52" xfId="1" applyNumberFormat="1" applyFont="1" applyFill="1" applyBorder="1" applyAlignment="1">
      <alignment vertical="center"/>
    </xf>
    <xf numFmtId="1" fontId="2" fillId="42" borderId="53" xfId="0" applyNumberFormat="1" applyFont="1" applyFill="1" applyBorder="1" applyAlignment="1">
      <alignment horizontal="right" vertical="center"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9" fillId="10" borderId="31" xfId="0" applyNumberFormat="1" applyFont="1" applyFill="1" applyBorder="1" applyAlignment="1">
      <alignment horizontal="center" vertical="center"/>
    </xf>
    <xf numFmtId="17" fontId="9" fillId="10" borderId="28" xfId="0" applyNumberFormat="1" applyFont="1" applyFill="1" applyBorder="1" applyAlignment="1">
      <alignment horizontal="center" vertical="center"/>
    </xf>
    <xf numFmtId="17" fontId="9" fillId="10" borderId="23" xfId="0" applyNumberFormat="1" applyFont="1" applyFill="1" applyBorder="1" applyAlignment="1">
      <alignment horizontal="center" vertical="center"/>
    </xf>
    <xf numFmtId="17" fontId="9" fillId="10" borderId="24" xfId="0" applyNumberFormat="1" applyFont="1" applyFill="1" applyBorder="1" applyAlignment="1">
      <alignment horizontal="center" vertical="center"/>
    </xf>
    <xf numFmtId="17" fontId="9" fillId="10" borderId="25" xfId="0" applyNumberFormat="1" applyFont="1" applyFill="1" applyBorder="1" applyAlignment="1">
      <alignment horizontal="center" vertical="center"/>
    </xf>
    <xf numFmtId="17" fontId="9" fillId="10" borderId="26" xfId="0" applyNumberFormat="1" applyFont="1" applyFill="1" applyBorder="1" applyAlignment="1">
      <alignment horizontal="center" vertical="center"/>
    </xf>
    <xf numFmtId="17" fontId="9" fillId="10" borderId="27" xfId="0" applyNumberFormat="1" applyFont="1" applyFill="1" applyBorder="1" applyAlignment="1">
      <alignment horizontal="center" vertical="center"/>
    </xf>
    <xf numFmtId="17" fontId="9" fillId="10" borderId="21" xfId="0" applyNumberFormat="1" applyFont="1" applyFill="1" applyBorder="1" applyAlignment="1">
      <alignment horizontal="center" vertical="center"/>
    </xf>
    <xf numFmtId="17" fontId="9" fillId="10" borderId="29" xfId="0" applyNumberFormat="1" applyFont="1" applyFill="1" applyBorder="1" applyAlignment="1">
      <alignment horizontal="center" vertical="center"/>
    </xf>
    <xf numFmtId="17" fontId="9" fillId="10" borderId="3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FC27C69D-9F33-4B68-89B7-960A45294CCB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AML/Transactional%20Rules/Money%20Laundering/Rule%20performance%20graphing%20too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 - Run Detail"/>
      <sheetName val="Oct - Run Detail"/>
      <sheetName val="Dec - Run Detail"/>
      <sheetName val="Jan15 - Run Detail"/>
      <sheetName val="Apr15 - Run Detail"/>
      <sheetName val="May15 - Run Detail"/>
      <sheetName val="Jun15 - Run Detail"/>
      <sheetName val="Jul15 - Run Detail"/>
      <sheetName val="Alerts Produced -Jun15"/>
      <sheetName val="raw data"/>
      <sheetName val="12MonthData"/>
      <sheetName val="Admin"/>
      <sheetName val="Rule 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1">
          <cell r="A1">
            <v>41640</v>
          </cell>
        </row>
        <row r="2">
          <cell r="A2">
            <v>41671</v>
          </cell>
        </row>
        <row r="3">
          <cell r="A3">
            <v>41699</v>
          </cell>
        </row>
        <row r="4">
          <cell r="A4">
            <v>41730</v>
          </cell>
        </row>
        <row r="5">
          <cell r="A5">
            <v>41760</v>
          </cell>
        </row>
        <row r="6">
          <cell r="A6">
            <v>41791</v>
          </cell>
        </row>
        <row r="7">
          <cell r="A7">
            <v>41821</v>
          </cell>
        </row>
        <row r="8">
          <cell r="A8">
            <v>41852</v>
          </cell>
        </row>
        <row r="9">
          <cell r="A9">
            <v>41883</v>
          </cell>
        </row>
        <row r="10">
          <cell r="A10">
            <v>41913</v>
          </cell>
        </row>
        <row r="11">
          <cell r="A11">
            <v>41944</v>
          </cell>
        </row>
        <row r="12">
          <cell r="A12">
            <v>41974</v>
          </cell>
        </row>
        <row r="13">
          <cell r="A13">
            <v>42005</v>
          </cell>
        </row>
        <row r="14">
          <cell r="A14">
            <v>42036</v>
          </cell>
        </row>
        <row r="15">
          <cell r="A15">
            <v>42064</v>
          </cell>
        </row>
        <row r="16">
          <cell r="A16">
            <v>42095</v>
          </cell>
        </row>
        <row r="17">
          <cell r="A17">
            <v>42125</v>
          </cell>
        </row>
        <row r="18">
          <cell r="A18">
            <v>42156</v>
          </cell>
        </row>
        <row r="19">
          <cell r="A19">
            <v>42186</v>
          </cell>
        </row>
        <row r="20">
          <cell r="A20">
            <v>42217</v>
          </cell>
        </row>
        <row r="21">
          <cell r="A21">
            <v>42248</v>
          </cell>
        </row>
        <row r="22">
          <cell r="A22">
            <v>42278</v>
          </cell>
        </row>
        <row r="23">
          <cell r="A23">
            <v>42309</v>
          </cell>
        </row>
        <row r="24">
          <cell r="A24">
            <v>42339</v>
          </cell>
        </row>
        <row r="25">
          <cell r="A25">
            <v>42370</v>
          </cell>
        </row>
        <row r="26">
          <cell r="A26">
            <v>42401</v>
          </cell>
        </row>
        <row r="27">
          <cell r="A27">
            <v>42430</v>
          </cell>
        </row>
        <row r="28">
          <cell r="A28">
            <v>42461</v>
          </cell>
        </row>
        <row r="29">
          <cell r="A29">
            <v>42491</v>
          </cell>
        </row>
        <row r="30">
          <cell r="A30">
            <v>42522</v>
          </cell>
        </row>
        <row r="31">
          <cell r="A31">
            <v>42552</v>
          </cell>
        </row>
        <row r="32">
          <cell r="A32">
            <v>42583</v>
          </cell>
        </row>
        <row r="33">
          <cell r="A33">
            <v>42614</v>
          </cell>
        </row>
        <row r="34">
          <cell r="A34">
            <v>42644</v>
          </cell>
        </row>
        <row r="35">
          <cell r="A35">
            <v>42675</v>
          </cell>
        </row>
        <row r="36">
          <cell r="A36">
            <v>42705</v>
          </cell>
        </row>
        <row r="37">
          <cell r="A37">
            <v>42736</v>
          </cell>
        </row>
        <row r="38">
          <cell r="A38">
            <v>42767</v>
          </cell>
        </row>
        <row r="39">
          <cell r="A39">
            <v>42795</v>
          </cell>
        </row>
        <row r="40">
          <cell r="A40">
            <v>42826</v>
          </cell>
        </row>
        <row r="41">
          <cell r="A41">
            <v>42856</v>
          </cell>
        </row>
        <row r="42">
          <cell r="A42">
            <v>42887</v>
          </cell>
        </row>
        <row r="43">
          <cell r="A43">
            <v>42917</v>
          </cell>
        </row>
        <row r="44">
          <cell r="A44">
            <v>42948</v>
          </cell>
        </row>
        <row r="45">
          <cell r="A45">
            <v>42979</v>
          </cell>
        </row>
        <row r="46">
          <cell r="A46">
            <v>43009</v>
          </cell>
        </row>
        <row r="47">
          <cell r="A47">
            <v>43040</v>
          </cell>
        </row>
        <row r="48">
          <cell r="A48" t="str">
            <v>Go to Hidden admin tab to add more dates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E171-F324-408B-B84C-3347789E4374}">
  <sheetPr>
    <tabColor theme="3" tint="0.59999389629810485"/>
    <pageSetUpPr fitToPage="1"/>
  </sheetPr>
  <dimension ref="A1:JE163"/>
  <sheetViews>
    <sheetView tabSelected="1" zoomScale="80" zoomScaleNormal="80" workbookViewId="0">
      <pane xSplit="3" ySplit="2" topLeftCell="IP3" activePane="bottomRight" state="frozen"/>
      <selection activeCell="JI1" sqref="JI1"/>
      <selection pane="topRight" activeCell="JI1" sqref="JI1"/>
      <selection pane="bottomLeft" activeCell="JI1" sqref="JI1"/>
      <selection pane="bottomRight" activeCell="JF1" sqref="JF1"/>
    </sheetView>
  </sheetViews>
  <sheetFormatPr baseColWidth="10" defaultColWidth="8.83203125" defaultRowHeight="13" outlineLevelCol="1" x14ac:dyDescent="0.15"/>
  <cols>
    <col min="1" max="1" width="14.83203125" bestFit="1" customWidth="1"/>
    <col min="2" max="2" width="35" customWidth="1"/>
    <col min="3" max="3" width="32.33203125" hidden="1" customWidth="1"/>
    <col min="4" max="4" width="8.5" hidden="1" customWidth="1"/>
    <col min="5" max="5" width="5.83203125" hidden="1" customWidth="1"/>
    <col min="6" max="6" width="8.5" hidden="1" customWidth="1"/>
    <col min="7" max="7" width="5.83203125" hidden="1" customWidth="1"/>
    <col min="8" max="8" width="8.5" hidden="1" customWidth="1"/>
    <col min="9" max="9" width="5.83203125" hidden="1" customWidth="1"/>
    <col min="10" max="10" width="8.5" hidden="1" customWidth="1"/>
    <col min="11" max="11" width="5.83203125" hidden="1" customWidth="1"/>
    <col min="12" max="12" width="8.5" hidden="1" customWidth="1"/>
    <col min="13" max="13" width="5.83203125" hidden="1" customWidth="1"/>
    <col min="14" max="14" width="8.5" hidden="1" customWidth="1"/>
    <col min="15" max="15" width="5.83203125" hidden="1" customWidth="1"/>
    <col min="16" max="16" width="8.5" hidden="1" customWidth="1"/>
    <col min="17" max="17" width="5.83203125" hidden="1" customWidth="1"/>
    <col min="18" max="18" width="8.5" hidden="1" customWidth="1"/>
    <col min="19" max="19" width="5.83203125" hidden="1" customWidth="1"/>
    <col min="20" max="20" width="8.5" hidden="1" customWidth="1"/>
    <col min="21" max="21" width="5.83203125" hidden="1" customWidth="1"/>
    <col min="22" max="22" width="8.5" hidden="1" customWidth="1"/>
    <col min="23" max="23" width="5.83203125" hidden="1" customWidth="1"/>
    <col min="24" max="24" width="8.5" hidden="1" customWidth="1"/>
    <col min="25" max="25" width="5.83203125" hidden="1" customWidth="1"/>
    <col min="26" max="26" width="8.5" hidden="1" customWidth="1"/>
    <col min="27" max="27" width="5.83203125" hidden="1" customWidth="1"/>
    <col min="28" max="28" width="8.5" hidden="1" customWidth="1"/>
    <col min="29" max="29" width="5.83203125" hidden="1" customWidth="1"/>
    <col min="30" max="30" width="8.5" hidden="1" customWidth="1"/>
    <col min="31" max="31" width="5.83203125" hidden="1" customWidth="1"/>
    <col min="32" max="32" width="8.5" hidden="1" customWidth="1"/>
    <col min="33" max="33" width="5.83203125" hidden="1" customWidth="1"/>
    <col min="34" max="34" width="8.5" hidden="1" customWidth="1"/>
    <col min="35" max="35" width="6.33203125" hidden="1" customWidth="1"/>
    <col min="36" max="36" width="8.5" hidden="1" customWidth="1"/>
    <col min="37" max="37" width="5.83203125" hidden="1" customWidth="1"/>
    <col min="38" max="38" width="8.5" hidden="1" customWidth="1"/>
    <col min="39" max="39" width="6.33203125" hidden="1" customWidth="1"/>
    <col min="40" max="40" width="8.5" hidden="1" customWidth="1"/>
    <col min="41" max="41" width="5.83203125" hidden="1" customWidth="1"/>
    <col min="42" max="42" width="8.5" hidden="1" customWidth="1"/>
    <col min="43" max="43" width="7" hidden="1" customWidth="1"/>
    <col min="44" max="85" width="9.1640625" hidden="1" customWidth="1"/>
    <col min="86" max="87" width="9.33203125" hidden="1" customWidth="1"/>
    <col min="88" max="90" width="9.1640625" hidden="1" customWidth="1"/>
    <col min="91" max="91" width="9.1640625" style="169" hidden="1" customWidth="1"/>
    <col min="92" max="99" width="9.1640625" hidden="1" customWidth="1"/>
    <col min="100" max="100" width="9.1640625" style="169" hidden="1" customWidth="1"/>
    <col min="101" max="101" width="9.1640625" style="172" hidden="1" customWidth="1"/>
    <col min="102" max="102" width="9.1640625" style="169" hidden="1" customWidth="1"/>
    <col min="103" max="103" width="9.1640625" style="172" hidden="1" customWidth="1"/>
    <col min="104" max="104" width="9.1640625" style="169" hidden="1" customWidth="1"/>
    <col min="105" max="105" width="9.1640625" style="172" hidden="1" customWidth="1"/>
    <col min="106" max="106" width="9.1640625" style="169" hidden="1" customWidth="1"/>
    <col min="107" max="107" width="9.1640625" style="172" hidden="1" customWidth="1"/>
    <col min="108" max="108" width="9.1640625" style="169" hidden="1" customWidth="1"/>
    <col min="109" max="109" width="9.1640625" style="172" hidden="1" customWidth="1"/>
    <col min="110" max="110" width="9.1640625" style="169" hidden="1" customWidth="1"/>
    <col min="111" max="111" width="9.1640625" style="172" hidden="1" customWidth="1"/>
    <col min="112" max="112" width="9.1640625" style="169" hidden="1" customWidth="1"/>
    <col min="113" max="113" width="9.1640625" style="172" hidden="1" customWidth="1"/>
    <col min="114" max="114" width="9.1640625" style="169" hidden="1" customWidth="1"/>
    <col min="115" max="115" width="9.1640625" style="172" hidden="1" customWidth="1"/>
    <col min="116" max="116" width="9.1640625" style="175" hidden="1" customWidth="1"/>
    <col min="117" max="117" width="9.1640625" style="200" hidden="1" customWidth="1"/>
    <col min="118" max="118" width="9.1640625" style="175" hidden="1" customWidth="1"/>
    <col min="119" max="119" width="9.1640625" style="200" hidden="1" customWidth="1"/>
    <col min="120" max="120" width="9.1640625" style="175" hidden="1" customWidth="1"/>
    <col min="121" max="121" width="9.1640625" style="200" hidden="1" customWidth="1"/>
    <col min="122" max="122" width="9.1640625" style="175" hidden="1" customWidth="1"/>
    <col min="123" max="123" width="9.1640625" style="200" hidden="1" customWidth="1"/>
    <col min="124" max="124" width="9.1640625" hidden="1" customWidth="1"/>
    <col min="125" max="125" width="7.83203125" hidden="1" customWidth="1"/>
    <col min="126" max="126" width="9.1640625" bestFit="1" customWidth="1"/>
    <col min="127" max="127" width="7.83203125" customWidth="1"/>
    <col min="128" max="137" width="9.83203125" customWidth="1"/>
    <col min="167" max="168" width="9.1640625" hidden="1" customWidth="1" outlineLevel="1"/>
    <col min="169" max="169" width="8.6640625" collapsed="1"/>
    <col min="252" max="252" width="8.6640625" customWidth="1"/>
  </cols>
  <sheetData>
    <row r="1" spans="1:265" x14ac:dyDescent="0.15">
      <c r="D1" s="640">
        <v>40513</v>
      </c>
      <c r="E1" s="641"/>
      <c r="F1" s="640">
        <v>40544</v>
      </c>
      <c r="G1" s="641"/>
      <c r="H1" s="642">
        <v>40575</v>
      </c>
      <c r="I1" s="649"/>
      <c r="J1" s="640">
        <v>40603</v>
      </c>
      <c r="K1" s="641"/>
      <c r="L1" s="640">
        <v>40634</v>
      </c>
      <c r="M1" s="641"/>
      <c r="N1" s="642">
        <v>40664</v>
      </c>
      <c r="O1" s="649"/>
      <c r="P1" s="640">
        <v>40695</v>
      </c>
      <c r="Q1" s="641"/>
      <c r="R1" s="640">
        <v>40725</v>
      </c>
      <c r="S1" s="641"/>
      <c r="T1" s="642">
        <v>40756</v>
      </c>
      <c r="U1" s="649"/>
      <c r="V1" s="640">
        <v>40787</v>
      </c>
      <c r="W1" s="641"/>
      <c r="X1" s="640">
        <v>40817</v>
      </c>
      <c r="Y1" s="641"/>
      <c r="Z1" s="642">
        <v>40848</v>
      </c>
      <c r="AA1" s="649"/>
      <c r="AB1" s="640">
        <v>40878</v>
      </c>
      <c r="AC1" s="641"/>
      <c r="AD1" s="640">
        <v>40909</v>
      </c>
      <c r="AE1" s="641"/>
      <c r="AF1" s="642">
        <v>40940</v>
      </c>
      <c r="AG1" s="649"/>
      <c r="AH1" s="640">
        <v>40969</v>
      </c>
      <c r="AI1" s="641"/>
      <c r="AJ1" s="640">
        <v>41000</v>
      </c>
      <c r="AK1" s="641"/>
      <c r="AL1" s="640">
        <v>41030</v>
      </c>
      <c r="AM1" s="641"/>
      <c r="AN1" s="640">
        <v>41061</v>
      </c>
      <c r="AO1" s="641"/>
      <c r="AP1" s="640">
        <v>41091</v>
      </c>
      <c r="AQ1" s="641"/>
      <c r="AR1" s="640">
        <v>41122</v>
      </c>
      <c r="AS1" s="641"/>
      <c r="AT1" s="640">
        <v>41153</v>
      </c>
      <c r="AU1" s="641"/>
      <c r="AV1" s="640">
        <v>41183</v>
      </c>
      <c r="AW1" s="641"/>
      <c r="AX1" s="640">
        <v>41214</v>
      </c>
      <c r="AY1" s="641"/>
      <c r="AZ1" s="640">
        <v>41244</v>
      </c>
      <c r="BA1" s="641"/>
      <c r="BB1" s="640">
        <v>41275</v>
      </c>
      <c r="BC1" s="641"/>
      <c r="BD1" s="640">
        <v>41306</v>
      </c>
      <c r="BE1" s="641"/>
      <c r="BF1" s="640">
        <v>41334</v>
      </c>
      <c r="BG1" s="641"/>
      <c r="BH1" s="640">
        <v>41365</v>
      </c>
      <c r="BI1" s="641"/>
      <c r="BJ1" s="640">
        <v>41395</v>
      </c>
      <c r="BK1" s="641"/>
      <c r="BL1" s="640">
        <v>41426</v>
      </c>
      <c r="BM1" s="641"/>
      <c r="BN1" s="640">
        <v>41456</v>
      </c>
      <c r="BO1" s="641"/>
      <c r="BP1" s="640">
        <v>41487</v>
      </c>
      <c r="BQ1" s="641"/>
      <c r="BR1" s="640">
        <v>41518</v>
      </c>
      <c r="BS1" s="641"/>
      <c r="BT1" s="640">
        <v>41548</v>
      </c>
      <c r="BU1" s="641"/>
      <c r="BV1" s="640">
        <v>41579</v>
      </c>
      <c r="BW1" s="641"/>
      <c r="BX1" s="640">
        <v>41609</v>
      </c>
      <c r="BY1" s="641"/>
      <c r="BZ1" s="640">
        <v>41640</v>
      </c>
      <c r="CA1" s="641"/>
      <c r="CB1" s="640">
        <v>41671</v>
      </c>
      <c r="CC1" s="641"/>
      <c r="CD1" s="640">
        <v>41699</v>
      </c>
      <c r="CE1" s="641"/>
      <c r="CF1" s="640">
        <v>41730</v>
      </c>
      <c r="CG1" s="641"/>
      <c r="CH1" s="640">
        <v>41760</v>
      </c>
      <c r="CI1" s="641"/>
      <c r="CJ1" s="640">
        <v>41791</v>
      </c>
      <c r="CK1" s="641"/>
      <c r="CL1" s="640">
        <v>41821</v>
      </c>
      <c r="CM1" s="641"/>
      <c r="CN1" s="640">
        <v>41852</v>
      </c>
      <c r="CO1" s="641"/>
      <c r="CP1" s="640">
        <v>41883</v>
      </c>
      <c r="CQ1" s="641"/>
      <c r="CR1" s="647">
        <v>41913</v>
      </c>
      <c r="CS1" s="648"/>
      <c r="CT1" s="640">
        <v>41944</v>
      </c>
      <c r="CU1" s="641"/>
      <c r="CV1" s="640">
        <v>41974</v>
      </c>
      <c r="CW1" s="641"/>
      <c r="CX1" s="640">
        <v>42005</v>
      </c>
      <c r="CY1" s="641"/>
      <c r="CZ1" s="640">
        <v>42036</v>
      </c>
      <c r="DA1" s="641"/>
      <c r="DB1" s="640">
        <v>42064</v>
      </c>
      <c r="DC1" s="641"/>
      <c r="DD1" s="640">
        <v>42095</v>
      </c>
      <c r="DE1" s="641"/>
      <c r="DF1" s="640">
        <v>42125</v>
      </c>
      <c r="DG1" s="641"/>
      <c r="DH1" s="640">
        <v>42156</v>
      </c>
      <c r="DI1" s="641"/>
      <c r="DJ1" s="640">
        <v>42186</v>
      </c>
      <c r="DK1" s="641"/>
      <c r="DL1" s="640">
        <v>42217</v>
      </c>
      <c r="DM1" s="641"/>
      <c r="DN1" s="640">
        <v>42248</v>
      </c>
      <c r="DO1" s="641"/>
      <c r="DP1" s="640">
        <v>42278</v>
      </c>
      <c r="DQ1" s="641"/>
      <c r="DR1" s="640">
        <v>42309</v>
      </c>
      <c r="DS1" s="641"/>
      <c r="DT1" s="640">
        <v>42339</v>
      </c>
      <c r="DU1" s="641"/>
      <c r="DV1" s="640">
        <v>42370</v>
      </c>
      <c r="DW1" s="641"/>
      <c r="DX1" s="640">
        <v>42401</v>
      </c>
      <c r="DY1" s="641"/>
      <c r="DZ1" s="640">
        <v>42430</v>
      </c>
      <c r="EA1" s="641"/>
      <c r="EB1" s="640">
        <v>42461</v>
      </c>
      <c r="EC1" s="641"/>
      <c r="ED1" s="640">
        <v>42491</v>
      </c>
      <c r="EE1" s="641"/>
      <c r="EF1" s="640">
        <v>42522</v>
      </c>
      <c r="EG1" s="645"/>
      <c r="EH1" s="646">
        <v>42552</v>
      </c>
      <c r="EI1" s="641"/>
      <c r="EJ1" s="640">
        <v>42583</v>
      </c>
      <c r="EK1" s="641"/>
      <c r="EL1" s="640">
        <v>42614</v>
      </c>
      <c r="EM1" s="641"/>
      <c r="EN1" s="640">
        <v>42644</v>
      </c>
      <c r="EO1" s="641"/>
      <c r="EP1" s="640">
        <v>42675</v>
      </c>
      <c r="EQ1" s="641"/>
      <c r="ER1" s="640">
        <v>42705</v>
      </c>
      <c r="ES1" s="641"/>
      <c r="ET1" s="640">
        <v>42736</v>
      </c>
      <c r="EU1" s="641"/>
      <c r="EV1" s="640">
        <v>42767</v>
      </c>
      <c r="EW1" s="641"/>
      <c r="EX1" s="640">
        <v>42795</v>
      </c>
      <c r="EY1" s="641"/>
      <c r="EZ1" s="640">
        <v>42826</v>
      </c>
      <c r="FA1" s="641"/>
      <c r="FB1" s="640">
        <v>42856</v>
      </c>
      <c r="FC1" s="641"/>
      <c r="FD1" s="640">
        <v>42887</v>
      </c>
      <c r="FE1" s="641"/>
      <c r="FF1" s="640">
        <v>42917</v>
      </c>
      <c r="FG1" s="641"/>
      <c r="FH1" s="640">
        <v>42948</v>
      </c>
      <c r="FI1" s="641"/>
      <c r="FJ1" s="642">
        <v>42979</v>
      </c>
      <c r="FK1" s="643"/>
      <c r="FL1" s="643"/>
      <c r="FM1" s="644"/>
      <c r="FN1" s="640">
        <v>43009</v>
      </c>
      <c r="FO1" s="641"/>
      <c r="FP1" s="640">
        <v>43040</v>
      </c>
      <c r="FQ1" s="641"/>
      <c r="FR1" s="640">
        <v>43070</v>
      </c>
      <c r="FS1" s="641"/>
      <c r="FT1" s="640">
        <v>43101</v>
      </c>
      <c r="FU1" s="641"/>
      <c r="FV1" s="640">
        <v>43132</v>
      </c>
      <c r="FW1" s="641"/>
      <c r="FX1" s="640">
        <v>43160</v>
      </c>
      <c r="FY1" s="641"/>
      <c r="FZ1" s="640">
        <v>43191</v>
      </c>
      <c r="GA1" s="641"/>
      <c r="GB1" s="640">
        <v>43221</v>
      </c>
      <c r="GC1" s="641"/>
      <c r="GD1" s="640">
        <v>43252</v>
      </c>
      <c r="GE1" s="641"/>
      <c r="GF1" s="640">
        <v>43282</v>
      </c>
      <c r="GG1" s="641"/>
      <c r="GH1" s="640">
        <v>43313</v>
      </c>
      <c r="GI1" s="641"/>
      <c r="GJ1" s="640">
        <v>43344</v>
      </c>
      <c r="GK1" s="641"/>
      <c r="GL1" s="640">
        <v>43374</v>
      </c>
      <c r="GM1" s="641"/>
      <c r="GN1" s="640">
        <v>43405</v>
      </c>
      <c r="GO1" s="641"/>
      <c r="GP1" s="640">
        <v>43435</v>
      </c>
      <c r="GQ1" s="641"/>
      <c r="GR1" s="640">
        <v>43466</v>
      </c>
      <c r="GS1" s="641"/>
      <c r="GT1" s="640">
        <v>43497</v>
      </c>
      <c r="GU1" s="641"/>
      <c r="GV1" s="640">
        <v>43525</v>
      </c>
      <c r="GW1" s="641"/>
      <c r="GX1" s="640">
        <v>43556</v>
      </c>
      <c r="GY1" s="641"/>
      <c r="GZ1" s="640">
        <v>43586</v>
      </c>
      <c r="HA1" s="641"/>
      <c r="HB1" s="640">
        <v>43617</v>
      </c>
      <c r="HC1" s="641"/>
      <c r="HD1" s="640">
        <v>43647</v>
      </c>
      <c r="HE1" s="641"/>
      <c r="HF1" s="640">
        <v>43678</v>
      </c>
      <c r="HG1" s="641"/>
      <c r="HH1" s="640">
        <v>43709</v>
      </c>
      <c r="HI1" s="641"/>
      <c r="HJ1" s="640">
        <v>43739</v>
      </c>
      <c r="HK1" s="641"/>
      <c r="HL1" s="640">
        <v>43770</v>
      </c>
      <c r="HM1" s="641"/>
      <c r="HN1" s="640">
        <v>43800</v>
      </c>
      <c r="HO1" s="641"/>
      <c r="HP1" s="640">
        <v>43831</v>
      </c>
      <c r="HQ1" s="641"/>
      <c r="HR1" s="640">
        <v>43862</v>
      </c>
      <c r="HS1" s="641"/>
      <c r="HT1" s="640">
        <v>43891</v>
      </c>
      <c r="HU1" s="641"/>
      <c r="HV1" s="640">
        <v>43922</v>
      </c>
      <c r="HW1" s="641"/>
      <c r="HX1" s="640">
        <v>43952</v>
      </c>
      <c r="HY1" s="641"/>
      <c r="HZ1" s="640">
        <v>43983</v>
      </c>
      <c r="IA1" s="641"/>
      <c r="IB1" s="640">
        <v>44013</v>
      </c>
      <c r="IC1" s="641"/>
      <c r="ID1" s="640">
        <v>44044</v>
      </c>
      <c r="IE1" s="641"/>
      <c r="IF1" s="640">
        <v>44075</v>
      </c>
      <c r="IG1" s="641"/>
      <c r="IH1" s="640">
        <v>44105</v>
      </c>
      <c r="II1" s="641"/>
      <c r="IJ1" s="640">
        <v>44136</v>
      </c>
      <c r="IK1" s="641"/>
      <c r="IL1" s="640">
        <v>44166</v>
      </c>
      <c r="IM1" s="641"/>
      <c r="IN1" s="640">
        <v>44197</v>
      </c>
      <c r="IO1" s="641"/>
      <c r="IP1" s="640">
        <v>44228</v>
      </c>
      <c r="IQ1" s="641"/>
      <c r="IR1" s="640">
        <v>44256</v>
      </c>
      <c r="IS1" s="641"/>
      <c r="IT1" s="640">
        <v>44287</v>
      </c>
      <c r="IU1" s="641"/>
      <c r="IV1" s="640">
        <v>44317</v>
      </c>
      <c r="IW1" s="641"/>
      <c r="IX1" s="640">
        <v>44348</v>
      </c>
      <c r="IY1" s="641"/>
      <c r="IZ1" s="640">
        <v>44378</v>
      </c>
      <c r="JA1" s="641"/>
      <c r="JB1" s="640">
        <v>44409</v>
      </c>
      <c r="JC1" s="641"/>
      <c r="JD1" s="640">
        <v>44440</v>
      </c>
      <c r="JE1" s="641"/>
    </row>
    <row r="2" spans="1:265" ht="28" x14ac:dyDescent="0.15">
      <c r="D2" s="1" t="s">
        <v>0</v>
      </c>
      <c r="E2" s="1" t="s">
        <v>1</v>
      </c>
      <c r="F2" s="1" t="s">
        <v>0</v>
      </c>
      <c r="G2" s="1" t="s">
        <v>1</v>
      </c>
      <c r="H2" s="1" t="s">
        <v>0</v>
      </c>
      <c r="I2" s="1" t="s">
        <v>1</v>
      </c>
      <c r="J2" s="1" t="s">
        <v>0</v>
      </c>
      <c r="K2" s="1" t="s">
        <v>1</v>
      </c>
      <c r="L2" s="1" t="s">
        <v>0</v>
      </c>
      <c r="M2" s="1" t="s">
        <v>1</v>
      </c>
      <c r="N2" s="1" t="s">
        <v>0</v>
      </c>
      <c r="O2" s="1" t="s">
        <v>1</v>
      </c>
      <c r="P2" s="1" t="s">
        <v>0</v>
      </c>
      <c r="Q2" s="1" t="s">
        <v>1</v>
      </c>
      <c r="R2" s="1" t="s">
        <v>0</v>
      </c>
      <c r="S2" s="1" t="s">
        <v>1</v>
      </c>
      <c r="T2" s="1" t="s">
        <v>0</v>
      </c>
      <c r="U2" s="1" t="s">
        <v>1</v>
      </c>
      <c r="V2" s="1" t="s">
        <v>0</v>
      </c>
      <c r="W2" s="1" t="s">
        <v>1</v>
      </c>
      <c r="X2" s="1" t="s">
        <v>0</v>
      </c>
      <c r="Y2" s="1" t="s">
        <v>1</v>
      </c>
      <c r="Z2" s="1" t="s">
        <v>0</v>
      </c>
      <c r="AA2" s="1" t="s">
        <v>1</v>
      </c>
      <c r="AB2" s="1" t="s">
        <v>0</v>
      </c>
      <c r="AC2" s="1" t="s">
        <v>1</v>
      </c>
      <c r="AD2" s="1" t="s">
        <v>0</v>
      </c>
      <c r="AE2" s="1" t="s">
        <v>1</v>
      </c>
      <c r="AF2" s="1" t="s">
        <v>0</v>
      </c>
      <c r="AG2" s="1" t="s">
        <v>1</v>
      </c>
      <c r="AH2" s="1" t="s">
        <v>0</v>
      </c>
      <c r="AI2" s="1" t="s">
        <v>1</v>
      </c>
      <c r="AJ2" s="1" t="s">
        <v>0</v>
      </c>
      <c r="AK2" s="1" t="s">
        <v>1</v>
      </c>
      <c r="AL2" s="1" t="s">
        <v>0</v>
      </c>
      <c r="AM2" s="1" t="s">
        <v>1</v>
      </c>
      <c r="AN2" s="1" t="s">
        <v>0</v>
      </c>
      <c r="AO2" s="1" t="s">
        <v>1</v>
      </c>
      <c r="AP2" s="1" t="s">
        <v>0</v>
      </c>
      <c r="AQ2" s="1" t="s">
        <v>1</v>
      </c>
      <c r="AR2" s="1" t="s">
        <v>0</v>
      </c>
      <c r="AS2" s="1" t="s">
        <v>1</v>
      </c>
      <c r="AT2" s="1" t="s">
        <v>0</v>
      </c>
      <c r="AU2" s="1" t="s">
        <v>1</v>
      </c>
      <c r="AV2" s="1" t="s">
        <v>0</v>
      </c>
      <c r="AW2" s="1" t="s">
        <v>1</v>
      </c>
      <c r="AX2" s="1" t="s">
        <v>0</v>
      </c>
      <c r="AY2" s="1" t="s">
        <v>1</v>
      </c>
      <c r="AZ2" s="1" t="s">
        <v>0</v>
      </c>
      <c r="BA2" s="1" t="s">
        <v>1</v>
      </c>
      <c r="BB2" s="1" t="s">
        <v>0</v>
      </c>
      <c r="BC2" s="1" t="s">
        <v>1</v>
      </c>
      <c r="BD2" s="1" t="s">
        <v>0</v>
      </c>
      <c r="BE2" s="1" t="s">
        <v>1</v>
      </c>
      <c r="BF2" s="1" t="s">
        <v>0</v>
      </c>
      <c r="BG2" s="1" t="s">
        <v>1</v>
      </c>
      <c r="BH2" s="1" t="s">
        <v>0</v>
      </c>
      <c r="BI2" s="1" t="s">
        <v>1</v>
      </c>
      <c r="BJ2" s="1" t="s">
        <v>0</v>
      </c>
      <c r="BK2" s="1" t="s">
        <v>1</v>
      </c>
      <c r="BL2" s="1" t="s">
        <v>0</v>
      </c>
      <c r="BM2" s="1" t="s">
        <v>1</v>
      </c>
      <c r="BN2" s="1" t="s">
        <v>0</v>
      </c>
      <c r="BO2" s="1" t="s">
        <v>1</v>
      </c>
      <c r="BP2" s="1" t="s">
        <v>0</v>
      </c>
      <c r="BQ2" s="1" t="s">
        <v>1</v>
      </c>
      <c r="BR2" s="1" t="s">
        <v>0</v>
      </c>
      <c r="BS2" s="1" t="s">
        <v>1</v>
      </c>
      <c r="BT2" s="1" t="s">
        <v>0</v>
      </c>
      <c r="BU2" s="1" t="s">
        <v>1</v>
      </c>
      <c r="BV2" s="1" t="s">
        <v>0</v>
      </c>
      <c r="BW2" s="1" t="s">
        <v>1</v>
      </c>
      <c r="BX2" s="1" t="s">
        <v>0</v>
      </c>
      <c r="BY2" s="1" t="s">
        <v>1</v>
      </c>
      <c r="BZ2" s="1" t="s">
        <v>0</v>
      </c>
      <c r="CA2" s="1" t="s">
        <v>1</v>
      </c>
      <c r="CB2" s="1" t="s">
        <v>0</v>
      </c>
      <c r="CC2" s="1" t="s">
        <v>1</v>
      </c>
      <c r="CD2" s="1" t="s">
        <v>0</v>
      </c>
      <c r="CE2" s="1" t="s">
        <v>1</v>
      </c>
      <c r="CF2" s="1" t="s">
        <v>0</v>
      </c>
      <c r="CG2" s="1" t="s">
        <v>1</v>
      </c>
      <c r="CH2" s="1" t="s">
        <v>0</v>
      </c>
      <c r="CI2" s="1" t="s">
        <v>1</v>
      </c>
      <c r="CJ2" s="1" t="s">
        <v>0</v>
      </c>
      <c r="CK2" s="1" t="s">
        <v>1</v>
      </c>
      <c r="CL2" s="1" t="s">
        <v>0</v>
      </c>
      <c r="CM2" s="2" t="s">
        <v>1</v>
      </c>
      <c r="CN2" s="1" t="s">
        <v>0</v>
      </c>
      <c r="CO2" s="2" t="s">
        <v>1</v>
      </c>
      <c r="CP2" s="1" t="s">
        <v>0</v>
      </c>
      <c r="CQ2" s="2" t="s">
        <v>1</v>
      </c>
      <c r="CR2" s="1" t="s">
        <v>0</v>
      </c>
      <c r="CS2" s="2" t="s">
        <v>1</v>
      </c>
      <c r="CT2" s="1" t="s">
        <v>0</v>
      </c>
      <c r="CU2" s="2" t="s">
        <v>1</v>
      </c>
      <c r="CV2" s="1" t="s">
        <v>0</v>
      </c>
      <c r="CW2" s="2" t="s">
        <v>1</v>
      </c>
      <c r="CX2" s="1" t="s">
        <v>0</v>
      </c>
      <c r="CY2" s="2" t="s">
        <v>1</v>
      </c>
      <c r="CZ2" s="1" t="s">
        <v>0</v>
      </c>
      <c r="DA2" s="2" t="s">
        <v>1</v>
      </c>
      <c r="DB2" s="1" t="s">
        <v>0</v>
      </c>
      <c r="DC2" s="2" t="s">
        <v>1</v>
      </c>
      <c r="DD2" s="1" t="s">
        <v>0</v>
      </c>
      <c r="DE2" s="2" t="s">
        <v>1</v>
      </c>
      <c r="DF2" s="1" t="s">
        <v>0</v>
      </c>
      <c r="DG2" s="2" t="s">
        <v>1</v>
      </c>
      <c r="DH2" s="1" t="s">
        <v>0</v>
      </c>
      <c r="DI2" s="2" t="s">
        <v>1</v>
      </c>
      <c r="DJ2" s="1" t="s">
        <v>0</v>
      </c>
      <c r="DK2" s="2" t="s">
        <v>1</v>
      </c>
      <c r="DL2" s="1" t="s">
        <v>0</v>
      </c>
      <c r="DM2" s="2" t="s">
        <v>1</v>
      </c>
      <c r="DN2" s="1" t="s">
        <v>0</v>
      </c>
      <c r="DO2" s="2" t="s">
        <v>1</v>
      </c>
      <c r="DP2" s="1" t="s">
        <v>0</v>
      </c>
      <c r="DQ2" s="2" t="s">
        <v>1</v>
      </c>
      <c r="DR2" s="1" t="s">
        <v>0</v>
      </c>
      <c r="DS2" s="2" t="s">
        <v>1</v>
      </c>
      <c r="DT2" s="1" t="s">
        <v>0</v>
      </c>
      <c r="DU2" s="2" t="s">
        <v>1</v>
      </c>
      <c r="DV2" s="1" t="s">
        <v>0</v>
      </c>
      <c r="DW2" s="2" t="s">
        <v>1</v>
      </c>
      <c r="DX2" s="1" t="s">
        <v>0</v>
      </c>
      <c r="DY2" s="2" t="s">
        <v>1</v>
      </c>
      <c r="DZ2" s="1" t="s">
        <v>0</v>
      </c>
      <c r="EA2" s="2" t="s">
        <v>1</v>
      </c>
      <c r="EB2" s="1" t="s">
        <v>0</v>
      </c>
      <c r="EC2" s="2" t="s">
        <v>1</v>
      </c>
      <c r="ED2" s="1" t="s">
        <v>0</v>
      </c>
      <c r="EE2" s="2" t="s">
        <v>1</v>
      </c>
      <c r="EF2" s="1" t="s">
        <v>0</v>
      </c>
      <c r="EG2" s="3" t="s">
        <v>1</v>
      </c>
      <c r="EH2" s="4" t="s">
        <v>0</v>
      </c>
      <c r="EI2" s="2" t="s">
        <v>1</v>
      </c>
      <c r="EJ2" s="1" t="s">
        <v>0</v>
      </c>
      <c r="EK2" s="2" t="s">
        <v>1</v>
      </c>
      <c r="EL2" s="1" t="s">
        <v>0</v>
      </c>
      <c r="EM2" s="2" t="s">
        <v>1</v>
      </c>
      <c r="EN2" s="1" t="s">
        <v>0</v>
      </c>
      <c r="EO2" s="2" t="s">
        <v>1</v>
      </c>
      <c r="EP2" s="1" t="s">
        <v>0</v>
      </c>
      <c r="EQ2" s="2" t="s">
        <v>1</v>
      </c>
      <c r="ER2" s="1" t="s">
        <v>0</v>
      </c>
      <c r="ES2" s="2" t="s">
        <v>1</v>
      </c>
      <c r="ET2" s="1" t="s">
        <v>0</v>
      </c>
      <c r="EU2" s="2" t="s">
        <v>1</v>
      </c>
      <c r="EV2" s="1" t="s">
        <v>0</v>
      </c>
      <c r="EW2" s="2" t="s">
        <v>1</v>
      </c>
      <c r="EX2" s="1" t="s">
        <v>0</v>
      </c>
      <c r="EY2" s="2" t="s">
        <v>1</v>
      </c>
      <c r="EZ2" s="1" t="s">
        <v>0</v>
      </c>
      <c r="FA2" s="2" t="s">
        <v>1</v>
      </c>
      <c r="FB2" s="1" t="s">
        <v>0</v>
      </c>
      <c r="FC2" s="2" t="s">
        <v>1</v>
      </c>
      <c r="FD2" s="1" t="s">
        <v>0</v>
      </c>
      <c r="FE2" s="2" t="s">
        <v>1</v>
      </c>
      <c r="FF2" s="1" t="s">
        <v>0</v>
      </c>
      <c r="FG2" s="2" t="s">
        <v>1</v>
      </c>
      <c r="FH2" s="1" t="s">
        <v>0</v>
      </c>
      <c r="FI2" s="2" t="s">
        <v>1</v>
      </c>
      <c r="FJ2" s="1" t="s">
        <v>0</v>
      </c>
      <c r="FK2" s="5" t="s">
        <v>2</v>
      </c>
      <c r="FL2" s="5" t="s">
        <v>3</v>
      </c>
      <c r="FM2" s="6" t="s">
        <v>1</v>
      </c>
      <c r="FN2" s="1" t="s">
        <v>0</v>
      </c>
      <c r="FO2" s="2" t="s">
        <v>1</v>
      </c>
      <c r="FP2" s="1" t="s">
        <v>0</v>
      </c>
      <c r="FQ2" s="2" t="s">
        <v>1</v>
      </c>
      <c r="FR2" s="1" t="s">
        <v>0</v>
      </c>
      <c r="FS2" s="2" t="s">
        <v>1</v>
      </c>
      <c r="FT2" s="1" t="s">
        <v>0</v>
      </c>
      <c r="FU2" s="2" t="s">
        <v>1</v>
      </c>
      <c r="FV2" s="1" t="s">
        <v>0</v>
      </c>
      <c r="FW2" s="2" t="s">
        <v>1</v>
      </c>
      <c r="FX2" s="1" t="s">
        <v>0</v>
      </c>
      <c r="FY2" s="2" t="s">
        <v>1</v>
      </c>
      <c r="FZ2" s="1" t="s">
        <v>0</v>
      </c>
      <c r="GA2" s="2" t="s">
        <v>1</v>
      </c>
      <c r="GB2" s="1" t="s">
        <v>0</v>
      </c>
      <c r="GC2" s="2" t="s">
        <v>1</v>
      </c>
      <c r="GD2" s="1" t="s">
        <v>0</v>
      </c>
      <c r="GE2" s="2" t="s">
        <v>1</v>
      </c>
      <c r="GF2" s="1" t="s">
        <v>0</v>
      </c>
      <c r="GG2" s="2" t="s">
        <v>1</v>
      </c>
      <c r="GH2" s="1" t="s">
        <v>0</v>
      </c>
      <c r="GI2" s="2" t="s">
        <v>1</v>
      </c>
      <c r="GJ2" s="1" t="s">
        <v>0</v>
      </c>
      <c r="GK2" s="2" t="s">
        <v>1</v>
      </c>
      <c r="GL2" s="1" t="s">
        <v>0</v>
      </c>
      <c r="GM2" s="2" t="s">
        <v>1</v>
      </c>
      <c r="GN2" s="1" t="s">
        <v>0</v>
      </c>
      <c r="GO2" s="2" t="s">
        <v>1</v>
      </c>
      <c r="GP2" s="1" t="s">
        <v>0</v>
      </c>
      <c r="GQ2" s="2" t="s">
        <v>1</v>
      </c>
      <c r="GR2" s="1" t="s">
        <v>0</v>
      </c>
      <c r="GS2" s="2" t="s">
        <v>1</v>
      </c>
      <c r="GT2" s="1" t="s">
        <v>0</v>
      </c>
      <c r="GU2" s="2" t="s">
        <v>1</v>
      </c>
      <c r="GV2" s="1" t="s">
        <v>0</v>
      </c>
      <c r="GW2" s="2" t="s">
        <v>1</v>
      </c>
      <c r="GX2" s="1" t="s">
        <v>0</v>
      </c>
      <c r="GY2" s="2" t="s">
        <v>1</v>
      </c>
      <c r="GZ2" s="1" t="s">
        <v>0</v>
      </c>
      <c r="HA2" s="2" t="s">
        <v>1</v>
      </c>
      <c r="HB2" s="1" t="s">
        <v>0</v>
      </c>
      <c r="HC2" s="2" t="s">
        <v>1</v>
      </c>
      <c r="HD2" s="1" t="s">
        <v>0</v>
      </c>
      <c r="HE2" s="2" t="s">
        <v>1</v>
      </c>
      <c r="HF2" s="1" t="s">
        <v>0</v>
      </c>
      <c r="HG2" s="2" t="s">
        <v>1</v>
      </c>
      <c r="HH2" s="1" t="s">
        <v>0</v>
      </c>
      <c r="HI2" s="2" t="s">
        <v>1</v>
      </c>
      <c r="HJ2" s="1" t="s">
        <v>0</v>
      </c>
      <c r="HK2" s="2" t="s">
        <v>1</v>
      </c>
      <c r="HL2" s="1" t="s">
        <v>0</v>
      </c>
      <c r="HM2" s="2" t="s">
        <v>1</v>
      </c>
      <c r="HN2" s="1" t="s">
        <v>0</v>
      </c>
      <c r="HO2" s="2" t="s">
        <v>1</v>
      </c>
      <c r="HP2" s="1" t="s">
        <v>0</v>
      </c>
      <c r="HQ2" s="2" t="s">
        <v>1</v>
      </c>
      <c r="HR2" s="1" t="s">
        <v>0</v>
      </c>
      <c r="HS2" s="2" t="s">
        <v>1</v>
      </c>
      <c r="HT2" s="1" t="s">
        <v>0</v>
      </c>
      <c r="HU2" s="2" t="s">
        <v>1</v>
      </c>
      <c r="HV2" s="1" t="s">
        <v>0</v>
      </c>
      <c r="HW2" s="2" t="s">
        <v>1</v>
      </c>
      <c r="HX2" s="1" t="s">
        <v>0</v>
      </c>
      <c r="HY2" s="2" t="s">
        <v>1</v>
      </c>
      <c r="HZ2" s="1" t="s">
        <v>0</v>
      </c>
      <c r="IA2" s="2" t="s">
        <v>1</v>
      </c>
      <c r="IB2" s="1" t="s">
        <v>0</v>
      </c>
      <c r="IC2" s="2" t="s">
        <v>1</v>
      </c>
      <c r="ID2" s="1" t="s">
        <v>0</v>
      </c>
      <c r="IE2" s="2" t="s">
        <v>1</v>
      </c>
      <c r="IF2" s="1" t="s">
        <v>0</v>
      </c>
      <c r="IG2" s="2" t="s">
        <v>1</v>
      </c>
      <c r="IH2" s="1" t="s">
        <v>0</v>
      </c>
      <c r="II2" s="2" t="s">
        <v>1</v>
      </c>
      <c r="IJ2" s="1" t="s">
        <v>0</v>
      </c>
      <c r="IK2" s="2" t="s">
        <v>1</v>
      </c>
      <c r="IL2" s="1" t="s">
        <v>0</v>
      </c>
      <c r="IM2" s="2" t="s">
        <v>1</v>
      </c>
      <c r="IN2" s="1" t="s">
        <v>0</v>
      </c>
      <c r="IO2" s="2" t="s">
        <v>1</v>
      </c>
      <c r="IP2" s="1" t="s">
        <v>0</v>
      </c>
      <c r="IQ2" s="2" t="s">
        <v>1</v>
      </c>
      <c r="IR2" s="1" t="s">
        <v>0</v>
      </c>
      <c r="IS2" s="2" t="s">
        <v>1</v>
      </c>
      <c r="IT2" s="1" t="s">
        <v>0</v>
      </c>
      <c r="IU2" s="2" t="s">
        <v>1</v>
      </c>
      <c r="IV2" s="1" t="s">
        <v>0</v>
      </c>
      <c r="IW2" s="2" t="s">
        <v>1</v>
      </c>
      <c r="IX2" s="1" t="s">
        <v>0</v>
      </c>
      <c r="IY2" s="2" t="s">
        <v>1</v>
      </c>
      <c r="IZ2" s="1" t="s">
        <v>0</v>
      </c>
      <c r="JA2" s="2" t="s">
        <v>1</v>
      </c>
      <c r="JB2" s="1" t="s">
        <v>0</v>
      </c>
      <c r="JC2" s="2" t="s">
        <v>1</v>
      </c>
      <c r="JD2" s="1" t="s">
        <v>0</v>
      </c>
      <c r="JE2" s="2" t="s">
        <v>1</v>
      </c>
    </row>
    <row r="3" spans="1:265" ht="42" x14ac:dyDescent="0.15">
      <c r="A3" s="7">
        <v>1.1000000000000001</v>
      </c>
      <c r="B3" s="8" t="s">
        <v>4</v>
      </c>
      <c r="C3" s="9" t="s">
        <v>5</v>
      </c>
      <c r="D3" s="10">
        <v>28</v>
      </c>
      <c r="E3" s="10">
        <v>56</v>
      </c>
      <c r="F3" s="10">
        <v>14</v>
      </c>
      <c r="G3" s="10">
        <v>36</v>
      </c>
      <c r="H3" s="10">
        <v>18</v>
      </c>
      <c r="I3" s="10">
        <v>50</v>
      </c>
      <c r="J3" s="10">
        <v>18</v>
      </c>
      <c r="K3" s="10">
        <v>68</v>
      </c>
      <c r="L3" s="10">
        <v>9</v>
      </c>
      <c r="M3" s="10">
        <v>55</v>
      </c>
      <c r="N3" s="10">
        <v>19</v>
      </c>
      <c r="O3" s="10">
        <v>69</v>
      </c>
      <c r="P3" s="10">
        <v>3</v>
      </c>
      <c r="Q3" s="10">
        <v>19</v>
      </c>
      <c r="R3" s="10">
        <v>27</v>
      </c>
      <c r="S3" s="10">
        <v>83</v>
      </c>
      <c r="T3" s="10">
        <v>17</v>
      </c>
      <c r="U3" s="10">
        <v>71</v>
      </c>
      <c r="V3" s="10">
        <v>19</v>
      </c>
      <c r="W3" s="10">
        <v>75</v>
      </c>
      <c r="X3" s="10">
        <v>16</v>
      </c>
      <c r="Y3" s="10">
        <v>67</v>
      </c>
      <c r="Z3" s="10">
        <v>14</v>
      </c>
      <c r="AA3" s="10">
        <v>59</v>
      </c>
      <c r="AB3" s="10">
        <v>16</v>
      </c>
      <c r="AC3" s="10">
        <v>75</v>
      </c>
      <c r="AD3" s="10">
        <v>6</v>
      </c>
      <c r="AE3" s="10">
        <v>36</v>
      </c>
      <c r="AF3" s="10">
        <v>11</v>
      </c>
      <c r="AG3" s="10">
        <v>49</v>
      </c>
      <c r="AH3" s="10">
        <v>20</v>
      </c>
      <c r="AI3" s="10">
        <v>73</v>
      </c>
      <c r="AJ3" s="10">
        <v>16</v>
      </c>
      <c r="AK3" s="10">
        <v>43</v>
      </c>
      <c r="AL3" s="10">
        <v>6</v>
      </c>
      <c r="AM3" s="10">
        <v>45</v>
      </c>
      <c r="AN3" s="10">
        <v>7</v>
      </c>
      <c r="AO3" s="10">
        <v>26</v>
      </c>
      <c r="AP3" s="10">
        <v>11</v>
      </c>
      <c r="AQ3" s="10">
        <v>39</v>
      </c>
      <c r="AR3" s="10">
        <v>18</v>
      </c>
      <c r="AS3" s="10">
        <v>40</v>
      </c>
      <c r="AT3" s="10">
        <v>11</v>
      </c>
      <c r="AU3" s="10">
        <v>30</v>
      </c>
      <c r="AV3" s="10">
        <v>10</v>
      </c>
      <c r="AW3" s="10">
        <v>42</v>
      </c>
      <c r="AX3" s="10">
        <v>6</v>
      </c>
      <c r="AY3" s="10">
        <v>33</v>
      </c>
      <c r="AZ3" s="10">
        <v>9</v>
      </c>
      <c r="BA3" s="10">
        <v>30</v>
      </c>
      <c r="BB3" s="10">
        <v>11</v>
      </c>
      <c r="BC3" s="10">
        <v>37</v>
      </c>
      <c r="BD3" s="10">
        <v>14</v>
      </c>
      <c r="BE3" s="10">
        <v>34</v>
      </c>
      <c r="BF3" s="10">
        <v>12</v>
      </c>
      <c r="BG3" s="10">
        <v>42</v>
      </c>
      <c r="BH3" s="10">
        <v>10</v>
      </c>
      <c r="BI3" s="10">
        <v>30</v>
      </c>
      <c r="BJ3" s="10">
        <v>4</v>
      </c>
      <c r="BK3" s="10">
        <v>31</v>
      </c>
      <c r="BL3" s="10">
        <v>4</v>
      </c>
      <c r="BM3" s="10">
        <v>27</v>
      </c>
      <c r="BN3" s="10">
        <v>9</v>
      </c>
      <c r="BO3" s="10">
        <v>40</v>
      </c>
      <c r="BP3" s="10">
        <v>3</v>
      </c>
      <c r="BQ3" s="10">
        <v>30</v>
      </c>
      <c r="BR3" s="10">
        <v>10</v>
      </c>
      <c r="BS3" s="10">
        <v>40</v>
      </c>
      <c r="BT3" s="10">
        <v>10</v>
      </c>
      <c r="BU3" s="10">
        <v>46</v>
      </c>
      <c r="BV3" s="10">
        <v>10</v>
      </c>
      <c r="BW3" s="10">
        <v>39</v>
      </c>
      <c r="BX3" s="10">
        <v>8</v>
      </c>
      <c r="BY3" s="10">
        <v>36</v>
      </c>
      <c r="BZ3" s="10">
        <v>11</v>
      </c>
      <c r="CA3" s="10">
        <v>53</v>
      </c>
      <c r="CB3" s="10">
        <v>14</v>
      </c>
      <c r="CC3" s="10">
        <v>77</v>
      </c>
      <c r="CD3" s="10">
        <v>16</v>
      </c>
      <c r="CE3" s="10">
        <v>48</v>
      </c>
      <c r="CF3" s="10">
        <v>4</v>
      </c>
      <c r="CG3" s="10">
        <v>12</v>
      </c>
      <c r="CH3" s="10">
        <v>17</v>
      </c>
      <c r="CI3" s="10">
        <v>49</v>
      </c>
      <c r="CJ3" s="10">
        <v>9</v>
      </c>
      <c r="CK3" s="10">
        <v>38</v>
      </c>
      <c r="CL3" s="10">
        <v>13</v>
      </c>
      <c r="CM3" s="10">
        <v>57</v>
      </c>
      <c r="CN3" s="10">
        <v>9</v>
      </c>
      <c r="CO3" s="10">
        <v>32</v>
      </c>
      <c r="CP3" s="10">
        <v>22</v>
      </c>
      <c r="CQ3" s="10">
        <v>62</v>
      </c>
      <c r="CR3" s="10">
        <v>10</v>
      </c>
      <c r="CS3" s="10">
        <v>40</v>
      </c>
      <c r="CT3" s="10">
        <v>10</v>
      </c>
      <c r="CU3" s="10">
        <v>33</v>
      </c>
      <c r="CV3" s="10">
        <v>14</v>
      </c>
      <c r="CW3" s="10">
        <v>37</v>
      </c>
      <c r="CX3" s="10">
        <v>10</v>
      </c>
      <c r="CY3" s="10">
        <v>37</v>
      </c>
      <c r="CZ3" s="10">
        <v>13</v>
      </c>
      <c r="DA3" s="10">
        <v>30</v>
      </c>
      <c r="DB3" s="10">
        <v>17</v>
      </c>
      <c r="DC3" s="10">
        <v>40</v>
      </c>
      <c r="DD3" s="10">
        <v>16</v>
      </c>
      <c r="DE3" s="10">
        <v>44</v>
      </c>
      <c r="DF3" s="10">
        <v>15</v>
      </c>
      <c r="DG3" s="10">
        <v>50</v>
      </c>
      <c r="DH3" s="10">
        <v>12</v>
      </c>
      <c r="DI3" s="10">
        <v>38</v>
      </c>
      <c r="DJ3" s="10">
        <v>17</v>
      </c>
      <c r="DK3" s="10">
        <v>50</v>
      </c>
      <c r="DL3" s="10">
        <v>13</v>
      </c>
      <c r="DM3" s="10">
        <v>45</v>
      </c>
      <c r="DN3" s="10">
        <v>24</v>
      </c>
      <c r="DO3" s="10">
        <v>49</v>
      </c>
      <c r="DP3" s="10">
        <v>25</v>
      </c>
      <c r="DQ3" s="10">
        <v>58</v>
      </c>
      <c r="DR3" s="10">
        <v>11</v>
      </c>
      <c r="DS3" s="10">
        <v>31</v>
      </c>
      <c r="DT3" s="10">
        <v>14</v>
      </c>
      <c r="DU3" s="10">
        <v>39</v>
      </c>
      <c r="DV3" s="10">
        <v>10</v>
      </c>
      <c r="DW3" s="10">
        <v>43</v>
      </c>
      <c r="DX3" s="10">
        <v>11</v>
      </c>
      <c r="DY3" s="10">
        <v>34</v>
      </c>
      <c r="DZ3" s="10">
        <v>7</v>
      </c>
      <c r="EA3" s="10">
        <v>40</v>
      </c>
      <c r="EB3" s="10">
        <v>18</v>
      </c>
      <c r="EC3" s="10">
        <v>42</v>
      </c>
      <c r="ED3" s="10">
        <v>7</v>
      </c>
      <c r="EE3" s="10">
        <v>39</v>
      </c>
      <c r="EF3" s="10">
        <v>16</v>
      </c>
      <c r="EG3" s="11">
        <v>53</v>
      </c>
      <c r="EH3" s="12">
        <v>8</v>
      </c>
      <c r="EI3" s="10">
        <v>45</v>
      </c>
      <c r="EJ3" s="10">
        <v>15</v>
      </c>
      <c r="EK3" s="10">
        <v>58</v>
      </c>
      <c r="EL3" s="10">
        <v>11</v>
      </c>
      <c r="EM3" s="10">
        <v>35</v>
      </c>
      <c r="EN3" s="10">
        <v>10</v>
      </c>
      <c r="EO3" s="10">
        <v>33</v>
      </c>
      <c r="EP3" s="10">
        <v>12</v>
      </c>
      <c r="EQ3" s="10">
        <v>41</v>
      </c>
      <c r="ER3" s="10">
        <v>19</v>
      </c>
      <c r="ES3" s="10">
        <v>44</v>
      </c>
      <c r="ET3" s="10">
        <v>11</v>
      </c>
      <c r="EU3" s="10">
        <v>36</v>
      </c>
      <c r="EV3" s="10">
        <v>9</v>
      </c>
      <c r="EW3" s="10">
        <v>34</v>
      </c>
      <c r="EX3" s="10">
        <v>17</v>
      </c>
      <c r="EY3" s="10">
        <v>58</v>
      </c>
      <c r="EZ3" s="10">
        <v>13</v>
      </c>
      <c r="FA3" s="10">
        <v>41</v>
      </c>
      <c r="FB3" s="10">
        <v>15</v>
      </c>
      <c r="FC3" s="10">
        <v>55</v>
      </c>
      <c r="FD3" s="10">
        <v>14</v>
      </c>
      <c r="FE3" s="10">
        <v>53</v>
      </c>
      <c r="FF3" s="10">
        <v>18</v>
      </c>
      <c r="FG3" s="10">
        <v>49</v>
      </c>
      <c r="FH3" s="10">
        <v>10</v>
      </c>
      <c r="FI3" s="10">
        <v>43</v>
      </c>
      <c r="FJ3" s="10">
        <v>11</v>
      </c>
      <c r="FK3" s="13">
        <v>46</v>
      </c>
      <c r="FL3" s="13">
        <v>46</v>
      </c>
      <c r="FM3" s="10">
        <v>46</v>
      </c>
      <c r="FN3" s="10">
        <v>1</v>
      </c>
      <c r="FO3" s="10">
        <v>10</v>
      </c>
      <c r="FP3" s="10">
        <v>5</v>
      </c>
      <c r="FQ3" s="10">
        <v>18</v>
      </c>
      <c r="FR3" s="10">
        <v>4</v>
      </c>
      <c r="FS3" s="10">
        <v>11</v>
      </c>
      <c r="FT3" s="10">
        <v>5</v>
      </c>
      <c r="FU3" s="10">
        <v>13</v>
      </c>
      <c r="FV3" s="10">
        <v>1</v>
      </c>
      <c r="FW3" s="10">
        <v>11</v>
      </c>
      <c r="FX3" s="10">
        <v>1</v>
      </c>
      <c r="FY3" s="10">
        <v>7</v>
      </c>
      <c r="FZ3" s="10">
        <v>1</v>
      </c>
      <c r="GA3" s="10">
        <v>5</v>
      </c>
      <c r="GB3" s="10">
        <v>1</v>
      </c>
      <c r="GC3" s="10">
        <v>3</v>
      </c>
      <c r="GD3" s="10">
        <v>1</v>
      </c>
      <c r="GE3" s="10">
        <v>6</v>
      </c>
      <c r="GF3" s="10">
        <v>2</v>
      </c>
      <c r="GG3" s="10">
        <v>15</v>
      </c>
      <c r="GH3" s="10">
        <v>4</v>
      </c>
      <c r="GI3" s="10">
        <v>10</v>
      </c>
      <c r="GJ3" s="10">
        <v>1</v>
      </c>
      <c r="GK3" s="10">
        <v>4</v>
      </c>
      <c r="GL3" s="10">
        <v>3</v>
      </c>
      <c r="GM3" s="10">
        <v>9</v>
      </c>
      <c r="GN3" s="10">
        <v>3</v>
      </c>
      <c r="GO3" s="10">
        <v>9</v>
      </c>
      <c r="GP3" s="10">
        <v>2</v>
      </c>
      <c r="GQ3" s="10">
        <v>6</v>
      </c>
      <c r="GR3" s="10">
        <v>3</v>
      </c>
      <c r="GS3" s="10">
        <v>8</v>
      </c>
      <c r="GT3" s="10">
        <v>2</v>
      </c>
      <c r="GU3" s="10">
        <v>5</v>
      </c>
      <c r="GV3" s="10">
        <v>2</v>
      </c>
      <c r="GW3" s="10">
        <v>9</v>
      </c>
      <c r="GX3" s="10">
        <v>2</v>
      </c>
      <c r="GY3" s="10">
        <v>6</v>
      </c>
      <c r="GZ3" s="10">
        <v>1</v>
      </c>
      <c r="HA3" s="10">
        <v>2</v>
      </c>
      <c r="HB3" s="10">
        <v>0</v>
      </c>
      <c r="HC3" s="10">
        <v>2</v>
      </c>
      <c r="HD3" s="10">
        <v>1</v>
      </c>
      <c r="HE3" s="10">
        <v>8</v>
      </c>
      <c r="HF3" s="10">
        <v>1</v>
      </c>
      <c r="HG3" s="10">
        <v>4</v>
      </c>
      <c r="HH3" s="10">
        <v>0</v>
      </c>
      <c r="HI3" s="10">
        <v>6</v>
      </c>
      <c r="HJ3" s="10">
        <v>2</v>
      </c>
      <c r="HK3" s="10">
        <v>6</v>
      </c>
      <c r="HL3" s="10">
        <v>1</v>
      </c>
      <c r="HM3" s="10">
        <v>8</v>
      </c>
      <c r="HN3" s="10">
        <v>1</v>
      </c>
      <c r="HO3" s="10">
        <v>4</v>
      </c>
      <c r="HP3" s="10">
        <v>4</v>
      </c>
      <c r="HQ3" s="10">
        <v>7</v>
      </c>
      <c r="HR3" s="10">
        <v>2</v>
      </c>
      <c r="HS3" s="10">
        <v>3</v>
      </c>
      <c r="HT3" s="10">
        <v>2</v>
      </c>
      <c r="HU3" s="10">
        <v>6</v>
      </c>
      <c r="HV3" s="10">
        <v>1</v>
      </c>
      <c r="HW3" s="10">
        <v>6</v>
      </c>
      <c r="HX3" s="10">
        <v>1</v>
      </c>
      <c r="HY3" s="10">
        <v>11</v>
      </c>
      <c r="HZ3" s="10">
        <v>1</v>
      </c>
      <c r="IA3" s="10">
        <v>12</v>
      </c>
      <c r="IB3" s="10">
        <v>2</v>
      </c>
      <c r="IC3" s="10">
        <v>7</v>
      </c>
      <c r="ID3" s="10">
        <v>1</v>
      </c>
      <c r="IE3" s="10">
        <v>3</v>
      </c>
      <c r="IF3" s="10">
        <v>4</v>
      </c>
      <c r="IG3" s="10">
        <v>7</v>
      </c>
      <c r="IH3" s="10">
        <v>0</v>
      </c>
      <c r="II3" s="10">
        <v>3</v>
      </c>
      <c r="IJ3" s="10">
        <v>1</v>
      </c>
      <c r="IK3" s="10">
        <v>5</v>
      </c>
      <c r="IL3" s="10">
        <v>1</v>
      </c>
      <c r="IM3" s="10">
        <v>1</v>
      </c>
      <c r="IN3" s="10">
        <v>1</v>
      </c>
      <c r="IO3" s="10">
        <v>1</v>
      </c>
      <c r="IP3" s="10">
        <v>0</v>
      </c>
      <c r="IQ3" s="10">
        <v>1</v>
      </c>
      <c r="IR3" s="10">
        <v>1</v>
      </c>
      <c r="IS3" s="10">
        <v>1</v>
      </c>
      <c r="IT3" s="10">
        <v>0</v>
      </c>
      <c r="IU3" s="10">
        <v>1</v>
      </c>
      <c r="IV3" s="10">
        <v>1</v>
      </c>
      <c r="IW3" s="10">
        <v>3</v>
      </c>
      <c r="IX3" s="10">
        <v>3</v>
      </c>
      <c r="IY3" s="10">
        <v>4</v>
      </c>
      <c r="IZ3" s="10">
        <v>0</v>
      </c>
      <c r="JA3" s="10">
        <v>2</v>
      </c>
      <c r="JB3" s="10">
        <v>2</v>
      </c>
      <c r="JC3" s="10">
        <v>4</v>
      </c>
      <c r="JD3" s="10">
        <v>3</v>
      </c>
      <c r="JE3" s="10">
        <v>6</v>
      </c>
    </row>
    <row r="4" spans="1:265" ht="40" customHeight="1" x14ac:dyDescent="0.15">
      <c r="A4" s="7">
        <v>1.2</v>
      </c>
      <c r="B4" s="8" t="s">
        <v>6</v>
      </c>
      <c r="C4" s="9" t="s">
        <v>7</v>
      </c>
      <c r="D4" s="10">
        <v>14</v>
      </c>
      <c r="E4" s="10">
        <v>26</v>
      </c>
      <c r="F4" s="10">
        <v>7</v>
      </c>
      <c r="G4" s="10">
        <v>20</v>
      </c>
      <c r="H4" s="10">
        <v>2</v>
      </c>
      <c r="I4" s="10">
        <v>16</v>
      </c>
      <c r="J4" s="10">
        <v>16</v>
      </c>
      <c r="K4" s="10">
        <v>48</v>
      </c>
      <c r="L4" s="10">
        <v>9</v>
      </c>
      <c r="M4" s="10">
        <v>28</v>
      </c>
      <c r="N4" s="10">
        <v>20</v>
      </c>
      <c r="O4" s="10">
        <v>41</v>
      </c>
      <c r="P4" s="10">
        <v>0</v>
      </c>
      <c r="Q4" s="10">
        <v>11</v>
      </c>
      <c r="R4" s="10">
        <v>10</v>
      </c>
      <c r="S4" s="10">
        <v>42</v>
      </c>
      <c r="T4" s="10">
        <v>6</v>
      </c>
      <c r="U4" s="10">
        <v>33</v>
      </c>
      <c r="V4" s="10">
        <v>6</v>
      </c>
      <c r="W4" s="10">
        <v>32</v>
      </c>
      <c r="X4" s="10">
        <v>4</v>
      </c>
      <c r="Y4" s="10">
        <v>23</v>
      </c>
      <c r="Z4" s="10">
        <v>6</v>
      </c>
      <c r="AA4" s="10">
        <v>30</v>
      </c>
      <c r="AB4" s="10">
        <v>8</v>
      </c>
      <c r="AC4" s="10">
        <v>25</v>
      </c>
      <c r="AD4" s="10">
        <v>4</v>
      </c>
      <c r="AE4" s="10">
        <v>13</v>
      </c>
      <c r="AF4" s="10">
        <v>2</v>
      </c>
      <c r="AG4" s="10">
        <v>15</v>
      </c>
      <c r="AH4" s="10">
        <v>2</v>
      </c>
      <c r="AI4" s="10">
        <v>13</v>
      </c>
      <c r="AJ4" s="10">
        <v>3</v>
      </c>
      <c r="AK4" s="10">
        <v>13</v>
      </c>
      <c r="AL4" s="10">
        <v>1</v>
      </c>
      <c r="AM4" s="10">
        <v>15</v>
      </c>
      <c r="AN4" s="10">
        <v>3</v>
      </c>
      <c r="AO4" s="10">
        <v>13</v>
      </c>
      <c r="AP4" s="10">
        <v>3</v>
      </c>
      <c r="AQ4" s="10">
        <v>17</v>
      </c>
      <c r="AR4" s="10">
        <v>2</v>
      </c>
      <c r="AS4" s="10">
        <v>13</v>
      </c>
      <c r="AT4" s="10">
        <v>4</v>
      </c>
      <c r="AU4" s="10">
        <v>14</v>
      </c>
      <c r="AV4" s="10">
        <v>6</v>
      </c>
      <c r="AW4" s="10">
        <v>19</v>
      </c>
      <c r="AX4" s="10">
        <v>3</v>
      </c>
      <c r="AY4" s="10">
        <v>11</v>
      </c>
      <c r="AZ4" s="10">
        <v>3</v>
      </c>
      <c r="BA4" s="10">
        <v>10</v>
      </c>
      <c r="BB4" s="10">
        <v>2</v>
      </c>
      <c r="BC4" s="10">
        <v>13</v>
      </c>
      <c r="BD4" s="10">
        <v>5</v>
      </c>
      <c r="BE4" s="10">
        <v>15</v>
      </c>
      <c r="BF4" s="10">
        <v>3</v>
      </c>
      <c r="BG4" s="10">
        <v>17</v>
      </c>
      <c r="BH4" s="10">
        <v>6</v>
      </c>
      <c r="BI4" s="10">
        <v>16</v>
      </c>
      <c r="BJ4" s="10">
        <v>2</v>
      </c>
      <c r="BK4" s="10">
        <v>16</v>
      </c>
      <c r="BL4" s="10">
        <v>2</v>
      </c>
      <c r="BM4" s="10">
        <v>27</v>
      </c>
      <c r="BN4" s="10">
        <v>2</v>
      </c>
      <c r="BO4" s="10">
        <v>26</v>
      </c>
      <c r="BP4" s="10">
        <v>2</v>
      </c>
      <c r="BQ4" s="10">
        <v>11</v>
      </c>
      <c r="BR4" s="10">
        <v>1</v>
      </c>
      <c r="BS4" s="10">
        <v>24</v>
      </c>
      <c r="BT4" s="10">
        <v>1</v>
      </c>
      <c r="BU4" s="10">
        <v>15</v>
      </c>
      <c r="BV4" s="10">
        <v>5</v>
      </c>
      <c r="BW4" s="10">
        <v>20</v>
      </c>
      <c r="BX4" s="10">
        <v>3</v>
      </c>
      <c r="BY4" s="10">
        <v>17</v>
      </c>
      <c r="BZ4" s="10">
        <v>3</v>
      </c>
      <c r="CA4" s="10">
        <v>16</v>
      </c>
      <c r="CB4" s="10">
        <v>2</v>
      </c>
      <c r="CC4" s="10">
        <v>11</v>
      </c>
      <c r="CD4" s="10">
        <v>6</v>
      </c>
      <c r="CE4" s="10">
        <v>17</v>
      </c>
      <c r="CF4" s="10">
        <v>0</v>
      </c>
      <c r="CG4" s="10">
        <v>6</v>
      </c>
      <c r="CH4" s="10">
        <v>5</v>
      </c>
      <c r="CI4" s="10">
        <v>17</v>
      </c>
      <c r="CJ4" s="10">
        <v>3</v>
      </c>
      <c r="CK4" s="10">
        <v>15</v>
      </c>
      <c r="CL4" s="10">
        <v>5</v>
      </c>
      <c r="CM4" s="10">
        <v>17</v>
      </c>
      <c r="CN4" s="10">
        <v>2</v>
      </c>
      <c r="CO4" s="10">
        <v>10</v>
      </c>
      <c r="CP4" s="10">
        <v>1</v>
      </c>
      <c r="CQ4" s="10">
        <v>14</v>
      </c>
      <c r="CR4" s="10">
        <v>2</v>
      </c>
      <c r="CS4" s="10">
        <v>13</v>
      </c>
      <c r="CT4" s="10">
        <v>4</v>
      </c>
      <c r="CU4" s="10">
        <v>17</v>
      </c>
      <c r="CV4" s="10">
        <v>6</v>
      </c>
      <c r="CW4" s="10">
        <v>23</v>
      </c>
      <c r="CX4" s="10">
        <v>2</v>
      </c>
      <c r="CY4" s="10">
        <v>18</v>
      </c>
      <c r="CZ4" s="10">
        <v>1</v>
      </c>
      <c r="DA4" s="10">
        <v>8</v>
      </c>
      <c r="DB4" s="10">
        <v>5</v>
      </c>
      <c r="DC4" s="10">
        <v>13</v>
      </c>
      <c r="DD4" s="10">
        <v>2</v>
      </c>
      <c r="DE4" s="10">
        <v>11</v>
      </c>
      <c r="DF4" s="10">
        <v>5</v>
      </c>
      <c r="DG4" s="10">
        <v>12</v>
      </c>
      <c r="DH4" s="10">
        <v>4</v>
      </c>
      <c r="DI4" s="10">
        <v>17</v>
      </c>
      <c r="DJ4" s="10">
        <v>8</v>
      </c>
      <c r="DK4" s="10">
        <v>19</v>
      </c>
      <c r="DL4" s="10">
        <v>7</v>
      </c>
      <c r="DM4" s="10">
        <v>20</v>
      </c>
      <c r="DN4" s="10">
        <v>2</v>
      </c>
      <c r="DO4" s="10">
        <v>13</v>
      </c>
      <c r="DP4" s="10">
        <v>7</v>
      </c>
      <c r="DQ4" s="10">
        <v>15</v>
      </c>
      <c r="DR4" s="10">
        <v>2</v>
      </c>
      <c r="DS4" s="10">
        <v>11</v>
      </c>
      <c r="DT4" s="10">
        <v>3</v>
      </c>
      <c r="DU4" s="10">
        <v>13</v>
      </c>
      <c r="DV4" s="10">
        <v>2</v>
      </c>
      <c r="DW4" s="10">
        <v>11</v>
      </c>
      <c r="DX4" s="10">
        <v>0</v>
      </c>
      <c r="DY4" s="10">
        <v>7</v>
      </c>
      <c r="DZ4" s="10">
        <v>1</v>
      </c>
      <c r="EA4" s="10">
        <v>18</v>
      </c>
      <c r="EB4" s="10">
        <v>3</v>
      </c>
      <c r="EC4" s="10">
        <v>15</v>
      </c>
      <c r="ED4" s="10">
        <v>6</v>
      </c>
      <c r="EE4" s="10">
        <v>15</v>
      </c>
      <c r="EF4" s="10">
        <v>2</v>
      </c>
      <c r="EG4" s="11">
        <v>11</v>
      </c>
      <c r="EH4" s="12">
        <v>2</v>
      </c>
      <c r="EI4" s="10">
        <v>11</v>
      </c>
      <c r="EJ4" s="10">
        <v>2</v>
      </c>
      <c r="EK4" s="10">
        <v>17</v>
      </c>
      <c r="EL4" s="10">
        <v>4</v>
      </c>
      <c r="EM4" s="10">
        <v>22</v>
      </c>
      <c r="EN4" s="10">
        <v>1</v>
      </c>
      <c r="EO4" s="10">
        <v>11</v>
      </c>
      <c r="EP4" s="10">
        <v>2</v>
      </c>
      <c r="EQ4" s="10">
        <v>11</v>
      </c>
      <c r="ER4" s="10">
        <v>5</v>
      </c>
      <c r="ES4" s="10">
        <v>11</v>
      </c>
      <c r="ET4" s="10">
        <v>2</v>
      </c>
      <c r="EU4" s="10">
        <v>10</v>
      </c>
      <c r="EV4" s="10">
        <v>2</v>
      </c>
      <c r="EW4" s="10">
        <v>12</v>
      </c>
      <c r="EX4" s="10">
        <v>1</v>
      </c>
      <c r="EY4" s="10">
        <v>9</v>
      </c>
      <c r="EZ4" s="10">
        <v>2</v>
      </c>
      <c r="FA4" s="10">
        <v>12</v>
      </c>
      <c r="FB4" s="10">
        <v>4</v>
      </c>
      <c r="FC4" s="10">
        <v>15</v>
      </c>
      <c r="FD4" s="10">
        <v>1</v>
      </c>
      <c r="FE4" s="10">
        <v>12</v>
      </c>
      <c r="FF4" s="10">
        <v>4</v>
      </c>
      <c r="FG4" s="10">
        <v>9</v>
      </c>
      <c r="FH4" s="10">
        <v>3</v>
      </c>
      <c r="FI4" s="10">
        <v>10</v>
      </c>
      <c r="FJ4" s="10">
        <v>1</v>
      </c>
      <c r="FK4" s="13">
        <v>8</v>
      </c>
      <c r="FL4" s="13">
        <v>8</v>
      </c>
      <c r="FM4" s="10">
        <v>8</v>
      </c>
      <c r="FN4" s="10">
        <v>0</v>
      </c>
      <c r="FO4" s="10">
        <v>2</v>
      </c>
      <c r="FP4" s="10">
        <v>0</v>
      </c>
      <c r="FQ4" s="10">
        <v>1</v>
      </c>
      <c r="FR4" s="10">
        <v>0</v>
      </c>
      <c r="FS4" s="10">
        <v>2</v>
      </c>
      <c r="FT4" s="10">
        <v>0</v>
      </c>
      <c r="FU4" s="10">
        <v>3</v>
      </c>
      <c r="FV4" s="10">
        <v>3</v>
      </c>
      <c r="FW4" s="10">
        <v>5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2</v>
      </c>
      <c r="GD4" s="10">
        <v>0</v>
      </c>
      <c r="GE4" s="10">
        <v>2</v>
      </c>
      <c r="GF4" s="10">
        <v>1</v>
      </c>
      <c r="GG4" s="10">
        <v>2</v>
      </c>
      <c r="GH4" s="10">
        <v>0</v>
      </c>
      <c r="GI4" s="10">
        <v>0</v>
      </c>
      <c r="GJ4" s="10">
        <v>0</v>
      </c>
      <c r="GK4" s="10">
        <v>0</v>
      </c>
      <c r="GL4" s="10">
        <v>1</v>
      </c>
      <c r="GM4" s="10">
        <v>3</v>
      </c>
      <c r="GN4" s="10">
        <v>0</v>
      </c>
      <c r="GO4" s="10">
        <v>3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1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1</v>
      </c>
      <c r="HC4" s="10">
        <v>1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1</v>
      </c>
      <c r="HO4" s="10">
        <v>1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1</v>
      </c>
      <c r="HX4" s="10">
        <v>0</v>
      </c>
      <c r="HY4" s="10">
        <v>2</v>
      </c>
      <c r="HZ4" s="10">
        <v>0</v>
      </c>
      <c r="IA4" s="10">
        <v>0</v>
      </c>
      <c r="IB4" s="10">
        <v>0</v>
      </c>
      <c r="IC4" s="10">
        <v>1</v>
      </c>
      <c r="ID4" s="10">
        <v>1</v>
      </c>
      <c r="IE4" s="10">
        <v>2</v>
      </c>
      <c r="IF4" s="10">
        <v>0</v>
      </c>
      <c r="IG4" s="10">
        <v>2</v>
      </c>
      <c r="IH4" s="10">
        <v>0</v>
      </c>
      <c r="II4" s="10">
        <v>1</v>
      </c>
      <c r="IJ4" s="10">
        <v>0</v>
      </c>
      <c r="IK4" s="10">
        <v>0</v>
      </c>
      <c r="IL4" s="10">
        <v>0</v>
      </c>
      <c r="IM4" s="10">
        <v>1</v>
      </c>
      <c r="IN4" s="10">
        <v>0</v>
      </c>
      <c r="IO4" s="10">
        <v>0</v>
      </c>
      <c r="IP4" s="10">
        <v>0</v>
      </c>
      <c r="IQ4" s="10">
        <v>0</v>
      </c>
      <c r="IR4" s="10">
        <v>0</v>
      </c>
      <c r="IS4" s="10">
        <v>0</v>
      </c>
      <c r="IT4" s="10">
        <v>0</v>
      </c>
      <c r="IU4" s="10">
        <v>0</v>
      </c>
      <c r="IV4" s="10">
        <v>0</v>
      </c>
      <c r="IW4" s="10">
        <v>1</v>
      </c>
      <c r="IX4" s="10">
        <v>0</v>
      </c>
      <c r="IY4" s="10">
        <v>0</v>
      </c>
      <c r="IZ4" s="10">
        <v>0</v>
      </c>
      <c r="JA4" s="10">
        <v>0</v>
      </c>
      <c r="JB4" s="10">
        <v>0</v>
      </c>
      <c r="JC4" s="10">
        <v>0</v>
      </c>
      <c r="JD4" s="10">
        <v>0</v>
      </c>
      <c r="JE4" s="10">
        <v>0</v>
      </c>
    </row>
    <row r="5" spans="1:265" ht="42" x14ac:dyDescent="0.15">
      <c r="A5" s="7">
        <v>1.3</v>
      </c>
      <c r="B5" s="8" t="s">
        <v>8</v>
      </c>
      <c r="C5" s="14" t="s">
        <v>9</v>
      </c>
      <c r="D5" s="10">
        <v>16</v>
      </c>
      <c r="E5" s="10">
        <v>27</v>
      </c>
      <c r="F5" s="10">
        <v>6</v>
      </c>
      <c r="G5" s="10">
        <v>9</v>
      </c>
      <c r="H5" s="10">
        <v>3</v>
      </c>
      <c r="I5" s="10">
        <v>8</v>
      </c>
      <c r="J5" s="10">
        <v>9</v>
      </c>
      <c r="K5" s="10">
        <v>28</v>
      </c>
      <c r="L5" s="10">
        <v>6</v>
      </c>
      <c r="M5" s="10">
        <v>28</v>
      </c>
      <c r="N5" s="10">
        <v>10</v>
      </c>
      <c r="O5" s="10">
        <v>27</v>
      </c>
      <c r="P5" s="10">
        <v>1</v>
      </c>
      <c r="Q5" s="10">
        <v>4</v>
      </c>
      <c r="R5" s="10">
        <v>6</v>
      </c>
      <c r="S5" s="10">
        <v>23</v>
      </c>
      <c r="T5" s="10">
        <v>15</v>
      </c>
      <c r="U5" s="10">
        <v>38</v>
      </c>
      <c r="V5" s="10">
        <v>27</v>
      </c>
      <c r="W5" s="10">
        <v>42</v>
      </c>
      <c r="X5" s="10">
        <v>10</v>
      </c>
      <c r="Y5" s="10">
        <v>29</v>
      </c>
      <c r="Z5" s="10">
        <v>10</v>
      </c>
      <c r="AA5" s="10">
        <v>37</v>
      </c>
      <c r="AB5" s="10">
        <v>7</v>
      </c>
      <c r="AC5" s="10">
        <v>27</v>
      </c>
      <c r="AD5" s="10">
        <v>4</v>
      </c>
      <c r="AE5" s="10">
        <v>9</v>
      </c>
      <c r="AF5" s="10">
        <v>8</v>
      </c>
      <c r="AG5" s="10">
        <v>13</v>
      </c>
      <c r="AH5" s="10">
        <v>18</v>
      </c>
      <c r="AI5" s="10">
        <v>38</v>
      </c>
      <c r="AJ5" s="10">
        <v>7</v>
      </c>
      <c r="AK5" s="10">
        <v>21</v>
      </c>
      <c r="AL5" s="10">
        <v>7</v>
      </c>
      <c r="AM5" s="10">
        <v>15</v>
      </c>
      <c r="AN5" s="10">
        <v>7</v>
      </c>
      <c r="AO5" s="10">
        <v>16</v>
      </c>
      <c r="AP5" s="10">
        <v>11</v>
      </c>
      <c r="AQ5" s="10">
        <v>21</v>
      </c>
      <c r="AR5" s="10">
        <v>9</v>
      </c>
      <c r="AS5" s="10">
        <v>16</v>
      </c>
      <c r="AT5" s="10">
        <v>18</v>
      </c>
      <c r="AU5" s="10">
        <v>40</v>
      </c>
      <c r="AV5" s="10">
        <v>50</v>
      </c>
      <c r="AW5" s="10">
        <v>112</v>
      </c>
      <c r="AX5" s="10">
        <v>34</v>
      </c>
      <c r="AY5" s="10">
        <v>65</v>
      </c>
      <c r="AZ5" s="10">
        <v>12</v>
      </c>
      <c r="BA5" s="10">
        <v>47</v>
      </c>
      <c r="BB5" s="10">
        <v>43</v>
      </c>
      <c r="BC5" s="10">
        <v>78</v>
      </c>
      <c r="BD5" s="10">
        <v>20</v>
      </c>
      <c r="BE5" s="10">
        <v>59</v>
      </c>
      <c r="BF5" s="10">
        <v>29</v>
      </c>
      <c r="BG5" s="10">
        <v>72</v>
      </c>
      <c r="BH5" s="10">
        <v>28</v>
      </c>
      <c r="BI5" s="10">
        <v>76</v>
      </c>
      <c r="BJ5" s="10">
        <v>20</v>
      </c>
      <c r="BK5" s="10">
        <v>66</v>
      </c>
      <c r="BL5" s="10">
        <v>21</v>
      </c>
      <c r="BM5" s="10">
        <v>65</v>
      </c>
      <c r="BN5" s="10">
        <v>33</v>
      </c>
      <c r="BO5" s="10">
        <v>97</v>
      </c>
      <c r="BP5" s="10">
        <v>22</v>
      </c>
      <c r="BQ5" s="10">
        <v>70</v>
      </c>
      <c r="BR5" s="10">
        <v>24</v>
      </c>
      <c r="BS5" s="10">
        <v>70</v>
      </c>
      <c r="BT5" s="10">
        <v>27</v>
      </c>
      <c r="BU5" s="10">
        <v>95</v>
      </c>
      <c r="BV5" s="10">
        <v>23</v>
      </c>
      <c r="BW5" s="10">
        <v>66</v>
      </c>
      <c r="BX5" s="10">
        <v>32</v>
      </c>
      <c r="BY5" s="10">
        <v>75</v>
      </c>
      <c r="BZ5" s="10">
        <v>16</v>
      </c>
      <c r="CA5" s="10">
        <v>62</v>
      </c>
      <c r="CB5" s="10">
        <v>25</v>
      </c>
      <c r="CC5" s="10">
        <v>83</v>
      </c>
      <c r="CD5" s="10">
        <v>35</v>
      </c>
      <c r="CE5" s="10">
        <v>77</v>
      </c>
      <c r="CF5" s="10">
        <v>32</v>
      </c>
      <c r="CG5" s="10">
        <v>80</v>
      </c>
      <c r="CH5" s="10">
        <v>27</v>
      </c>
      <c r="CI5" s="10">
        <v>77</v>
      </c>
      <c r="CJ5" s="10">
        <v>17</v>
      </c>
      <c r="CK5" s="10">
        <v>54</v>
      </c>
      <c r="CL5" s="10">
        <v>50</v>
      </c>
      <c r="CM5" s="10">
        <v>140</v>
      </c>
      <c r="CN5" s="10">
        <v>35</v>
      </c>
      <c r="CO5" s="10">
        <v>90</v>
      </c>
      <c r="CP5" s="10">
        <v>41</v>
      </c>
      <c r="CQ5" s="10">
        <v>100</v>
      </c>
      <c r="CR5" s="10">
        <v>32</v>
      </c>
      <c r="CS5" s="10">
        <v>92</v>
      </c>
      <c r="CT5" s="10">
        <v>44</v>
      </c>
      <c r="CU5" s="10">
        <v>102</v>
      </c>
      <c r="CV5" s="10">
        <v>42</v>
      </c>
      <c r="CW5" s="10">
        <v>91</v>
      </c>
      <c r="CX5" s="10">
        <v>46</v>
      </c>
      <c r="CY5" s="10">
        <v>83</v>
      </c>
      <c r="CZ5" s="10">
        <v>42</v>
      </c>
      <c r="DA5" s="10">
        <v>76</v>
      </c>
      <c r="DB5" s="10">
        <v>56</v>
      </c>
      <c r="DC5" s="10">
        <v>115</v>
      </c>
      <c r="DD5" s="10">
        <v>66</v>
      </c>
      <c r="DE5" s="10">
        <v>119</v>
      </c>
      <c r="DF5" s="10">
        <v>45</v>
      </c>
      <c r="DG5" s="10">
        <v>94</v>
      </c>
      <c r="DH5" s="10">
        <v>51</v>
      </c>
      <c r="DI5" s="10">
        <v>91</v>
      </c>
      <c r="DJ5" s="10">
        <v>62</v>
      </c>
      <c r="DK5" s="10">
        <v>125</v>
      </c>
      <c r="DL5" s="10">
        <v>54</v>
      </c>
      <c r="DM5" s="10">
        <v>130</v>
      </c>
      <c r="DN5" s="10">
        <v>53</v>
      </c>
      <c r="DO5" s="10">
        <v>119</v>
      </c>
      <c r="DP5" s="10">
        <v>43</v>
      </c>
      <c r="DQ5" s="10">
        <v>84</v>
      </c>
      <c r="DR5" s="10">
        <v>43</v>
      </c>
      <c r="DS5" s="10">
        <v>77</v>
      </c>
      <c r="DT5" s="10">
        <v>64</v>
      </c>
      <c r="DU5" s="10">
        <v>100</v>
      </c>
      <c r="DV5" s="10">
        <v>29</v>
      </c>
      <c r="DW5" s="10">
        <v>75</v>
      </c>
      <c r="DX5" s="10">
        <v>26</v>
      </c>
      <c r="DY5" s="10">
        <v>72</v>
      </c>
      <c r="DZ5" s="10">
        <v>29</v>
      </c>
      <c r="EA5" s="10">
        <v>76</v>
      </c>
      <c r="EB5" s="10">
        <v>60</v>
      </c>
      <c r="EC5" s="10">
        <v>109</v>
      </c>
      <c r="ED5" s="10">
        <v>36</v>
      </c>
      <c r="EE5" s="10">
        <v>80</v>
      </c>
      <c r="EF5" s="10">
        <v>40</v>
      </c>
      <c r="EG5" s="11">
        <v>101</v>
      </c>
      <c r="EH5" s="12">
        <v>37</v>
      </c>
      <c r="EI5" s="10">
        <v>91</v>
      </c>
      <c r="EJ5" s="10">
        <v>56</v>
      </c>
      <c r="EK5" s="10">
        <v>115</v>
      </c>
      <c r="EL5" s="10">
        <v>34</v>
      </c>
      <c r="EM5" s="10">
        <v>97</v>
      </c>
      <c r="EN5" s="10">
        <v>56</v>
      </c>
      <c r="EO5" s="10">
        <v>102</v>
      </c>
      <c r="EP5" s="10">
        <v>59</v>
      </c>
      <c r="EQ5" s="10">
        <v>106</v>
      </c>
      <c r="ER5" s="10">
        <v>44</v>
      </c>
      <c r="ES5" s="10">
        <v>88</v>
      </c>
      <c r="ET5" s="10">
        <v>35</v>
      </c>
      <c r="EU5" s="10">
        <v>73</v>
      </c>
      <c r="EV5" s="10">
        <v>48</v>
      </c>
      <c r="EW5" s="10">
        <v>98</v>
      </c>
      <c r="EX5" s="10">
        <v>49</v>
      </c>
      <c r="EY5" s="10">
        <v>103</v>
      </c>
      <c r="EZ5" s="10">
        <v>35</v>
      </c>
      <c r="FA5" s="10">
        <v>66</v>
      </c>
      <c r="FB5" s="10">
        <v>48</v>
      </c>
      <c r="FC5" s="10">
        <v>104</v>
      </c>
      <c r="FD5" s="10">
        <v>42</v>
      </c>
      <c r="FE5" s="10">
        <v>99</v>
      </c>
      <c r="FF5" s="10">
        <v>50</v>
      </c>
      <c r="FG5" s="10">
        <v>95</v>
      </c>
      <c r="FH5" s="10">
        <v>37</v>
      </c>
      <c r="FI5" s="10">
        <v>84</v>
      </c>
      <c r="FJ5" s="10">
        <v>42</v>
      </c>
      <c r="FK5" s="13">
        <v>90</v>
      </c>
      <c r="FL5" s="13">
        <v>90</v>
      </c>
      <c r="FM5" s="10">
        <v>90</v>
      </c>
      <c r="FN5" s="10">
        <v>37</v>
      </c>
      <c r="FO5" s="10">
        <v>106</v>
      </c>
      <c r="FP5" s="10">
        <v>12</v>
      </c>
      <c r="FQ5" s="10">
        <v>25</v>
      </c>
      <c r="FR5" s="10">
        <v>13</v>
      </c>
      <c r="FS5" s="10">
        <v>17</v>
      </c>
      <c r="FT5" s="10">
        <v>5</v>
      </c>
      <c r="FU5" s="10">
        <v>13</v>
      </c>
      <c r="FV5" s="10">
        <v>5</v>
      </c>
      <c r="FW5" s="10">
        <v>20</v>
      </c>
      <c r="FX5" s="10">
        <v>2</v>
      </c>
      <c r="FY5" s="10">
        <v>6</v>
      </c>
      <c r="FZ5" s="10">
        <v>2</v>
      </c>
      <c r="GA5" s="10">
        <v>3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3</v>
      </c>
      <c r="GH5" s="10">
        <v>0</v>
      </c>
      <c r="GI5" s="10">
        <v>1</v>
      </c>
      <c r="GJ5" s="10">
        <v>1</v>
      </c>
      <c r="GK5" s="10">
        <v>2</v>
      </c>
      <c r="GL5" s="10">
        <v>0</v>
      </c>
      <c r="GM5" s="10">
        <v>1</v>
      </c>
      <c r="GN5" s="10">
        <v>1</v>
      </c>
      <c r="GO5" s="10">
        <v>5</v>
      </c>
      <c r="GP5" s="10">
        <v>1</v>
      </c>
      <c r="GQ5" s="10">
        <v>2</v>
      </c>
      <c r="GR5" s="10">
        <v>0</v>
      </c>
      <c r="GS5" s="10">
        <v>1</v>
      </c>
      <c r="GT5" s="10">
        <v>0</v>
      </c>
      <c r="GU5" s="10">
        <v>0</v>
      </c>
      <c r="GV5" s="10">
        <v>1</v>
      </c>
      <c r="GW5" s="10">
        <v>2</v>
      </c>
      <c r="GX5" s="10">
        <v>0</v>
      </c>
      <c r="GY5" s="10">
        <v>2</v>
      </c>
      <c r="GZ5" s="10">
        <v>0</v>
      </c>
      <c r="HA5" s="10">
        <v>2</v>
      </c>
      <c r="HB5" s="10">
        <v>1</v>
      </c>
      <c r="HC5" s="10">
        <v>1</v>
      </c>
      <c r="HD5" s="10">
        <v>0</v>
      </c>
      <c r="HE5" s="10">
        <v>1</v>
      </c>
      <c r="HF5" s="10">
        <v>0</v>
      </c>
      <c r="HG5" s="10">
        <v>0</v>
      </c>
      <c r="HH5" s="10">
        <v>0</v>
      </c>
      <c r="HI5" s="10">
        <v>1</v>
      </c>
      <c r="HJ5" s="10">
        <v>1</v>
      </c>
      <c r="HK5" s="10">
        <v>4</v>
      </c>
      <c r="HL5" s="10">
        <v>0</v>
      </c>
      <c r="HM5" s="10">
        <v>0</v>
      </c>
      <c r="HN5" s="10">
        <v>0</v>
      </c>
      <c r="HO5" s="10">
        <v>1</v>
      </c>
      <c r="HP5" s="10">
        <v>1</v>
      </c>
      <c r="HQ5" s="10">
        <v>4</v>
      </c>
      <c r="HR5" s="10">
        <v>0</v>
      </c>
      <c r="HS5" s="10">
        <v>0</v>
      </c>
      <c r="HT5" s="10">
        <v>1</v>
      </c>
      <c r="HU5" s="10">
        <v>1</v>
      </c>
      <c r="HV5" s="10">
        <v>0</v>
      </c>
      <c r="HW5" s="10">
        <v>0</v>
      </c>
      <c r="HX5" s="10">
        <v>0</v>
      </c>
      <c r="HY5" s="10">
        <v>1</v>
      </c>
      <c r="HZ5" s="10">
        <v>0</v>
      </c>
      <c r="IA5" s="10">
        <v>0</v>
      </c>
      <c r="IB5" s="10">
        <v>0</v>
      </c>
      <c r="IC5" s="10">
        <v>0</v>
      </c>
      <c r="ID5" s="10">
        <v>0</v>
      </c>
      <c r="IE5" s="10">
        <v>0</v>
      </c>
      <c r="IF5" s="10">
        <v>0</v>
      </c>
      <c r="IG5" s="10">
        <v>0</v>
      </c>
      <c r="IH5" s="10">
        <v>0</v>
      </c>
      <c r="II5" s="10">
        <v>0</v>
      </c>
      <c r="IJ5" s="10">
        <v>0</v>
      </c>
      <c r="IK5" s="10">
        <v>0</v>
      </c>
      <c r="IL5" s="10">
        <v>0</v>
      </c>
      <c r="IM5" s="10">
        <v>0</v>
      </c>
      <c r="IN5" s="10">
        <v>0</v>
      </c>
      <c r="IO5" s="10">
        <v>0</v>
      </c>
      <c r="IP5" s="10">
        <v>0</v>
      </c>
      <c r="IQ5" s="10">
        <v>0</v>
      </c>
      <c r="IR5" s="10">
        <v>0</v>
      </c>
      <c r="IS5" s="10">
        <v>0</v>
      </c>
      <c r="IT5" s="10">
        <v>0</v>
      </c>
      <c r="IU5" s="10">
        <v>0</v>
      </c>
      <c r="IV5" s="10">
        <v>0</v>
      </c>
      <c r="IW5" s="10">
        <v>0</v>
      </c>
      <c r="IX5" s="10">
        <v>0</v>
      </c>
      <c r="IY5" s="10">
        <v>0</v>
      </c>
      <c r="IZ5" s="10">
        <v>0</v>
      </c>
      <c r="JA5" s="10">
        <v>0</v>
      </c>
      <c r="JB5" s="10">
        <v>0</v>
      </c>
      <c r="JC5" s="10">
        <v>0</v>
      </c>
      <c r="JD5" s="10">
        <v>0</v>
      </c>
      <c r="JE5" s="10">
        <v>0</v>
      </c>
    </row>
    <row r="6" spans="1:265" ht="42" x14ac:dyDescent="0.15">
      <c r="A6" s="7">
        <v>1.4</v>
      </c>
      <c r="B6" s="8" t="s">
        <v>10</v>
      </c>
      <c r="C6" s="14" t="s">
        <v>11</v>
      </c>
      <c r="D6" s="10">
        <v>6</v>
      </c>
      <c r="E6" s="10">
        <v>20</v>
      </c>
      <c r="F6" s="10">
        <v>3</v>
      </c>
      <c r="G6" s="10">
        <v>8</v>
      </c>
      <c r="H6" s="10">
        <v>0</v>
      </c>
      <c r="I6" s="10">
        <v>5</v>
      </c>
      <c r="J6" s="10">
        <v>5</v>
      </c>
      <c r="K6" s="10">
        <v>17</v>
      </c>
      <c r="L6" s="10">
        <v>1</v>
      </c>
      <c r="M6" s="10">
        <v>8</v>
      </c>
      <c r="N6" s="10">
        <v>6</v>
      </c>
      <c r="O6" s="10">
        <v>16</v>
      </c>
      <c r="P6" s="10">
        <v>0</v>
      </c>
      <c r="Q6" s="10">
        <v>5</v>
      </c>
      <c r="R6" s="10">
        <v>2</v>
      </c>
      <c r="S6" s="10">
        <v>13</v>
      </c>
      <c r="T6" s="10">
        <v>3</v>
      </c>
      <c r="U6" s="10">
        <v>10</v>
      </c>
      <c r="V6" s="10">
        <v>5</v>
      </c>
      <c r="W6" s="10">
        <v>15</v>
      </c>
      <c r="X6" s="10">
        <v>3</v>
      </c>
      <c r="Y6" s="10">
        <v>9</v>
      </c>
      <c r="Z6" s="10">
        <v>6</v>
      </c>
      <c r="AA6" s="10">
        <v>20</v>
      </c>
      <c r="AB6" s="10">
        <v>3</v>
      </c>
      <c r="AC6" s="10">
        <v>7</v>
      </c>
      <c r="AD6" s="10">
        <v>1</v>
      </c>
      <c r="AE6" s="10">
        <v>4</v>
      </c>
      <c r="AF6" s="10">
        <v>2</v>
      </c>
      <c r="AG6" s="10">
        <v>5</v>
      </c>
      <c r="AH6" s="10">
        <v>4</v>
      </c>
      <c r="AI6" s="10">
        <v>6</v>
      </c>
      <c r="AJ6" s="10">
        <v>4</v>
      </c>
      <c r="AK6" s="10">
        <v>10</v>
      </c>
      <c r="AL6" s="10">
        <v>2</v>
      </c>
      <c r="AM6" s="10">
        <v>7</v>
      </c>
      <c r="AN6" s="10">
        <v>1</v>
      </c>
      <c r="AO6" s="10">
        <v>4</v>
      </c>
      <c r="AP6" s="10">
        <v>2</v>
      </c>
      <c r="AQ6" s="10">
        <v>7</v>
      </c>
      <c r="AR6" s="10">
        <v>0</v>
      </c>
      <c r="AS6" s="10">
        <v>3</v>
      </c>
      <c r="AT6" s="10">
        <v>6</v>
      </c>
      <c r="AU6" s="10">
        <v>19</v>
      </c>
      <c r="AV6" s="10">
        <v>14</v>
      </c>
      <c r="AW6" s="10">
        <v>44</v>
      </c>
      <c r="AX6" s="10">
        <v>7</v>
      </c>
      <c r="AY6" s="10">
        <v>35</v>
      </c>
      <c r="AZ6" s="10">
        <v>3</v>
      </c>
      <c r="BA6" s="10">
        <v>25</v>
      </c>
      <c r="BB6" s="10">
        <v>6</v>
      </c>
      <c r="BC6" s="10">
        <v>35</v>
      </c>
      <c r="BD6" s="10">
        <v>4</v>
      </c>
      <c r="BE6" s="10">
        <v>15</v>
      </c>
      <c r="BF6" s="10">
        <v>5</v>
      </c>
      <c r="BG6" s="10">
        <v>47</v>
      </c>
      <c r="BH6" s="10">
        <v>1</v>
      </c>
      <c r="BI6" s="10">
        <v>30</v>
      </c>
      <c r="BJ6" s="10">
        <v>2</v>
      </c>
      <c r="BK6" s="10">
        <v>32</v>
      </c>
      <c r="BL6" s="10">
        <v>3</v>
      </c>
      <c r="BM6" s="10">
        <v>35</v>
      </c>
      <c r="BN6" s="10">
        <v>7</v>
      </c>
      <c r="BO6" s="10">
        <v>38</v>
      </c>
      <c r="BP6" s="10">
        <v>6</v>
      </c>
      <c r="BQ6" s="10">
        <v>29</v>
      </c>
      <c r="BR6" s="10">
        <v>5</v>
      </c>
      <c r="BS6" s="10">
        <v>35</v>
      </c>
      <c r="BT6" s="10">
        <v>7</v>
      </c>
      <c r="BU6" s="10">
        <v>40</v>
      </c>
      <c r="BV6" s="10">
        <v>5</v>
      </c>
      <c r="BW6" s="10">
        <v>33</v>
      </c>
      <c r="BX6" s="10">
        <v>9</v>
      </c>
      <c r="BY6" s="10">
        <v>37</v>
      </c>
      <c r="BZ6" s="10">
        <v>6</v>
      </c>
      <c r="CA6" s="10">
        <v>33</v>
      </c>
      <c r="CB6" s="10">
        <v>7</v>
      </c>
      <c r="CC6" s="10">
        <v>27</v>
      </c>
      <c r="CD6" s="10">
        <v>8</v>
      </c>
      <c r="CE6" s="10">
        <v>38</v>
      </c>
      <c r="CF6" s="10">
        <v>10</v>
      </c>
      <c r="CG6" s="10">
        <v>33</v>
      </c>
      <c r="CH6" s="10">
        <v>8</v>
      </c>
      <c r="CI6" s="10">
        <v>36</v>
      </c>
      <c r="CJ6" s="10">
        <v>3</v>
      </c>
      <c r="CK6" s="10">
        <v>36</v>
      </c>
      <c r="CL6" s="10">
        <v>19</v>
      </c>
      <c r="CM6" s="10">
        <v>53</v>
      </c>
      <c r="CN6" s="10">
        <v>9</v>
      </c>
      <c r="CO6" s="10">
        <v>30</v>
      </c>
      <c r="CP6" s="10">
        <v>7</v>
      </c>
      <c r="CQ6" s="10">
        <v>34</v>
      </c>
      <c r="CR6" s="10">
        <v>4</v>
      </c>
      <c r="CS6" s="10">
        <v>41</v>
      </c>
      <c r="CT6" s="10">
        <v>13</v>
      </c>
      <c r="CU6" s="10">
        <v>36</v>
      </c>
      <c r="CV6" s="10">
        <v>4</v>
      </c>
      <c r="CW6" s="10">
        <v>35</v>
      </c>
      <c r="CX6" s="10">
        <v>12</v>
      </c>
      <c r="CY6" s="10">
        <v>41</v>
      </c>
      <c r="CZ6" s="10">
        <v>12</v>
      </c>
      <c r="DA6" s="10">
        <v>33</v>
      </c>
      <c r="DB6" s="10">
        <v>14</v>
      </c>
      <c r="DC6" s="10">
        <v>46</v>
      </c>
      <c r="DD6" s="10">
        <v>5</v>
      </c>
      <c r="DE6" s="10">
        <v>28</v>
      </c>
      <c r="DF6" s="10">
        <v>10</v>
      </c>
      <c r="DG6" s="10">
        <v>38</v>
      </c>
      <c r="DH6" s="10">
        <v>11</v>
      </c>
      <c r="DI6" s="10">
        <v>38</v>
      </c>
      <c r="DJ6" s="10">
        <v>13</v>
      </c>
      <c r="DK6" s="10">
        <v>39</v>
      </c>
      <c r="DL6" s="10">
        <v>13</v>
      </c>
      <c r="DM6" s="10">
        <v>43</v>
      </c>
      <c r="DN6" s="10">
        <v>12</v>
      </c>
      <c r="DO6" s="10">
        <v>43</v>
      </c>
      <c r="DP6" s="10">
        <v>9</v>
      </c>
      <c r="DQ6" s="10">
        <v>34</v>
      </c>
      <c r="DR6" s="10">
        <v>8</v>
      </c>
      <c r="DS6" s="10">
        <v>35</v>
      </c>
      <c r="DT6" s="10">
        <v>9</v>
      </c>
      <c r="DU6" s="10">
        <v>36</v>
      </c>
      <c r="DV6" s="10">
        <v>4</v>
      </c>
      <c r="DW6" s="10">
        <v>15</v>
      </c>
      <c r="DX6" s="10">
        <v>5</v>
      </c>
      <c r="DY6" s="10">
        <v>32</v>
      </c>
      <c r="DZ6" s="10">
        <v>12</v>
      </c>
      <c r="EA6" s="10">
        <v>45</v>
      </c>
      <c r="EB6" s="10">
        <v>5</v>
      </c>
      <c r="EC6" s="10">
        <v>25</v>
      </c>
      <c r="ED6" s="10">
        <v>6</v>
      </c>
      <c r="EE6" s="10">
        <v>33</v>
      </c>
      <c r="EF6" s="10">
        <v>4</v>
      </c>
      <c r="EG6" s="11">
        <v>37</v>
      </c>
      <c r="EH6" s="12">
        <v>6</v>
      </c>
      <c r="EI6" s="10">
        <v>36</v>
      </c>
      <c r="EJ6" s="10">
        <v>9</v>
      </c>
      <c r="EK6" s="10">
        <v>48</v>
      </c>
      <c r="EL6" s="10">
        <v>9</v>
      </c>
      <c r="EM6" s="10">
        <v>35</v>
      </c>
      <c r="EN6" s="10">
        <v>3</v>
      </c>
      <c r="EO6" s="10">
        <v>31</v>
      </c>
      <c r="EP6" s="10">
        <v>5</v>
      </c>
      <c r="EQ6" s="10">
        <v>22</v>
      </c>
      <c r="ER6" s="10">
        <v>9</v>
      </c>
      <c r="ES6" s="10">
        <v>19</v>
      </c>
      <c r="ET6" s="10">
        <v>7</v>
      </c>
      <c r="EU6" s="10">
        <v>25</v>
      </c>
      <c r="EV6" s="10">
        <v>2</v>
      </c>
      <c r="EW6" s="10">
        <v>35</v>
      </c>
      <c r="EX6" s="10">
        <v>8</v>
      </c>
      <c r="EY6" s="10">
        <v>36</v>
      </c>
      <c r="EZ6" s="10">
        <v>5</v>
      </c>
      <c r="FA6" s="10">
        <v>29</v>
      </c>
      <c r="FB6" s="10">
        <v>9</v>
      </c>
      <c r="FC6" s="10">
        <v>28</v>
      </c>
      <c r="FD6" s="10">
        <v>2</v>
      </c>
      <c r="FE6" s="10">
        <v>33</v>
      </c>
      <c r="FF6" s="10">
        <v>13</v>
      </c>
      <c r="FG6" s="10">
        <v>47</v>
      </c>
      <c r="FH6" s="10">
        <v>5</v>
      </c>
      <c r="FI6" s="10">
        <v>37</v>
      </c>
      <c r="FJ6" s="10">
        <v>1</v>
      </c>
      <c r="FK6" s="13">
        <v>19</v>
      </c>
      <c r="FL6" s="13">
        <v>19</v>
      </c>
      <c r="FM6" s="10">
        <v>19</v>
      </c>
      <c r="FN6" s="10">
        <v>2</v>
      </c>
      <c r="FO6" s="10">
        <v>24</v>
      </c>
      <c r="FP6" s="10">
        <v>6</v>
      </c>
      <c r="FQ6" s="10">
        <v>22</v>
      </c>
      <c r="FR6" s="10">
        <v>4</v>
      </c>
      <c r="FS6" s="10">
        <v>21</v>
      </c>
      <c r="FT6" s="10">
        <v>1</v>
      </c>
      <c r="FU6" s="10">
        <v>32</v>
      </c>
      <c r="FV6" s="10">
        <v>2</v>
      </c>
      <c r="FW6" s="10">
        <v>17</v>
      </c>
      <c r="FX6" s="10">
        <v>3</v>
      </c>
      <c r="FY6" s="10">
        <v>20</v>
      </c>
      <c r="FZ6" s="10">
        <v>1</v>
      </c>
      <c r="GA6" s="10">
        <v>10</v>
      </c>
      <c r="GB6" s="10">
        <v>2</v>
      </c>
      <c r="GC6" s="10">
        <v>20</v>
      </c>
      <c r="GD6" s="10">
        <v>5</v>
      </c>
      <c r="GE6" s="10">
        <v>18</v>
      </c>
      <c r="GF6" s="10">
        <v>3</v>
      </c>
      <c r="GG6" s="10">
        <v>20</v>
      </c>
      <c r="GH6" s="10">
        <v>4</v>
      </c>
      <c r="GI6" s="10">
        <v>15</v>
      </c>
      <c r="GJ6" s="10">
        <v>0</v>
      </c>
      <c r="GK6" s="10">
        <v>10</v>
      </c>
      <c r="GL6" s="10">
        <v>5</v>
      </c>
      <c r="GM6" s="10">
        <v>16</v>
      </c>
      <c r="GN6" s="10">
        <v>1</v>
      </c>
      <c r="GO6" s="10">
        <v>16</v>
      </c>
      <c r="GP6" s="10">
        <v>0</v>
      </c>
      <c r="GQ6" s="10">
        <v>6</v>
      </c>
      <c r="GR6" s="10">
        <v>2</v>
      </c>
      <c r="GS6" s="10">
        <v>10</v>
      </c>
      <c r="GT6" s="10">
        <v>0</v>
      </c>
      <c r="GU6" s="10">
        <v>13</v>
      </c>
      <c r="GV6" s="10">
        <v>2</v>
      </c>
      <c r="GW6" s="10">
        <v>11</v>
      </c>
      <c r="GX6" s="10">
        <v>1</v>
      </c>
      <c r="GY6" s="10">
        <v>9</v>
      </c>
      <c r="GZ6" s="10">
        <v>1</v>
      </c>
      <c r="HA6" s="10">
        <v>9</v>
      </c>
      <c r="HB6" s="10">
        <v>2</v>
      </c>
      <c r="HC6" s="10">
        <v>13</v>
      </c>
      <c r="HD6" s="10">
        <v>3</v>
      </c>
      <c r="HE6" s="10">
        <v>16</v>
      </c>
      <c r="HF6" s="10">
        <v>1</v>
      </c>
      <c r="HG6" s="10">
        <v>15</v>
      </c>
      <c r="HH6" s="10">
        <v>0</v>
      </c>
      <c r="HI6" s="10">
        <v>4</v>
      </c>
      <c r="HJ6" s="10">
        <v>2</v>
      </c>
      <c r="HK6" s="10">
        <v>11</v>
      </c>
      <c r="HL6" s="10">
        <v>0</v>
      </c>
      <c r="HM6" s="10">
        <v>6</v>
      </c>
      <c r="HN6" s="10">
        <v>0</v>
      </c>
      <c r="HO6" s="10">
        <v>5</v>
      </c>
      <c r="HP6" s="10">
        <v>0</v>
      </c>
      <c r="HQ6" s="10">
        <v>5</v>
      </c>
      <c r="HR6" s="10">
        <v>1</v>
      </c>
      <c r="HS6" s="10">
        <v>6</v>
      </c>
      <c r="HT6" s="10">
        <v>0</v>
      </c>
      <c r="HU6" s="10">
        <v>3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>
        <v>0</v>
      </c>
      <c r="IC6" s="10">
        <v>5</v>
      </c>
      <c r="ID6" s="10">
        <v>1</v>
      </c>
      <c r="IE6" s="10">
        <v>1</v>
      </c>
      <c r="IF6" s="10">
        <v>1</v>
      </c>
      <c r="IG6" s="10">
        <v>1</v>
      </c>
      <c r="IH6" s="10">
        <v>0</v>
      </c>
      <c r="II6" s="10">
        <v>2</v>
      </c>
      <c r="IJ6" s="10">
        <v>0</v>
      </c>
      <c r="IK6" s="10">
        <v>1</v>
      </c>
      <c r="IL6" s="10">
        <v>0</v>
      </c>
      <c r="IM6" s="10">
        <v>1</v>
      </c>
      <c r="IN6" s="10">
        <v>0</v>
      </c>
      <c r="IO6" s="10">
        <v>0</v>
      </c>
      <c r="IP6" s="10">
        <v>0</v>
      </c>
      <c r="IQ6" s="10">
        <v>2</v>
      </c>
      <c r="IR6" s="10">
        <v>1</v>
      </c>
      <c r="IS6" s="10">
        <v>1</v>
      </c>
      <c r="IT6" s="10">
        <v>0</v>
      </c>
      <c r="IU6" s="10">
        <v>1</v>
      </c>
      <c r="IV6" s="10">
        <v>1</v>
      </c>
      <c r="IW6" s="10">
        <v>3</v>
      </c>
      <c r="IX6" s="10">
        <v>0</v>
      </c>
      <c r="IY6" s="10">
        <v>0</v>
      </c>
      <c r="IZ6" s="10">
        <v>0</v>
      </c>
      <c r="JA6" s="10">
        <v>0</v>
      </c>
      <c r="JB6" s="10">
        <v>0</v>
      </c>
      <c r="JC6" s="10">
        <v>0</v>
      </c>
      <c r="JD6" s="10">
        <v>0</v>
      </c>
      <c r="JE6" s="10">
        <v>0</v>
      </c>
    </row>
    <row r="7" spans="1:265" ht="42" x14ac:dyDescent="0.15">
      <c r="A7" s="7">
        <v>1.5</v>
      </c>
      <c r="B7" s="8" t="s">
        <v>12</v>
      </c>
      <c r="C7" s="9" t="s">
        <v>13</v>
      </c>
      <c r="D7" s="10">
        <v>3</v>
      </c>
      <c r="E7" s="10">
        <v>11</v>
      </c>
      <c r="F7" s="10">
        <v>3</v>
      </c>
      <c r="G7" s="10">
        <v>6</v>
      </c>
      <c r="H7" s="10">
        <v>1</v>
      </c>
      <c r="I7" s="10">
        <v>3</v>
      </c>
      <c r="J7" s="10">
        <v>3</v>
      </c>
      <c r="K7" s="10">
        <v>14</v>
      </c>
      <c r="L7" s="10">
        <v>2</v>
      </c>
      <c r="M7" s="10">
        <v>5</v>
      </c>
      <c r="N7" s="10">
        <v>1</v>
      </c>
      <c r="O7" s="10">
        <v>11</v>
      </c>
      <c r="P7" s="10">
        <v>0</v>
      </c>
      <c r="Q7" s="10">
        <v>3</v>
      </c>
      <c r="R7" s="10">
        <v>0</v>
      </c>
      <c r="S7" s="10">
        <v>9</v>
      </c>
      <c r="T7" s="10">
        <v>6</v>
      </c>
      <c r="U7" s="10">
        <v>26</v>
      </c>
      <c r="V7" s="10">
        <v>2</v>
      </c>
      <c r="W7" s="10">
        <v>14</v>
      </c>
      <c r="X7" s="10">
        <v>1</v>
      </c>
      <c r="Y7" s="10">
        <v>14</v>
      </c>
      <c r="Z7" s="10">
        <v>3</v>
      </c>
      <c r="AA7" s="10">
        <v>9</v>
      </c>
      <c r="AB7" s="10">
        <v>1</v>
      </c>
      <c r="AC7" s="10">
        <v>11</v>
      </c>
      <c r="AD7" s="10">
        <v>0</v>
      </c>
      <c r="AE7" s="10">
        <v>10</v>
      </c>
      <c r="AF7" s="10">
        <v>0</v>
      </c>
      <c r="AG7" s="10">
        <v>3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</v>
      </c>
      <c r="AS7" s="10">
        <v>7</v>
      </c>
      <c r="AT7" s="10">
        <v>1</v>
      </c>
      <c r="AU7" s="10">
        <v>8</v>
      </c>
      <c r="AV7" s="10">
        <v>2</v>
      </c>
      <c r="AW7" s="10">
        <v>11</v>
      </c>
      <c r="AX7" s="10">
        <v>1</v>
      </c>
      <c r="AY7" s="10">
        <v>3</v>
      </c>
      <c r="AZ7" s="10">
        <v>0</v>
      </c>
      <c r="BA7" s="10">
        <v>7</v>
      </c>
      <c r="BB7" s="10">
        <v>0</v>
      </c>
      <c r="BC7" s="10">
        <v>1</v>
      </c>
      <c r="BD7" s="10">
        <v>1</v>
      </c>
      <c r="BE7" s="10">
        <v>1</v>
      </c>
      <c r="BF7" s="10">
        <v>0</v>
      </c>
      <c r="BG7" s="10">
        <v>9</v>
      </c>
      <c r="BH7" s="10">
        <v>0</v>
      </c>
      <c r="BI7" s="10">
        <v>4</v>
      </c>
      <c r="BJ7" s="10">
        <v>0</v>
      </c>
      <c r="BK7" s="10">
        <v>6</v>
      </c>
      <c r="BL7" s="10">
        <f>0+1</f>
        <v>1</v>
      </c>
      <c r="BM7" s="10">
        <v>6</v>
      </c>
      <c r="BN7" s="10">
        <v>1</v>
      </c>
      <c r="BO7" s="10">
        <v>7</v>
      </c>
      <c r="BP7" s="10">
        <v>0</v>
      </c>
      <c r="BQ7" s="10">
        <v>5</v>
      </c>
      <c r="BR7" s="10">
        <v>0</v>
      </c>
      <c r="BS7" s="10">
        <v>2</v>
      </c>
      <c r="BT7" s="10">
        <v>2</v>
      </c>
      <c r="BU7" s="10">
        <v>9</v>
      </c>
      <c r="BV7" s="10">
        <v>0</v>
      </c>
      <c r="BW7" s="10">
        <v>6</v>
      </c>
      <c r="BX7" s="10">
        <v>1</v>
      </c>
      <c r="BY7" s="10">
        <v>4</v>
      </c>
      <c r="BZ7" s="10">
        <v>0</v>
      </c>
      <c r="CA7" s="10">
        <v>4</v>
      </c>
      <c r="CB7" s="10">
        <v>4</v>
      </c>
      <c r="CC7" s="10">
        <v>8</v>
      </c>
      <c r="CD7" s="10">
        <v>1</v>
      </c>
      <c r="CE7" s="10">
        <v>3</v>
      </c>
      <c r="CF7" s="10">
        <v>0</v>
      </c>
      <c r="CG7" s="10">
        <v>4</v>
      </c>
      <c r="CH7" s="10">
        <v>0</v>
      </c>
      <c r="CI7" s="10">
        <v>5</v>
      </c>
      <c r="CJ7" s="10">
        <v>1</v>
      </c>
      <c r="CK7" s="10">
        <v>5</v>
      </c>
      <c r="CL7" s="10">
        <v>1</v>
      </c>
      <c r="CM7" s="10">
        <v>5</v>
      </c>
      <c r="CN7" s="10">
        <v>1</v>
      </c>
      <c r="CO7" s="10">
        <v>9</v>
      </c>
      <c r="CP7" s="10">
        <v>0</v>
      </c>
      <c r="CQ7" s="10">
        <v>7</v>
      </c>
      <c r="CR7" s="10">
        <v>1</v>
      </c>
      <c r="CS7" s="10">
        <v>2</v>
      </c>
      <c r="CT7" s="10">
        <v>0</v>
      </c>
      <c r="CU7" s="10">
        <v>2</v>
      </c>
      <c r="CV7" s="10">
        <v>0</v>
      </c>
      <c r="CW7" s="10">
        <v>5</v>
      </c>
      <c r="CX7" s="15">
        <v>1</v>
      </c>
      <c r="CY7" s="10">
        <v>5</v>
      </c>
      <c r="CZ7" s="10">
        <v>0</v>
      </c>
      <c r="DA7" s="10">
        <v>3</v>
      </c>
      <c r="DB7" s="10">
        <v>1</v>
      </c>
      <c r="DC7" s="10">
        <v>5</v>
      </c>
      <c r="DD7" s="10">
        <v>0</v>
      </c>
      <c r="DE7" s="10">
        <v>2</v>
      </c>
      <c r="DF7" s="10">
        <v>1</v>
      </c>
      <c r="DG7" s="10">
        <v>3</v>
      </c>
      <c r="DH7" s="10">
        <v>1</v>
      </c>
      <c r="DI7" s="10">
        <v>6</v>
      </c>
      <c r="DJ7" s="10">
        <v>0</v>
      </c>
      <c r="DK7" s="10">
        <v>5</v>
      </c>
      <c r="DL7" s="10">
        <v>2</v>
      </c>
      <c r="DM7" s="10">
        <v>7</v>
      </c>
      <c r="DN7" s="10">
        <v>0</v>
      </c>
      <c r="DO7" s="10">
        <v>2</v>
      </c>
      <c r="DP7" s="10">
        <v>1</v>
      </c>
      <c r="DQ7" s="10">
        <v>3</v>
      </c>
      <c r="DR7" s="10">
        <v>0</v>
      </c>
      <c r="DS7" s="10">
        <v>5</v>
      </c>
      <c r="DT7" s="10">
        <v>1</v>
      </c>
      <c r="DU7" s="10">
        <v>6</v>
      </c>
      <c r="DV7" s="10">
        <v>0</v>
      </c>
      <c r="DW7" s="10">
        <v>3</v>
      </c>
      <c r="DX7" s="10">
        <v>0</v>
      </c>
      <c r="DY7" s="10">
        <v>4</v>
      </c>
      <c r="DZ7" s="10">
        <v>0</v>
      </c>
      <c r="EA7" s="10">
        <v>4</v>
      </c>
      <c r="EB7" s="10">
        <v>1</v>
      </c>
      <c r="EC7" s="10">
        <v>6</v>
      </c>
      <c r="ED7" s="10">
        <v>1</v>
      </c>
      <c r="EE7" s="10">
        <v>5</v>
      </c>
      <c r="EF7" s="10">
        <v>0</v>
      </c>
      <c r="EG7" s="11">
        <v>1</v>
      </c>
      <c r="EH7" s="12">
        <v>0</v>
      </c>
      <c r="EI7" s="10">
        <v>5</v>
      </c>
      <c r="EJ7" s="10">
        <v>1</v>
      </c>
      <c r="EK7" s="10">
        <v>8</v>
      </c>
      <c r="EL7" s="10">
        <v>1</v>
      </c>
      <c r="EM7" s="10">
        <v>3</v>
      </c>
      <c r="EN7" s="10">
        <v>0</v>
      </c>
      <c r="EO7" s="10">
        <v>2</v>
      </c>
      <c r="EP7" s="10">
        <v>0</v>
      </c>
      <c r="EQ7" s="10">
        <v>3</v>
      </c>
      <c r="ER7" s="10">
        <v>0</v>
      </c>
      <c r="ES7" s="10">
        <v>3</v>
      </c>
      <c r="ET7" s="10">
        <v>1</v>
      </c>
      <c r="EU7" s="10">
        <v>4</v>
      </c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3"/>
      <c r="FL7" s="13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</row>
    <row r="8" spans="1:265" ht="42" x14ac:dyDescent="0.15">
      <c r="A8" s="7">
        <v>1.6</v>
      </c>
      <c r="B8" s="8" t="s">
        <v>14</v>
      </c>
      <c r="C8" s="9" t="s">
        <v>15</v>
      </c>
      <c r="D8" s="10">
        <v>0</v>
      </c>
      <c r="E8" s="10">
        <v>2</v>
      </c>
      <c r="F8" s="10">
        <v>0</v>
      </c>
      <c r="G8" s="10">
        <v>4</v>
      </c>
      <c r="H8" s="10">
        <v>0</v>
      </c>
      <c r="I8" s="10">
        <v>8</v>
      </c>
      <c r="J8" s="10">
        <v>0</v>
      </c>
      <c r="K8" s="10">
        <v>3</v>
      </c>
      <c r="L8" s="10">
        <v>1</v>
      </c>
      <c r="M8" s="10">
        <v>14</v>
      </c>
      <c r="N8" s="10">
        <v>0</v>
      </c>
      <c r="O8" s="10">
        <v>57</v>
      </c>
      <c r="P8" s="10">
        <v>0</v>
      </c>
      <c r="Q8" s="10">
        <v>20</v>
      </c>
      <c r="R8" s="10">
        <v>0</v>
      </c>
      <c r="S8" s="10">
        <v>43</v>
      </c>
      <c r="T8" s="10">
        <v>0</v>
      </c>
      <c r="U8" s="10">
        <v>47</v>
      </c>
      <c r="V8" s="10">
        <v>0</v>
      </c>
      <c r="W8" s="10">
        <v>27</v>
      </c>
      <c r="X8" s="10">
        <v>0</v>
      </c>
      <c r="Y8" s="10">
        <v>33</v>
      </c>
      <c r="Z8" s="10">
        <v>0</v>
      </c>
      <c r="AA8" s="10">
        <v>2</v>
      </c>
      <c r="AB8" s="10">
        <v>0</v>
      </c>
      <c r="AC8" s="10">
        <v>5</v>
      </c>
      <c r="AD8" s="10">
        <v>0</v>
      </c>
      <c r="AE8" s="10">
        <v>2</v>
      </c>
      <c r="AF8" s="10">
        <v>0</v>
      </c>
      <c r="AG8" s="10">
        <v>6</v>
      </c>
      <c r="AH8" s="10">
        <v>0</v>
      </c>
      <c r="AI8" s="10">
        <v>12</v>
      </c>
      <c r="AJ8" s="10">
        <v>0</v>
      </c>
      <c r="AK8" s="10">
        <v>9</v>
      </c>
      <c r="AL8" s="10">
        <v>0</v>
      </c>
      <c r="AM8" s="10">
        <v>13</v>
      </c>
      <c r="AN8" s="10">
        <v>0</v>
      </c>
      <c r="AO8" s="10">
        <v>8</v>
      </c>
      <c r="AP8" s="10">
        <v>0</v>
      </c>
      <c r="AQ8" s="10">
        <v>13</v>
      </c>
      <c r="AR8" s="10">
        <v>0</v>
      </c>
      <c r="AS8" s="10">
        <v>0</v>
      </c>
      <c r="AT8" s="10">
        <v>0</v>
      </c>
      <c r="AU8" s="10">
        <v>9</v>
      </c>
      <c r="AV8" s="10">
        <v>0</v>
      </c>
      <c r="AW8" s="10">
        <v>9</v>
      </c>
      <c r="AX8" s="10">
        <v>0</v>
      </c>
      <c r="AY8" s="10">
        <v>8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82</v>
      </c>
      <c r="CB8" s="10">
        <v>0</v>
      </c>
      <c r="CC8" s="10">
        <v>88</v>
      </c>
      <c r="CD8" s="10">
        <v>1</v>
      </c>
      <c r="CE8" s="10">
        <v>103</v>
      </c>
      <c r="CF8" s="10">
        <v>0</v>
      </c>
      <c r="CG8" s="10">
        <v>105</v>
      </c>
      <c r="CH8" s="10">
        <v>2</v>
      </c>
      <c r="CI8" s="10">
        <v>87</v>
      </c>
      <c r="CJ8" s="10">
        <v>1</v>
      </c>
      <c r="CK8" s="10">
        <v>99</v>
      </c>
      <c r="CL8" s="10">
        <v>0</v>
      </c>
      <c r="CM8" s="10">
        <v>148</v>
      </c>
      <c r="CN8" s="10">
        <v>2</v>
      </c>
      <c r="CO8" s="10">
        <v>145</v>
      </c>
      <c r="CP8" s="10">
        <v>1</v>
      </c>
      <c r="CQ8" s="10">
        <v>162</v>
      </c>
      <c r="CR8" s="10">
        <v>0</v>
      </c>
      <c r="CS8" s="10">
        <v>163</v>
      </c>
      <c r="CT8" s="10">
        <v>1</v>
      </c>
      <c r="CU8" s="10">
        <v>136</v>
      </c>
      <c r="CV8" s="10">
        <v>1</v>
      </c>
      <c r="CW8" s="10">
        <v>125</v>
      </c>
      <c r="CX8" s="10">
        <v>3</v>
      </c>
      <c r="CY8" s="10">
        <v>192</v>
      </c>
      <c r="CZ8" s="10">
        <v>1</v>
      </c>
      <c r="DA8" s="10">
        <v>233</v>
      </c>
      <c r="DB8" s="10">
        <v>0</v>
      </c>
      <c r="DC8" s="10">
        <v>219</v>
      </c>
      <c r="DD8" s="10">
        <v>0</v>
      </c>
      <c r="DE8" s="10">
        <v>241</v>
      </c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7"/>
      <c r="EH8" s="18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3"/>
      <c r="FL8" s="13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</row>
    <row r="9" spans="1:265" ht="56" x14ac:dyDescent="0.15">
      <c r="A9" s="19">
        <v>1.7</v>
      </c>
      <c r="B9" s="20" t="s">
        <v>16</v>
      </c>
      <c r="C9" s="21" t="s">
        <v>17</v>
      </c>
      <c r="D9" s="10">
        <v>13</v>
      </c>
      <c r="E9" s="10">
        <v>41</v>
      </c>
      <c r="F9" s="10">
        <v>6</v>
      </c>
      <c r="G9" s="10">
        <v>45</v>
      </c>
      <c r="H9" s="10">
        <v>9</v>
      </c>
      <c r="I9" s="10">
        <v>42</v>
      </c>
      <c r="J9" s="10">
        <v>8</v>
      </c>
      <c r="K9" s="10">
        <v>45</v>
      </c>
      <c r="L9" s="10">
        <v>8</v>
      </c>
      <c r="M9" s="10">
        <v>34</v>
      </c>
      <c r="N9" s="10">
        <v>7</v>
      </c>
      <c r="O9" s="10">
        <v>35</v>
      </c>
      <c r="P9" s="10">
        <v>4</v>
      </c>
      <c r="Q9" s="10">
        <v>10</v>
      </c>
      <c r="R9" s="10">
        <v>11</v>
      </c>
      <c r="S9" s="10">
        <v>40</v>
      </c>
      <c r="T9" s="10">
        <v>3</v>
      </c>
      <c r="U9" s="10">
        <v>28</v>
      </c>
      <c r="V9" s="10">
        <v>12</v>
      </c>
      <c r="W9" s="10">
        <v>50</v>
      </c>
      <c r="X9" s="10">
        <v>1</v>
      </c>
      <c r="Y9" s="10">
        <v>23</v>
      </c>
      <c r="Z9" s="10">
        <v>1</v>
      </c>
      <c r="AA9" s="10">
        <v>35</v>
      </c>
      <c r="AB9" s="10">
        <v>7</v>
      </c>
      <c r="AC9" s="10">
        <v>27</v>
      </c>
      <c r="AD9" s="10">
        <v>3</v>
      </c>
      <c r="AE9" s="10">
        <v>42</v>
      </c>
      <c r="AF9" s="10">
        <v>5</v>
      </c>
      <c r="AG9" s="10">
        <v>26</v>
      </c>
      <c r="AH9" s="10">
        <v>9</v>
      </c>
      <c r="AI9" s="10">
        <v>43</v>
      </c>
      <c r="AJ9" s="10">
        <v>8</v>
      </c>
      <c r="AK9" s="10">
        <v>50</v>
      </c>
      <c r="AL9" s="10">
        <v>3</v>
      </c>
      <c r="AM9" s="10">
        <v>27</v>
      </c>
      <c r="AN9" s="10">
        <v>4</v>
      </c>
      <c r="AO9" s="10">
        <v>23</v>
      </c>
      <c r="AP9" s="10">
        <v>3</v>
      </c>
      <c r="AQ9" s="10">
        <v>41</v>
      </c>
      <c r="AR9" s="10">
        <v>7</v>
      </c>
      <c r="AS9" s="10">
        <v>30</v>
      </c>
      <c r="AT9" s="10">
        <v>4</v>
      </c>
      <c r="AU9" s="10">
        <v>25</v>
      </c>
      <c r="AV9" s="10">
        <v>3</v>
      </c>
      <c r="AW9" s="10">
        <v>20</v>
      </c>
      <c r="AX9" s="10">
        <v>6</v>
      </c>
      <c r="AY9" s="10">
        <v>27</v>
      </c>
      <c r="AZ9" s="10">
        <v>2</v>
      </c>
      <c r="BA9" s="10">
        <v>11</v>
      </c>
      <c r="BB9" s="10">
        <v>10</v>
      </c>
      <c r="BC9" s="10">
        <v>37</v>
      </c>
      <c r="BD9" s="10">
        <v>7</v>
      </c>
      <c r="BE9" s="10">
        <v>21</v>
      </c>
      <c r="BF9" s="10">
        <v>9</v>
      </c>
      <c r="BG9" s="10">
        <v>27</v>
      </c>
      <c r="BH9" s="10">
        <v>2</v>
      </c>
      <c r="BI9" s="10">
        <v>51</v>
      </c>
      <c r="BJ9" s="10">
        <v>10</v>
      </c>
      <c r="BK9" s="10">
        <v>24</v>
      </c>
      <c r="BL9" s="10">
        <v>2</v>
      </c>
      <c r="BM9" s="10">
        <v>18</v>
      </c>
      <c r="BN9" s="10">
        <v>2</v>
      </c>
      <c r="BO9" s="10">
        <v>22</v>
      </c>
      <c r="BP9" s="10">
        <v>7</v>
      </c>
      <c r="BQ9" s="10">
        <v>29</v>
      </c>
      <c r="BR9" s="10">
        <v>5</v>
      </c>
      <c r="BS9" s="10">
        <v>24</v>
      </c>
      <c r="BT9" s="10">
        <v>4</v>
      </c>
      <c r="BU9" s="10">
        <v>31</v>
      </c>
      <c r="BV9" s="10">
        <f>10+2</f>
        <v>12</v>
      </c>
      <c r="BW9" s="10">
        <v>29</v>
      </c>
      <c r="BX9" s="10">
        <v>8</v>
      </c>
      <c r="BY9" s="10">
        <v>15</v>
      </c>
      <c r="BZ9" s="10">
        <v>13</v>
      </c>
      <c r="CA9" s="10">
        <v>27</v>
      </c>
      <c r="CB9" s="10">
        <v>8</v>
      </c>
      <c r="CC9" s="10">
        <v>18</v>
      </c>
      <c r="CD9" s="10">
        <v>2</v>
      </c>
      <c r="CE9" s="10">
        <v>23</v>
      </c>
      <c r="CF9" s="10">
        <v>7</v>
      </c>
      <c r="CG9" s="10">
        <v>42</v>
      </c>
      <c r="CH9" s="10">
        <v>9</v>
      </c>
      <c r="CI9" s="10">
        <v>31</v>
      </c>
      <c r="CJ9" s="10">
        <v>8</v>
      </c>
      <c r="CK9" s="10">
        <v>22</v>
      </c>
      <c r="CL9" s="10">
        <v>5</v>
      </c>
      <c r="CM9" s="10">
        <v>21</v>
      </c>
      <c r="CN9" s="10">
        <v>3</v>
      </c>
      <c r="CO9" s="10">
        <v>18</v>
      </c>
      <c r="CP9" s="10">
        <v>4</v>
      </c>
      <c r="CQ9" s="10">
        <v>18</v>
      </c>
      <c r="CR9" s="10">
        <v>3</v>
      </c>
      <c r="CS9" s="10">
        <v>17</v>
      </c>
      <c r="CT9" s="10">
        <v>4</v>
      </c>
      <c r="CU9" s="10">
        <v>12</v>
      </c>
      <c r="CV9" s="10">
        <v>5</v>
      </c>
      <c r="CW9" s="10">
        <v>19</v>
      </c>
      <c r="CX9" s="10">
        <v>2</v>
      </c>
      <c r="CY9" s="10">
        <v>15</v>
      </c>
      <c r="CZ9" s="10">
        <v>6</v>
      </c>
      <c r="DA9" s="10">
        <v>16</v>
      </c>
      <c r="DB9" s="10">
        <v>2</v>
      </c>
      <c r="DC9" s="10">
        <v>20</v>
      </c>
      <c r="DD9" s="10">
        <v>9</v>
      </c>
      <c r="DE9" s="10">
        <v>33</v>
      </c>
      <c r="DF9" s="10">
        <v>6</v>
      </c>
      <c r="DG9" s="10">
        <v>18</v>
      </c>
      <c r="DH9" s="10">
        <v>9</v>
      </c>
      <c r="DI9" s="10">
        <v>18</v>
      </c>
      <c r="DJ9" s="10">
        <v>0</v>
      </c>
      <c r="DK9" s="10">
        <v>12</v>
      </c>
      <c r="DL9" s="10">
        <v>8</v>
      </c>
      <c r="DM9" s="10">
        <v>21</v>
      </c>
      <c r="DN9" s="10">
        <v>5</v>
      </c>
      <c r="DO9" s="10">
        <v>23</v>
      </c>
      <c r="DP9" s="10">
        <v>4</v>
      </c>
      <c r="DQ9" s="10">
        <v>13</v>
      </c>
      <c r="DR9" s="10">
        <v>6</v>
      </c>
      <c r="DS9" s="10">
        <v>17</v>
      </c>
      <c r="DT9" s="10">
        <v>4</v>
      </c>
      <c r="DU9" s="10">
        <v>12</v>
      </c>
      <c r="DV9" s="10">
        <v>3</v>
      </c>
      <c r="DW9" s="10">
        <v>12</v>
      </c>
      <c r="DX9" s="10">
        <v>3</v>
      </c>
      <c r="DY9" s="10">
        <v>14</v>
      </c>
      <c r="DZ9" s="10">
        <v>3</v>
      </c>
      <c r="EA9" s="10">
        <v>18</v>
      </c>
      <c r="EB9" s="10">
        <v>1</v>
      </c>
      <c r="EC9" s="10">
        <v>25</v>
      </c>
      <c r="ED9" s="10">
        <v>0</v>
      </c>
      <c r="EE9" s="10">
        <v>11</v>
      </c>
      <c r="EF9" s="10">
        <v>1</v>
      </c>
      <c r="EG9" s="11">
        <v>16</v>
      </c>
      <c r="EH9" s="12">
        <v>2</v>
      </c>
      <c r="EI9" s="10">
        <v>17</v>
      </c>
      <c r="EJ9" s="10">
        <v>2</v>
      </c>
      <c r="EK9" s="10">
        <v>14</v>
      </c>
      <c r="EL9" s="10">
        <v>0</v>
      </c>
      <c r="EM9" s="10">
        <v>11</v>
      </c>
      <c r="EN9" s="10">
        <v>0</v>
      </c>
      <c r="EO9" s="10">
        <v>9</v>
      </c>
      <c r="EP9" s="10">
        <v>0</v>
      </c>
      <c r="EQ9" s="10">
        <v>5</v>
      </c>
      <c r="ER9" s="10">
        <v>3</v>
      </c>
      <c r="ES9" s="10">
        <v>13</v>
      </c>
      <c r="ET9" s="10">
        <v>5</v>
      </c>
      <c r="EU9" s="10">
        <v>16</v>
      </c>
      <c r="EV9" s="10">
        <v>0</v>
      </c>
      <c r="EW9" s="10">
        <v>6</v>
      </c>
      <c r="EX9" s="10">
        <v>3</v>
      </c>
      <c r="EY9" s="10">
        <v>14</v>
      </c>
      <c r="EZ9" s="10">
        <v>1</v>
      </c>
      <c r="FA9" s="10">
        <v>13</v>
      </c>
      <c r="FB9" s="10">
        <v>4</v>
      </c>
      <c r="FC9" s="10">
        <v>12</v>
      </c>
      <c r="FD9" s="10">
        <v>2</v>
      </c>
      <c r="FE9" s="10">
        <v>10</v>
      </c>
      <c r="FF9" s="10">
        <v>3</v>
      </c>
      <c r="FG9" s="10">
        <v>9</v>
      </c>
      <c r="FH9" s="10">
        <v>1</v>
      </c>
      <c r="FI9" s="10">
        <v>20</v>
      </c>
      <c r="FJ9" s="10">
        <v>3</v>
      </c>
      <c r="FK9" s="13">
        <v>15</v>
      </c>
      <c r="FL9" s="13">
        <v>15</v>
      </c>
      <c r="FM9" s="10">
        <v>15</v>
      </c>
      <c r="FN9" s="10">
        <v>3</v>
      </c>
      <c r="FO9" s="10">
        <v>13</v>
      </c>
      <c r="FP9" s="10">
        <v>4</v>
      </c>
      <c r="FQ9" s="10">
        <v>9</v>
      </c>
      <c r="FR9" s="10">
        <v>2</v>
      </c>
      <c r="FS9" s="10">
        <v>9</v>
      </c>
      <c r="FT9" s="10">
        <v>6</v>
      </c>
      <c r="FU9" s="10">
        <v>19</v>
      </c>
      <c r="FV9" s="10">
        <v>1</v>
      </c>
      <c r="FW9" s="10">
        <v>10</v>
      </c>
      <c r="FX9" s="10">
        <v>2</v>
      </c>
      <c r="FY9" s="10">
        <v>10</v>
      </c>
      <c r="FZ9" s="10">
        <v>0</v>
      </c>
      <c r="GA9" s="10">
        <v>19</v>
      </c>
      <c r="GB9" s="10">
        <v>0</v>
      </c>
      <c r="GC9" s="10">
        <v>11</v>
      </c>
      <c r="GD9" s="10">
        <v>2</v>
      </c>
      <c r="GE9" s="10">
        <v>10</v>
      </c>
      <c r="GF9" s="10">
        <v>0</v>
      </c>
      <c r="GG9" s="10">
        <v>5</v>
      </c>
      <c r="GH9" s="10">
        <v>1</v>
      </c>
      <c r="GI9" s="10">
        <v>10</v>
      </c>
      <c r="GJ9" s="10">
        <v>0</v>
      </c>
      <c r="GK9" s="10">
        <v>12</v>
      </c>
      <c r="GL9" s="10">
        <v>3</v>
      </c>
      <c r="GM9" s="10">
        <v>16</v>
      </c>
      <c r="GN9" s="10">
        <v>0</v>
      </c>
      <c r="GO9" s="10">
        <v>7</v>
      </c>
      <c r="GP9" s="10">
        <v>2</v>
      </c>
      <c r="GQ9" s="10">
        <v>8</v>
      </c>
      <c r="GR9" s="10">
        <v>2</v>
      </c>
      <c r="GS9" s="10">
        <v>11</v>
      </c>
      <c r="GT9" s="10">
        <v>1</v>
      </c>
      <c r="GU9" s="10">
        <v>9</v>
      </c>
      <c r="GV9" s="10">
        <v>0</v>
      </c>
      <c r="GW9" s="10">
        <v>12</v>
      </c>
      <c r="GX9" s="10">
        <v>1</v>
      </c>
      <c r="GY9" s="10">
        <v>17</v>
      </c>
      <c r="GZ9" s="10">
        <v>0</v>
      </c>
      <c r="HA9" s="10">
        <v>3</v>
      </c>
      <c r="HB9" s="10">
        <v>2</v>
      </c>
      <c r="HC9" s="10">
        <v>6</v>
      </c>
      <c r="HD9" s="10">
        <v>1</v>
      </c>
      <c r="HE9" s="10">
        <v>14</v>
      </c>
      <c r="HF9" s="10">
        <v>1</v>
      </c>
      <c r="HG9" s="10">
        <v>8</v>
      </c>
      <c r="HH9" s="10">
        <v>3</v>
      </c>
      <c r="HI9" s="10">
        <v>8</v>
      </c>
      <c r="HJ9" s="10">
        <v>2</v>
      </c>
      <c r="HK9" s="10">
        <v>6</v>
      </c>
      <c r="HL9" s="10">
        <v>0</v>
      </c>
      <c r="HM9" s="10">
        <v>6</v>
      </c>
      <c r="HN9" s="10">
        <v>0</v>
      </c>
      <c r="HO9" s="10">
        <v>7</v>
      </c>
      <c r="HP9" s="10">
        <v>0</v>
      </c>
      <c r="HQ9" s="10">
        <v>5</v>
      </c>
      <c r="HR9" s="10">
        <v>1</v>
      </c>
      <c r="HS9" s="10">
        <v>3</v>
      </c>
      <c r="HT9" s="10">
        <v>0</v>
      </c>
      <c r="HU9" s="10">
        <v>10</v>
      </c>
      <c r="HV9" s="10">
        <v>0</v>
      </c>
      <c r="HW9" s="10">
        <v>1</v>
      </c>
      <c r="HX9" s="10">
        <v>0</v>
      </c>
      <c r="HY9" s="10">
        <v>2</v>
      </c>
      <c r="HZ9" s="10">
        <v>0</v>
      </c>
      <c r="IA9" s="10">
        <v>3</v>
      </c>
      <c r="IB9" s="10">
        <v>2</v>
      </c>
      <c r="IC9" s="10">
        <v>8</v>
      </c>
      <c r="ID9" s="10">
        <v>0</v>
      </c>
      <c r="IE9" s="10">
        <v>4</v>
      </c>
      <c r="IF9" s="10">
        <v>3</v>
      </c>
      <c r="IG9" s="10">
        <v>10</v>
      </c>
      <c r="IH9" s="10">
        <v>2</v>
      </c>
      <c r="II9" s="10">
        <v>8</v>
      </c>
      <c r="IJ9" s="10">
        <v>1</v>
      </c>
      <c r="IK9" s="10">
        <v>3</v>
      </c>
      <c r="IL9" s="10">
        <v>1</v>
      </c>
      <c r="IM9" s="10">
        <v>7</v>
      </c>
      <c r="IN9" s="10">
        <v>2</v>
      </c>
      <c r="IO9" s="10">
        <v>2</v>
      </c>
      <c r="IP9" s="10">
        <v>0</v>
      </c>
      <c r="IQ9" s="10">
        <v>2</v>
      </c>
      <c r="IR9" s="10">
        <v>2</v>
      </c>
      <c r="IS9" s="10">
        <v>8</v>
      </c>
      <c r="IT9" s="10">
        <v>5</v>
      </c>
      <c r="IU9" s="10">
        <v>8</v>
      </c>
      <c r="IV9" s="10">
        <v>1</v>
      </c>
      <c r="IW9" s="10">
        <v>5</v>
      </c>
      <c r="IX9" s="10">
        <v>0</v>
      </c>
      <c r="IY9" s="10">
        <v>4</v>
      </c>
      <c r="IZ9" s="10">
        <v>2</v>
      </c>
      <c r="JA9" s="10">
        <v>4</v>
      </c>
      <c r="JB9" s="10">
        <v>0</v>
      </c>
      <c r="JC9" s="10">
        <v>4</v>
      </c>
      <c r="JD9" s="10">
        <v>3</v>
      </c>
      <c r="JE9" s="10">
        <v>8</v>
      </c>
    </row>
    <row r="10" spans="1:265" ht="56" x14ac:dyDescent="0.15">
      <c r="A10" s="22">
        <v>1.1100000000000001</v>
      </c>
      <c r="B10" s="23" t="s">
        <v>18</v>
      </c>
      <c r="C10" s="24" t="s">
        <v>19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10">
        <v>7</v>
      </c>
      <c r="Q10" s="10">
        <v>68</v>
      </c>
      <c r="R10" s="25"/>
      <c r="S10" s="25"/>
      <c r="T10" s="10">
        <v>2</v>
      </c>
      <c r="U10" s="10">
        <v>11</v>
      </c>
      <c r="V10" s="10">
        <v>3</v>
      </c>
      <c r="W10" s="10">
        <v>10</v>
      </c>
      <c r="X10" s="10">
        <v>4</v>
      </c>
      <c r="Y10" s="10">
        <v>13</v>
      </c>
      <c r="Z10" s="10">
        <v>1</v>
      </c>
      <c r="AA10" s="10">
        <v>6</v>
      </c>
      <c r="AB10" s="10">
        <v>0</v>
      </c>
      <c r="AC10" s="10">
        <v>8</v>
      </c>
      <c r="AD10" s="10">
        <v>0</v>
      </c>
      <c r="AE10" s="10">
        <v>6</v>
      </c>
      <c r="AF10" s="10">
        <v>0</v>
      </c>
      <c r="AG10" s="10">
        <v>1</v>
      </c>
      <c r="AH10" s="10">
        <v>1</v>
      </c>
      <c r="AI10" s="10">
        <v>8</v>
      </c>
      <c r="AJ10" s="10">
        <v>1</v>
      </c>
      <c r="AK10" s="10">
        <v>3</v>
      </c>
      <c r="AL10" s="10">
        <v>0</v>
      </c>
      <c r="AM10" s="10">
        <v>0</v>
      </c>
      <c r="AN10" s="10">
        <v>10</v>
      </c>
      <c r="AO10" s="10">
        <v>22</v>
      </c>
      <c r="AP10" s="10">
        <v>3</v>
      </c>
      <c r="AQ10" s="10">
        <v>12</v>
      </c>
      <c r="AR10" s="10">
        <v>0</v>
      </c>
      <c r="AS10" s="10">
        <v>0</v>
      </c>
      <c r="AT10" s="10">
        <v>2</v>
      </c>
      <c r="AU10" s="10">
        <v>6</v>
      </c>
      <c r="AV10" s="10">
        <v>2</v>
      </c>
      <c r="AW10" s="10">
        <v>5</v>
      </c>
      <c r="AX10" s="10">
        <v>9</v>
      </c>
      <c r="AY10" s="10">
        <v>18</v>
      </c>
      <c r="AZ10" s="10">
        <v>0</v>
      </c>
      <c r="BA10" s="10">
        <v>0</v>
      </c>
      <c r="BB10" s="10">
        <v>0</v>
      </c>
      <c r="BC10" s="10">
        <v>1</v>
      </c>
      <c r="BD10" s="10">
        <v>0</v>
      </c>
      <c r="BE10" s="10">
        <v>1</v>
      </c>
      <c r="BF10" s="10">
        <v>2</v>
      </c>
      <c r="BG10" s="10">
        <v>3</v>
      </c>
      <c r="BH10" s="10">
        <v>0</v>
      </c>
      <c r="BI10" s="10">
        <v>4</v>
      </c>
      <c r="BJ10" s="10">
        <v>2</v>
      </c>
      <c r="BK10" s="10">
        <v>2</v>
      </c>
      <c r="BL10" s="10">
        <v>2</v>
      </c>
      <c r="BM10" s="10">
        <v>4</v>
      </c>
      <c r="BN10" s="10">
        <v>0</v>
      </c>
      <c r="BO10" s="10">
        <v>1</v>
      </c>
      <c r="BP10" s="10">
        <v>1</v>
      </c>
      <c r="BQ10" s="10">
        <v>7</v>
      </c>
      <c r="BR10" s="10">
        <v>0</v>
      </c>
      <c r="BS10" s="10">
        <v>2</v>
      </c>
      <c r="BT10" s="10">
        <v>3</v>
      </c>
      <c r="BU10" s="10">
        <v>16</v>
      </c>
      <c r="BV10" s="10">
        <v>1</v>
      </c>
      <c r="BW10" s="10">
        <v>9</v>
      </c>
      <c r="BX10" s="10">
        <v>4</v>
      </c>
      <c r="BY10" s="10">
        <v>15</v>
      </c>
      <c r="BZ10" s="10">
        <v>3</v>
      </c>
      <c r="CA10" s="10">
        <v>4</v>
      </c>
      <c r="CB10" s="10">
        <v>3</v>
      </c>
      <c r="CC10" s="10">
        <v>4</v>
      </c>
      <c r="CD10" s="10">
        <v>0</v>
      </c>
      <c r="CE10" s="10">
        <v>2</v>
      </c>
      <c r="CF10" s="10">
        <v>2</v>
      </c>
      <c r="CG10" s="10">
        <v>3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9</v>
      </c>
      <c r="CO10" s="10">
        <v>11</v>
      </c>
      <c r="CP10" s="10">
        <v>5</v>
      </c>
      <c r="CQ10" s="10">
        <v>11</v>
      </c>
      <c r="CR10" s="10">
        <v>3</v>
      </c>
      <c r="CS10" s="10">
        <v>6</v>
      </c>
      <c r="CT10" s="10">
        <v>1</v>
      </c>
      <c r="CU10" s="10">
        <v>1</v>
      </c>
      <c r="CV10" s="10">
        <v>9</v>
      </c>
      <c r="CW10" s="10">
        <v>15</v>
      </c>
      <c r="CX10" s="10">
        <v>2</v>
      </c>
      <c r="CY10" s="10">
        <v>5</v>
      </c>
      <c r="CZ10" s="10">
        <v>6</v>
      </c>
      <c r="DA10" s="10">
        <v>10</v>
      </c>
      <c r="DB10" s="10">
        <v>4</v>
      </c>
      <c r="DC10" s="10">
        <v>7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10</v>
      </c>
      <c r="DS10" s="10">
        <v>17</v>
      </c>
      <c r="DT10" s="10">
        <v>6</v>
      </c>
      <c r="DU10" s="10">
        <v>14</v>
      </c>
      <c r="DV10" s="10">
        <v>4</v>
      </c>
      <c r="DW10" s="10">
        <v>8</v>
      </c>
      <c r="DX10" s="10">
        <v>1</v>
      </c>
      <c r="DY10" s="10">
        <v>5</v>
      </c>
      <c r="DZ10" s="10">
        <v>2</v>
      </c>
      <c r="EA10" s="10">
        <v>11</v>
      </c>
      <c r="EB10" s="10">
        <v>0</v>
      </c>
      <c r="EC10" s="10">
        <v>11</v>
      </c>
      <c r="ED10" s="10">
        <v>2</v>
      </c>
      <c r="EE10" s="10">
        <v>14</v>
      </c>
      <c r="EF10" s="10">
        <v>0</v>
      </c>
      <c r="EG10" s="11">
        <v>12</v>
      </c>
      <c r="EH10" s="12">
        <v>1</v>
      </c>
      <c r="EI10" s="10">
        <v>15</v>
      </c>
      <c r="EJ10" s="10">
        <v>3</v>
      </c>
      <c r="EK10" s="10">
        <v>23</v>
      </c>
      <c r="EL10" s="10">
        <v>2</v>
      </c>
      <c r="EM10" s="10">
        <v>22</v>
      </c>
      <c r="EN10" s="10">
        <v>2</v>
      </c>
      <c r="EO10" s="10">
        <v>22</v>
      </c>
      <c r="EP10" s="10">
        <v>3</v>
      </c>
      <c r="EQ10" s="10">
        <v>21</v>
      </c>
      <c r="ER10" s="10">
        <v>1</v>
      </c>
      <c r="ES10" s="10">
        <v>23</v>
      </c>
      <c r="ET10" s="10">
        <v>1</v>
      </c>
      <c r="EU10" s="10">
        <v>17</v>
      </c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3"/>
      <c r="FL10" s="13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</row>
    <row r="11" spans="1:265" ht="42" x14ac:dyDescent="0.15">
      <c r="A11" s="26">
        <v>1.1200000000000001</v>
      </c>
      <c r="B11" s="20" t="s">
        <v>20</v>
      </c>
      <c r="C11" s="24" t="s">
        <v>21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10">
        <v>0</v>
      </c>
      <c r="AC11" s="10">
        <v>9</v>
      </c>
      <c r="AD11" s="10">
        <v>0</v>
      </c>
      <c r="AE11" s="10">
        <v>4</v>
      </c>
      <c r="AF11" s="10">
        <v>0</v>
      </c>
      <c r="AG11" s="10">
        <v>4</v>
      </c>
      <c r="AH11" s="10">
        <v>1</v>
      </c>
      <c r="AI11" s="10">
        <v>5</v>
      </c>
      <c r="AJ11" s="10">
        <v>0</v>
      </c>
      <c r="AK11" s="10">
        <v>0</v>
      </c>
      <c r="AL11" s="10">
        <v>0</v>
      </c>
      <c r="AM11" s="10">
        <v>3</v>
      </c>
      <c r="AN11" s="10">
        <v>0</v>
      </c>
      <c r="AO11" s="10">
        <v>4</v>
      </c>
      <c r="AP11" s="10">
        <v>0</v>
      </c>
      <c r="AQ11" s="10">
        <v>4</v>
      </c>
      <c r="AR11" s="10">
        <v>0</v>
      </c>
      <c r="AS11" s="10">
        <v>5</v>
      </c>
      <c r="AT11" s="10">
        <v>1</v>
      </c>
      <c r="AU11" s="10">
        <v>4</v>
      </c>
      <c r="AV11" s="10">
        <v>0</v>
      </c>
      <c r="AW11" s="10">
        <v>3</v>
      </c>
      <c r="AX11" s="10">
        <v>1</v>
      </c>
      <c r="AY11" s="10">
        <v>4</v>
      </c>
      <c r="AZ11" s="10">
        <v>1</v>
      </c>
      <c r="BA11" s="10">
        <v>4</v>
      </c>
      <c r="BB11" s="10">
        <v>0</v>
      </c>
      <c r="BC11" s="10">
        <v>3</v>
      </c>
      <c r="BD11" s="10">
        <v>0</v>
      </c>
      <c r="BE11" s="10">
        <v>4</v>
      </c>
      <c r="BF11" s="10">
        <v>0</v>
      </c>
      <c r="BG11" s="10">
        <v>4</v>
      </c>
      <c r="BH11" s="10">
        <v>0</v>
      </c>
      <c r="BI11" s="10">
        <v>4</v>
      </c>
      <c r="BJ11" s="10">
        <v>0</v>
      </c>
      <c r="BK11" s="10">
        <v>5</v>
      </c>
      <c r="BL11" s="10">
        <v>0</v>
      </c>
      <c r="BM11" s="10">
        <v>4</v>
      </c>
      <c r="BN11" s="10">
        <v>0</v>
      </c>
      <c r="BO11" s="10">
        <v>4</v>
      </c>
      <c r="BP11" s="10">
        <v>0</v>
      </c>
      <c r="BQ11" s="10">
        <v>5</v>
      </c>
      <c r="BR11" s="10">
        <v>0</v>
      </c>
      <c r="BS11" s="10">
        <v>0</v>
      </c>
      <c r="BT11" s="10">
        <v>0</v>
      </c>
      <c r="BU11" s="10">
        <v>1</v>
      </c>
      <c r="BV11" s="10">
        <v>0</v>
      </c>
      <c r="BW11" s="10">
        <v>1</v>
      </c>
      <c r="BX11" s="10">
        <v>0</v>
      </c>
      <c r="BY11" s="10">
        <v>2</v>
      </c>
      <c r="BZ11" s="10">
        <v>0</v>
      </c>
      <c r="CA11" s="10">
        <v>5</v>
      </c>
      <c r="CB11" s="10">
        <v>0</v>
      </c>
      <c r="CC11" s="10">
        <v>2</v>
      </c>
      <c r="CD11" s="10">
        <v>0</v>
      </c>
      <c r="CE11" s="10">
        <v>1</v>
      </c>
      <c r="CF11" s="10">
        <v>0</v>
      </c>
      <c r="CG11" s="10">
        <v>2</v>
      </c>
      <c r="CH11" s="10">
        <v>0</v>
      </c>
      <c r="CI11" s="10">
        <v>1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1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1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1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1">
        <v>0</v>
      </c>
      <c r="EH11" s="12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3"/>
      <c r="FL11" s="13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</row>
    <row r="12" spans="1:265" ht="28" x14ac:dyDescent="0.15">
      <c r="A12" s="26">
        <v>1.1299999999999999</v>
      </c>
      <c r="B12" s="20" t="s">
        <v>22</v>
      </c>
      <c r="C12" s="9" t="s">
        <v>23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10">
        <v>13</v>
      </c>
      <c r="AE12" s="10">
        <v>59</v>
      </c>
      <c r="AF12" s="10">
        <v>1</v>
      </c>
      <c r="AG12" s="10">
        <v>22</v>
      </c>
      <c r="AH12" s="10">
        <v>8</v>
      </c>
      <c r="AI12" s="10">
        <v>28</v>
      </c>
      <c r="AJ12" s="10">
        <v>3</v>
      </c>
      <c r="AK12" s="10">
        <v>41</v>
      </c>
      <c r="AL12" s="10">
        <v>7</v>
      </c>
      <c r="AM12" s="10">
        <v>28</v>
      </c>
      <c r="AN12" s="10">
        <v>6</v>
      </c>
      <c r="AO12" s="10">
        <v>21</v>
      </c>
      <c r="AP12" s="10">
        <v>3</v>
      </c>
      <c r="AQ12" s="10">
        <v>41</v>
      </c>
      <c r="AR12" s="10">
        <v>4</v>
      </c>
      <c r="AS12" s="10">
        <v>23</v>
      </c>
      <c r="AT12" s="10">
        <v>2</v>
      </c>
      <c r="AU12" s="10">
        <v>27</v>
      </c>
      <c r="AV12" s="10">
        <v>5</v>
      </c>
      <c r="AW12" s="10">
        <v>52</v>
      </c>
      <c r="AX12" s="10">
        <v>6</v>
      </c>
      <c r="AY12" s="10">
        <v>25</v>
      </c>
      <c r="AZ12" s="10">
        <v>3</v>
      </c>
      <c r="BA12" s="10">
        <v>30</v>
      </c>
      <c r="BB12" s="10">
        <v>2</v>
      </c>
      <c r="BC12" s="10">
        <v>27</v>
      </c>
      <c r="BD12" s="10">
        <v>3</v>
      </c>
      <c r="BE12" s="10">
        <v>15</v>
      </c>
      <c r="BF12" s="10">
        <v>6</v>
      </c>
      <c r="BG12" s="10">
        <v>23</v>
      </c>
      <c r="BH12" s="10">
        <v>4</v>
      </c>
      <c r="BI12" s="10">
        <v>42</v>
      </c>
      <c r="BJ12" s="10">
        <v>2</v>
      </c>
      <c r="BK12" s="10">
        <v>25</v>
      </c>
      <c r="BL12" s="10">
        <f>3+1</f>
        <v>4</v>
      </c>
      <c r="BM12" s="10">
        <v>16</v>
      </c>
      <c r="BN12" s="10">
        <v>6</v>
      </c>
      <c r="BO12" s="10">
        <v>47</v>
      </c>
      <c r="BP12" s="10">
        <v>2</v>
      </c>
      <c r="BQ12" s="10">
        <v>25</v>
      </c>
      <c r="BR12" s="10">
        <v>5</v>
      </c>
      <c r="BS12" s="10">
        <v>26</v>
      </c>
      <c r="BT12" s="10">
        <v>4</v>
      </c>
      <c r="BU12" s="10">
        <v>32</v>
      </c>
      <c r="BV12" s="10">
        <v>4</v>
      </c>
      <c r="BW12" s="10">
        <v>33</v>
      </c>
      <c r="BX12" s="10">
        <v>5</v>
      </c>
      <c r="BY12" s="10">
        <v>32</v>
      </c>
      <c r="BZ12" s="10">
        <v>2</v>
      </c>
      <c r="CA12" s="10">
        <v>24</v>
      </c>
      <c r="CB12" s="10">
        <v>5</v>
      </c>
      <c r="CC12" s="10">
        <v>18</v>
      </c>
      <c r="CD12" s="10">
        <v>6</v>
      </c>
      <c r="CE12" s="10">
        <v>35</v>
      </c>
      <c r="CF12" s="10">
        <v>2</v>
      </c>
      <c r="CG12" s="10">
        <v>45</v>
      </c>
      <c r="CH12" s="10">
        <v>5</v>
      </c>
      <c r="CI12" s="10">
        <v>27</v>
      </c>
      <c r="CJ12" s="10">
        <v>4</v>
      </c>
      <c r="CK12" s="10">
        <v>25</v>
      </c>
      <c r="CL12" s="10">
        <v>3</v>
      </c>
      <c r="CM12" s="10">
        <v>35</v>
      </c>
      <c r="CN12" s="10">
        <v>6</v>
      </c>
      <c r="CO12" s="10">
        <v>32</v>
      </c>
      <c r="CP12" s="10">
        <v>7</v>
      </c>
      <c r="CQ12" s="10">
        <v>47</v>
      </c>
      <c r="CR12" s="10">
        <v>4</v>
      </c>
      <c r="CS12" s="10">
        <v>19</v>
      </c>
      <c r="CT12" s="10">
        <v>9</v>
      </c>
      <c r="CU12" s="10">
        <v>28</v>
      </c>
      <c r="CV12" s="10">
        <v>10</v>
      </c>
      <c r="CW12" s="10">
        <v>45</v>
      </c>
      <c r="CX12" s="10">
        <v>2</v>
      </c>
      <c r="CY12" s="10">
        <v>16</v>
      </c>
      <c r="CZ12" s="10">
        <v>4</v>
      </c>
      <c r="DA12" s="10">
        <v>12</v>
      </c>
      <c r="DB12" s="10">
        <v>9</v>
      </c>
      <c r="DC12" s="10">
        <v>41</v>
      </c>
      <c r="DD12" s="10">
        <v>9</v>
      </c>
      <c r="DE12" s="10">
        <v>44</v>
      </c>
      <c r="DF12" s="10">
        <v>7</v>
      </c>
      <c r="DG12" s="10">
        <v>25</v>
      </c>
      <c r="DH12" s="10">
        <v>9</v>
      </c>
      <c r="DI12" s="10">
        <v>43</v>
      </c>
      <c r="DJ12" s="10">
        <v>3</v>
      </c>
      <c r="DK12" s="10">
        <v>28</v>
      </c>
      <c r="DL12" s="10">
        <v>8</v>
      </c>
      <c r="DM12" s="10">
        <v>39</v>
      </c>
      <c r="DN12" s="10">
        <v>10</v>
      </c>
      <c r="DO12" s="10">
        <v>33</v>
      </c>
      <c r="DP12" s="10">
        <v>10</v>
      </c>
      <c r="DQ12" s="10">
        <v>25</v>
      </c>
      <c r="DR12" s="10">
        <v>6</v>
      </c>
      <c r="DS12" s="10">
        <v>26</v>
      </c>
      <c r="DT12" s="10">
        <v>8</v>
      </c>
      <c r="DU12" s="10">
        <v>40</v>
      </c>
      <c r="DV12" s="10">
        <v>2</v>
      </c>
      <c r="DW12" s="10">
        <v>19</v>
      </c>
      <c r="DX12" s="10">
        <v>2</v>
      </c>
      <c r="DY12" s="10">
        <v>20</v>
      </c>
      <c r="DZ12" s="10">
        <v>1</v>
      </c>
      <c r="EA12" s="10">
        <v>19</v>
      </c>
      <c r="EB12" s="10">
        <v>17</v>
      </c>
      <c r="EC12" s="10">
        <v>40</v>
      </c>
      <c r="ED12" s="10">
        <v>7</v>
      </c>
      <c r="EE12" s="10">
        <v>44</v>
      </c>
      <c r="EF12" s="10">
        <v>1</v>
      </c>
      <c r="EG12" s="11">
        <v>31</v>
      </c>
      <c r="EH12" s="12">
        <v>1</v>
      </c>
      <c r="EI12" s="10">
        <v>19</v>
      </c>
      <c r="EJ12" s="10">
        <v>4</v>
      </c>
      <c r="EK12" s="10">
        <v>37</v>
      </c>
      <c r="EL12" s="10">
        <v>3</v>
      </c>
      <c r="EM12" s="10">
        <v>30</v>
      </c>
      <c r="EN12" s="10">
        <v>4</v>
      </c>
      <c r="EO12" s="10">
        <v>19</v>
      </c>
      <c r="EP12" s="10">
        <v>14</v>
      </c>
      <c r="EQ12" s="10">
        <v>30</v>
      </c>
      <c r="ER12" s="10">
        <v>10</v>
      </c>
      <c r="ES12" s="10">
        <v>26</v>
      </c>
      <c r="ET12" s="10">
        <v>7</v>
      </c>
      <c r="EU12" s="10">
        <v>33</v>
      </c>
      <c r="EV12" s="10">
        <v>1</v>
      </c>
      <c r="EW12" s="10">
        <v>15</v>
      </c>
      <c r="EX12" s="10">
        <v>4</v>
      </c>
      <c r="EY12" s="10">
        <v>26</v>
      </c>
      <c r="EZ12" s="10">
        <v>4</v>
      </c>
      <c r="FA12" s="10">
        <v>16</v>
      </c>
      <c r="FB12" s="10">
        <v>8</v>
      </c>
      <c r="FC12" s="10">
        <v>44</v>
      </c>
      <c r="FD12" s="10">
        <v>2</v>
      </c>
      <c r="FE12" s="10">
        <v>23</v>
      </c>
      <c r="FF12" s="10">
        <v>9</v>
      </c>
      <c r="FG12" s="10">
        <v>30</v>
      </c>
      <c r="FH12" s="10">
        <v>4</v>
      </c>
      <c r="FI12" s="10">
        <v>25</v>
      </c>
      <c r="FJ12" s="10">
        <v>7</v>
      </c>
      <c r="FK12" s="13">
        <v>23</v>
      </c>
      <c r="FL12" s="13">
        <v>23</v>
      </c>
      <c r="FM12" s="10">
        <v>23</v>
      </c>
      <c r="FN12" s="10">
        <v>6</v>
      </c>
      <c r="FO12" s="10">
        <v>30</v>
      </c>
      <c r="FP12" s="10">
        <v>6</v>
      </c>
      <c r="FQ12" s="10">
        <v>22</v>
      </c>
      <c r="FR12" s="10">
        <v>7</v>
      </c>
      <c r="FS12" s="10">
        <v>26</v>
      </c>
      <c r="FT12" s="10">
        <v>8</v>
      </c>
      <c r="FU12" s="10">
        <v>29</v>
      </c>
      <c r="FV12" s="10">
        <v>3</v>
      </c>
      <c r="FW12" s="10">
        <v>25</v>
      </c>
      <c r="FX12" s="10">
        <v>2</v>
      </c>
      <c r="FY12" s="10">
        <v>9</v>
      </c>
      <c r="FZ12" s="10">
        <v>1</v>
      </c>
      <c r="GA12" s="10">
        <v>15</v>
      </c>
      <c r="GB12" s="10">
        <v>2</v>
      </c>
      <c r="GC12" s="10">
        <v>24</v>
      </c>
      <c r="GD12" s="10">
        <v>4</v>
      </c>
      <c r="GE12" s="10">
        <v>18</v>
      </c>
      <c r="GF12" s="10">
        <v>4</v>
      </c>
      <c r="GG12" s="10">
        <v>18</v>
      </c>
      <c r="GH12" s="10">
        <v>3</v>
      </c>
      <c r="GI12" s="10">
        <v>15</v>
      </c>
      <c r="GJ12" s="10">
        <v>4</v>
      </c>
      <c r="GK12" s="10">
        <v>18</v>
      </c>
      <c r="GL12" s="10">
        <v>4</v>
      </c>
      <c r="GM12" s="10">
        <v>28</v>
      </c>
      <c r="GN12" s="10">
        <v>0</v>
      </c>
      <c r="GO12" s="10">
        <v>12</v>
      </c>
      <c r="GP12" s="10">
        <v>2</v>
      </c>
      <c r="GQ12" s="10">
        <v>15</v>
      </c>
      <c r="GR12" s="10">
        <v>3</v>
      </c>
      <c r="GS12" s="10">
        <v>18</v>
      </c>
      <c r="GT12" s="10">
        <v>3</v>
      </c>
      <c r="GU12" s="10">
        <v>11</v>
      </c>
      <c r="GV12" s="10">
        <v>1</v>
      </c>
      <c r="GW12" s="10">
        <v>12</v>
      </c>
      <c r="GX12" s="10">
        <v>5</v>
      </c>
      <c r="GY12" s="10">
        <v>26</v>
      </c>
      <c r="GZ12" s="10">
        <v>5</v>
      </c>
      <c r="HA12" s="10">
        <v>21</v>
      </c>
      <c r="HB12" s="10">
        <v>2</v>
      </c>
      <c r="HC12" s="10">
        <v>12</v>
      </c>
      <c r="HD12" s="10">
        <v>5</v>
      </c>
      <c r="HE12" s="10">
        <v>25</v>
      </c>
      <c r="HF12" s="10">
        <v>1</v>
      </c>
      <c r="HG12" s="10">
        <v>17</v>
      </c>
      <c r="HH12" s="10">
        <v>0</v>
      </c>
      <c r="HI12" s="10">
        <v>9</v>
      </c>
      <c r="HJ12" s="10">
        <v>2</v>
      </c>
      <c r="HK12" s="10">
        <v>8</v>
      </c>
      <c r="HL12" s="10">
        <v>0</v>
      </c>
      <c r="HM12" s="10">
        <v>9</v>
      </c>
      <c r="HN12" s="10">
        <v>4</v>
      </c>
      <c r="HO12" s="10">
        <v>17</v>
      </c>
      <c r="HP12" s="10">
        <v>1</v>
      </c>
      <c r="HQ12" s="10">
        <v>13</v>
      </c>
      <c r="HR12" s="10">
        <v>1</v>
      </c>
      <c r="HS12" s="10">
        <v>13</v>
      </c>
      <c r="HT12" s="10">
        <v>3</v>
      </c>
      <c r="HU12" s="10">
        <v>13</v>
      </c>
      <c r="HV12" s="10">
        <v>1</v>
      </c>
      <c r="HW12" s="10">
        <v>6</v>
      </c>
      <c r="HX12" s="10">
        <v>1</v>
      </c>
      <c r="HY12" s="10">
        <v>6</v>
      </c>
      <c r="HZ12" s="10">
        <v>1</v>
      </c>
      <c r="IA12" s="10">
        <v>10</v>
      </c>
      <c r="IB12" s="10">
        <v>4</v>
      </c>
      <c r="IC12" s="10">
        <v>13</v>
      </c>
      <c r="ID12" s="10">
        <v>2</v>
      </c>
      <c r="IE12" s="10">
        <v>5</v>
      </c>
      <c r="IF12" s="10">
        <v>0</v>
      </c>
      <c r="IG12" s="10">
        <v>18</v>
      </c>
      <c r="IH12" s="10">
        <v>0</v>
      </c>
      <c r="II12" s="10">
        <v>4</v>
      </c>
      <c r="IJ12" s="10">
        <v>2</v>
      </c>
      <c r="IK12" s="10">
        <v>9</v>
      </c>
      <c r="IL12" s="10">
        <v>1</v>
      </c>
      <c r="IM12" s="10">
        <v>10</v>
      </c>
      <c r="IN12" s="10">
        <v>2</v>
      </c>
      <c r="IO12" s="10">
        <v>6</v>
      </c>
      <c r="IP12" s="10">
        <v>2</v>
      </c>
      <c r="IQ12" s="10">
        <v>7</v>
      </c>
      <c r="IR12" s="10">
        <v>6</v>
      </c>
      <c r="IS12" s="10">
        <v>10</v>
      </c>
      <c r="IT12" s="10">
        <v>6</v>
      </c>
      <c r="IU12" s="10">
        <v>12</v>
      </c>
      <c r="IV12" s="10">
        <v>0</v>
      </c>
      <c r="IW12" s="10">
        <v>4</v>
      </c>
      <c r="IX12" s="10">
        <v>2</v>
      </c>
      <c r="IY12" s="10">
        <v>10</v>
      </c>
      <c r="IZ12" s="10">
        <v>3</v>
      </c>
      <c r="JA12" s="10">
        <v>12</v>
      </c>
      <c r="JB12" s="10">
        <v>6</v>
      </c>
      <c r="JC12" s="10">
        <v>15</v>
      </c>
      <c r="JD12" s="10">
        <v>9</v>
      </c>
      <c r="JE12" s="10">
        <v>12</v>
      </c>
    </row>
    <row r="13" spans="1:265" ht="25" customHeight="1" x14ac:dyDescent="0.15">
      <c r="A13" s="26">
        <v>1.1399999999999999</v>
      </c>
      <c r="B13" s="20" t="s">
        <v>24</v>
      </c>
      <c r="C13" s="9" t="s">
        <v>25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10">
        <v>19</v>
      </c>
      <c r="AE13" s="10">
        <v>47</v>
      </c>
      <c r="AF13" s="10">
        <v>25</v>
      </c>
      <c r="AG13" s="10">
        <v>50</v>
      </c>
      <c r="AH13" s="10">
        <v>34</v>
      </c>
      <c r="AI13" s="10">
        <v>60</v>
      </c>
      <c r="AJ13" s="10">
        <v>20</v>
      </c>
      <c r="AK13" s="10">
        <v>42</v>
      </c>
      <c r="AL13" s="10">
        <v>29</v>
      </c>
      <c r="AM13" s="10">
        <v>72</v>
      </c>
      <c r="AN13" s="10">
        <v>27</v>
      </c>
      <c r="AO13" s="10">
        <v>47</v>
      </c>
      <c r="AP13" s="10">
        <v>18</v>
      </c>
      <c r="AQ13" s="10">
        <v>40</v>
      </c>
      <c r="AR13" s="10">
        <v>15</v>
      </c>
      <c r="AS13" s="10">
        <v>53</v>
      </c>
      <c r="AT13" s="10">
        <f>43+2</f>
        <v>45</v>
      </c>
      <c r="AU13" s="10">
        <v>86</v>
      </c>
      <c r="AV13" s="10">
        <v>30</v>
      </c>
      <c r="AW13" s="10">
        <v>70</v>
      </c>
      <c r="AX13" s="10">
        <v>22</v>
      </c>
      <c r="AY13" s="10">
        <v>49</v>
      </c>
      <c r="AZ13" s="10">
        <v>20</v>
      </c>
      <c r="BA13" s="10">
        <v>44</v>
      </c>
      <c r="BB13" s="10">
        <v>25</v>
      </c>
      <c r="BC13" s="10">
        <v>54</v>
      </c>
      <c r="BD13" s="10">
        <v>23</v>
      </c>
      <c r="BE13" s="10">
        <v>57</v>
      </c>
      <c r="BF13" s="10">
        <v>19</v>
      </c>
      <c r="BG13" s="10">
        <v>53</v>
      </c>
      <c r="BH13" s="10">
        <v>26</v>
      </c>
      <c r="BI13" s="10">
        <v>67</v>
      </c>
      <c r="BJ13" s="10">
        <v>9</v>
      </c>
      <c r="BK13" s="10">
        <v>40</v>
      </c>
      <c r="BL13" s="10">
        <f>24+2</f>
        <v>26</v>
      </c>
      <c r="BM13" s="10">
        <v>59</v>
      </c>
      <c r="BN13" s="10">
        <v>25</v>
      </c>
      <c r="BO13" s="10">
        <v>74</v>
      </c>
      <c r="BP13" s="10">
        <v>22</v>
      </c>
      <c r="BQ13" s="10">
        <v>68</v>
      </c>
      <c r="BR13" s="10">
        <v>19</v>
      </c>
      <c r="BS13" s="10">
        <v>62</v>
      </c>
      <c r="BT13" s="10">
        <v>30</v>
      </c>
      <c r="BU13" s="10">
        <v>79</v>
      </c>
      <c r="BV13" s="10">
        <v>22</v>
      </c>
      <c r="BW13" s="10">
        <v>49</v>
      </c>
      <c r="BX13" s="10">
        <v>24</v>
      </c>
      <c r="BY13" s="10">
        <v>58</v>
      </c>
      <c r="BZ13" s="10">
        <v>17</v>
      </c>
      <c r="CA13" s="10">
        <v>51</v>
      </c>
      <c r="CB13" s="10">
        <v>32</v>
      </c>
      <c r="CC13" s="10">
        <v>66</v>
      </c>
      <c r="CD13" s="10">
        <v>36</v>
      </c>
      <c r="CE13" s="10">
        <v>86</v>
      </c>
      <c r="CF13" s="10">
        <v>28</v>
      </c>
      <c r="CG13" s="10">
        <v>65</v>
      </c>
      <c r="CH13" s="10">
        <v>41</v>
      </c>
      <c r="CI13" s="10">
        <v>79</v>
      </c>
      <c r="CJ13" s="10">
        <v>25</v>
      </c>
      <c r="CK13" s="10">
        <v>68</v>
      </c>
      <c r="CL13" s="10">
        <v>42</v>
      </c>
      <c r="CM13" s="10">
        <v>92</v>
      </c>
      <c r="CN13" s="10">
        <v>26</v>
      </c>
      <c r="CO13" s="10">
        <v>55</v>
      </c>
      <c r="CP13" s="10">
        <v>43</v>
      </c>
      <c r="CQ13" s="10">
        <v>85</v>
      </c>
      <c r="CR13" s="10">
        <v>38</v>
      </c>
      <c r="CS13" s="10">
        <v>74</v>
      </c>
      <c r="CT13" s="10">
        <v>43</v>
      </c>
      <c r="CU13" s="10">
        <v>71</v>
      </c>
      <c r="CV13" s="10">
        <v>53</v>
      </c>
      <c r="CW13" s="10">
        <v>88</v>
      </c>
      <c r="CX13" s="10">
        <v>27</v>
      </c>
      <c r="CY13" s="10">
        <v>62</v>
      </c>
      <c r="CZ13" s="10">
        <v>36</v>
      </c>
      <c r="DA13" s="10">
        <v>66</v>
      </c>
      <c r="DB13" s="10">
        <v>43</v>
      </c>
      <c r="DC13" s="10">
        <v>77</v>
      </c>
      <c r="DD13" s="10">
        <v>51</v>
      </c>
      <c r="DE13" s="10">
        <v>88</v>
      </c>
      <c r="DF13" s="10">
        <v>47</v>
      </c>
      <c r="DG13" s="10">
        <v>92</v>
      </c>
      <c r="DH13" s="10">
        <v>42</v>
      </c>
      <c r="DI13" s="10">
        <v>86</v>
      </c>
      <c r="DJ13" s="10">
        <v>48</v>
      </c>
      <c r="DK13" s="10">
        <v>102</v>
      </c>
      <c r="DL13" s="10">
        <v>51</v>
      </c>
      <c r="DM13" s="10">
        <v>98</v>
      </c>
      <c r="DN13" s="10">
        <v>52</v>
      </c>
      <c r="DO13" s="10">
        <v>84</v>
      </c>
      <c r="DP13" s="10">
        <v>54</v>
      </c>
      <c r="DQ13" s="10">
        <v>78</v>
      </c>
      <c r="DR13" s="10">
        <v>45</v>
      </c>
      <c r="DS13" s="10">
        <v>78</v>
      </c>
      <c r="DT13" s="10">
        <v>35</v>
      </c>
      <c r="DU13" s="10">
        <v>72</v>
      </c>
      <c r="DV13" s="10">
        <v>34</v>
      </c>
      <c r="DW13" s="10">
        <v>76</v>
      </c>
      <c r="DX13" s="10">
        <v>28</v>
      </c>
      <c r="DY13" s="10">
        <v>75</v>
      </c>
      <c r="DZ13" s="10">
        <v>34</v>
      </c>
      <c r="EA13" s="10">
        <v>89</v>
      </c>
      <c r="EB13" s="10">
        <v>48</v>
      </c>
      <c r="EC13" s="10">
        <v>93</v>
      </c>
      <c r="ED13" s="10">
        <v>51</v>
      </c>
      <c r="EE13" s="10">
        <v>93</v>
      </c>
      <c r="EF13" s="10">
        <v>32</v>
      </c>
      <c r="EG13" s="11">
        <v>88</v>
      </c>
      <c r="EH13" s="12">
        <v>42</v>
      </c>
      <c r="EI13" s="10">
        <v>101</v>
      </c>
      <c r="EJ13" s="10">
        <v>47</v>
      </c>
      <c r="EK13" s="10">
        <v>88</v>
      </c>
      <c r="EL13" s="10">
        <v>47</v>
      </c>
      <c r="EM13" s="10">
        <v>108</v>
      </c>
      <c r="EN13" s="10">
        <v>36</v>
      </c>
      <c r="EO13" s="10">
        <v>83</v>
      </c>
      <c r="EP13" s="10">
        <v>61</v>
      </c>
      <c r="EQ13" s="10">
        <v>95</v>
      </c>
      <c r="ER13" s="10">
        <v>46</v>
      </c>
      <c r="ES13" s="10">
        <v>78</v>
      </c>
      <c r="ET13" s="10">
        <v>48</v>
      </c>
      <c r="EU13" s="10">
        <v>93</v>
      </c>
      <c r="EV13" s="10">
        <v>35</v>
      </c>
      <c r="EW13" s="10">
        <v>69</v>
      </c>
      <c r="EX13" s="10">
        <v>58</v>
      </c>
      <c r="EY13" s="10">
        <v>96</v>
      </c>
      <c r="EZ13" s="10">
        <v>28</v>
      </c>
      <c r="FA13" s="10">
        <v>56</v>
      </c>
      <c r="FB13" s="10">
        <v>51</v>
      </c>
      <c r="FC13" s="10">
        <v>89</v>
      </c>
      <c r="FD13" s="10">
        <v>36</v>
      </c>
      <c r="FE13" s="10">
        <v>84</v>
      </c>
      <c r="FF13" s="10">
        <v>43</v>
      </c>
      <c r="FG13" s="10">
        <v>96</v>
      </c>
      <c r="FH13" s="10">
        <v>51</v>
      </c>
      <c r="FI13" s="10">
        <v>89</v>
      </c>
      <c r="FJ13" s="10">
        <v>38</v>
      </c>
      <c r="FK13" s="13">
        <v>94</v>
      </c>
      <c r="FL13" s="27">
        <v>101</v>
      </c>
      <c r="FM13" s="10">
        <v>101</v>
      </c>
      <c r="FN13" s="10">
        <v>53</v>
      </c>
      <c r="FO13" s="10">
        <v>108</v>
      </c>
      <c r="FP13" s="10">
        <v>32</v>
      </c>
      <c r="FQ13" s="10">
        <v>78</v>
      </c>
      <c r="FR13" s="10">
        <v>32</v>
      </c>
      <c r="FS13" s="10">
        <v>61</v>
      </c>
      <c r="FT13" s="10">
        <v>57</v>
      </c>
      <c r="FU13" s="10">
        <v>112</v>
      </c>
      <c r="FV13" s="10">
        <v>35</v>
      </c>
      <c r="FW13" s="10">
        <v>82</v>
      </c>
      <c r="FX13" s="10">
        <v>13</v>
      </c>
      <c r="FY13" s="10">
        <v>28</v>
      </c>
      <c r="FZ13" s="10">
        <v>4</v>
      </c>
      <c r="GA13" s="10">
        <v>19</v>
      </c>
      <c r="GB13" s="10">
        <v>6</v>
      </c>
      <c r="GC13" s="10">
        <v>14</v>
      </c>
      <c r="GD13" s="10">
        <v>7</v>
      </c>
      <c r="GE13" s="10">
        <v>18</v>
      </c>
      <c r="GF13" s="10">
        <v>5</v>
      </c>
      <c r="GG13" s="10">
        <v>16</v>
      </c>
      <c r="GH13" s="10">
        <v>3</v>
      </c>
      <c r="GI13" s="10">
        <v>15</v>
      </c>
      <c r="GJ13" s="10">
        <v>3</v>
      </c>
      <c r="GK13" s="10">
        <v>11</v>
      </c>
      <c r="GL13" s="10">
        <v>3</v>
      </c>
      <c r="GM13" s="10">
        <v>16</v>
      </c>
      <c r="GN13" s="10">
        <v>3</v>
      </c>
      <c r="GO13" s="10">
        <v>13</v>
      </c>
      <c r="GP13" s="10">
        <v>5</v>
      </c>
      <c r="GQ13" s="10">
        <v>12</v>
      </c>
      <c r="GR13" s="10">
        <v>6</v>
      </c>
      <c r="GS13" s="10">
        <v>22</v>
      </c>
      <c r="GT13" s="10">
        <v>2</v>
      </c>
      <c r="GU13" s="10">
        <v>8</v>
      </c>
      <c r="GV13" s="10">
        <v>5</v>
      </c>
      <c r="GW13" s="10">
        <v>19</v>
      </c>
      <c r="GX13" s="10">
        <v>2</v>
      </c>
      <c r="GY13" s="10">
        <v>11</v>
      </c>
      <c r="GZ13" s="10">
        <v>2</v>
      </c>
      <c r="HA13" s="10">
        <v>10</v>
      </c>
      <c r="HB13" s="10">
        <v>3</v>
      </c>
      <c r="HC13" s="10">
        <v>14</v>
      </c>
      <c r="HD13" s="10">
        <v>2</v>
      </c>
      <c r="HE13" s="10">
        <v>16</v>
      </c>
      <c r="HF13" s="10">
        <v>5</v>
      </c>
      <c r="HG13" s="10">
        <v>16</v>
      </c>
      <c r="HH13" s="10">
        <v>5</v>
      </c>
      <c r="HI13" s="10">
        <v>14</v>
      </c>
      <c r="HJ13" s="10">
        <v>5</v>
      </c>
      <c r="HK13" s="10">
        <v>15</v>
      </c>
      <c r="HL13" s="10">
        <v>1</v>
      </c>
      <c r="HM13" s="10">
        <v>11</v>
      </c>
      <c r="HN13" s="10">
        <v>6</v>
      </c>
      <c r="HO13" s="10">
        <v>17</v>
      </c>
      <c r="HP13" s="10">
        <v>5</v>
      </c>
      <c r="HQ13" s="10">
        <v>16</v>
      </c>
      <c r="HR13" s="10">
        <v>3</v>
      </c>
      <c r="HS13" s="10">
        <v>14</v>
      </c>
      <c r="HT13" s="10">
        <v>1</v>
      </c>
      <c r="HU13" s="10">
        <v>7</v>
      </c>
      <c r="HV13" s="10">
        <v>1</v>
      </c>
      <c r="HW13" s="10">
        <v>1</v>
      </c>
      <c r="HX13" s="10">
        <v>0</v>
      </c>
      <c r="HY13" s="10">
        <v>2</v>
      </c>
      <c r="HZ13" s="10">
        <v>2</v>
      </c>
      <c r="IA13" s="10">
        <v>7</v>
      </c>
      <c r="IB13" s="10">
        <v>3</v>
      </c>
      <c r="IC13" s="10">
        <v>7</v>
      </c>
      <c r="ID13" s="10">
        <v>1</v>
      </c>
      <c r="IE13" s="10">
        <v>3</v>
      </c>
      <c r="IF13" s="10">
        <v>1</v>
      </c>
      <c r="IG13" s="10">
        <v>5</v>
      </c>
      <c r="IH13" s="10">
        <v>4</v>
      </c>
      <c r="II13" s="10">
        <v>5</v>
      </c>
      <c r="IJ13" s="10">
        <v>1</v>
      </c>
      <c r="IK13" s="10">
        <v>4</v>
      </c>
      <c r="IL13" s="10">
        <v>1</v>
      </c>
      <c r="IM13" s="10">
        <v>2</v>
      </c>
      <c r="IN13" s="10">
        <v>2</v>
      </c>
      <c r="IO13" s="10">
        <v>4</v>
      </c>
      <c r="IP13" s="10">
        <v>0</v>
      </c>
      <c r="IQ13" s="10">
        <v>0</v>
      </c>
      <c r="IR13" s="10">
        <v>0</v>
      </c>
      <c r="IS13" s="10">
        <v>1</v>
      </c>
      <c r="IT13" s="10">
        <v>1</v>
      </c>
      <c r="IU13" s="10">
        <v>3</v>
      </c>
      <c r="IV13" s="10">
        <v>2</v>
      </c>
      <c r="IW13" s="10">
        <v>4</v>
      </c>
      <c r="IX13" s="10">
        <v>5</v>
      </c>
      <c r="IY13" s="10">
        <v>9</v>
      </c>
      <c r="IZ13" s="10">
        <v>0</v>
      </c>
      <c r="JA13" s="10">
        <v>5</v>
      </c>
      <c r="JB13" s="10">
        <v>0</v>
      </c>
      <c r="JC13" s="10">
        <v>0</v>
      </c>
      <c r="JD13" s="10">
        <v>4</v>
      </c>
      <c r="JE13" s="10">
        <v>7</v>
      </c>
    </row>
    <row r="14" spans="1:265" ht="25" customHeight="1" x14ac:dyDescent="0.15">
      <c r="A14" s="26">
        <v>1.1499999999999999</v>
      </c>
      <c r="B14" s="20" t="s">
        <v>26</v>
      </c>
      <c r="C14" s="9" t="s">
        <v>27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10">
        <v>10</v>
      </c>
      <c r="AE14" s="10">
        <v>26</v>
      </c>
      <c r="AF14" s="10">
        <v>7</v>
      </c>
      <c r="AG14" s="10">
        <v>37</v>
      </c>
      <c r="AH14" s="10">
        <v>8</v>
      </c>
      <c r="AI14" s="10">
        <v>35</v>
      </c>
      <c r="AJ14" s="10">
        <v>13</v>
      </c>
      <c r="AK14" s="10">
        <v>41</v>
      </c>
      <c r="AL14" s="10">
        <v>16</v>
      </c>
      <c r="AM14" s="10">
        <v>40</v>
      </c>
      <c r="AN14" s="10">
        <v>13</v>
      </c>
      <c r="AO14" s="10">
        <v>33</v>
      </c>
      <c r="AP14" s="10">
        <v>13</v>
      </c>
      <c r="AQ14" s="10">
        <v>31</v>
      </c>
      <c r="AR14" s="10">
        <v>11</v>
      </c>
      <c r="AS14" s="10">
        <v>35</v>
      </c>
      <c r="AT14" s="10">
        <v>17</v>
      </c>
      <c r="AU14" s="10">
        <v>52</v>
      </c>
      <c r="AV14" s="10">
        <v>15</v>
      </c>
      <c r="AW14" s="10">
        <v>64</v>
      </c>
      <c r="AX14" s="10">
        <v>13</v>
      </c>
      <c r="AY14" s="10">
        <v>58</v>
      </c>
      <c r="AZ14" s="10">
        <v>11</v>
      </c>
      <c r="BA14" s="10">
        <v>47</v>
      </c>
      <c r="BB14" s="10">
        <v>16</v>
      </c>
      <c r="BC14" s="10">
        <v>49</v>
      </c>
      <c r="BD14" s="10">
        <v>13</v>
      </c>
      <c r="BE14" s="10">
        <v>47</v>
      </c>
      <c r="BF14" s="10">
        <v>6</v>
      </c>
      <c r="BG14" s="10">
        <v>54</v>
      </c>
      <c r="BH14" s="10">
        <v>15</v>
      </c>
      <c r="BI14" s="10">
        <v>59</v>
      </c>
      <c r="BJ14" s="10">
        <v>10</v>
      </c>
      <c r="BK14" s="10">
        <v>60</v>
      </c>
      <c r="BL14" s="10">
        <v>9</v>
      </c>
      <c r="BM14" s="10">
        <v>61</v>
      </c>
      <c r="BN14" s="10">
        <v>7</v>
      </c>
      <c r="BO14" s="10">
        <v>61</v>
      </c>
      <c r="BP14" s="10">
        <v>13</v>
      </c>
      <c r="BQ14" s="10">
        <v>70</v>
      </c>
      <c r="BR14" s="10">
        <v>10</v>
      </c>
      <c r="BS14" s="10">
        <v>42</v>
      </c>
      <c r="BT14" s="10">
        <v>5</v>
      </c>
      <c r="BU14" s="10">
        <v>54</v>
      </c>
      <c r="BV14" s="10">
        <v>4</v>
      </c>
      <c r="BW14" s="10">
        <v>43</v>
      </c>
      <c r="BX14" s="10">
        <v>13</v>
      </c>
      <c r="BY14" s="10">
        <v>48</v>
      </c>
      <c r="BZ14" s="10">
        <v>12</v>
      </c>
      <c r="CA14" s="10">
        <v>38</v>
      </c>
      <c r="CB14" s="10">
        <v>15</v>
      </c>
      <c r="CC14" s="10">
        <v>43</v>
      </c>
      <c r="CD14" s="10">
        <v>8</v>
      </c>
      <c r="CE14" s="10">
        <v>47</v>
      </c>
      <c r="CF14" s="10">
        <v>8</v>
      </c>
      <c r="CG14" s="10">
        <v>36</v>
      </c>
      <c r="CH14" s="10">
        <v>12</v>
      </c>
      <c r="CI14" s="10">
        <v>52</v>
      </c>
      <c r="CJ14" s="10">
        <v>9</v>
      </c>
      <c r="CK14" s="10">
        <v>43</v>
      </c>
      <c r="CL14" s="10">
        <v>8</v>
      </c>
      <c r="CM14" s="10">
        <v>60</v>
      </c>
      <c r="CN14" s="10">
        <v>6</v>
      </c>
      <c r="CO14" s="10">
        <v>31</v>
      </c>
      <c r="CP14" s="10">
        <v>5</v>
      </c>
      <c r="CQ14" s="10">
        <v>48</v>
      </c>
      <c r="CR14" s="10">
        <v>4</v>
      </c>
      <c r="CS14" s="10">
        <v>48</v>
      </c>
      <c r="CT14" s="10">
        <v>10</v>
      </c>
      <c r="CU14" s="10">
        <v>41</v>
      </c>
      <c r="CV14" s="10">
        <v>8</v>
      </c>
      <c r="CW14" s="10">
        <v>34</v>
      </c>
      <c r="CX14" s="10">
        <v>5</v>
      </c>
      <c r="CY14" s="10">
        <v>33</v>
      </c>
      <c r="CZ14" s="10">
        <v>9</v>
      </c>
      <c r="DA14" s="10">
        <v>39</v>
      </c>
      <c r="DB14" s="10">
        <v>13</v>
      </c>
      <c r="DC14" s="10">
        <v>56</v>
      </c>
      <c r="DD14" s="10">
        <v>14</v>
      </c>
      <c r="DE14" s="10">
        <v>53</v>
      </c>
      <c r="DF14" s="10">
        <v>12</v>
      </c>
      <c r="DG14" s="10">
        <v>35</v>
      </c>
      <c r="DH14" s="10">
        <v>12</v>
      </c>
      <c r="DI14" s="10">
        <v>38</v>
      </c>
      <c r="DJ14" s="10">
        <v>11</v>
      </c>
      <c r="DK14" s="10">
        <v>47</v>
      </c>
      <c r="DL14" s="10">
        <v>11</v>
      </c>
      <c r="DM14" s="10">
        <v>45</v>
      </c>
      <c r="DN14" s="10">
        <v>12</v>
      </c>
      <c r="DO14" s="10">
        <v>53</v>
      </c>
      <c r="DP14" s="10">
        <v>9</v>
      </c>
      <c r="DQ14" s="10">
        <v>42</v>
      </c>
      <c r="DR14" s="10">
        <v>14</v>
      </c>
      <c r="DS14" s="10">
        <v>38</v>
      </c>
      <c r="DT14" s="10">
        <v>12</v>
      </c>
      <c r="DU14" s="10">
        <v>34</v>
      </c>
      <c r="DV14" s="10">
        <v>3</v>
      </c>
      <c r="DW14" s="10">
        <v>29</v>
      </c>
      <c r="DX14" s="10">
        <v>7</v>
      </c>
      <c r="DY14" s="10">
        <v>53</v>
      </c>
      <c r="DZ14" s="10">
        <v>10</v>
      </c>
      <c r="EA14" s="10">
        <v>37</v>
      </c>
      <c r="EB14" s="10">
        <v>12</v>
      </c>
      <c r="EC14" s="10">
        <v>53</v>
      </c>
      <c r="ED14" s="10">
        <v>10</v>
      </c>
      <c r="EE14" s="10">
        <v>34</v>
      </c>
      <c r="EF14" s="10">
        <v>3</v>
      </c>
      <c r="EG14" s="11">
        <v>37</v>
      </c>
      <c r="EH14" s="12">
        <v>7</v>
      </c>
      <c r="EI14" s="10">
        <v>37</v>
      </c>
      <c r="EJ14" s="10">
        <v>8</v>
      </c>
      <c r="EK14" s="10">
        <v>54</v>
      </c>
      <c r="EL14" s="10">
        <v>8</v>
      </c>
      <c r="EM14" s="10">
        <v>34</v>
      </c>
      <c r="EN14" s="10">
        <v>3</v>
      </c>
      <c r="EO14" s="10">
        <v>29</v>
      </c>
      <c r="EP14" s="10">
        <v>6</v>
      </c>
      <c r="EQ14" s="10">
        <v>44</v>
      </c>
      <c r="ER14" s="10">
        <v>10</v>
      </c>
      <c r="ES14" s="10">
        <v>37</v>
      </c>
      <c r="ET14" s="10">
        <v>10</v>
      </c>
      <c r="EU14" s="10">
        <v>30</v>
      </c>
      <c r="EV14" s="10">
        <v>5</v>
      </c>
      <c r="EW14" s="10">
        <v>25</v>
      </c>
      <c r="EX14" s="10">
        <v>11</v>
      </c>
      <c r="EY14" s="10">
        <v>38</v>
      </c>
      <c r="EZ14" s="10">
        <v>8</v>
      </c>
      <c r="FA14" s="10">
        <v>23</v>
      </c>
      <c r="FB14" s="10">
        <v>9</v>
      </c>
      <c r="FC14" s="10">
        <v>39</v>
      </c>
      <c r="FD14" s="10">
        <v>14</v>
      </c>
      <c r="FE14" s="10">
        <v>36</v>
      </c>
      <c r="FF14" s="10">
        <v>10</v>
      </c>
      <c r="FG14" s="10">
        <v>43</v>
      </c>
      <c r="FH14" s="10">
        <v>5</v>
      </c>
      <c r="FI14" s="10">
        <v>24</v>
      </c>
      <c r="FJ14" s="10">
        <v>7</v>
      </c>
      <c r="FK14" s="13">
        <v>28</v>
      </c>
      <c r="FL14" s="13">
        <v>28</v>
      </c>
      <c r="FM14" s="10">
        <v>28</v>
      </c>
      <c r="FN14" s="10">
        <v>3</v>
      </c>
      <c r="FO14" s="10">
        <v>27</v>
      </c>
      <c r="FP14" s="10">
        <v>3</v>
      </c>
      <c r="FQ14" s="10">
        <v>8</v>
      </c>
      <c r="FR14" s="10">
        <v>1</v>
      </c>
      <c r="FS14" s="10">
        <v>2</v>
      </c>
      <c r="FT14" s="10">
        <v>2</v>
      </c>
      <c r="FU14" s="10">
        <v>4</v>
      </c>
      <c r="FV14" s="10">
        <v>1</v>
      </c>
      <c r="FW14" s="10">
        <v>4</v>
      </c>
      <c r="FX14" s="10">
        <v>3</v>
      </c>
      <c r="FY14" s="10">
        <v>3</v>
      </c>
      <c r="FZ14" s="10">
        <v>0</v>
      </c>
      <c r="GA14" s="10">
        <v>3</v>
      </c>
      <c r="GB14" s="10">
        <v>0</v>
      </c>
      <c r="GC14" s="10">
        <v>2</v>
      </c>
      <c r="GD14" s="10">
        <v>0</v>
      </c>
      <c r="GE14" s="10">
        <v>2</v>
      </c>
      <c r="GF14" s="10">
        <v>0</v>
      </c>
      <c r="GG14" s="10">
        <v>4</v>
      </c>
      <c r="GH14" s="10">
        <v>0</v>
      </c>
      <c r="GI14" s="10">
        <v>1</v>
      </c>
      <c r="GJ14" s="10">
        <v>1</v>
      </c>
      <c r="GK14" s="10">
        <v>2</v>
      </c>
      <c r="GL14" s="10">
        <v>1</v>
      </c>
      <c r="GM14" s="10">
        <v>3</v>
      </c>
      <c r="GN14" s="10">
        <v>0</v>
      </c>
      <c r="GO14" s="10">
        <v>5</v>
      </c>
      <c r="GP14" s="10">
        <v>0</v>
      </c>
      <c r="GQ14" s="10">
        <v>0</v>
      </c>
      <c r="GR14" s="10">
        <v>1</v>
      </c>
      <c r="GS14" s="10">
        <v>3</v>
      </c>
      <c r="GT14" s="10">
        <v>0</v>
      </c>
      <c r="GU14" s="10">
        <v>4</v>
      </c>
      <c r="GV14" s="10">
        <v>1</v>
      </c>
      <c r="GW14" s="10">
        <v>1</v>
      </c>
      <c r="GX14" s="10">
        <v>0</v>
      </c>
      <c r="GY14" s="10">
        <v>3</v>
      </c>
      <c r="GZ14" s="10">
        <v>0</v>
      </c>
      <c r="HA14" s="10">
        <v>1</v>
      </c>
      <c r="HB14" s="10">
        <v>0</v>
      </c>
      <c r="HC14" s="10">
        <v>2</v>
      </c>
      <c r="HD14" s="10">
        <v>3</v>
      </c>
      <c r="HE14" s="10">
        <v>3</v>
      </c>
      <c r="HF14" s="10">
        <v>1</v>
      </c>
      <c r="HG14" s="10">
        <v>5</v>
      </c>
      <c r="HH14" s="10">
        <v>0</v>
      </c>
      <c r="HI14" s="10">
        <v>2</v>
      </c>
      <c r="HJ14" s="10">
        <v>3</v>
      </c>
      <c r="HK14" s="10">
        <v>4</v>
      </c>
      <c r="HL14" s="10">
        <v>0</v>
      </c>
      <c r="HM14" s="10">
        <v>2</v>
      </c>
      <c r="HN14" s="10">
        <v>0</v>
      </c>
      <c r="HO14" s="10">
        <v>1</v>
      </c>
      <c r="HP14" s="10">
        <v>0</v>
      </c>
      <c r="HQ14" s="10">
        <v>3</v>
      </c>
      <c r="HR14" s="10">
        <v>1</v>
      </c>
      <c r="HS14" s="10">
        <v>2</v>
      </c>
      <c r="HT14" s="10">
        <v>0</v>
      </c>
      <c r="HU14" s="10">
        <v>1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>
        <v>0</v>
      </c>
      <c r="IC14" s="10">
        <v>0</v>
      </c>
      <c r="ID14" s="10">
        <v>0</v>
      </c>
      <c r="IE14" s="10">
        <v>1</v>
      </c>
      <c r="IF14" s="10">
        <v>1</v>
      </c>
      <c r="IG14" s="10">
        <v>3</v>
      </c>
      <c r="IH14" s="10">
        <v>0</v>
      </c>
      <c r="II14" s="10">
        <v>0</v>
      </c>
      <c r="IJ14" s="10">
        <v>0</v>
      </c>
      <c r="IK14" s="10">
        <v>0</v>
      </c>
      <c r="IL14" s="10">
        <v>0</v>
      </c>
      <c r="IM14" s="10">
        <v>0</v>
      </c>
      <c r="IN14" s="10">
        <v>0</v>
      </c>
      <c r="IO14" s="10">
        <v>0</v>
      </c>
      <c r="IP14" s="10">
        <v>0</v>
      </c>
      <c r="IQ14" s="10">
        <v>2</v>
      </c>
      <c r="IR14" s="10">
        <v>0</v>
      </c>
      <c r="IS14" s="10">
        <v>0</v>
      </c>
      <c r="IT14" s="10">
        <v>0</v>
      </c>
      <c r="IU14" s="10">
        <v>0</v>
      </c>
      <c r="IV14" s="10">
        <v>0</v>
      </c>
      <c r="IW14" s="10">
        <v>0</v>
      </c>
      <c r="IX14" s="10">
        <v>0</v>
      </c>
      <c r="IY14" s="10">
        <v>0</v>
      </c>
      <c r="IZ14" s="10">
        <v>0</v>
      </c>
      <c r="JA14" s="10">
        <v>0</v>
      </c>
      <c r="JB14" s="10">
        <v>0</v>
      </c>
      <c r="JC14" s="10">
        <v>0</v>
      </c>
      <c r="JD14" s="10">
        <v>0</v>
      </c>
      <c r="JE14" s="10">
        <v>0</v>
      </c>
    </row>
    <row r="15" spans="1:265" ht="28" x14ac:dyDescent="0.15">
      <c r="A15" s="26">
        <v>1.1599999999999999</v>
      </c>
      <c r="B15" s="20" t="s">
        <v>28</v>
      </c>
      <c r="C15" s="9" t="s">
        <v>29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10">
        <v>8</v>
      </c>
      <c r="AE15" s="10">
        <v>306</v>
      </c>
      <c r="AF15" s="10">
        <v>3</v>
      </c>
      <c r="AG15" s="10">
        <v>40</v>
      </c>
      <c r="AH15" s="10">
        <v>4</v>
      </c>
      <c r="AI15" s="10">
        <v>65</v>
      </c>
      <c r="AJ15" s="10">
        <v>3</v>
      </c>
      <c r="AK15" s="10">
        <v>55</v>
      </c>
      <c r="AL15" s="10">
        <v>2</v>
      </c>
      <c r="AM15" s="10">
        <v>43</v>
      </c>
      <c r="AN15" s="10">
        <v>1</v>
      </c>
      <c r="AO15" s="10">
        <v>49</v>
      </c>
      <c r="AP15" s="10">
        <v>1</v>
      </c>
      <c r="AQ15" s="10">
        <v>52</v>
      </c>
      <c r="AR15" s="10">
        <v>1</v>
      </c>
      <c r="AS15" s="10">
        <v>44</v>
      </c>
      <c r="AT15" s="10">
        <v>1</v>
      </c>
      <c r="AU15" s="10">
        <v>52</v>
      </c>
      <c r="AV15" s="10">
        <v>4</v>
      </c>
      <c r="AW15" s="10">
        <v>52</v>
      </c>
      <c r="AX15" s="10">
        <v>2</v>
      </c>
      <c r="AY15" s="10">
        <v>38</v>
      </c>
      <c r="AZ15" s="10">
        <v>1</v>
      </c>
      <c r="BA15" s="10">
        <v>37</v>
      </c>
      <c r="BB15" s="10">
        <v>2</v>
      </c>
      <c r="BC15" s="10">
        <v>59</v>
      </c>
      <c r="BD15" s="10">
        <v>1</v>
      </c>
      <c r="BE15" s="10">
        <v>24</v>
      </c>
      <c r="BF15" s="10">
        <v>0</v>
      </c>
      <c r="BG15" s="10">
        <v>39</v>
      </c>
      <c r="BH15" s="10">
        <v>2</v>
      </c>
      <c r="BI15" s="10">
        <v>46</v>
      </c>
      <c r="BJ15" s="10">
        <v>2</v>
      </c>
      <c r="BK15" s="10">
        <v>28</v>
      </c>
      <c r="BL15" s="10">
        <v>0</v>
      </c>
      <c r="BM15" s="10">
        <v>32</v>
      </c>
      <c r="BN15" s="10">
        <v>1</v>
      </c>
      <c r="BO15" s="10">
        <v>50</v>
      </c>
      <c r="BP15" s="10">
        <v>3</v>
      </c>
      <c r="BQ15" s="10">
        <v>33</v>
      </c>
      <c r="BR15" s="10">
        <v>4</v>
      </c>
      <c r="BS15" s="10">
        <v>41</v>
      </c>
      <c r="BT15" s="10">
        <v>1</v>
      </c>
      <c r="BU15" s="10">
        <v>33</v>
      </c>
      <c r="BV15" s="10">
        <v>0</v>
      </c>
      <c r="BW15" s="10">
        <v>1</v>
      </c>
      <c r="BX15" s="10">
        <v>0</v>
      </c>
      <c r="BY15" s="10">
        <v>41</v>
      </c>
      <c r="BZ15" s="10">
        <v>2</v>
      </c>
      <c r="CA15" s="10">
        <v>24</v>
      </c>
      <c r="CB15" s="10">
        <v>3</v>
      </c>
      <c r="CC15" s="10">
        <v>17</v>
      </c>
      <c r="CD15" s="10">
        <v>4</v>
      </c>
      <c r="CE15" s="10">
        <v>36</v>
      </c>
      <c r="CF15" s="10">
        <v>2</v>
      </c>
      <c r="CG15" s="10">
        <v>36</v>
      </c>
      <c r="CH15" s="10">
        <v>2</v>
      </c>
      <c r="CI15" s="10">
        <v>20</v>
      </c>
      <c r="CJ15" s="10">
        <v>5</v>
      </c>
      <c r="CK15" s="10">
        <v>30</v>
      </c>
      <c r="CL15" s="10">
        <v>5</v>
      </c>
      <c r="CM15" s="10">
        <v>40</v>
      </c>
      <c r="CN15" s="10">
        <v>4</v>
      </c>
      <c r="CO15" s="10">
        <v>26</v>
      </c>
      <c r="CP15" s="10">
        <v>3</v>
      </c>
      <c r="CQ15" s="10">
        <v>37</v>
      </c>
      <c r="CR15" s="10">
        <v>2</v>
      </c>
      <c r="CS15" s="10">
        <v>20</v>
      </c>
      <c r="CT15" s="10">
        <v>6</v>
      </c>
      <c r="CU15" s="10">
        <v>22</v>
      </c>
      <c r="CV15" s="10">
        <v>7</v>
      </c>
      <c r="CW15" s="10">
        <v>36</v>
      </c>
      <c r="CX15" s="10">
        <v>2</v>
      </c>
      <c r="CY15" s="10">
        <v>21</v>
      </c>
      <c r="CZ15" s="10">
        <v>2</v>
      </c>
      <c r="DA15" s="10">
        <v>10</v>
      </c>
      <c r="DB15" s="10">
        <v>10</v>
      </c>
      <c r="DC15" s="10">
        <v>30</v>
      </c>
      <c r="DD15" s="10">
        <v>2</v>
      </c>
      <c r="DE15" s="10">
        <v>33</v>
      </c>
      <c r="DF15" s="10">
        <v>4</v>
      </c>
      <c r="DG15" s="10">
        <v>24</v>
      </c>
      <c r="DH15" s="10">
        <v>6</v>
      </c>
      <c r="DI15" s="10">
        <v>24</v>
      </c>
      <c r="DJ15" s="10">
        <v>4</v>
      </c>
      <c r="DK15" s="10">
        <v>22</v>
      </c>
      <c r="DL15" s="10">
        <v>2</v>
      </c>
      <c r="DM15" s="10">
        <v>22</v>
      </c>
      <c r="DN15" s="10">
        <v>1</v>
      </c>
      <c r="DO15" s="10">
        <v>24</v>
      </c>
      <c r="DP15" s="10">
        <v>9</v>
      </c>
      <c r="DQ15" s="10">
        <v>27</v>
      </c>
      <c r="DR15" s="10">
        <v>4</v>
      </c>
      <c r="DS15" s="10">
        <v>23</v>
      </c>
      <c r="DT15" s="10">
        <v>5</v>
      </c>
      <c r="DU15" s="10">
        <v>33</v>
      </c>
      <c r="DV15" s="10">
        <v>0</v>
      </c>
      <c r="DW15" s="10">
        <v>24</v>
      </c>
      <c r="DX15" s="10">
        <v>2</v>
      </c>
      <c r="DY15" s="10">
        <v>20</v>
      </c>
      <c r="DZ15" s="10">
        <v>3</v>
      </c>
      <c r="EA15" s="10">
        <v>28</v>
      </c>
      <c r="EB15" s="10">
        <v>11</v>
      </c>
      <c r="EC15" s="10">
        <v>53</v>
      </c>
      <c r="ED15" s="10">
        <v>8</v>
      </c>
      <c r="EE15" s="10">
        <v>49</v>
      </c>
      <c r="EF15" s="10">
        <v>0</v>
      </c>
      <c r="EG15" s="11">
        <v>36</v>
      </c>
      <c r="EH15" s="12">
        <v>3</v>
      </c>
      <c r="EI15" s="10">
        <v>28</v>
      </c>
      <c r="EJ15" s="10">
        <v>2</v>
      </c>
      <c r="EK15" s="10">
        <v>27</v>
      </c>
      <c r="EL15" s="10">
        <v>1</v>
      </c>
      <c r="EM15" s="10">
        <v>20</v>
      </c>
      <c r="EN15" s="10">
        <v>1</v>
      </c>
      <c r="EO15" s="10">
        <v>18</v>
      </c>
      <c r="EP15" s="10">
        <v>3</v>
      </c>
      <c r="EQ15" s="10">
        <v>26</v>
      </c>
      <c r="ER15" s="10">
        <v>3</v>
      </c>
      <c r="ES15" s="10">
        <v>21</v>
      </c>
      <c r="ET15" s="10">
        <v>1</v>
      </c>
      <c r="EU15" s="10">
        <v>12</v>
      </c>
      <c r="EV15" s="10">
        <v>0</v>
      </c>
      <c r="EW15" s="10">
        <v>24</v>
      </c>
      <c r="EX15" s="10">
        <v>4</v>
      </c>
      <c r="EY15" s="10">
        <v>36</v>
      </c>
      <c r="EZ15" s="10">
        <v>5</v>
      </c>
      <c r="FA15" s="10">
        <v>27</v>
      </c>
      <c r="FB15" s="10">
        <v>2</v>
      </c>
      <c r="FC15" s="10">
        <v>22</v>
      </c>
      <c r="FD15" s="10">
        <v>2</v>
      </c>
      <c r="FE15" s="10">
        <v>27</v>
      </c>
      <c r="FF15" s="10">
        <v>4</v>
      </c>
      <c r="FG15" s="10">
        <v>30</v>
      </c>
      <c r="FH15" s="10">
        <v>0</v>
      </c>
      <c r="FI15" s="10">
        <v>19</v>
      </c>
      <c r="FJ15" s="10">
        <v>3</v>
      </c>
      <c r="FK15" s="13">
        <v>16</v>
      </c>
      <c r="FL15" s="13">
        <v>16</v>
      </c>
      <c r="FM15" s="10">
        <v>16</v>
      </c>
      <c r="FN15" s="10">
        <v>1</v>
      </c>
      <c r="FO15" s="10">
        <v>25</v>
      </c>
      <c r="FP15" s="10">
        <v>2</v>
      </c>
      <c r="FQ15" s="10">
        <v>10</v>
      </c>
      <c r="FR15" s="10">
        <v>0</v>
      </c>
      <c r="FS15" s="10">
        <v>11</v>
      </c>
      <c r="FT15" s="10">
        <v>4</v>
      </c>
      <c r="FU15" s="10">
        <v>23</v>
      </c>
      <c r="FV15" s="10">
        <v>4</v>
      </c>
      <c r="FW15" s="10">
        <v>10</v>
      </c>
      <c r="FX15" s="10">
        <v>1</v>
      </c>
      <c r="FY15" s="10">
        <v>10</v>
      </c>
      <c r="FZ15" s="10">
        <v>1</v>
      </c>
      <c r="GA15" s="10">
        <v>11</v>
      </c>
      <c r="GB15" s="10">
        <v>4</v>
      </c>
      <c r="GC15" s="10">
        <v>9</v>
      </c>
      <c r="GD15" s="10">
        <v>2</v>
      </c>
      <c r="GE15" s="10">
        <v>16</v>
      </c>
      <c r="GF15" s="10">
        <v>4</v>
      </c>
      <c r="GG15" s="10">
        <v>11</v>
      </c>
      <c r="GH15" s="10">
        <v>2</v>
      </c>
      <c r="GI15" s="10">
        <v>14</v>
      </c>
      <c r="GJ15" s="10">
        <v>5</v>
      </c>
      <c r="GK15" s="10">
        <v>10</v>
      </c>
      <c r="GL15" s="10">
        <v>2</v>
      </c>
      <c r="GM15" s="10">
        <v>19</v>
      </c>
      <c r="GN15" s="10">
        <v>0</v>
      </c>
      <c r="GO15" s="10">
        <v>7</v>
      </c>
      <c r="GP15" s="10">
        <v>2</v>
      </c>
      <c r="GQ15" s="10">
        <v>9</v>
      </c>
      <c r="GR15" s="10">
        <v>0</v>
      </c>
      <c r="GS15" s="10">
        <v>5</v>
      </c>
      <c r="GT15" s="10">
        <v>2</v>
      </c>
      <c r="GU15" s="10">
        <v>8</v>
      </c>
      <c r="GV15" s="10">
        <v>1</v>
      </c>
      <c r="GW15" s="10">
        <v>12</v>
      </c>
      <c r="GX15" s="10">
        <v>3</v>
      </c>
      <c r="GY15" s="10">
        <v>14</v>
      </c>
      <c r="GZ15" s="10">
        <v>2</v>
      </c>
      <c r="HA15" s="10">
        <v>16</v>
      </c>
      <c r="HB15" s="10">
        <v>0</v>
      </c>
      <c r="HC15" s="10">
        <v>4</v>
      </c>
      <c r="HD15" s="10">
        <v>3</v>
      </c>
      <c r="HE15" s="10">
        <v>21</v>
      </c>
      <c r="HF15" s="10">
        <v>0</v>
      </c>
      <c r="HG15" s="10">
        <v>12</v>
      </c>
      <c r="HH15" s="10">
        <v>0</v>
      </c>
      <c r="HI15" s="10">
        <v>5</v>
      </c>
      <c r="HJ15" s="10">
        <v>8</v>
      </c>
      <c r="HK15" s="10">
        <v>37</v>
      </c>
      <c r="HL15" s="10">
        <v>4</v>
      </c>
      <c r="HM15" s="10">
        <v>67</v>
      </c>
      <c r="HN15" s="10">
        <v>9</v>
      </c>
      <c r="HO15" s="10">
        <v>65</v>
      </c>
      <c r="HP15" s="10">
        <v>1</v>
      </c>
      <c r="HQ15" s="10">
        <v>46</v>
      </c>
      <c r="HR15" s="10">
        <v>4</v>
      </c>
      <c r="HS15" s="10">
        <v>56</v>
      </c>
      <c r="HT15" s="10">
        <v>6</v>
      </c>
      <c r="HU15" s="10">
        <v>56</v>
      </c>
      <c r="HV15" s="10">
        <v>2</v>
      </c>
      <c r="HW15" s="10">
        <v>45</v>
      </c>
      <c r="HX15" s="10">
        <v>3</v>
      </c>
      <c r="HY15" s="10">
        <v>56</v>
      </c>
      <c r="HZ15" s="10">
        <v>3</v>
      </c>
      <c r="IA15" s="10">
        <v>56</v>
      </c>
      <c r="IB15" s="10">
        <v>9</v>
      </c>
      <c r="IC15" s="10">
        <v>68</v>
      </c>
      <c r="ID15" s="10">
        <v>8</v>
      </c>
      <c r="IE15" s="10">
        <v>55</v>
      </c>
      <c r="IF15" s="10">
        <v>4</v>
      </c>
      <c r="IG15" s="10">
        <v>65</v>
      </c>
      <c r="IH15" s="10">
        <v>9</v>
      </c>
      <c r="II15" s="10">
        <v>43</v>
      </c>
      <c r="IJ15" s="10">
        <v>9</v>
      </c>
      <c r="IK15" s="10">
        <v>41</v>
      </c>
      <c r="IL15" s="10">
        <v>3</v>
      </c>
      <c r="IM15" s="10">
        <v>31</v>
      </c>
      <c r="IN15" s="28" t="s">
        <v>30</v>
      </c>
      <c r="IO15" s="28" t="s">
        <v>30</v>
      </c>
      <c r="IP15" s="28" t="s">
        <v>30</v>
      </c>
      <c r="IQ15" s="28" t="s">
        <v>30</v>
      </c>
      <c r="IR15" s="28" t="s">
        <v>30</v>
      </c>
      <c r="IS15" s="28" t="s">
        <v>30</v>
      </c>
      <c r="IT15" s="28" t="s">
        <v>30</v>
      </c>
      <c r="IU15" s="28" t="s">
        <v>30</v>
      </c>
      <c r="IV15" s="28" t="s">
        <v>30</v>
      </c>
      <c r="IW15" s="28" t="s">
        <v>30</v>
      </c>
      <c r="IX15" s="28" t="s">
        <v>30</v>
      </c>
      <c r="IY15" s="28" t="s">
        <v>30</v>
      </c>
      <c r="IZ15" s="28" t="s">
        <v>30</v>
      </c>
      <c r="JA15" s="28" t="s">
        <v>30</v>
      </c>
      <c r="JB15" s="28" t="s">
        <v>30</v>
      </c>
      <c r="JC15" s="28" t="s">
        <v>30</v>
      </c>
      <c r="JD15" s="28" t="s">
        <v>30</v>
      </c>
      <c r="JE15" s="28" t="s">
        <v>30</v>
      </c>
    </row>
    <row r="16" spans="1:265" ht="28" hidden="1" x14ac:dyDescent="0.15">
      <c r="A16" s="26">
        <v>1.17</v>
      </c>
      <c r="B16" s="29"/>
      <c r="C16" s="30" t="s">
        <v>31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10">
        <v>2</v>
      </c>
      <c r="AQ16" s="10">
        <v>25</v>
      </c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31"/>
      <c r="EH16" s="32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</row>
    <row r="17" spans="1:265" ht="14" hidden="1" x14ac:dyDescent="0.15">
      <c r="A17" s="26" t="s">
        <v>32</v>
      </c>
      <c r="B17" s="29"/>
      <c r="C17" s="30" t="s">
        <v>33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33">
        <v>9</v>
      </c>
      <c r="AS17" s="33">
        <v>49</v>
      </c>
      <c r="AT17" s="33">
        <v>4</v>
      </c>
      <c r="AU17" s="33">
        <v>16</v>
      </c>
      <c r="AV17" s="10">
        <v>4</v>
      </c>
      <c r="AW17" s="10">
        <v>42</v>
      </c>
      <c r="AX17" s="33">
        <v>5</v>
      </c>
      <c r="AY17" s="33">
        <v>54</v>
      </c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31"/>
      <c r="EH17" s="32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</row>
    <row r="18" spans="1:265" ht="14" hidden="1" x14ac:dyDescent="0.15">
      <c r="A18" s="26" t="s">
        <v>34</v>
      </c>
      <c r="B18" s="29"/>
      <c r="C18" s="30" t="s">
        <v>35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3">
        <v>7</v>
      </c>
      <c r="AS18" s="33">
        <v>98</v>
      </c>
      <c r="AT18" s="33">
        <v>4</v>
      </c>
      <c r="AU18" s="33">
        <v>31</v>
      </c>
      <c r="AV18" s="10">
        <v>9</v>
      </c>
      <c r="AW18" s="10">
        <v>66</v>
      </c>
      <c r="AX18" s="33">
        <v>4</v>
      </c>
      <c r="AY18" s="33">
        <v>105</v>
      </c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31"/>
      <c r="EH18" s="32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</row>
    <row r="19" spans="1:265" ht="28" x14ac:dyDescent="0.15">
      <c r="A19" s="26">
        <v>1.18</v>
      </c>
      <c r="B19" s="34" t="s">
        <v>36</v>
      </c>
      <c r="C19" s="30" t="s">
        <v>37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10">
        <v>9</v>
      </c>
      <c r="BA19" s="10">
        <v>82</v>
      </c>
      <c r="BB19" s="10">
        <v>18</v>
      </c>
      <c r="BC19" s="10">
        <v>120</v>
      </c>
      <c r="BD19" s="10">
        <v>8</v>
      </c>
      <c r="BE19" s="10">
        <v>130</v>
      </c>
      <c r="BF19" s="10">
        <v>12</v>
      </c>
      <c r="BG19" s="10">
        <v>133</v>
      </c>
      <c r="BH19" s="10">
        <v>13</v>
      </c>
      <c r="BI19" s="10">
        <v>135</v>
      </c>
      <c r="BJ19" s="10">
        <v>11</v>
      </c>
      <c r="BK19" s="10">
        <v>179</v>
      </c>
      <c r="BL19" s="10">
        <f>10+1</f>
        <v>11</v>
      </c>
      <c r="BM19" s="10">
        <v>116</v>
      </c>
      <c r="BN19" s="10">
        <v>22</v>
      </c>
      <c r="BO19" s="10">
        <v>200</v>
      </c>
      <c r="BP19" s="10">
        <v>6</v>
      </c>
      <c r="BQ19" s="10">
        <v>189</v>
      </c>
      <c r="BR19" s="10">
        <v>6</v>
      </c>
      <c r="BS19" s="10">
        <v>123</v>
      </c>
      <c r="BT19" s="10">
        <v>10</v>
      </c>
      <c r="BU19" s="10">
        <v>186</v>
      </c>
      <c r="BV19" s="10">
        <v>25</v>
      </c>
      <c r="BW19" s="10">
        <v>124</v>
      </c>
      <c r="BX19" s="10">
        <v>14</v>
      </c>
      <c r="BY19" s="10">
        <v>57</v>
      </c>
      <c r="BZ19" s="10">
        <v>7</v>
      </c>
      <c r="CA19" s="10">
        <v>63</v>
      </c>
      <c r="CB19" s="10">
        <v>7</v>
      </c>
      <c r="CC19" s="10">
        <v>39</v>
      </c>
      <c r="CD19" s="10">
        <v>24</v>
      </c>
      <c r="CE19" s="10">
        <v>122</v>
      </c>
      <c r="CF19" s="10">
        <v>14</v>
      </c>
      <c r="CG19" s="10">
        <v>115</v>
      </c>
      <c r="CH19" s="10">
        <v>13</v>
      </c>
      <c r="CI19" s="10">
        <v>114</v>
      </c>
      <c r="CJ19" s="10">
        <v>14</v>
      </c>
      <c r="CK19" s="10">
        <v>54</v>
      </c>
      <c r="CL19" s="10">
        <v>32</v>
      </c>
      <c r="CM19" s="10">
        <v>172</v>
      </c>
      <c r="CN19" s="10">
        <v>12</v>
      </c>
      <c r="CO19" s="10">
        <v>86</v>
      </c>
      <c r="CP19" s="10">
        <v>17</v>
      </c>
      <c r="CQ19" s="10">
        <v>106</v>
      </c>
      <c r="CR19" s="10">
        <v>24</v>
      </c>
      <c r="CS19" s="10">
        <v>97</v>
      </c>
      <c r="CT19" s="10">
        <v>30</v>
      </c>
      <c r="CU19" s="10">
        <v>116</v>
      </c>
      <c r="CV19" s="10">
        <v>43</v>
      </c>
      <c r="CW19" s="10">
        <v>156</v>
      </c>
      <c r="CX19" s="10">
        <v>20</v>
      </c>
      <c r="CY19" s="10">
        <v>117</v>
      </c>
      <c r="CZ19" s="10">
        <v>18</v>
      </c>
      <c r="DA19" s="10">
        <v>71</v>
      </c>
      <c r="DB19" s="10">
        <v>34</v>
      </c>
      <c r="DC19" s="10">
        <v>124</v>
      </c>
      <c r="DD19" s="10">
        <v>36</v>
      </c>
      <c r="DE19" s="10">
        <v>157</v>
      </c>
      <c r="DF19" s="10">
        <v>21</v>
      </c>
      <c r="DG19" s="10">
        <v>87</v>
      </c>
      <c r="DH19" s="10">
        <v>34</v>
      </c>
      <c r="DI19" s="10">
        <v>136</v>
      </c>
      <c r="DJ19" s="10">
        <v>39</v>
      </c>
      <c r="DK19" s="10">
        <v>170</v>
      </c>
      <c r="DL19" s="10">
        <v>42</v>
      </c>
      <c r="DM19" s="10">
        <v>180</v>
      </c>
      <c r="DN19" s="10">
        <v>27</v>
      </c>
      <c r="DO19" s="10">
        <v>129</v>
      </c>
      <c r="DP19" s="10">
        <v>37</v>
      </c>
      <c r="DQ19" s="10">
        <v>147</v>
      </c>
      <c r="DR19" s="10">
        <v>25</v>
      </c>
      <c r="DS19" s="10">
        <v>102</v>
      </c>
      <c r="DT19" s="10">
        <v>54</v>
      </c>
      <c r="DU19" s="10">
        <v>202</v>
      </c>
      <c r="DV19" s="10">
        <v>18</v>
      </c>
      <c r="DW19" s="10">
        <v>136</v>
      </c>
      <c r="DX19" s="10">
        <v>32</v>
      </c>
      <c r="DY19" s="10">
        <v>147</v>
      </c>
      <c r="DZ19" s="10">
        <v>28</v>
      </c>
      <c r="EA19" s="10">
        <v>187</v>
      </c>
      <c r="EB19" s="10">
        <v>49</v>
      </c>
      <c r="EC19" s="10">
        <v>199</v>
      </c>
      <c r="ED19" s="10">
        <v>27</v>
      </c>
      <c r="EE19" s="10">
        <v>135</v>
      </c>
      <c r="EF19" s="10">
        <v>27</v>
      </c>
      <c r="EG19" s="11">
        <v>183</v>
      </c>
      <c r="EH19" s="12">
        <v>29</v>
      </c>
      <c r="EI19" s="10">
        <v>158</v>
      </c>
      <c r="EJ19" s="10">
        <v>35</v>
      </c>
      <c r="EK19" s="10">
        <v>220</v>
      </c>
      <c r="EL19" s="10">
        <v>34</v>
      </c>
      <c r="EM19" s="10">
        <v>210</v>
      </c>
      <c r="EN19" s="10">
        <v>33</v>
      </c>
      <c r="EO19" s="10">
        <v>139</v>
      </c>
      <c r="EP19" s="10">
        <v>41</v>
      </c>
      <c r="EQ19" s="10">
        <v>202</v>
      </c>
      <c r="ER19" s="10">
        <v>46</v>
      </c>
      <c r="ES19" s="10">
        <v>225</v>
      </c>
      <c r="ET19" s="10">
        <v>29</v>
      </c>
      <c r="EU19" s="10">
        <v>206</v>
      </c>
      <c r="EV19" s="10">
        <v>30</v>
      </c>
      <c r="EW19" s="10">
        <v>135</v>
      </c>
      <c r="EX19" s="10">
        <v>47</v>
      </c>
      <c r="EY19" s="10">
        <v>279</v>
      </c>
      <c r="EZ19" s="10">
        <v>35</v>
      </c>
      <c r="FA19" s="10">
        <v>183</v>
      </c>
      <c r="FB19" s="10">
        <v>47</v>
      </c>
      <c r="FC19" s="10">
        <v>263</v>
      </c>
      <c r="FD19" s="10">
        <v>41</v>
      </c>
      <c r="FE19" s="10">
        <v>241</v>
      </c>
      <c r="FF19" s="10">
        <v>47</v>
      </c>
      <c r="FG19" s="10">
        <v>240</v>
      </c>
      <c r="FH19" s="10">
        <v>49</v>
      </c>
      <c r="FI19" s="10">
        <v>282</v>
      </c>
      <c r="FJ19" s="10">
        <v>38</v>
      </c>
      <c r="FK19" s="13">
        <v>227</v>
      </c>
      <c r="FL19" s="27">
        <v>236</v>
      </c>
      <c r="FM19" s="10">
        <v>236</v>
      </c>
      <c r="FN19" s="10">
        <v>50</v>
      </c>
      <c r="FO19" s="10">
        <v>254</v>
      </c>
      <c r="FP19" s="10">
        <v>55</v>
      </c>
      <c r="FQ19" s="10">
        <v>302</v>
      </c>
      <c r="FR19" s="10">
        <v>41</v>
      </c>
      <c r="FS19" s="10">
        <v>256</v>
      </c>
      <c r="FT19" s="10">
        <v>54</v>
      </c>
      <c r="FU19" s="10">
        <v>342</v>
      </c>
      <c r="FV19" s="10">
        <v>27</v>
      </c>
      <c r="FW19" s="10">
        <v>196</v>
      </c>
      <c r="FX19" s="10">
        <v>59</v>
      </c>
      <c r="FY19" s="10">
        <v>320</v>
      </c>
      <c r="FZ19" s="10">
        <v>60</v>
      </c>
      <c r="GA19" s="10">
        <v>287</v>
      </c>
      <c r="GB19" s="10">
        <v>67</v>
      </c>
      <c r="GC19" s="10">
        <v>370</v>
      </c>
      <c r="GD19" s="10">
        <v>51</v>
      </c>
      <c r="GE19" s="10">
        <v>278</v>
      </c>
      <c r="GF19" s="10">
        <v>71</v>
      </c>
      <c r="GG19" s="10">
        <v>282</v>
      </c>
      <c r="GH19" s="10">
        <v>60</v>
      </c>
      <c r="GI19" s="10">
        <v>265</v>
      </c>
      <c r="GJ19" s="10">
        <v>49</v>
      </c>
      <c r="GK19" s="10">
        <v>218</v>
      </c>
      <c r="GL19" s="10">
        <v>79</v>
      </c>
      <c r="GM19" s="10">
        <v>335</v>
      </c>
      <c r="GN19" s="10">
        <v>69</v>
      </c>
      <c r="GO19" s="10">
        <v>268</v>
      </c>
      <c r="GP19" s="10">
        <v>47</v>
      </c>
      <c r="GQ19" s="10">
        <v>230</v>
      </c>
      <c r="GR19" s="10">
        <v>61</v>
      </c>
      <c r="GS19" s="10">
        <v>286</v>
      </c>
      <c r="GT19" s="10">
        <v>47</v>
      </c>
      <c r="GU19" s="10">
        <v>199</v>
      </c>
      <c r="GV19" s="10">
        <v>93</v>
      </c>
      <c r="GW19" s="10">
        <v>318</v>
      </c>
      <c r="GX19" s="10">
        <v>84</v>
      </c>
      <c r="GY19" s="10">
        <v>340</v>
      </c>
      <c r="GZ19" s="10">
        <v>92</v>
      </c>
      <c r="HA19" s="10">
        <v>345</v>
      </c>
      <c r="HB19" s="10">
        <v>66</v>
      </c>
      <c r="HC19" s="10">
        <v>217</v>
      </c>
      <c r="HD19" s="10">
        <v>97</v>
      </c>
      <c r="HE19" s="10">
        <v>324</v>
      </c>
      <c r="HF19" s="10">
        <v>82</v>
      </c>
      <c r="HG19" s="10">
        <v>239</v>
      </c>
      <c r="HH19" s="10">
        <v>48</v>
      </c>
      <c r="HI19" s="10">
        <v>234</v>
      </c>
      <c r="HJ19" s="10">
        <v>70</v>
      </c>
      <c r="HK19" s="10">
        <v>252</v>
      </c>
      <c r="HL19" s="10">
        <v>64</v>
      </c>
      <c r="HM19" s="10">
        <v>211</v>
      </c>
      <c r="HN19" s="10">
        <v>82</v>
      </c>
      <c r="HO19" s="10">
        <v>222</v>
      </c>
      <c r="HP19" s="10">
        <v>48</v>
      </c>
      <c r="HQ19" s="10">
        <v>228</v>
      </c>
      <c r="HR19" s="10">
        <v>49</v>
      </c>
      <c r="HS19" s="10">
        <v>180</v>
      </c>
      <c r="HT19" s="10">
        <v>61</v>
      </c>
      <c r="HU19" s="10">
        <v>204</v>
      </c>
      <c r="HV19" s="10">
        <v>96</v>
      </c>
      <c r="HW19" s="10">
        <v>337</v>
      </c>
      <c r="HX19" s="10">
        <v>135</v>
      </c>
      <c r="HY19" s="10">
        <v>423</v>
      </c>
      <c r="HZ19" s="10">
        <v>130</v>
      </c>
      <c r="IA19" s="10">
        <v>413</v>
      </c>
      <c r="IB19" s="10">
        <v>179</v>
      </c>
      <c r="IC19" s="10">
        <v>484</v>
      </c>
      <c r="ID19" s="10">
        <v>141</v>
      </c>
      <c r="IE19" s="10">
        <v>357</v>
      </c>
      <c r="IF19" s="10">
        <v>122</v>
      </c>
      <c r="IG19" s="10">
        <v>395</v>
      </c>
      <c r="IH19" s="10">
        <v>176</v>
      </c>
      <c r="II19" s="10">
        <v>452</v>
      </c>
      <c r="IJ19" s="10">
        <v>222</v>
      </c>
      <c r="IK19" s="10">
        <v>453</v>
      </c>
      <c r="IL19" s="10">
        <v>220</v>
      </c>
      <c r="IM19" s="10">
        <v>487</v>
      </c>
      <c r="IN19" s="10">
        <v>193</v>
      </c>
      <c r="IO19" s="10">
        <v>413</v>
      </c>
      <c r="IP19" s="10">
        <v>169</v>
      </c>
      <c r="IQ19" s="10">
        <v>352</v>
      </c>
      <c r="IR19" s="10">
        <v>284</v>
      </c>
      <c r="IS19" s="10">
        <v>601</v>
      </c>
      <c r="IT19" s="10">
        <v>229</v>
      </c>
      <c r="IU19" s="10">
        <v>488</v>
      </c>
      <c r="IV19" s="10">
        <v>189</v>
      </c>
      <c r="IW19" s="10">
        <v>426</v>
      </c>
      <c r="IX19" s="10">
        <v>151</v>
      </c>
      <c r="IY19" s="10">
        <v>367</v>
      </c>
      <c r="IZ19" s="10">
        <v>200</v>
      </c>
      <c r="JA19" s="10">
        <v>478</v>
      </c>
      <c r="JB19" s="10">
        <v>176</v>
      </c>
      <c r="JC19" s="10">
        <v>446</v>
      </c>
      <c r="JD19" s="10">
        <v>168</v>
      </c>
      <c r="JE19" s="10">
        <v>383</v>
      </c>
    </row>
    <row r="20" spans="1:265" ht="28" x14ac:dyDescent="0.15">
      <c r="A20" s="26">
        <v>1.19</v>
      </c>
      <c r="B20" s="34" t="s">
        <v>38</v>
      </c>
      <c r="C20" s="30" t="s">
        <v>39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33">
        <v>2</v>
      </c>
      <c r="AS20" s="33">
        <v>23</v>
      </c>
      <c r="AT20" s="33">
        <v>1</v>
      </c>
      <c r="AU20" s="33">
        <v>6</v>
      </c>
      <c r="AV20" s="10">
        <v>0</v>
      </c>
      <c r="AW20" s="10">
        <v>2</v>
      </c>
      <c r="AX20" s="33">
        <v>1</v>
      </c>
      <c r="AY20" s="33">
        <v>25</v>
      </c>
      <c r="AZ20" s="10">
        <v>0</v>
      </c>
      <c r="BA20" s="10">
        <v>1</v>
      </c>
      <c r="BB20" s="33">
        <v>0</v>
      </c>
      <c r="BC20" s="33">
        <v>1</v>
      </c>
      <c r="BD20" s="10">
        <v>4</v>
      </c>
      <c r="BE20" s="10">
        <v>8</v>
      </c>
      <c r="BF20" s="33">
        <v>0</v>
      </c>
      <c r="BG20" s="33">
        <v>4</v>
      </c>
      <c r="BH20" s="10">
        <v>1</v>
      </c>
      <c r="BI20" s="10">
        <v>5</v>
      </c>
      <c r="BJ20" s="33">
        <v>1</v>
      </c>
      <c r="BK20" s="33">
        <v>10</v>
      </c>
      <c r="BL20" s="10">
        <v>0</v>
      </c>
      <c r="BM20" s="10">
        <v>4</v>
      </c>
      <c r="BN20" s="10">
        <v>0</v>
      </c>
      <c r="BO20" s="10">
        <v>5</v>
      </c>
      <c r="BP20" s="10">
        <v>0</v>
      </c>
      <c r="BQ20" s="10">
        <v>7</v>
      </c>
      <c r="BR20" s="10">
        <v>0</v>
      </c>
      <c r="BS20" s="10">
        <v>7</v>
      </c>
      <c r="BT20" s="10">
        <v>0</v>
      </c>
      <c r="BU20" s="10">
        <v>1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3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1">
        <v>0</v>
      </c>
      <c r="EH20" s="12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3"/>
      <c r="FL20" s="13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</row>
    <row r="21" spans="1:265" ht="14" hidden="1" x14ac:dyDescent="0.15">
      <c r="A21" s="35" t="s">
        <v>40</v>
      </c>
      <c r="B21" s="36"/>
      <c r="C21" s="30" t="s">
        <v>41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10">
        <v>4</v>
      </c>
      <c r="BC21" s="10">
        <v>14</v>
      </c>
      <c r="BD21" s="10">
        <v>2</v>
      </c>
      <c r="BE21" s="10">
        <v>11</v>
      </c>
      <c r="BF21" s="10">
        <v>2</v>
      </c>
      <c r="BG21" s="10">
        <v>13</v>
      </c>
      <c r="BH21" s="10">
        <v>2</v>
      </c>
      <c r="BI21" s="10">
        <v>14</v>
      </c>
      <c r="BJ21" s="10">
        <v>0</v>
      </c>
      <c r="BK21" s="10">
        <v>19</v>
      </c>
      <c r="BL21" s="10">
        <v>3</v>
      </c>
      <c r="BM21" s="10">
        <v>21</v>
      </c>
      <c r="BN21" s="10">
        <v>0</v>
      </c>
      <c r="BO21" s="10">
        <v>0</v>
      </c>
      <c r="BP21" s="10">
        <v>0</v>
      </c>
      <c r="BQ21" s="10">
        <v>2</v>
      </c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31"/>
      <c r="EH21" s="32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</row>
    <row r="22" spans="1:265" ht="30" customHeight="1" x14ac:dyDescent="0.15">
      <c r="A22" s="35">
        <v>1.21</v>
      </c>
      <c r="B22" s="37" t="s">
        <v>42</v>
      </c>
      <c r="C22" s="30" t="s">
        <v>43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10">
        <v>1</v>
      </c>
      <c r="BG22" s="10">
        <v>30</v>
      </c>
      <c r="BH22" s="10">
        <v>4</v>
      </c>
      <c r="BI22" s="10">
        <v>23</v>
      </c>
      <c r="BJ22" s="10">
        <v>5</v>
      </c>
      <c r="BK22" s="10">
        <v>44</v>
      </c>
      <c r="BL22" s="10">
        <v>2</v>
      </c>
      <c r="BM22" s="10">
        <v>25</v>
      </c>
      <c r="BN22" s="10">
        <v>6</v>
      </c>
      <c r="BO22" s="10">
        <v>35</v>
      </c>
      <c r="BP22" s="10">
        <v>1</v>
      </c>
      <c r="BQ22" s="10">
        <v>44</v>
      </c>
      <c r="BR22" s="10">
        <v>4</v>
      </c>
      <c r="BS22" s="10">
        <v>32</v>
      </c>
      <c r="BT22" s="10">
        <v>4</v>
      </c>
      <c r="BU22" s="10">
        <v>49</v>
      </c>
      <c r="BV22" s="10">
        <v>4</v>
      </c>
      <c r="BW22" s="10">
        <v>34</v>
      </c>
      <c r="BX22" s="10">
        <v>4</v>
      </c>
      <c r="BY22" s="10">
        <v>20</v>
      </c>
      <c r="BZ22" s="10">
        <v>9</v>
      </c>
      <c r="CA22" s="10">
        <v>46</v>
      </c>
      <c r="CB22" s="10">
        <v>9</v>
      </c>
      <c r="CC22" s="10">
        <v>51</v>
      </c>
      <c r="CD22" s="10">
        <v>11</v>
      </c>
      <c r="CE22" s="10">
        <v>93</v>
      </c>
      <c r="CF22" s="10">
        <v>10</v>
      </c>
      <c r="CG22" s="10">
        <v>120</v>
      </c>
      <c r="CH22" s="10">
        <v>16</v>
      </c>
      <c r="CI22" s="10">
        <v>123</v>
      </c>
      <c r="CJ22" s="10">
        <v>5</v>
      </c>
      <c r="CK22" s="10">
        <v>59</v>
      </c>
      <c r="CL22" s="10">
        <v>20</v>
      </c>
      <c r="CM22" s="10">
        <v>164</v>
      </c>
      <c r="CN22" s="10">
        <v>12</v>
      </c>
      <c r="CO22" s="10">
        <v>121</v>
      </c>
      <c r="CP22" s="10">
        <v>15</v>
      </c>
      <c r="CQ22" s="10">
        <v>138</v>
      </c>
      <c r="CR22" s="10">
        <v>18</v>
      </c>
      <c r="CS22" s="10">
        <v>141</v>
      </c>
      <c r="CT22" s="10">
        <v>25</v>
      </c>
      <c r="CU22" s="10">
        <v>122</v>
      </c>
      <c r="CV22" s="10">
        <v>23</v>
      </c>
      <c r="CW22" s="10">
        <v>171</v>
      </c>
      <c r="CX22" s="10">
        <v>15</v>
      </c>
      <c r="CY22" s="10">
        <v>122</v>
      </c>
      <c r="CZ22" s="10">
        <v>11</v>
      </c>
      <c r="DA22" s="10">
        <v>70</v>
      </c>
      <c r="DB22" s="10">
        <v>24</v>
      </c>
      <c r="DC22" s="10">
        <v>126</v>
      </c>
      <c r="DD22" s="10">
        <v>25</v>
      </c>
      <c r="DE22" s="10">
        <v>178</v>
      </c>
      <c r="DF22" s="10">
        <v>22</v>
      </c>
      <c r="DG22" s="10">
        <v>163</v>
      </c>
      <c r="DH22" s="10">
        <v>28</v>
      </c>
      <c r="DI22" s="10">
        <v>118</v>
      </c>
      <c r="DJ22" s="10">
        <v>24</v>
      </c>
      <c r="DK22" s="10">
        <v>144</v>
      </c>
      <c r="DL22" s="10">
        <v>27</v>
      </c>
      <c r="DM22" s="10">
        <v>177</v>
      </c>
      <c r="DN22" s="10">
        <v>23</v>
      </c>
      <c r="DO22" s="10">
        <v>126</v>
      </c>
      <c r="DP22" s="10">
        <v>37</v>
      </c>
      <c r="DQ22" s="10">
        <v>156</v>
      </c>
      <c r="DR22" s="10">
        <v>21</v>
      </c>
      <c r="DS22" s="10">
        <v>127</v>
      </c>
      <c r="DT22" s="10">
        <v>34</v>
      </c>
      <c r="DU22" s="10">
        <v>170</v>
      </c>
      <c r="DV22" s="10">
        <v>14</v>
      </c>
      <c r="DW22" s="10">
        <v>152</v>
      </c>
      <c r="DX22" s="10">
        <v>21</v>
      </c>
      <c r="DY22" s="10">
        <v>131</v>
      </c>
      <c r="DZ22" s="10">
        <v>31</v>
      </c>
      <c r="EA22" s="10">
        <v>189</v>
      </c>
      <c r="EB22" s="10">
        <v>35</v>
      </c>
      <c r="EC22" s="10">
        <v>197</v>
      </c>
      <c r="ED22" s="10">
        <v>19</v>
      </c>
      <c r="EE22" s="10">
        <v>136</v>
      </c>
      <c r="EF22" s="10">
        <v>25</v>
      </c>
      <c r="EG22" s="11">
        <v>193</v>
      </c>
      <c r="EH22" s="12">
        <v>25</v>
      </c>
      <c r="EI22" s="10">
        <v>168</v>
      </c>
      <c r="EJ22" s="10">
        <v>29</v>
      </c>
      <c r="EK22" s="10">
        <v>216</v>
      </c>
      <c r="EL22" s="10">
        <v>35</v>
      </c>
      <c r="EM22" s="10">
        <v>205</v>
      </c>
      <c r="EN22" s="10">
        <v>27</v>
      </c>
      <c r="EO22" s="10">
        <v>151</v>
      </c>
      <c r="EP22" s="10">
        <v>36</v>
      </c>
      <c r="EQ22" s="10">
        <v>195</v>
      </c>
      <c r="ER22" s="10">
        <v>44</v>
      </c>
      <c r="ES22" s="10">
        <v>232</v>
      </c>
      <c r="ET22" s="10">
        <v>41</v>
      </c>
      <c r="EU22" s="10">
        <v>198</v>
      </c>
      <c r="EV22" s="10">
        <v>30</v>
      </c>
      <c r="EW22" s="10">
        <v>159</v>
      </c>
      <c r="EX22" s="10">
        <v>39</v>
      </c>
      <c r="EY22" s="10">
        <v>280</v>
      </c>
      <c r="EZ22" s="10">
        <v>37</v>
      </c>
      <c r="FA22" s="10">
        <v>216</v>
      </c>
      <c r="FB22" s="10">
        <v>46</v>
      </c>
      <c r="FC22" s="10">
        <v>282</v>
      </c>
      <c r="FD22" s="10">
        <v>35</v>
      </c>
      <c r="FE22" s="10">
        <v>226</v>
      </c>
      <c r="FF22" s="10">
        <v>55</v>
      </c>
      <c r="FG22" s="10">
        <v>261</v>
      </c>
      <c r="FH22" s="10">
        <v>61</v>
      </c>
      <c r="FI22" s="10">
        <v>305</v>
      </c>
      <c r="FJ22" s="10">
        <v>43</v>
      </c>
      <c r="FK22" s="13">
        <v>300</v>
      </c>
      <c r="FL22" s="27">
        <v>316</v>
      </c>
      <c r="FM22" s="10">
        <v>316</v>
      </c>
      <c r="FN22" s="10">
        <v>46</v>
      </c>
      <c r="FO22" s="10">
        <v>304</v>
      </c>
      <c r="FP22" s="10">
        <v>56</v>
      </c>
      <c r="FQ22" s="10">
        <v>316</v>
      </c>
      <c r="FR22" s="10">
        <v>40</v>
      </c>
      <c r="FS22" s="10">
        <v>269</v>
      </c>
      <c r="FT22" s="10">
        <v>72</v>
      </c>
      <c r="FU22" s="10">
        <v>342</v>
      </c>
      <c r="FV22" s="10">
        <v>23</v>
      </c>
      <c r="FW22" s="10">
        <v>245</v>
      </c>
      <c r="FX22" s="10">
        <v>70</v>
      </c>
      <c r="FY22" s="10">
        <v>395</v>
      </c>
      <c r="FZ22" s="10">
        <v>47</v>
      </c>
      <c r="GA22" s="10">
        <v>300</v>
      </c>
      <c r="GB22" s="10">
        <v>73</v>
      </c>
      <c r="GC22" s="10">
        <v>363</v>
      </c>
      <c r="GD22" s="10">
        <v>58</v>
      </c>
      <c r="GE22" s="10">
        <v>366</v>
      </c>
      <c r="GF22" s="10">
        <v>63</v>
      </c>
      <c r="GG22" s="10">
        <v>301</v>
      </c>
      <c r="GH22" s="10">
        <v>55</v>
      </c>
      <c r="GI22" s="10">
        <v>306</v>
      </c>
      <c r="GJ22" s="10">
        <v>52</v>
      </c>
      <c r="GK22" s="10">
        <v>241</v>
      </c>
      <c r="GL22" s="10">
        <v>70</v>
      </c>
      <c r="GM22" s="10">
        <v>380</v>
      </c>
      <c r="GN22" s="10">
        <v>64</v>
      </c>
      <c r="GO22" s="10">
        <v>311</v>
      </c>
      <c r="GP22" s="10">
        <v>56</v>
      </c>
      <c r="GQ22" s="10">
        <v>288</v>
      </c>
      <c r="GR22" s="10">
        <v>57</v>
      </c>
      <c r="GS22" s="10">
        <v>268</v>
      </c>
      <c r="GT22" s="10">
        <v>31</v>
      </c>
      <c r="GU22" s="10">
        <v>143</v>
      </c>
      <c r="GV22" s="10">
        <v>79</v>
      </c>
      <c r="GW22" s="10">
        <v>304</v>
      </c>
      <c r="GX22" s="10">
        <v>74</v>
      </c>
      <c r="GY22" s="10">
        <v>293</v>
      </c>
      <c r="GZ22" s="10">
        <v>80</v>
      </c>
      <c r="HA22" s="10">
        <v>282</v>
      </c>
      <c r="HB22" s="10">
        <v>60</v>
      </c>
      <c r="HC22" s="10">
        <v>231</v>
      </c>
      <c r="HD22" s="10">
        <v>90</v>
      </c>
      <c r="HE22" s="10">
        <v>277</v>
      </c>
      <c r="HF22" s="10">
        <v>103</v>
      </c>
      <c r="HG22" s="10">
        <v>260</v>
      </c>
      <c r="HH22" s="10">
        <v>74</v>
      </c>
      <c r="HI22" s="10">
        <v>239</v>
      </c>
      <c r="HJ22" s="10">
        <v>74</v>
      </c>
      <c r="HK22" s="10">
        <v>195</v>
      </c>
      <c r="HL22" s="10">
        <v>55</v>
      </c>
      <c r="HM22" s="10">
        <v>226</v>
      </c>
      <c r="HN22" s="10">
        <v>77</v>
      </c>
      <c r="HO22" s="10">
        <v>252</v>
      </c>
      <c r="HP22" s="10">
        <v>49</v>
      </c>
      <c r="HQ22" s="10">
        <v>279</v>
      </c>
      <c r="HR22" s="10">
        <v>70</v>
      </c>
      <c r="HS22" s="10">
        <v>187</v>
      </c>
      <c r="HT22" s="10">
        <v>90</v>
      </c>
      <c r="HU22" s="10">
        <v>237</v>
      </c>
      <c r="HV22" s="10">
        <v>124</v>
      </c>
      <c r="HW22" s="10">
        <v>327</v>
      </c>
      <c r="HX22" s="10">
        <v>139</v>
      </c>
      <c r="HY22" s="10">
        <v>423</v>
      </c>
      <c r="HZ22" s="10">
        <v>141</v>
      </c>
      <c r="IA22" s="10">
        <v>429</v>
      </c>
      <c r="IB22" s="10">
        <v>202</v>
      </c>
      <c r="IC22" s="10">
        <v>494</v>
      </c>
      <c r="ID22" s="10">
        <v>172</v>
      </c>
      <c r="IE22" s="10">
        <v>409</v>
      </c>
      <c r="IF22" s="10">
        <v>164</v>
      </c>
      <c r="IG22" s="10">
        <v>407</v>
      </c>
      <c r="IH22" s="10">
        <v>207</v>
      </c>
      <c r="II22" s="10">
        <v>490</v>
      </c>
      <c r="IJ22" s="10">
        <v>275</v>
      </c>
      <c r="IK22" s="10">
        <v>530</v>
      </c>
      <c r="IL22" s="10">
        <v>292</v>
      </c>
      <c r="IM22" s="10">
        <v>635</v>
      </c>
      <c r="IN22" s="10">
        <v>257</v>
      </c>
      <c r="IO22" s="10">
        <v>485</v>
      </c>
      <c r="IP22" s="10">
        <v>264</v>
      </c>
      <c r="IQ22" s="10">
        <v>509</v>
      </c>
      <c r="IR22" s="10">
        <v>389</v>
      </c>
      <c r="IS22" s="10">
        <v>773</v>
      </c>
      <c r="IT22" s="10">
        <v>294</v>
      </c>
      <c r="IU22" s="10">
        <v>666</v>
      </c>
      <c r="IV22" s="10">
        <v>283</v>
      </c>
      <c r="IW22" s="10">
        <v>566</v>
      </c>
      <c r="IX22" s="10">
        <v>268</v>
      </c>
      <c r="IY22" s="10">
        <v>522</v>
      </c>
      <c r="IZ22" s="10">
        <v>282</v>
      </c>
      <c r="JA22" s="10">
        <v>625</v>
      </c>
      <c r="JB22" s="10">
        <v>242</v>
      </c>
      <c r="JC22" s="10">
        <v>578</v>
      </c>
      <c r="JD22" s="10">
        <v>266</v>
      </c>
      <c r="JE22" s="10">
        <v>569</v>
      </c>
    </row>
    <row r="23" spans="1:265" ht="28" x14ac:dyDescent="0.15">
      <c r="A23" s="35">
        <v>1.22</v>
      </c>
      <c r="B23" s="37" t="s">
        <v>44</v>
      </c>
      <c r="C23" s="30" t="s">
        <v>45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10">
        <v>9</v>
      </c>
      <c r="BG23" s="10">
        <v>92</v>
      </c>
      <c r="BH23" s="10">
        <v>8</v>
      </c>
      <c r="BI23" s="10">
        <v>96</v>
      </c>
      <c r="BJ23" s="10">
        <v>11</v>
      </c>
      <c r="BK23" s="10">
        <v>103</v>
      </c>
      <c r="BL23" s="10">
        <f>5+1</f>
        <v>6</v>
      </c>
      <c r="BM23" s="10">
        <v>75</v>
      </c>
      <c r="BN23" s="10">
        <v>6</v>
      </c>
      <c r="BO23" s="10">
        <v>96</v>
      </c>
      <c r="BP23" s="10">
        <v>0</v>
      </c>
      <c r="BQ23" s="10">
        <v>57</v>
      </c>
      <c r="BR23" s="10">
        <v>11</v>
      </c>
      <c r="BS23" s="10">
        <v>71</v>
      </c>
      <c r="BT23" s="10">
        <v>9</v>
      </c>
      <c r="BU23" s="10">
        <v>89</v>
      </c>
      <c r="BV23" s="10">
        <v>8</v>
      </c>
      <c r="BW23" s="10">
        <v>66</v>
      </c>
      <c r="BX23" s="10">
        <v>9</v>
      </c>
      <c r="BY23" s="10">
        <v>83</v>
      </c>
      <c r="BZ23" s="10">
        <v>3</v>
      </c>
      <c r="CA23" s="10">
        <v>91</v>
      </c>
      <c r="CB23" s="10">
        <v>9</v>
      </c>
      <c r="CC23" s="10">
        <v>67</v>
      </c>
      <c r="CD23" s="10">
        <v>10</v>
      </c>
      <c r="CE23" s="10">
        <v>100</v>
      </c>
      <c r="CF23" s="10">
        <v>16</v>
      </c>
      <c r="CG23" s="10">
        <v>100</v>
      </c>
      <c r="CH23" s="10">
        <v>8</v>
      </c>
      <c r="CI23" s="10">
        <v>99</v>
      </c>
      <c r="CJ23" s="10">
        <v>9</v>
      </c>
      <c r="CK23" s="10">
        <v>70</v>
      </c>
      <c r="CL23" s="10">
        <v>6</v>
      </c>
      <c r="CM23" s="10">
        <v>97</v>
      </c>
      <c r="CN23" s="10">
        <v>16</v>
      </c>
      <c r="CO23" s="10">
        <v>78</v>
      </c>
      <c r="CP23" s="10">
        <v>9</v>
      </c>
      <c r="CQ23" s="10">
        <v>97</v>
      </c>
      <c r="CR23" s="10">
        <v>10</v>
      </c>
      <c r="CS23" s="10">
        <v>87</v>
      </c>
      <c r="CT23" s="10">
        <v>11</v>
      </c>
      <c r="CU23" s="10">
        <v>80</v>
      </c>
      <c r="CV23" s="10">
        <v>13</v>
      </c>
      <c r="CW23" s="10">
        <v>101</v>
      </c>
      <c r="CX23" s="10">
        <v>6</v>
      </c>
      <c r="CY23" s="10">
        <v>73</v>
      </c>
      <c r="CZ23" s="10">
        <v>13</v>
      </c>
      <c r="DA23" s="10">
        <v>70</v>
      </c>
      <c r="DB23" s="10">
        <v>18</v>
      </c>
      <c r="DC23" s="10">
        <v>98</v>
      </c>
      <c r="DD23" s="10">
        <v>15</v>
      </c>
      <c r="DE23" s="10">
        <v>92</v>
      </c>
      <c r="DF23" s="10">
        <v>12</v>
      </c>
      <c r="DG23" s="10">
        <v>68</v>
      </c>
      <c r="DH23" s="10">
        <v>18</v>
      </c>
      <c r="DI23" s="10">
        <v>111</v>
      </c>
      <c r="DJ23" s="10">
        <v>15</v>
      </c>
      <c r="DK23" s="10">
        <v>99</v>
      </c>
      <c r="DL23" s="10">
        <v>11</v>
      </c>
      <c r="DM23" s="10">
        <v>70</v>
      </c>
      <c r="DN23" s="10">
        <v>12</v>
      </c>
      <c r="DO23" s="10">
        <v>94</v>
      </c>
      <c r="DP23" s="10">
        <v>13</v>
      </c>
      <c r="DQ23" s="10">
        <v>75</v>
      </c>
      <c r="DR23" s="10">
        <v>19</v>
      </c>
      <c r="DS23" s="10">
        <v>80</v>
      </c>
      <c r="DT23" s="10">
        <v>18</v>
      </c>
      <c r="DU23" s="10">
        <v>109</v>
      </c>
      <c r="DV23" s="10">
        <v>5</v>
      </c>
      <c r="DW23" s="10">
        <v>76</v>
      </c>
      <c r="DX23" s="10">
        <v>4</v>
      </c>
      <c r="DY23" s="10">
        <v>94</v>
      </c>
      <c r="DZ23" s="10">
        <v>11</v>
      </c>
      <c r="EA23" s="10">
        <v>117</v>
      </c>
      <c r="EB23" s="10">
        <v>2</v>
      </c>
      <c r="EC23" s="10">
        <v>92</v>
      </c>
      <c r="ED23" s="10">
        <v>2</v>
      </c>
      <c r="EE23" s="10">
        <v>74</v>
      </c>
      <c r="EF23" s="10">
        <v>7</v>
      </c>
      <c r="EG23" s="11">
        <v>142</v>
      </c>
      <c r="EH23" s="12">
        <v>7</v>
      </c>
      <c r="EI23" s="10">
        <v>111</v>
      </c>
      <c r="EJ23" s="10">
        <v>4</v>
      </c>
      <c r="EK23" s="10">
        <v>113</v>
      </c>
      <c r="EL23" s="10">
        <v>7</v>
      </c>
      <c r="EM23" s="10">
        <v>88</v>
      </c>
      <c r="EN23" s="10">
        <v>5</v>
      </c>
      <c r="EO23" s="10">
        <v>79</v>
      </c>
      <c r="EP23" s="10">
        <v>6</v>
      </c>
      <c r="EQ23" s="10">
        <v>87</v>
      </c>
      <c r="ER23" s="10">
        <v>8</v>
      </c>
      <c r="ES23" s="10">
        <v>126</v>
      </c>
      <c r="ET23" s="10">
        <v>14</v>
      </c>
      <c r="EU23" s="10">
        <v>116</v>
      </c>
      <c r="EV23" s="10">
        <v>15</v>
      </c>
      <c r="EW23" s="10">
        <v>106</v>
      </c>
      <c r="EX23" s="10">
        <v>11</v>
      </c>
      <c r="EY23" s="10">
        <v>143</v>
      </c>
      <c r="EZ23" s="10">
        <v>11</v>
      </c>
      <c r="FA23" s="10">
        <v>77</v>
      </c>
      <c r="FB23" s="10">
        <v>19</v>
      </c>
      <c r="FC23" s="10">
        <v>175</v>
      </c>
      <c r="FD23" s="10">
        <v>12</v>
      </c>
      <c r="FE23" s="10">
        <v>150</v>
      </c>
      <c r="FF23" s="10">
        <v>7</v>
      </c>
      <c r="FG23" s="10">
        <v>109</v>
      </c>
      <c r="FH23" s="10">
        <v>11</v>
      </c>
      <c r="FI23" s="10">
        <v>127</v>
      </c>
      <c r="FJ23" s="10">
        <v>4</v>
      </c>
      <c r="FK23" s="13">
        <v>105</v>
      </c>
      <c r="FL23" s="13">
        <v>105</v>
      </c>
      <c r="FM23" s="10">
        <v>105</v>
      </c>
      <c r="FN23" s="10">
        <v>10</v>
      </c>
      <c r="FO23" s="10">
        <v>115</v>
      </c>
      <c r="FP23" s="10">
        <v>17</v>
      </c>
      <c r="FQ23" s="10">
        <v>139</v>
      </c>
      <c r="FR23" s="10">
        <v>11</v>
      </c>
      <c r="FS23" s="10">
        <v>139</v>
      </c>
      <c r="FT23" s="10">
        <v>14</v>
      </c>
      <c r="FU23" s="10">
        <v>144</v>
      </c>
      <c r="FV23" s="10">
        <v>8</v>
      </c>
      <c r="FW23" s="10">
        <v>97</v>
      </c>
      <c r="FX23" s="10">
        <v>19</v>
      </c>
      <c r="FY23" s="10">
        <v>130</v>
      </c>
      <c r="FZ23" s="10">
        <v>19</v>
      </c>
      <c r="GA23" s="10">
        <v>138</v>
      </c>
      <c r="GB23" s="10">
        <v>15</v>
      </c>
      <c r="GC23" s="10">
        <v>158</v>
      </c>
      <c r="GD23" s="10">
        <v>13</v>
      </c>
      <c r="GE23" s="10">
        <v>117</v>
      </c>
      <c r="GF23" s="10">
        <v>13</v>
      </c>
      <c r="GG23" s="10">
        <v>86</v>
      </c>
      <c r="GH23" s="10">
        <v>14</v>
      </c>
      <c r="GI23" s="10">
        <v>82</v>
      </c>
      <c r="GJ23" s="10">
        <v>9</v>
      </c>
      <c r="GK23" s="10">
        <v>57</v>
      </c>
      <c r="GL23" s="10">
        <v>9</v>
      </c>
      <c r="GM23" s="10">
        <v>80</v>
      </c>
      <c r="GN23" s="10">
        <v>19</v>
      </c>
      <c r="GO23" s="10">
        <v>106</v>
      </c>
      <c r="GP23" s="10">
        <v>7</v>
      </c>
      <c r="GQ23" s="10">
        <v>75</v>
      </c>
      <c r="GR23" s="10">
        <v>5</v>
      </c>
      <c r="GS23" s="10">
        <v>58</v>
      </c>
      <c r="GT23" s="10">
        <v>8</v>
      </c>
      <c r="GU23" s="10">
        <v>59</v>
      </c>
      <c r="GV23" s="10">
        <v>18</v>
      </c>
      <c r="GW23" s="10">
        <v>72</v>
      </c>
      <c r="GX23" s="10">
        <v>9</v>
      </c>
      <c r="GY23" s="10">
        <v>89</v>
      </c>
      <c r="GZ23" s="10">
        <v>16</v>
      </c>
      <c r="HA23" s="10">
        <v>93</v>
      </c>
      <c r="HB23" s="10">
        <v>8</v>
      </c>
      <c r="HC23" s="10">
        <v>64</v>
      </c>
      <c r="HD23" s="10">
        <v>9</v>
      </c>
      <c r="HE23" s="10">
        <v>53</v>
      </c>
      <c r="HF23" s="10">
        <v>5</v>
      </c>
      <c r="HG23" s="10">
        <v>35</v>
      </c>
      <c r="HH23" s="10">
        <v>7</v>
      </c>
      <c r="HI23" s="10">
        <v>31</v>
      </c>
      <c r="HJ23" s="10">
        <v>7</v>
      </c>
      <c r="HK23" s="10">
        <v>29</v>
      </c>
      <c r="HL23" s="10">
        <v>8</v>
      </c>
      <c r="HM23" s="10">
        <v>42</v>
      </c>
      <c r="HN23" s="10">
        <v>8</v>
      </c>
      <c r="HO23" s="10">
        <v>31</v>
      </c>
      <c r="HP23" s="10">
        <v>9</v>
      </c>
      <c r="HQ23" s="10">
        <v>38</v>
      </c>
      <c r="HR23" s="10">
        <v>9</v>
      </c>
      <c r="HS23" s="10">
        <v>34</v>
      </c>
      <c r="HT23" s="10">
        <v>10</v>
      </c>
      <c r="HU23" s="10">
        <v>56</v>
      </c>
      <c r="HV23" s="10">
        <v>5</v>
      </c>
      <c r="HW23" s="10">
        <v>23</v>
      </c>
      <c r="HX23" s="10">
        <v>5</v>
      </c>
      <c r="HY23" s="10">
        <v>24</v>
      </c>
      <c r="HZ23" s="10">
        <v>7</v>
      </c>
      <c r="IA23" s="10">
        <v>31</v>
      </c>
      <c r="IB23" s="10">
        <v>12</v>
      </c>
      <c r="IC23" s="10">
        <v>49</v>
      </c>
      <c r="ID23" s="10">
        <v>6</v>
      </c>
      <c r="IE23" s="10">
        <v>32</v>
      </c>
      <c r="IF23" s="10">
        <v>16</v>
      </c>
      <c r="IG23" s="10">
        <v>60</v>
      </c>
      <c r="IH23" s="10">
        <v>8</v>
      </c>
      <c r="II23" s="10">
        <v>39</v>
      </c>
      <c r="IJ23" s="10">
        <v>10</v>
      </c>
      <c r="IK23" s="10">
        <v>33</v>
      </c>
      <c r="IL23" s="10">
        <v>5</v>
      </c>
      <c r="IM23" s="10">
        <v>38</v>
      </c>
      <c r="IN23" s="10">
        <v>4</v>
      </c>
      <c r="IO23" s="10">
        <v>21</v>
      </c>
      <c r="IP23" s="10">
        <v>9</v>
      </c>
      <c r="IQ23" s="10">
        <v>13</v>
      </c>
      <c r="IR23" s="10">
        <v>6</v>
      </c>
      <c r="IS23" s="10">
        <v>18</v>
      </c>
      <c r="IT23" s="10">
        <v>6</v>
      </c>
      <c r="IU23" s="10">
        <v>19</v>
      </c>
      <c r="IV23" s="10">
        <v>4</v>
      </c>
      <c r="IW23" s="10">
        <v>12</v>
      </c>
      <c r="IX23" s="10">
        <v>8</v>
      </c>
      <c r="IY23" s="10">
        <v>28</v>
      </c>
      <c r="IZ23" s="10">
        <v>1</v>
      </c>
      <c r="JA23" s="10">
        <v>19</v>
      </c>
      <c r="JB23" s="10">
        <v>7</v>
      </c>
      <c r="JC23" s="10">
        <v>27</v>
      </c>
      <c r="JD23" s="10">
        <v>6</v>
      </c>
      <c r="JE23" s="10">
        <v>31</v>
      </c>
    </row>
    <row r="24" spans="1:265" ht="42" x14ac:dyDescent="0.15">
      <c r="A24" s="35">
        <v>1.23</v>
      </c>
      <c r="B24" s="37" t="s">
        <v>46</v>
      </c>
      <c r="C24" s="30" t="s">
        <v>47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10">
        <v>0</v>
      </c>
      <c r="BM24" s="10">
        <v>1</v>
      </c>
      <c r="BN24" s="10">
        <v>2</v>
      </c>
      <c r="BO24" s="10">
        <v>11</v>
      </c>
      <c r="BP24" s="10">
        <v>0</v>
      </c>
      <c r="BQ24" s="10">
        <v>1</v>
      </c>
      <c r="BR24" s="10">
        <v>3</v>
      </c>
      <c r="BS24" s="10">
        <v>11</v>
      </c>
      <c r="BT24" s="10">
        <v>0</v>
      </c>
      <c r="BU24" s="10">
        <v>3</v>
      </c>
      <c r="BV24" s="10">
        <v>2</v>
      </c>
      <c r="BW24" s="10">
        <v>4</v>
      </c>
      <c r="BX24" s="10">
        <v>3</v>
      </c>
      <c r="BY24" s="10">
        <v>7</v>
      </c>
      <c r="BZ24" s="10">
        <v>0</v>
      </c>
      <c r="CA24" s="10">
        <v>14</v>
      </c>
      <c r="CB24" s="10">
        <v>1</v>
      </c>
      <c r="CC24" s="10">
        <v>24</v>
      </c>
      <c r="CD24" s="10">
        <v>3</v>
      </c>
      <c r="CE24" s="10">
        <v>34</v>
      </c>
      <c r="CF24" s="10">
        <v>3</v>
      </c>
      <c r="CG24" s="10">
        <v>16</v>
      </c>
      <c r="CH24" s="10">
        <v>0</v>
      </c>
      <c r="CI24" s="10">
        <v>16</v>
      </c>
      <c r="CJ24" s="10">
        <v>1</v>
      </c>
      <c r="CK24" s="10">
        <v>11</v>
      </c>
      <c r="CL24" s="10">
        <v>0</v>
      </c>
      <c r="CM24" s="10">
        <v>14</v>
      </c>
      <c r="CN24" s="10">
        <v>11</v>
      </c>
      <c r="CO24" s="10">
        <v>84</v>
      </c>
      <c r="CP24" s="10">
        <v>9</v>
      </c>
      <c r="CQ24" s="10">
        <v>103</v>
      </c>
      <c r="CR24" s="10">
        <v>10</v>
      </c>
      <c r="CS24" s="10">
        <v>111</v>
      </c>
      <c r="CT24" s="10">
        <v>3</v>
      </c>
      <c r="CU24" s="10">
        <v>70</v>
      </c>
      <c r="CV24" s="10">
        <v>12</v>
      </c>
      <c r="CW24" s="10">
        <v>142</v>
      </c>
      <c r="CX24" s="10">
        <v>9</v>
      </c>
      <c r="CY24" s="10">
        <v>93</v>
      </c>
      <c r="CZ24" s="10">
        <v>28</v>
      </c>
      <c r="DA24" s="10">
        <v>97</v>
      </c>
      <c r="DB24" s="10">
        <v>13</v>
      </c>
      <c r="DC24" s="10">
        <v>102</v>
      </c>
      <c r="DD24" s="10">
        <v>6</v>
      </c>
      <c r="DE24" s="10">
        <v>107</v>
      </c>
      <c r="DF24" s="10">
        <v>13</v>
      </c>
      <c r="DG24" s="10">
        <v>112</v>
      </c>
      <c r="DH24" s="10">
        <v>14</v>
      </c>
      <c r="DI24" s="10">
        <v>86</v>
      </c>
      <c r="DJ24" s="10">
        <v>5</v>
      </c>
      <c r="DK24" s="10">
        <v>77</v>
      </c>
      <c r="DL24" s="10">
        <v>6</v>
      </c>
      <c r="DM24" s="10">
        <v>66</v>
      </c>
      <c r="DN24" s="10">
        <v>10</v>
      </c>
      <c r="DO24" s="10">
        <v>81</v>
      </c>
      <c r="DP24" s="10">
        <v>8</v>
      </c>
      <c r="DQ24" s="10">
        <v>75</v>
      </c>
      <c r="DR24" s="10">
        <v>10</v>
      </c>
      <c r="DS24" s="10">
        <v>77</v>
      </c>
      <c r="DT24" s="10">
        <v>12</v>
      </c>
      <c r="DU24" s="10">
        <v>107</v>
      </c>
      <c r="DV24" s="10">
        <v>5</v>
      </c>
      <c r="DW24" s="10">
        <v>91</v>
      </c>
      <c r="DX24" s="10">
        <v>4</v>
      </c>
      <c r="DY24" s="10">
        <v>77</v>
      </c>
      <c r="DZ24" s="10">
        <v>8</v>
      </c>
      <c r="EA24" s="10">
        <v>114</v>
      </c>
      <c r="EB24" s="10">
        <v>9</v>
      </c>
      <c r="EC24" s="10">
        <v>89</v>
      </c>
      <c r="ED24" s="10">
        <v>2</v>
      </c>
      <c r="EE24" s="10">
        <v>83</v>
      </c>
      <c r="EF24" s="10">
        <v>4</v>
      </c>
      <c r="EG24" s="11">
        <v>103</v>
      </c>
      <c r="EH24" s="12">
        <v>4</v>
      </c>
      <c r="EI24" s="10">
        <v>97</v>
      </c>
      <c r="EJ24" s="10">
        <v>6</v>
      </c>
      <c r="EK24" s="10">
        <v>85</v>
      </c>
      <c r="EL24" s="10">
        <v>3</v>
      </c>
      <c r="EM24" s="10">
        <v>84</v>
      </c>
      <c r="EN24" s="10">
        <v>3</v>
      </c>
      <c r="EO24" s="10">
        <v>78</v>
      </c>
      <c r="EP24" s="10">
        <v>9</v>
      </c>
      <c r="EQ24" s="10">
        <v>91</v>
      </c>
      <c r="ER24" s="10">
        <v>9</v>
      </c>
      <c r="ES24" s="10">
        <v>98</v>
      </c>
      <c r="ET24" s="10">
        <v>10</v>
      </c>
      <c r="EU24" s="10">
        <v>110</v>
      </c>
      <c r="EV24" s="10">
        <v>4</v>
      </c>
      <c r="EW24" s="10">
        <v>92</v>
      </c>
      <c r="EX24" s="10">
        <v>9</v>
      </c>
      <c r="EY24" s="10">
        <v>116</v>
      </c>
      <c r="EZ24" s="10">
        <v>7</v>
      </c>
      <c r="FA24" s="10">
        <v>81</v>
      </c>
      <c r="FB24" s="10">
        <v>16</v>
      </c>
      <c r="FC24" s="10">
        <v>142</v>
      </c>
      <c r="FD24" s="10">
        <v>9</v>
      </c>
      <c r="FE24" s="10">
        <v>111</v>
      </c>
      <c r="FF24" s="10">
        <v>5</v>
      </c>
      <c r="FG24" s="10">
        <v>111</v>
      </c>
      <c r="FH24" s="10">
        <v>6</v>
      </c>
      <c r="FI24" s="10">
        <v>97</v>
      </c>
      <c r="FJ24" s="10">
        <v>0</v>
      </c>
      <c r="FK24" s="13">
        <v>87</v>
      </c>
      <c r="FL24" s="13">
        <v>87</v>
      </c>
      <c r="FM24" s="10">
        <v>87</v>
      </c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</row>
    <row r="25" spans="1:265" ht="28" x14ac:dyDescent="0.15">
      <c r="A25" s="35">
        <v>1.24</v>
      </c>
      <c r="B25" s="37" t="s">
        <v>48</v>
      </c>
      <c r="C25" s="30" t="s">
        <v>49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10">
        <v>0</v>
      </c>
      <c r="BM25" s="10">
        <v>0</v>
      </c>
      <c r="BN25" s="10">
        <v>1</v>
      </c>
      <c r="BO25" s="10">
        <v>1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15</v>
      </c>
      <c r="BV25" s="10">
        <v>0</v>
      </c>
      <c r="BW25" s="10">
        <v>0</v>
      </c>
      <c r="BX25" s="10">
        <v>3</v>
      </c>
      <c r="BY25" s="10">
        <v>39</v>
      </c>
      <c r="BZ25" s="10">
        <v>0</v>
      </c>
      <c r="CA25" s="10">
        <v>53</v>
      </c>
      <c r="CB25" s="10">
        <v>0</v>
      </c>
      <c r="CC25" s="10">
        <v>56</v>
      </c>
      <c r="CD25" s="10">
        <v>3</v>
      </c>
      <c r="CE25" s="10">
        <v>84</v>
      </c>
      <c r="CF25" s="10">
        <v>2</v>
      </c>
      <c r="CG25" s="10">
        <v>75</v>
      </c>
      <c r="CH25" s="10">
        <v>3</v>
      </c>
      <c r="CI25" s="10">
        <v>63</v>
      </c>
      <c r="CJ25" s="10">
        <v>1</v>
      </c>
      <c r="CK25" s="10">
        <v>68</v>
      </c>
      <c r="CL25" s="10">
        <v>3</v>
      </c>
      <c r="CM25" s="10">
        <v>41</v>
      </c>
      <c r="CN25" s="10">
        <v>1</v>
      </c>
      <c r="CO25" s="10">
        <v>53</v>
      </c>
      <c r="CP25" s="10">
        <v>2</v>
      </c>
      <c r="CQ25" s="10">
        <v>41</v>
      </c>
      <c r="CR25" s="10">
        <v>5</v>
      </c>
      <c r="CS25" s="38">
        <v>42</v>
      </c>
      <c r="CT25" s="10">
        <v>1</v>
      </c>
      <c r="CU25" s="38">
        <v>40</v>
      </c>
      <c r="CV25" s="10">
        <v>0</v>
      </c>
      <c r="CW25" s="38">
        <v>19</v>
      </c>
      <c r="CX25" s="10">
        <v>1</v>
      </c>
      <c r="CY25" s="38">
        <v>23</v>
      </c>
      <c r="CZ25" s="10">
        <v>5</v>
      </c>
      <c r="DA25" s="38">
        <v>27</v>
      </c>
      <c r="DB25" s="10">
        <v>5</v>
      </c>
      <c r="DC25" s="38">
        <v>30</v>
      </c>
      <c r="DD25" s="10">
        <v>2</v>
      </c>
      <c r="DE25" s="38">
        <v>27</v>
      </c>
      <c r="DF25" s="10">
        <v>7</v>
      </c>
      <c r="DG25" s="38">
        <v>38</v>
      </c>
      <c r="DH25" s="10">
        <v>1</v>
      </c>
      <c r="DI25" s="38">
        <v>20</v>
      </c>
      <c r="DJ25" s="10">
        <v>7</v>
      </c>
      <c r="DK25" s="38">
        <v>47</v>
      </c>
      <c r="DL25" s="10">
        <v>2</v>
      </c>
      <c r="DM25" s="38">
        <v>24</v>
      </c>
      <c r="DN25" s="10">
        <v>2</v>
      </c>
      <c r="DO25" s="38">
        <v>38</v>
      </c>
      <c r="DP25" s="10">
        <v>1</v>
      </c>
      <c r="DQ25" s="38">
        <v>28</v>
      </c>
      <c r="DR25" s="10">
        <v>0</v>
      </c>
      <c r="DS25" s="38">
        <v>27</v>
      </c>
      <c r="DT25" s="10">
        <v>2</v>
      </c>
      <c r="DU25" s="38">
        <v>35</v>
      </c>
      <c r="DV25" s="10">
        <v>2</v>
      </c>
      <c r="DW25" s="38">
        <v>21</v>
      </c>
      <c r="DX25" s="10">
        <v>0</v>
      </c>
      <c r="DY25" s="38">
        <v>41</v>
      </c>
      <c r="DZ25" s="10">
        <v>0</v>
      </c>
      <c r="EA25" s="38">
        <v>49</v>
      </c>
      <c r="EB25" s="10">
        <v>0</v>
      </c>
      <c r="EC25" s="38">
        <v>26</v>
      </c>
      <c r="ED25" s="10">
        <v>1</v>
      </c>
      <c r="EE25" s="38">
        <v>25</v>
      </c>
      <c r="EF25" s="10">
        <v>0</v>
      </c>
      <c r="EG25" s="39">
        <v>34</v>
      </c>
      <c r="EH25" s="12">
        <v>1</v>
      </c>
      <c r="EI25" s="38">
        <v>33</v>
      </c>
      <c r="EJ25" s="38">
        <v>3</v>
      </c>
      <c r="EK25" s="38">
        <v>46</v>
      </c>
      <c r="EL25" s="38">
        <v>0</v>
      </c>
      <c r="EM25" s="38">
        <v>30</v>
      </c>
      <c r="EN25" s="38">
        <v>0</v>
      </c>
      <c r="EO25" s="38">
        <v>16</v>
      </c>
      <c r="EP25" s="38">
        <v>0</v>
      </c>
      <c r="EQ25" s="38">
        <v>15</v>
      </c>
      <c r="ER25" s="38">
        <v>0</v>
      </c>
      <c r="ES25" s="38">
        <v>13</v>
      </c>
      <c r="ET25" s="38">
        <v>1</v>
      </c>
      <c r="EU25" s="38">
        <v>21</v>
      </c>
      <c r="EV25" s="38">
        <v>0</v>
      </c>
      <c r="EW25" s="38">
        <v>27</v>
      </c>
      <c r="EX25" s="38">
        <v>0</v>
      </c>
      <c r="EY25" s="38">
        <v>27</v>
      </c>
      <c r="EZ25" s="38">
        <v>0</v>
      </c>
      <c r="FA25" s="38">
        <v>53</v>
      </c>
      <c r="FB25" s="38">
        <v>1</v>
      </c>
      <c r="FC25" s="38">
        <v>21</v>
      </c>
      <c r="FD25" s="38">
        <v>2</v>
      </c>
      <c r="FE25" s="38">
        <v>11</v>
      </c>
      <c r="FF25" s="38">
        <v>0</v>
      </c>
      <c r="FG25" s="38">
        <v>26</v>
      </c>
      <c r="FH25" s="38">
        <v>1</v>
      </c>
      <c r="FI25" s="38">
        <v>29</v>
      </c>
      <c r="FJ25" s="38">
        <v>0</v>
      </c>
      <c r="FK25" s="40">
        <v>25</v>
      </c>
      <c r="FL25" s="41">
        <v>32</v>
      </c>
      <c r="FM25" s="38">
        <v>32</v>
      </c>
      <c r="FN25" s="28" t="s">
        <v>30</v>
      </c>
      <c r="FO25" s="28" t="s">
        <v>30</v>
      </c>
      <c r="FP25" s="28" t="s">
        <v>30</v>
      </c>
      <c r="FQ25" s="28" t="s">
        <v>30</v>
      </c>
      <c r="FR25" s="28" t="s">
        <v>30</v>
      </c>
      <c r="FS25" s="28" t="s">
        <v>30</v>
      </c>
      <c r="FT25" s="28" t="s">
        <v>30</v>
      </c>
      <c r="FU25" s="28" t="s">
        <v>30</v>
      </c>
      <c r="FV25" s="28" t="s">
        <v>30</v>
      </c>
      <c r="FW25" s="28" t="s">
        <v>30</v>
      </c>
      <c r="FX25" s="28" t="s">
        <v>30</v>
      </c>
      <c r="FY25" s="28" t="s">
        <v>30</v>
      </c>
      <c r="FZ25" s="28" t="s">
        <v>30</v>
      </c>
      <c r="GA25" s="28" t="s">
        <v>30</v>
      </c>
      <c r="GB25" s="28" t="s">
        <v>30</v>
      </c>
      <c r="GC25" s="28" t="s">
        <v>30</v>
      </c>
      <c r="GD25" s="28" t="s">
        <v>30</v>
      </c>
      <c r="GE25" s="28" t="s">
        <v>30</v>
      </c>
      <c r="GF25" s="28" t="s">
        <v>30</v>
      </c>
      <c r="GG25" s="28" t="s">
        <v>30</v>
      </c>
      <c r="GH25" s="28" t="s">
        <v>30</v>
      </c>
      <c r="GI25" s="28" t="s">
        <v>30</v>
      </c>
      <c r="GJ25" s="28" t="s">
        <v>30</v>
      </c>
      <c r="GK25" s="28" t="s">
        <v>30</v>
      </c>
      <c r="GL25" s="28" t="s">
        <v>30</v>
      </c>
      <c r="GM25" s="28" t="s">
        <v>30</v>
      </c>
      <c r="GN25" s="28" t="s">
        <v>30</v>
      </c>
      <c r="GO25" s="28" t="s">
        <v>30</v>
      </c>
      <c r="GP25" s="28" t="s">
        <v>30</v>
      </c>
      <c r="GQ25" s="28" t="s">
        <v>30</v>
      </c>
      <c r="GR25" s="28" t="s">
        <v>30</v>
      </c>
      <c r="GS25" s="28" t="s">
        <v>30</v>
      </c>
      <c r="GT25" s="28" t="s">
        <v>30</v>
      </c>
      <c r="GU25" s="28" t="s">
        <v>30</v>
      </c>
      <c r="GV25" s="28" t="s">
        <v>30</v>
      </c>
      <c r="GW25" s="28" t="s">
        <v>30</v>
      </c>
      <c r="GX25" s="28" t="s">
        <v>30</v>
      </c>
      <c r="GY25" s="28" t="s">
        <v>30</v>
      </c>
      <c r="GZ25" s="28" t="s">
        <v>30</v>
      </c>
      <c r="HA25" s="28" t="s">
        <v>30</v>
      </c>
      <c r="HB25" s="28" t="s">
        <v>30</v>
      </c>
      <c r="HC25" s="28" t="s">
        <v>30</v>
      </c>
      <c r="HD25" s="28" t="s">
        <v>30</v>
      </c>
      <c r="HE25" s="28" t="s">
        <v>30</v>
      </c>
      <c r="HF25" s="28" t="s">
        <v>30</v>
      </c>
      <c r="HG25" s="28" t="s">
        <v>30</v>
      </c>
      <c r="HH25" s="28" t="s">
        <v>30</v>
      </c>
      <c r="HI25" s="28" t="s">
        <v>30</v>
      </c>
      <c r="HJ25" s="28" t="s">
        <v>30</v>
      </c>
      <c r="HK25" s="28" t="s">
        <v>30</v>
      </c>
      <c r="HL25" s="28" t="s">
        <v>30</v>
      </c>
      <c r="HM25" s="28" t="s">
        <v>30</v>
      </c>
      <c r="HN25" s="28" t="s">
        <v>30</v>
      </c>
      <c r="HO25" s="28" t="s">
        <v>30</v>
      </c>
      <c r="HP25" s="28" t="s">
        <v>30</v>
      </c>
      <c r="HQ25" s="28" t="s">
        <v>30</v>
      </c>
      <c r="HR25" s="28" t="s">
        <v>30</v>
      </c>
      <c r="HS25" s="28" t="s">
        <v>30</v>
      </c>
      <c r="HT25" s="28" t="s">
        <v>30</v>
      </c>
      <c r="HU25" s="28" t="s">
        <v>30</v>
      </c>
      <c r="HV25" s="28" t="s">
        <v>30</v>
      </c>
      <c r="HW25" s="28" t="s">
        <v>30</v>
      </c>
      <c r="HX25" s="28" t="s">
        <v>30</v>
      </c>
      <c r="HY25" s="28" t="s">
        <v>30</v>
      </c>
      <c r="HZ25" s="28" t="s">
        <v>30</v>
      </c>
      <c r="IA25" s="28" t="s">
        <v>30</v>
      </c>
      <c r="IB25" s="28" t="s">
        <v>30</v>
      </c>
      <c r="IC25" s="28" t="s">
        <v>30</v>
      </c>
      <c r="ID25" s="28" t="s">
        <v>30</v>
      </c>
      <c r="IE25" s="28" t="s">
        <v>30</v>
      </c>
      <c r="IF25" s="28" t="s">
        <v>30</v>
      </c>
      <c r="IG25" s="28" t="s">
        <v>30</v>
      </c>
      <c r="IH25" s="28" t="s">
        <v>30</v>
      </c>
      <c r="II25" s="28" t="s">
        <v>30</v>
      </c>
      <c r="IJ25" s="28" t="s">
        <v>30</v>
      </c>
      <c r="IK25" s="28" t="s">
        <v>30</v>
      </c>
      <c r="IL25" s="28" t="s">
        <v>30</v>
      </c>
      <c r="IM25" s="28" t="s">
        <v>30</v>
      </c>
      <c r="IN25" s="28" t="s">
        <v>30</v>
      </c>
      <c r="IO25" s="28" t="s">
        <v>30</v>
      </c>
      <c r="IP25" s="28" t="s">
        <v>30</v>
      </c>
      <c r="IQ25" s="28" t="s">
        <v>30</v>
      </c>
      <c r="IR25" s="28" t="s">
        <v>30</v>
      </c>
      <c r="IS25" s="28" t="s">
        <v>30</v>
      </c>
      <c r="IT25" s="28" t="s">
        <v>30</v>
      </c>
      <c r="IU25" s="28" t="s">
        <v>30</v>
      </c>
      <c r="IV25" s="28" t="s">
        <v>30</v>
      </c>
      <c r="IW25" s="28" t="s">
        <v>30</v>
      </c>
      <c r="IX25" s="28" t="s">
        <v>30</v>
      </c>
      <c r="IY25" s="28" t="s">
        <v>30</v>
      </c>
      <c r="IZ25" s="28" t="s">
        <v>30</v>
      </c>
      <c r="JA25" s="28" t="s">
        <v>30</v>
      </c>
      <c r="JB25" s="28" t="s">
        <v>30</v>
      </c>
      <c r="JC25" s="28" t="s">
        <v>30</v>
      </c>
      <c r="JD25" s="28" t="s">
        <v>30</v>
      </c>
      <c r="JE25" s="28" t="s">
        <v>30</v>
      </c>
    </row>
    <row r="26" spans="1:265" ht="56" x14ac:dyDescent="0.15">
      <c r="A26" s="35">
        <v>1.25</v>
      </c>
      <c r="B26" s="42" t="s">
        <v>50</v>
      </c>
      <c r="C26" s="30" t="s">
        <v>51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10">
        <v>0</v>
      </c>
      <c r="BY26" s="10">
        <v>2</v>
      </c>
      <c r="BZ26" s="10">
        <v>0</v>
      </c>
      <c r="CA26" s="10">
        <v>5</v>
      </c>
      <c r="CB26" s="10">
        <v>0</v>
      </c>
      <c r="CC26" s="10">
        <v>2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3</v>
      </c>
      <c r="CK26" s="10">
        <v>5</v>
      </c>
      <c r="CL26" s="10">
        <v>0</v>
      </c>
      <c r="CM26" s="10">
        <v>5</v>
      </c>
      <c r="CN26" s="10">
        <v>0</v>
      </c>
      <c r="CO26" s="10">
        <v>3</v>
      </c>
      <c r="CP26" s="10">
        <v>1</v>
      </c>
      <c r="CQ26" s="10">
        <v>1</v>
      </c>
      <c r="CR26" s="11">
        <v>0</v>
      </c>
      <c r="CS26" s="10">
        <v>0</v>
      </c>
      <c r="CT26" s="11">
        <v>0</v>
      </c>
      <c r="CU26" s="10">
        <v>0</v>
      </c>
      <c r="CV26" s="11">
        <v>0</v>
      </c>
      <c r="CW26" s="10">
        <v>1</v>
      </c>
      <c r="CX26" s="11">
        <v>1</v>
      </c>
      <c r="CY26" s="10">
        <v>2</v>
      </c>
      <c r="CZ26" s="11">
        <v>1</v>
      </c>
      <c r="DA26" s="10">
        <v>1</v>
      </c>
      <c r="DB26" s="11">
        <v>1</v>
      </c>
      <c r="DC26" s="10">
        <v>5</v>
      </c>
      <c r="DD26" s="11">
        <v>1</v>
      </c>
      <c r="DE26" s="10">
        <v>3</v>
      </c>
      <c r="DF26" s="11">
        <v>1</v>
      </c>
      <c r="DG26" s="10">
        <v>1</v>
      </c>
      <c r="DH26" s="11">
        <v>1</v>
      </c>
      <c r="DI26" s="10">
        <v>4</v>
      </c>
      <c r="DJ26" s="11">
        <v>0</v>
      </c>
      <c r="DK26" s="10">
        <v>0</v>
      </c>
      <c r="DL26" s="11">
        <v>2</v>
      </c>
      <c r="DM26" s="10">
        <v>5</v>
      </c>
      <c r="DN26" s="11">
        <v>1</v>
      </c>
      <c r="DO26" s="10">
        <v>2</v>
      </c>
      <c r="DP26" s="11">
        <v>1</v>
      </c>
      <c r="DQ26" s="10">
        <v>2</v>
      </c>
      <c r="DR26" s="11">
        <v>2</v>
      </c>
      <c r="DS26" s="10">
        <v>4</v>
      </c>
      <c r="DT26" s="11">
        <v>2</v>
      </c>
      <c r="DU26" s="10">
        <v>2</v>
      </c>
      <c r="DV26" s="11">
        <v>2</v>
      </c>
      <c r="DW26" s="10">
        <v>4</v>
      </c>
      <c r="DX26" s="11">
        <v>1</v>
      </c>
      <c r="DY26" s="10">
        <v>1</v>
      </c>
      <c r="DZ26" s="11">
        <v>1</v>
      </c>
      <c r="EA26" s="10">
        <v>3</v>
      </c>
      <c r="EB26" s="11">
        <v>0</v>
      </c>
      <c r="EC26" s="10">
        <v>2</v>
      </c>
      <c r="ED26" s="11">
        <v>0</v>
      </c>
      <c r="EE26" s="10">
        <v>3</v>
      </c>
      <c r="EF26" s="11">
        <v>1</v>
      </c>
      <c r="EG26" s="11">
        <v>2</v>
      </c>
      <c r="EH26" s="43">
        <v>2</v>
      </c>
      <c r="EI26" s="10">
        <v>4</v>
      </c>
      <c r="EJ26" s="10">
        <v>0</v>
      </c>
      <c r="EK26" s="10">
        <v>2</v>
      </c>
      <c r="EL26" s="10">
        <v>0</v>
      </c>
      <c r="EM26" s="10">
        <v>3</v>
      </c>
      <c r="EN26" s="10">
        <v>1</v>
      </c>
      <c r="EO26" s="10">
        <v>5</v>
      </c>
      <c r="EP26" s="10">
        <v>5</v>
      </c>
      <c r="EQ26" s="10">
        <v>5</v>
      </c>
      <c r="ER26" s="10">
        <v>0</v>
      </c>
      <c r="ES26" s="10">
        <v>0</v>
      </c>
      <c r="ET26" s="10">
        <v>0</v>
      </c>
      <c r="EU26" s="10">
        <v>0</v>
      </c>
      <c r="EV26" s="10">
        <v>4</v>
      </c>
      <c r="EW26" s="10">
        <v>10</v>
      </c>
      <c r="EX26" s="10">
        <v>4</v>
      </c>
      <c r="EY26" s="10">
        <v>6</v>
      </c>
      <c r="EZ26" s="10">
        <v>2</v>
      </c>
      <c r="FA26" s="10">
        <v>2</v>
      </c>
      <c r="FB26" s="10">
        <v>1</v>
      </c>
      <c r="FC26" s="10">
        <v>2</v>
      </c>
      <c r="FD26" s="10">
        <v>2</v>
      </c>
      <c r="FE26" s="10">
        <v>2</v>
      </c>
      <c r="FF26" s="10">
        <v>2</v>
      </c>
      <c r="FG26" s="10">
        <v>4</v>
      </c>
      <c r="FH26" s="10">
        <v>1</v>
      </c>
      <c r="FI26" s="10">
        <v>2</v>
      </c>
      <c r="FJ26" s="10">
        <v>4</v>
      </c>
      <c r="FK26" s="13">
        <v>7</v>
      </c>
      <c r="FL26" s="13">
        <v>7</v>
      </c>
      <c r="FM26" s="10">
        <v>7</v>
      </c>
      <c r="FN26" s="10">
        <v>2</v>
      </c>
      <c r="FO26" s="10">
        <v>2</v>
      </c>
      <c r="FP26" s="10">
        <v>0</v>
      </c>
      <c r="FQ26" s="10">
        <v>2</v>
      </c>
      <c r="FR26" s="10">
        <v>1</v>
      </c>
      <c r="FS26" s="10">
        <v>1</v>
      </c>
      <c r="FT26" s="10">
        <v>2</v>
      </c>
      <c r="FU26" s="10">
        <v>4</v>
      </c>
      <c r="FV26" s="10">
        <v>2</v>
      </c>
      <c r="FW26" s="10">
        <v>2</v>
      </c>
      <c r="FX26" s="10">
        <v>0</v>
      </c>
      <c r="FY26" s="10">
        <v>4</v>
      </c>
      <c r="FZ26" s="10">
        <v>2</v>
      </c>
      <c r="GA26" s="10">
        <v>2</v>
      </c>
      <c r="GB26" s="10">
        <v>0</v>
      </c>
      <c r="GC26" s="10">
        <v>0</v>
      </c>
      <c r="GD26" s="10">
        <v>1</v>
      </c>
      <c r="GE26" s="10">
        <v>2</v>
      </c>
      <c r="GF26" s="10">
        <v>1</v>
      </c>
      <c r="GG26" s="10">
        <v>5</v>
      </c>
      <c r="GH26" s="10">
        <v>1</v>
      </c>
      <c r="GI26" s="10">
        <v>4</v>
      </c>
      <c r="GJ26" s="10">
        <v>0</v>
      </c>
      <c r="GK26" s="10">
        <v>2</v>
      </c>
      <c r="GL26" s="10">
        <v>3</v>
      </c>
      <c r="GM26" s="10">
        <v>4</v>
      </c>
      <c r="GN26" s="10">
        <v>1</v>
      </c>
      <c r="GO26" s="10">
        <v>4</v>
      </c>
      <c r="GP26" s="10">
        <v>5</v>
      </c>
      <c r="GQ26" s="10">
        <v>9</v>
      </c>
      <c r="GR26" s="10">
        <v>0</v>
      </c>
      <c r="GS26" s="10">
        <v>0</v>
      </c>
      <c r="GT26" s="10">
        <v>1</v>
      </c>
      <c r="GU26" s="10">
        <v>2</v>
      </c>
      <c r="GV26" s="10">
        <v>1</v>
      </c>
      <c r="GW26" s="10">
        <v>6</v>
      </c>
      <c r="GX26" s="10">
        <v>0</v>
      </c>
      <c r="GY26" s="10">
        <v>1</v>
      </c>
      <c r="GZ26" s="10">
        <v>1</v>
      </c>
      <c r="HA26" s="10">
        <v>4</v>
      </c>
      <c r="HB26" s="10">
        <v>3</v>
      </c>
      <c r="HC26" s="10">
        <v>4</v>
      </c>
      <c r="HD26" s="10">
        <v>1</v>
      </c>
      <c r="HE26" s="10">
        <v>1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  <c r="IB26" s="10">
        <v>0</v>
      </c>
      <c r="IC26" s="10">
        <v>0</v>
      </c>
      <c r="ID26" s="10">
        <v>0</v>
      </c>
      <c r="IE26" s="10">
        <v>0</v>
      </c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</row>
    <row r="27" spans="1:265" ht="30" customHeight="1" x14ac:dyDescent="0.15">
      <c r="A27" s="35">
        <v>1.26</v>
      </c>
      <c r="B27" s="37" t="s">
        <v>52</v>
      </c>
      <c r="C27" s="30" t="s">
        <v>53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10">
        <v>0</v>
      </c>
      <c r="CC27" s="10">
        <v>11</v>
      </c>
      <c r="CD27" s="10">
        <v>0</v>
      </c>
      <c r="CE27" s="10">
        <v>12</v>
      </c>
      <c r="CF27" s="10">
        <v>2</v>
      </c>
      <c r="CG27" s="10">
        <v>4</v>
      </c>
      <c r="CH27" s="10">
        <v>1</v>
      </c>
      <c r="CI27" s="10">
        <v>10</v>
      </c>
      <c r="CJ27" s="10">
        <v>0</v>
      </c>
      <c r="CK27" s="10">
        <v>10</v>
      </c>
      <c r="CL27" s="10">
        <v>1</v>
      </c>
      <c r="CM27" s="10">
        <v>21</v>
      </c>
      <c r="CN27" s="10">
        <v>0</v>
      </c>
      <c r="CO27" s="10">
        <v>13</v>
      </c>
      <c r="CP27" s="10">
        <v>0</v>
      </c>
      <c r="CQ27" s="10">
        <v>9</v>
      </c>
      <c r="CR27" s="10">
        <v>1</v>
      </c>
      <c r="CS27" s="44">
        <v>13</v>
      </c>
      <c r="CT27" s="10">
        <v>1</v>
      </c>
      <c r="CU27" s="44">
        <v>25</v>
      </c>
      <c r="CV27" s="10">
        <v>2</v>
      </c>
      <c r="CW27" s="44">
        <v>24</v>
      </c>
      <c r="CX27" s="10">
        <v>0</v>
      </c>
      <c r="CY27" s="44">
        <v>8</v>
      </c>
      <c r="CZ27" s="10">
        <v>1</v>
      </c>
      <c r="DA27" s="44">
        <v>12</v>
      </c>
      <c r="DB27" s="10">
        <v>0</v>
      </c>
      <c r="DC27" s="44">
        <v>11</v>
      </c>
      <c r="DD27" s="10">
        <v>1</v>
      </c>
      <c r="DE27" s="44">
        <v>14</v>
      </c>
      <c r="DF27" s="10">
        <v>0</v>
      </c>
      <c r="DG27" s="44">
        <v>17</v>
      </c>
      <c r="DH27" s="10">
        <v>1</v>
      </c>
      <c r="DI27" s="44">
        <v>14</v>
      </c>
      <c r="DJ27" s="10">
        <v>2</v>
      </c>
      <c r="DK27" s="44">
        <v>16</v>
      </c>
      <c r="DL27" s="10">
        <v>1</v>
      </c>
      <c r="DM27" s="44">
        <v>9</v>
      </c>
      <c r="DN27" s="10">
        <v>0</v>
      </c>
      <c r="DO27" s="44">
        <v>7</v>
      </c>
      <c r="DP27" s="10">
        <v>1</v>
      </c>
      <c r="DQ27" s="44">
        <v>18</v>
      </c>
      <c r="DR27" s="10">
        <v>0</v>
      </c>
      <c r="DS27" s="44">
        <v>11</v>
      </c>
      <c r="DT27" s="10">
        <v>0</v>
      </c>
      <c r="DU27" s="44">
        <v>19</v>
      </c>
      <c r="DV27" s="10">
        <v>0</v>
      </c>
      <c r="DW27" s="44">
        <v>8</v>
      </c>
      <c r="DX27" s="10">
        <v>0</v>
      </c>
      <c r="DY27" s="44">
        <v>14</v>
      </c>
      <c r="DZ27" s="10">
        <v>0</v>
      </c>
      <c r="EA27" s="44">
        <v>11</v>
      </c>
      <c r="EB27" s="10">
        <v>1</v>
      </c>
      <c r="EC27" s="44">
        <v>8</v>
      </c>
      <c r="ED27" s="10">
        <v>1</v>
      </c>
      <c r="EE27" s="44">
        <v>7</v>
      </c>
      <c r="EF27" s="10">
        <v>0</v>
      </c>
      <c r="EG27" s="45">
        <v>20</v>
      </c>
      <c r="EH27" s="12">
        <v>0</v>
      </c>
      <c r="EI27" s="44">
        <v>10</v>
      </c>
      <c r="EJ27" s="44">
        <v>0</v>
      </c>
      <c r="EK27" s="44">
        <v>7</v>
      </c>
      <c r="EL27" s="44">
        <v>1</v>
      </c>
      <c r="EM27" s="44">
        <v>6</v>
      </c>
      <c r="EN27" s="44">
        <v>1</v>
      </c>
      <c r="EO27" s="44">
        <v>12</v>
      </c>
      <c r="EP27" s="44">
        <v>0</v>
      </c>
      <c r="EQ27" s="44">
        <v>19</v>
      </c>
      <c r="ER27" s="44">
        <v>0</v>
      </c>
      <c r="ES27" s="44">
        <v>12</v>
      </c>
      <c r="ET27" s="44">
        <v>1</v>
      </c>
      <c r="EU27" s="44">
        <v>7</v>
      </c>
      <c r="EV27" s="44">
        <v>0</v>
      </c>
      <c r="EW27" s="44">
        <v>8</v>
      </c>
      <c r="EX27" s="44">
        <v>0</v>
      </c>
      <c r="EY27" s="44">
        <v>8</v>
      </c>
      <c r="EZ27" s="44">
        <v>0</v>
      </c>
      <c r="FA27" s="44">
        <v>3</v>
      </c>
      <c r="FB27" s="44">
        <v>0</v>
      </c>
      <c r="FC27" s="44">
        <v>9</v>
      </c>
      <c r="FD27" s="44">
        <v>0</v>
      </c>
      <c r="FE27" s="44">
        <v>10</v>
      </c>
      <c r="FF27" s="44">
        <v>0</v>
      </c>
      <c r="FG27" s="44">
        <v>14</v>
      </c>
      <c r="FH27" s="44">
        <v>0</v>
      </c>
      <c r="FI27" s="44">
        <v>10</v>
      </c>
      <c r="FJ27" s="44">
        <v>0</v>
      </c>
      <c r="FK27" s="46">
        <v>5</v>
      </c>
      <c r="FL27" s="47">
        <v>7</v>
      </c>
      <c r="FM27" s="44">
        <v>7</v>
      </c>
      <c r="FN27" s="10">
        <v>0</v>
      </c>
      <c r="FO27" s="10">
        <v>11</v>
      </c>
      <c r="FP27" s="10">
        <v>0</v>
      </c>
      <c r="FQ27" s="10">
        <v>17</v>
      </c>
      <c r="FR27" s="10">
        <v>0</v>
      </c>
      <c r="FS27" s="10">
        <v>12</v>
      </c>
      <c r="FT27" s="10">
        <v>0</v>
      </c>
      <c r="FU27" s="10">
        <v>2</v>
      </c>
      <c r="FV27" s="10">
        <v>0</v>
      </c>
      <c r="FW27" s="10">
        <v>8</v>
      </c>
      <c r="FX27" s="10">
        <v>0</v>
      </c>
      <c r="FY27" s="10">
        <v>5</v>
      </c>
      <c r="FZ27" s="10">
        <v>0</v>
      </c>
      <c r="GA27" s="10">
        <v>10</v>
      </c>
      <c r="GB27" s="10">
        <v>0</v>
      </c>
      <c r="GC27" s="10">
        <v>7</v>
      </c>
      <c r="GD27" s="10">
        <v>0</v>
      </c>
      <c r="GE27" s="10">
        <v>7</v>
      </c>
      <c r="GF27" s="10">
        <v>0</v>
      </c>
      <c r="GG27" s="10">
        <v>2</v>
      </c>
      <c r="GH27" s="10">
        <v>1</v>
      </c>
      <c r="GI27" s="10">
        <v>6</v>
      </c>
      <c r="GJ27" s="10">
        <v>0</v>
      </c>
      <c r="GK27" s="10">
        <v>7</v>
      </c>
      <c r="GL27" s="10">
        <v>0</v>
      </c>
      <c r="GM27" s="10">
        <v>11</v>
      </c>
      <c r="GN27" s="10">
        <v>0</v>
      </c>
      <c r="GO27" s="10">
        <v>24</v>
      </c>
      <c r="GP27" s="10">
        <v>0</v>
      </c>
      <c r="GQ27" s="10">
        <v>6</v>
      </c>
      <c r="GR27" s="10">
        <v>0</v>
      </c>
      <c r="GS27" s="10">
        <v>4</v>
      </c>
      <c r="GT27" s="10">
        <v>0</v>
      </c>
      <c r="GU27" s="10">
        <v>4</v>
      </c>
      <c r="GV27" s="10">
        <v>0</v>
      </c>
      <c r="GW27" s="10">
        <v>11</v>
      </c>
      <c r="GX27" s="10">
        <v>0</v>
      </c>
      <c r="GY27" s="10">
        <v>5</v>
      </c>
      <c r="GZ27" s="10">
        <v>0</v>
      </c>
      <c r="HA27" s="10">
        <v>4</v>
      </c>
      <c r="HB27" s="10">
        <v>0</v>
      </c>
      <c r="HC27" s="10">
        <v>7</v>
      </c>
      <c r="HD27" s="10">
        <v>0</v>
      </c>
      <c r="HE27" s="10">
        <v>9</v>
      </c>
      <c r="HF27" s="10">
        <v>0</v>
      </c>
      <c r="HG27" s="10">
        <v>5</v>
      </c>
      <c r="HH27" s="10">
        <v>0</v>
      </c>
      <c r="HI27" s="10">
        <v>6</v>
      </c>
      <c r="HJ27" s="10">
        <v>0</v>
      </c>
      <c r="HK27" s="10">
        <v>4</v>
      </c>
      <c r="HL27" s="10">
        <v>0</v>
      </c>
      <c r="HM27" s="10">
        <v>9</v>
      </c>
      <c r="HN27" s="10">
        <v>0</v>
      </c>
      <c r="HO27" s="10">
        <v>11</v>
      </c>
      <c r="HP27" s="10">
        <v>0</v>
      </c>
      <c r="HQ27" s="10">
        <v>6</v>
      </c>
      <c r="HR27" s="10">
        <v>0</v>
      </c>
      <c r="HS27" s="10">
        <v>4</v>
      </c>
      <c r="HT27" s="10">
        <v>0</v>
      </c>
      <c r="HU27" s="10">
        <v>5</v>
      </c>
      <c r="HV27" s="10">
        <v>0</v>
      </c>
      <c r="HW27" s="10">
        <v>1</v>
      </c>
      <c r="HX27" s="10">
        <v>0</v>
      </c>
      <c r="HY27" s="10">
        <v>3</v>
      </c>
      <c r="HZ27" s="10">
        <v>0</v>
      </c>
      <c r="IA27" s="10">
        <v>2</v>
      </c>
      <c r="IB27" s="10">
        <v>0</v>
      </c>
      <c r="IC27" s="10">
        <v>4</v>
      </c>
      <c r="ID27" s="10">
        <v>0</v>
      </c>
      <c r="IE27" s="10">
        <v>3</v>
      </c>
      <c r="IF27" s="10">
        <v>0</v>
      </c>
      <c r="IG27" s="10">
        <v>4</v>
      </c>
      <c r="IH27" s="10">
        <v>0</v>
      </c>
      <c r="II27" s="10">
        <v>4</v>
      </c>
      <c r="IJ27" s="10">
        <v>0</v>
      </c>
      <c r="IK27" s="10">
        <v>6</v>
      </c>
      <c r="IL27" s="10">
        <v>0</v>
      </c>
      <c r="IM27" s="10">
        <v>6</v>
      </c>
      <c r="IN27" s="10">
        <v>0</v>
      </c>
      <c r="IO27" s="10">
        <v>3</v>
      </c>
      <c r="IP27" s="10">
        <v>0</v>
      </c>
      <c r="IQ27" s="10">
        <v>1</v>
      </c>
      <c r="IR27" s="10">
        <v>0</v>
      </c>
      <c r="IS27" s="10">
        <v>3</v>
      </c>
      <c r="IT27" s="10">
        <v>0</v>
      </c>
      <c r="IU27" s="10">
        <v>5</v>
      </c>
      <c r="IV27" s="10">
        <v>0</v>
      </c>
      <c r="IW27" s="10">
        <v>4</v>
      </c>
      <c r="IX27" s="10">
        <v>1</v>
      </c>
      <c r="IY27" s="10">
        <v>5</v>
      </c>
      <c r="IZ27" s="10">
        <v>0</v>
      </c>
      <c r="JA27" s="10">
        <v>2</v>
      </c>
      <c r="JB27" s="10">
        <v>0</v>
      </c>
      <c r="JC27" s="10">
        <v>4</v>
      </c>
      <c r="JD27" s="10">
        <v>0</v>
      </c>
      <c r="JE27" s="10">
        <v>3</v>
      </c>
    </row>
    <row r="28" spans="1:265" ht="42" x14ac:dyDescent="0.15">
      <c r="A28" s="35">
        <v>1.27</v>
      </c>
      <c r="B28" s="37" t="s">
        <v>54</v>
      </c>
      <c r="C28" s="30" t="s">
        <v>55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10">
        <v>10</v>
      </c>
      <c r="CI28" s="10">
        <v>66</v>
      </c>
      <c r="CJ28" s="10">
        <v>6</v>
      </c>
      <c r="CK28" s="10">
        <v>55</v>
      </c>
      <c r="CL28" s="10">
        <v>7</v>
      </c>
      <c r="CM28" s="10">
        <v>84</v>
      </c>
      <c r="CN28" s="10">
        <v>4</v>
      </c>
      <c r="CO28" s="10">
        <v>49</v>
      </c>
      <c r="CP28" s="10">
        <v>5</v>
      </c>
      <c r="CQ28" s="10">
        <v>74</v>
      </c>
      <c r="CR28" s="10">
        <v>4</v>
      </c>
      <c r="CS28" s="10">
        <v>93</v>
      </c>
      <c r="CT28" s="10">
        <v>7</v>
      </c>
      <c r="CU28" s="10">
        <v>67</v>
      </c>
      <c r="CV28" s="10">
        <v>10</v>
      </c>
      <c r="CW28" s="10">
        <v>77</v>
      </c>
      <c r="CX28" s="10">
        <v>4</v>
      </c>
      <c r="CY28" s="10">
        <v>75</v>
      </c>
      <c r="CZ28" s="10">
        <v>6</v>
      </c>
      <c r="DA28" s="10">
        <v>50</v>
      </c>
      <c r="DB28" s="10">
        <v>9</v>
      </c>
      <c r="DC28" s="10">
        <v>63</v>
      </c>
      <c r="DD28" s="10">
        <v>8</v>
      </c>
      <c r="DE28" s="10">
        <v>91</v>
      </c>
      <c r="DF28" s="10">
        <v>7</v>
      </c>
      <c r="DG28" s="10">
        <v>82</v>
      </c>
      <c r="DH28" s="10">
        <v>8</v>
      </c>
      <c r="DI28" s="10">
        <v>92</v>
      </c>
      <c r="DJ28" s="10">
        <v>20</v>
      </c>
      <c r="DK28" s="10">
        <v>114</v>
      </c>
      <c r="DL28" s="10">
        <v>9</v>
      </c>
      <c r="DM28" s="10">
        <v>104</v>
      </c>
      <c r="DN28" s="10">
        <v>11</v>
      </c>
      <c r="DO28" s="10">
        <v>106</v>
      </c>
      <c r="DP28" s="10">
        <v>12</v>
      </c>
      <c r="DQ28" s="10">
        <v>115</v>
      </c>
      <c r="DR28" s="10">
        <v>6</v>
      </c>
      <c r="DS28" s="10">
        <v>128</v>
      </c>
      <c r="DT28" s="10">
        <v>12</v>
      </c>
      <c r="DU28" s="10">
        <v>114</v>
      </c>
      <c r="DV28" s="10">
        <v>7</v>
      </c>
      <c r="DW28" s="10">
        <v>104</v>
      </c>
      <c r="DX28" s="10">
        <v>8</v>
      </c>
      <c r="DY28" s="10">
        <v>108</v>
      </c>
      <c r="DZ28" s="10">
        <v>7</v>
      </c>
      <c r="EA28" s="10">
        <v>146</v>
      </c>
      <c r="EB28" s="10">
        <v>9</v>
      </c>
      <c r="EC28" s="10">
        <v>127</v>
      </c>
      <c r="ED28" s="10">
        <v>5</v>
      </c>
      <c r="EE28" s="10">
        <v>114</v>
      </c>
      <c r="EF28" s="10">
        <v>5</v>
      </c>
      <c r="EG28" s="11">
        <v>123</v>
      </c>
      <c r="EH28" s="12">
        <v>2</v>
      </c>
      <c r="EI28" s="10">
        <v>114</v>
      </c>
      <c r="EJ28" s="10">
        <v>7</v>
      </c>
      <c r="EK28" s="10">
        <v>152</v>
      </c>
      <c r="EL28" s="10">
        <v>5</v>
      </c>
      <c r="EM28" s="10">
        <v>130</v>
      </c>
      <c r="EN28" s="10">
        <v>10</v>
      </c>
      <c r="EO28" s="10">
        <v>103</v>
      </c>
      <c r="EP28" s="10">
        <v>5</v>
      </c>
      <c r="EQ28" s="10">
        <v>144</v>
      </c>
      <c r="ER28" s="10">
        <v>8</v>
      </c>
      <c r="ES28" s="10">
        <v>132</v>
      </c>
      <c r="ET28" s="10">
        <v>10</v>
      </c>
      <c r="EU28" s="10">
        <v>153</v>
      </c>
      <c r="EV28" s="10">
        <v>11</v>
      </c>
      <c r="EW28" s="10">
        <v>127</v>
      </c>
      <c r="EX28" s="10">
        <v>8</v>
      </c>
      <c r="EY28" s="10">
        <v>208</v>
      </c>
      <c r="EZ28" s="10">
        <v>13</v>
      </c>
      <c r="FA28" s="10">
        <v>141</v>
      </c>
      <c r="FB28" s="10">
        <v>11</v>
      </c>
      <c r="FC28" s="10">
        <v>181</v>
      </c>
      <c r="FD28" s="10">
        <v>9</v>
      </c>
      <c r="FE28" s="10">
        <v>172</v>
      </c>
      <c r="FF28" s="10">
        <v>11</v>
      </c>
      <c r="FG28" s="10">
        <v>199</v>
      </c>
      <c r="FH28" s="10">
        <v>10</v>
      </c>
      <c r="FI28" s="10">
        <v>193</v>
      </c>
      <c r="FJ28" s="10">
        <v>2</v>
      </c>
      <c r="FK28" s="13">
        <v>203</v>
      </c>
      <c r="FL28" s="27">
        <v>206</v>
      </c>
      <c r="FM28" s="10">
        <v>206</v>
      </c>
      <c r="FN28" s="28" t="s">
        <v>30</v>
      </c>
      <c r="FO28" s="28" t="s">
        <v>30</v>
      </c>
      <c r="FP28" s="28" t="s">
        <v>30</v>
      </c>
      <c r="FQ28" s="28" t="s">
        <v>30</v>
      </c>
      <c r="FR28" s="28" t="s">
        <v>30</v>
      </c>
      <c r="FS28" s="28" t="s">
        <v>30</v>
      </c>
      <c r="FT28" s="28" t="s">
        <v>30</v>
      </c>
      <c r="FU28" s="28" t="s">
        <v>30</v>
      </c>
      <c r="FV28" s="28" t="s">
        <v>30</v>
      </c>
      <c r="FW28" s="28" t="s">
        <v>30</v>
      </c>
      <c r="FX28" s="28" t="s">
        <v>30</v>
      </c>
      <c r="FY28" s="28" t="s">
        <v>30</v>
      </c>
      <c r="FZ28" s="28" t="s">
        <v>30</v>
      </c>
      <c r="GA28" s="28" t="s">
        <v>30</v>
      </c>
      <c r="GB28" s="28" t="s">
        <v>30</v>
      </c>
      <c r="GC28" s="28" t="s">
        <v>30</v>
      </c>
      <c r="GD28" s="28" t="s">
        <v>30</v>
      </c>
      <c r="GE28" s="28" t="s">
        <v>30</v>
      </c>
      <c r="GF28" s="28" t="s">
        <v>30</v>
      </c>
      <c r="GG28" s="28" t="s">
        <v>30</v>
      </c>
      <c r="GH28" s="28" t="s">
        <v>30</v>
      </c>
      <c r="GI28" s="28" t="s">
        <v>30</v>
      </c>
      <c r="GJ28" s="28" t="s">
        <v>30</v>
      </c>
      <c r="GK28" s="28" t="s">
        <v>30</v>
      </c>
      <c r="GL28" s="28" t="s">
        <v>30</v>
      </c>
      <c r="GM28" s="28" t="s">
        <v>30</v>
      </c>
      <c r="GN28" s="28" t="s">
        <v>30</v>
      </c>
      <c r="GO28" s="28" t="s">
        <v>30</v>
      </c>
      <c r="GP28" s="28" t="s">
        <v>30</v>
      </c>
      <c r="GQ28" s="28" t="s">
        <v>30</v>
      </c>
      <c r="GR28" s="28" t="s">
        <v>30</v>
      </c>
      <c r="GS28" s="28" t="s">
        <v>30</v>
      </c>
      <c r="GT28" s="28" t="s">
        <v>30</v>
      </c>
      <c r="GU28" s="28" t="s">
        <v>30</v>
      </c>
      <c r="GV28" s="28" t="s">
        <v>30</v>
      </c>
      <c r="GW28" s="28" t="s">
        <v>30</v>
      </c>
      <c r="GX28" s="28" t="s">
        <v>30</v>
      </c>
      <c r="GY28" s="28" t="s">
        <v>30</v>
      </c>
      <c r="GZ28" s="28" t="s">
        <v>30</v>
      </c>
      <c r="HA28" s="28" t="s">
        <v>30</v>
      </c>
      <c r="HB28" s="28" t="s">
        <v>30</v>
      </c>
      <c r="HC28" s="28" t="s">
        <v>30</v>
      </c>
      <c r="HD28" s="28" t="s">
        <v>30</v>
      </c>
      <c r="HE28" s="28" t="s">
        <v>30</v>
      </c>
      <c r="HF28" s="28" t="s">
        <v>30</v>
      </c>
      <c r="HG28" s="28" t="s">
        <v>30</v>
      </c>
      <c r="HH28" s="28" t="s">
        <v>30</v>
      </c>
      <c r="HI28" s="28" t="s">
        <v>30</v>
      </c>
      <c r="HJ28" s="28" t="s">
        <v>30</v>
      </c>
      <c r="HK28" s="28" t="s">
        <v>30</v>
      </c>
      <c r="HL28" s="28" t="s">
        <v>30</v>
      </c>
      <c r="HM28" s="28" t="s">
        <v>30</v>
      </c>
      <c r="HN28" s="28" t="s">
        <v>30</v>
      </c>
      <c r="HO28" s="28" t="s">
        <v>30</v>
      </c>
      <c r="HP28" s="28" t="s">
        <v>30</v>
      </c>
      <c r="HQ28" s="28" t="s">
        <v>30</v>
      </c>
      <c r="HR28" s="28" t="s">
        <v>30</v>
      </c>
      <c r="HS28" s="28" t="s">
        <v>30</v>
      </c>
      <c r="HT28" s="28" t="s">
        <v>30</v>
      </c>
      <c r="HU28" s="28" t="s">
        <v>30</v>
      </c>
      <c r="HV28" s="28" t="s">
        <v>30</v>
      </c>
      <c r="HW28" s="28" t="s">
        <v>30</v>
      </c>
      <c r="HX28" s="28" t="s">
        <v>30</v>
      </c>
      <c r="HY28" s="28" t="s">
        <v>30</v>
      </c>
      <c r="HZ28" s="28" t="s">
        <v>30</v>
      </c>
      <c r="IA28" s="28" t="s">
        <v>30</v>
      </c>
      <c r="IB28" s="28" t="s">
        <v>30</v>
      </c>
      <c r="IC28" s="28" t="s">
        <v>30</v>
      </c>
      <c r="ID28" s="28" t="s">
        <v>30</v>
      </c>
      <c r="IE28" s="28" t="s">
        <v>30</v>
      </c>
      <c r="IF28" s="28" t="s">
        <v>30</v>
      </c>
      <c r="IG28" s="28" t="s">
        <v>30</v>
      </c>
      <c r="IH28" s="28" t="s">
        <v>30</v>
      </c>
      <c r="II28" s="28" t="s">
        <v>30</v>
      </c>
      <c r="IJ28" s="28" t="s">
        <v>30</v>
      </c>
      <c r="IK28" s="28" t="s">
        <v>30</v>
      </c>
      <c r="IL28" s="28" t="s">
        <v>30</v>
      </c>
      <c r="IM28" s="28" t="s">
        <v>30</v>
      </c>
      <c r="IN28" s="28" t="s">
        <v>30</v>
      </c>
      <c r="IO28" s="28" t="s">
        <v>30</v>
      </c>
      <c r="IP28" s="28" t="s">
        <v>30</v>
      </c>
      <c r="IQ28" s="28" t="s">
        <v>30</v>
      </c>
      <c r="IR28" s="28" t="s">
        <v>30</v>
      </c>
      <c r="IS28" s="28" t="s">
        <v>30</v>
      </c>
      <c r="IT28" s="28" t="s">
        <v>30</v>
      </c>
      <c r="IU28" s="28" t="s">
        <v>30</v>
      </c>
      <c r="IV28" s="28" t="s">
        <v>30</v>
      </c>
      <c r="IW28" s="28" t="s">
        <v>30</v>
      </c>
      <c r="IX28" s="28" t="s">
        <v>30</v>
      </c>
      <c r="IY28" s="28" t="s">
        <v>30</v>
      </c>
      <c r="IZ28" s="28" t="s">
        <v>30</v>
      </c>
      <c r="JA28" s="28" t="s">
        <v>30</v>
      </c>
      <c r="JB28" s="28" t="s">
        <v>30</v>
      </c>
      <c r="JC28" s="28" t="s">
        <v>30</v>
      </c>
      <c r="JD28" s="28" t="s">
        <v>30</v>
      </c>
      <c r="JE28" s="28" t="s">
        <v>30</v>
      </c>
    </row>
    <row r="29" spans="1:265" ht="42" x14ac:dyDescent="0.15">
      <c r="A29" s="48">
        <v>1.28</v>
      </c>
      <c r="B29" s="42" t="s">
        <v>56</v>
      </c>
      <c r="C29" s="49" t="s">
        <v>57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0">
        <v>0</v>
      </c>
      <c r="CW29" s="10">
        <v>11</v>
      </c>
      <c r="CX29" s="10">
        <v>0</v>
      </c>
      <c r="CY29" s="10">
        <v>6</v>
      </c>
      <c r="CZ29" s="10">
        <v>0</v>
      </c>
      <c r="DA29" s="10">
        <v>7</v>
      </c>
      <c r="DB29" s="10">
        <v>0</v>
      </c>
      <c r="DC29" s="10">
        <v>7</v>
      </c>
      <c r="DD29" s="10">
        <v>0</v>
      </c>
      <c r="DE29" s="10">
        <v>4</v>
      </c>
      <c r="DF29" s="10">
        <v>1</v>
      </c>
      <c r="DG29" s="10">
        <v>7</v>
      </c>
      <c r="DH29" s="10">
        <v>0</v>
      </c>
      <c r="DI29" s="10">
        <v>9</v>
      </c>
      <c r="DJ29" s="10">
        <v>0</v>
      </c>
      <c r="DK29" s="10">
        <v>3</v>
      </c>
      <c r="DL29" s="10">
        <v>2</v>
      </c>
      <c r="DM29" s="10">
        <v>9</v>
      </c>
      <c r="DN29" s="10">
        <v>2</v>
      </c>
      <c r="DO29" s="10">
        <v>9</v>
      </c>
      <c r="DP29" s="10">
        <v>1</v>
      </c>
      <c r="DQ29" s="10">
        <v>7</v>
      </c>
      <c r="DR29" s="10">
        <v>0</v>
      </c>
      <c r="DS29" s="10">
        <v>7</v>
      </c>
      <c r="DT29" s="10">
        <v>0</v>
      </c>
      <c r="DU29" s="10">
        <v>5</v>
      </c>
      <c r="DV29" s="10">
        <v>0</v>
      </c>
      <c r="DW29" s="10">
        <v>8</v>
      </c>
      <c r="DX29" s="10">
        <v>0</v>
      </c>
      <c r="DY29" s="10">
        <v>7</v>
      </c>
      <c r="DZ29" s="10">
        <v>0</v>
      </c>
      <c r="EA29" s="10">
        <v>5</v>
      </c>
      <c r="EB29" s="10">
        <v>0</v>
      </c>
      <c r="EC29" s="10">
        <v>8</v>
      </c>
      <c r="ED29" s="10">
        <v>0</v>
      </c>
      <c r="EE29" s="10">
        <v>12</v>
      </c>
      <c r="EF29" s="10">
        <v>0</v>
      </c>
      <c r="EG29" s="11">
        <v>6</v>
      </c>
      <c r="EH29" s="12">
        <v>0</v>
      </c>
      <c r="EI29" s="10">
        <v>6</v>
      </c>
      <c r="EJ29" s="10">
        <v>0</v>
      </c>
      <c r="EK29" s="10">
        <v>3</v>
      </c>
      <c r="EL29" s="10">
        <v>0</v>
      </c>
      <c r="EM29" s="10">
        <v>7</v>
      </c>
      <c r="EN29" s="10">
        <v>0</v>
      </c>
      <c r="EO29" s="10">
        <v>6</v>
      </c>
      <c r="EP29" s="10">
        <v>1</v>
      </c>
      <c r="EQ29" s="10">
        <v>6</v>
      </c>
      <c r="ER29" s="10">
        <v>0</v>
      </c>
      <c r="ES29" s="10">
        <v>4</v>
      </c>
      <c r="ET29" s="10">
        <v>1</v>
      </c>
      <c r="EU29" s="10">
        <v>5</v>
      </c>
      <c r="EV29" s="10">
        <v>0</v>
      </c>
      <c r="EW29" s="10">
        <v>5</v>
      </c>
      <c r="EX29" s="10">
        <v>0</v>
      </c>
      <c r="EY29" s="10">
        <v>1</v>
      </c>
      <c r="EZ29" s="10">
        <v>0</v>
      </c>
      <c r="FA29" s="10">
        <v>2</v>
      </c>
      <c r="FB29" s="10">
        <v>0</v>
      </c>
      <c r="FC29" s="10">
        <v>0</v>
      </c>
      <c r="FD29" s="10">
        <v>0</v>
      </c>
      <c r="FE29" s="10">
        <v>2</v>
      </c>
      <c r="FF29" s="10">
        <v>0</v>
      </c>
      <c r="FG29" s="10">
        <v>1</v>
      </c>
      <c r="FH29" s="10">
        <v>0</v>
      </c>
      <c r="FI29" s="10">
        <v>1</v>
      </c>
      <c r="FJ29" s="10">
        <v>0</v>
      </c>
      <c r="FK29" s="13">
        <v>1</v>
      </c>
      <c r="FL29" s="13">
        <v>1</v>
      </c>
      <c r="FM29" s="10">
        <v>1</v>
      </c>
      <c r="FN29" s="10">
        <v>0</v>
      </c>
      <c r="FO29" s="10">
        <v>2</v>
      </c>
      <c r="FP29" s="10">
        <v>0</v>
      </c>
      <c r="FQ29" s="10">
        <v>2</v>
      </c>
      <c r="FR29" s="10">
        <v>0</v>
      </c>
      <c r="FS29" s="10">
        <v>1</v>
      </c>
      <c r="FT29" s="10">
        <v>0</v>
      </c>
      <c r="FU29" s="10">
        <v>1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3</v>
      </c>
      <c r="GB29" s="10">
        <v>0</v>
      </c>
      <c r="GC29" s="10">
        <v>0</v>
      </c>
      <c r="GD29" s="10">
        <v>0</v>
      </c>
      <c r="GE29" s="10">
        <v>1</v>
      </c>
      <c r="GF29" s="10">
        <v>0</v>
      </c>
      <c r="GG29" s="10">
        <v>0</v>
      </c>
      <c r="GH29" s="10">
        <v>0</v>
      </c>
      <c r="GI29" s="10">
        <v>1</v>
      </c>
      <c r="GJ29" s="10">
        <v>0</v>
      </c>
      <c r="GK29" s="10">
        <v>1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1</v>
      </c>
      <c r="GR29" s="10">
        <v>0</v>
      </c>
      <c r="GS29" s="10">
        <v>1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1</v>
      </c>
      <c r="HB29" s="10">
        <v>0</v>
      </c>
      <c r="HC29" s="10">
        <v>0</v>
      </c>
      <c r="HD29" s="10">
        <v>0</v>
      </c>
      <c r="HE29" s="10">
        <v>1</v>
      </c>
      <c r="HF29" s="10">
        <v>0</v>
      </c>
      <c r="HG29" s="10">
        <v>1</v>
      </c>
      <c r="HH29" s="10">
        <v>0</v>
      </c>
      <c r="HI29" s="10">
        <v>0</v>
      </c>
      <c r="HJ29" s="10">
        <v>0</v>
      </c>
      <c r="HK29" s="10">
        <v>1</v>
      </c>
      <c r="HL29" s="10">
        <v>0</v>
      </c>
      <c r="HM29" s="10">
        <v>1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1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  <c r="IB29" s="10">
        <v>0</v>
      </c>
      <c r="IC29" s="10">
        <v>0</v>
      </c>
      <c r="ID29" s="10">
        <v>0</v>
      </c>
      <c r="IE29" s="10">
        <v>1</v>
      </c>
      <c r="IF29" s="10">
        <v>0</v>
      </c>
      <c r="IG29" s="10">
        <v>0</v>
      </c>
      <c r="IH29" s="10">
        <v>0</v>
      </c>
      <c r="II29" s="10">
        <v>0</v>
      </c>
      <c r="IJ29" s="10">
        <v>0</v>
      </c>
      <c r="IK29" s="10">
        <v>0</v>
      </c>
      <c r="IL29" s="10">
        <v>0</v>
      </c>
      <c r="IM29" s="10">
        <v>0</v>
      </c>
      <c r="IN29" s="10">
        <v>0</v>
      </c>
      <c r="IO29" s="10">
        <v>0</v>
      </c>
      <c r="IP29" s="10">
        <v>0</v>
      </c>
      <c r="IQ29" s="10">
        <v>0</v>
      </c>
      <c r="IR29" s="10">
        <v>0</v>
      </c>
      <c r="IS29" s="10">
        <v>0</v>
      </c>
      <c r="IT29" s="10">
        <v>0</v>
      </c>
      <c r="IU29" s="10">
        <v>0</v>
      </c>
      <c r="IV29" s="10">
        <v>0</v>
      </c>
      <c r="IW29" s="10">
        <v>0</v>
      </c>
      <c r="IX29" s="10">
        <v>0</v>
      </c>
      <c r="IY29" s="10">
        <v>0</v>
      </c>
      <c r="IZ29" s="10">
        <v>0</v>
      </c>
      <c r="JA29" s="10">
        <v>0</v>
      </c>
      <c r="JB29" s="10">
        <v>0</v>
      </c>
      <c r="JC29" s="10">
        <v>0</v>
      </c>
      <c r="JD29" s="10">
        <v>0</v>
      </c>
      <c r="JE29" s="10">
        <v>0</v>
      </c>
    </row>
    <row r="30" spans="1:265" ht="56" x14ac:dyDescent="0.15">
      <c r="A30" s="35">
        <v>1.29</v>
      </c>
      <c r="B30" s="37" t="s">
        <v>58</v>
      </c>
      <c r="C30" s="49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0">
        <v>45</v>
      </c>
      <c r="DC30" s="10">
        <v>198</v>
      </c>
      <c r="DD30" s="10">
        <v>27</v>
      </c>
      <c r="DE30" s="10">
        <v>93</v>
      </c>
      <c r="DF30" s="10">
        <v>13</v>
      </c>
      <c r="DG30" s="10">
        <v>79</v>
      </c>
      <c r="DH30" s="10">
        <v>24</v>
      </c>
      <c r="DI30" s="10">
        <v>96</v>
      </c>
      <c r="DJ30" s="10">
        <v>37</v>
      </c>
      <c r="DK30" s="10">
        <v>142</v>
      </c>
      <c r="DL30" s="10">
        <v>25</v>
      </c>
      <c r="DM30" s="10">
        <v>152</v>
      </c>
      <c r="DN30" s="10">
        <v>22</v>
      </c>
      <c r="DO30" s="10">
        <v>105</v>
      </c>
      <c r="DP30" s="10">
        <v>20</v>
      </c>
      <c r="DQ30" s="10">
        <v>91</v>
      </c>
      <c r="DR30" s="10">
        <v>18</v>
      </c>
      <c r="DS30" s="10">
        <v>94</v>
      </c>
      <c r="DT30" s="10">
        <v>23</v>
      </c>
      <c r="DU30" s="10">
        <v>111</v>
      </c>
      <c r="DV30" s="10">
        <v>12</v>
      </c>
      <c r="DW30" s="10">
        <v>96</v>
      </c>
      <c r="DX30" s="10">
        <v>13</v>
      </c>
      <c r="DY30" s="10">
        <v>101</v>
      </c>
      <c r="DZ30" s="10">
        <v>17</v>
      </c>
      <c r="EA30" s="10">
        <v>144</v>
      </c>
      <c r="EB30" s="10">
        <v>22</v>
      </c>
      <c r="EC30" s="10">
        <v>125</v>
      </c>
      <c r="ED30" s="10">
        <v>18</v>
      </c>
      <c r="EE30" s="10">
        <v>106</v>
      </c>
      <c r="EF30" s="10">
        <v>19</v>
      </c>
      <c r="EG30" s="11">
        <v>132</v>
      </c>
      <c r="EH30" s="12">
        <v>13</v>
      </c>
      <c r="EI30" s="10">
        <v>104</v>
      </c>
      <c r="EJ30" s="10">
        <v>18</v>
      </c>
      <c r="EK30" s="10">
        <v>135</v>
      </c>
      <c r="EL30" s="10">
        <v>15</v>
      </c>
      <c r="EM30" s="10">
        <v>102</v>
      </c>
      <c r="EN30" s="10">
        <v>11</v>
      </c>
      <c r="EO30" s="10">
        <v>93</v>
      </c>
      <c r="EP30" s="10">
        <v>22</v>
      </c>
      <c r="EQ30" s="10">
        <v>136</v>
      </c>
      <c r="ER30" s="10">
        <v>17</v>
      </c>
      <c r="ES30" s="10">
        <v>119</v>
      </c>
      <c r="ET30" s="10">
        <v>15</v>
      </c>
      <c r="EU30" s="10">
        <v>113</v>
      </c>
      <c r="EV30" s="10">
        <v>16</v>
      </c>
      <c r="EW30" s="10">
        <v>93</v>
      </c>
      <c r="EX30" s="10">
        <v>19</v>
      </c>
      <c r="EY30" s="10">
        <v>164</v>
      </c>
      <c r="EZ30" s="10">
        <v>14</v>
      </c>
      <c r="FA30" s="10">
        <v>137</v>
      </c>
      <c r="FB30" s="10">
        <v>20</v>
      </c>
      <c r="FC30" s="10">
        <v>138</v>
      </c>
      <c r="FD30" s="10">
        <v>19</v>
      </c>
      <c r="FE30" s="10">
        <v>128</v>
      </c>
      <c r="FF30" s="10">
        <v>15</v>
      </c>
      <c r="FG30" s="10">
        <v>130</v>
      </c>
      <c r="FH30" s="10">
        <v>29</v>
      </c>
      <c r="FI30" s="10">
        <v>189</v>
      </c>
      <c r="FJ30" s="10">
        <v>31</v>
      </c>
      <c r="FK30" s="13">
        <v>195</v>
      </c>
      <c r="FL30" s="27">
        <v>200</v>
      </c>
      <c r="FM30" s="10">
        <v>200</v>
      </c>
      <c r="FN30" s="10">
        <v>16</v>
      </c>
      <c r="FO30" s="10">
        <v>94</v>
      </c>
      <c r="FP30" s="10">
        <v>13</v>
      </c>
      <c r="FQ30" s="10">
        <v>83</v>
      </c>
      <c r="FR30" s="10">
        <v>3</v>
      </c>
      <c r="FS30" s="10">
        <v>83</v>
      </c>
      <c r="FT30" s="10">
        <v>13</v>
      </c>
      <c r="FU30" s="10">
        <v>108</v>
      </c>
      <c r="FV30" s="10">
        <v>8</v>
      </c>
      <c r="FW30" s="10">
        <v>81</v>
      </c>
      <c r="FX30" s="10">
        <v>25</v>
      </c>
      <c r="FY30" s="10">
        <v>99</v>
      </c>
      <c r="FZ30" s="10">
        <v>14</v>
      </c>
      <c r="GA30" s="10">
        <v>89</v>
      </c>
      <c r="GB30" s="10">
        <v>25</v>
      </c>
      <c r="GC30" s="10">
        <v>107</v>
      </c>
      <c r="GD30" s="10">
        <v>13</v>
      </c>
      <c r="GE30" s="10">
        <v>87</v>
      </c>
      <c r="GF30" s="10">
        <v>13</v>
      </c>
      <c r="GG30" s="10">
        <v>82</v>
      </c>
      <c r="GH30" s="10">
        <v>11</v>
      </c>
      <c r="GI30" s="10">
        <v>110</v>
      </c>
      <c r="GJ30" s="10">
        <v>9</v>
      </c>
      <c r="GK30" s="10">
        <v>66</v>
      </c>
      <c r="GL30" s="10">
        <v>16</v>
      </c>
      <c r="GM30" s="10">
        <v>132</v>
      </c>
      <c r="GN30" s="10">
        <v>11</v>
      </c>
      <c r="GO30" s="10">
        <v>104</v>
      </c>
      <c r="GP30" s="10">
        <v>12</v>
      </c>
      <c r="GQ30" s="10">
        <v>100</v>
      </c>
      <c r="GR30" s="10">
        <v>19</v>
      </c>
      <c r="GS30" s="10">
        <v>118</v>
      </c>
      <c r="GT30" s="10">
        <v>10</v>
      </c>
      <c r="GU30" s="10">
        <v>85</v>
      </c>
      <c r="GV30" s="10">
        <v>16</v>
      </c>
      <c r="GW30" s="10">
        <v>94</v>
      </c>
      <c r="GX30" s="10">
        <v>11</v>
      </c>
      <c r="GY30" s="10">
        <v>128</v>
      </c>
      <c r="GZ30" s="10">
        <v>17</v>
      </c>
      <c r="HA30" s="10">
        <v>101</v>
      </c>
      <c r="HB30" s="10">
        <v>11</v>
      </c>
      <c r="HC30" s="10">
        <v>91</v>
      </c>
      <c r="HD30" s="10">
        <v>17</v>
      </c>
      <c r="HE30" s="10">
        <v>94</v>
      </c>
      <c r="HF30" s="10">
        <v>11</v>
      </c>
      <c r="HG30" s="10">
        <v>103</v>
      </c>
      <c r="HH30" s="10">
        <v>0</v>
      </c>
      <c r="HI30" s="50">
        <v>25</v>
      </c>
      <c r="HJ30" s="10">
        <v>0</v>
      </c>
      <c r="HK30" s="50">
        <v>27</v>
      </c>
      <c r="HL30" s="10">
        <v>3</v>
      </c>
      <c r="HM30" s="10">
        <v>40</v>
      </c>
      <c r="HN30" s="10">
        <v>1</v>
      </c>
      <c r="HO30" s="10">
        <v>32</v>
      </c>
      <c r="HP30" s="10">
        <v>4</v>
      </c>
      <c r="HQ30" s="10">
        <v>31</v>
      </c>
      <c r="HR30" s="10">
        <v>2</v>
      </c>
      <c r="HS30" s="10">
        <v>17</v>
      </c>
      <c r="HT30" s="10">
        <v>6</v>
      </c>
      <c r="HU30" s="10">
        <v>42</v>
      </c>
      <c r="HV30" s="10">
        <v>7</v>
      </c>
      <c r="HW30" s="10">
        <v>61</v>
      </c>
      <c r="HX30" s="10">
        <v>7</v>
      </c>
      <c r="HY30" s="10">
        <v>61</v>
      </c>
      <c r="HZ30" s="10">
        <v>11</v>
      </c>
      <c r="IA30" s="10">
        <v>52</v>
      </c>
      <c r="IB30" s="10">
        <v>19</v>
      </c>
      <c r="IC30" s="10">
        <v>67</v>
      </c>
      <c r="ID30" s="10">
        <v>15</v>
      </c>
      <c r="IE30" s="10">
        <v>54</v>
      </c>
      <c r="IF30" s="10">
        <v>7</v>
      </c>
      <c r="IG30" s="10">
        <v>41</v>
      </c>
      <c r="IH30" s="10">
        <v>20</v>
      </c>
      <c r="II30" s="10">
        <v>69</v>
      </c>
      <c r="IJ30" s="10">
        <v>10</v>
      </c>
      <c r="IK30" s="10">
        <v>59</v>
      </c>
      <c r="IL30" s="10">
        <v>14</v>
      </c>
      <c r="IM30" s="10">
        <v>54</v>
      </c>
      <c r="IN30" s="28" t="s">
        <v>30</v>
      </c>
      <c r="IO30" s="28" t="s">
        <v>30</v>
      </c>
      <c r="IP30" s="28" t="s">
        <v>30</v>
      </c>
      <c r="IQ30" s="28" t="s">
        <v>30</v>
      </c>
      <c r="IR30" s="28" t="s">
        <v>30</v>
      </c>
      <c r="IS30" s="28" t="s">
        <v>30</v>
      </c>
      <c r="IT30" s="28" t="s">
        <v>30</v>
      </c>
      <c r="IU30" s="28" t="s">
        <v>30</v>
      </c>
      <c r="IV30" s="28" t="s">
        <v>30</v>
      </c>
      <c r="IW30" s="28" t="s">
        <v>30</v>
      </c>
      <c r="IX30" s="28" t="s">
        <v>30</v>
      </c>
      <c r="IY30" s="28" t="s">
        <v>30</v>
      </c>
      <c r="IZ30" s="28" t="s">
        <v>30</v>
      </c>
      <c r="JA30" s="28" t="s">
        <v>30</v>
      </c>
      <c r="JB30" s="28" t="s">
        <v>30</v>
      </c>
      <c r="JC30" s="28" t="s">
        <v>30</v>
      </c>
      <c r="JD30" s="28" t="s">
        <v>30</v>
      </c>
      <c r="JE30" s="28" t="s">
        <v>30</v>
      </c>
    </row>
    <row r="31" spans="1:265" ht="14" x14ac:dyDescent="0.15">
      <c r="A31" s="51"/>
      <c r="B31" s="52" t="s">
        <v>59</v>
      </c>
      <c r="C31" s="53" t="s">
        <v>59</v>
      </c>
      <c r="D31" s="54">
        <f t="shared" ref="D31:BO31" si="0">SUM(D3:D30)</f>
        <v>80</v>
      </c>
      <c r="E31" s="54">
        <f t="shared" si="0"/>
        <v>183</v>
      </c>
      <c r="F31" s="54">
        <f t="shared" si="0"/>
        <v>39</v>
      </c>
      <c r="G31" s="54">
        <f t="shared" si="0"/>
        <v>128</v>
      </c>
      <c r="H31" s="54">
        <f t="shared" si="0"/>
        <v>33</v>
      </c>
      <c r="I31" s="54">
        <f t="shared" si="0"/>
        <v>132</v>
      </c>
      <c r="J31" s="54">
        <f t="shared" si="0"/>
        <v>59</v>
      </c>
      <c r="K31" s="54">
        <f t="shared" si="0"/>
        <v>223</v>
      </c>
      <c r="L31" s="54">
        <f t="shared" si="0"/>
        <v>36</v>
      </c>
      <c r="M31" s="54">
        <f t="shared" si="0"/>
        <v>172</v>
      </c>
      <c r="N31" s="54">
        <f t="shared" si="0"/>
        <v>63</v>
      </c>
      <c r="O31" s="54">
        <f t="shared" si="0"/>
        <v>256</v>
      </c>
      <c r="P31" s="54">
        <f t="shared" si="0"/>
        <v>15</v>
      </c>
      <c r="Q31" s="54">
        <f t="shared" si="0"/>
        <v>140</v>
      </c>
      <c r="R31" s="54">
        <f t="shared" si="0"/>
        <v>56</v>
      </c>
      <c r="S31" s="54">
        <f t="shared" si="0"/>
        <v>253</v>
      </c>
      <c r="T31" s="54">
        <f t="shared" si="0"/>
        <v>52</v>
      </c>
      <c r="U31" s="54">
        <f t="shared" si="0"/>
        <v>264</v>
      </c>
      <c r="V31" s="54">
        <f t="shared" si="0"/>
        <v>74</v>
      </c>
      <c r="W31" s="54">
        <f t="shared" si="0"/>
        <v>265</v>
      </c>
      <c r="X31" s="54">
        <f t="shared" si="0"/>
        <v>39</v>
      </c>
      <c r="Y31" s="54">
        <f t="shared" si="0"/>
        <v>211</v>
      </c>
      <c r="Z31" s="54">
        <f t="shared" si="0"/>
        <v>41</v>
      </c>
      <c r="AA31" s="54">
        <f t="shared" si="0"/>
        <v>198</v>
      </c>
      <c r="AB31" s="54">
        <f t="shared" si="0"/>
        <v>42</v>
      </c>
      <c r="AC31" s="54">
        <f t="shared" si="0"/>
        <v>194</v>
      </c>
      <c r="AD31" s="54">
        <f t="shared" si="0"/>
        <v>68</v>
      </c>
      <c r="AE31" s="54">
        <f t="shared" si="0"/>
        <v>564</v>
      </c>
      <c r="AF31" s="54">
        <f t="shared" si="0"/>
        <v>64</v>
      </c>
      <c r="AG31" s="54">
        <f t="shared" si="0"/>
        <v>271</v>
      </c>
      <c r="AH31" s="54">
        <f t="shared" si="0"/>
        <v>109</v>
      </c>
      <c r="AI31" s="54">
        <f t="shared" si="0"/>
        <v>386</v>
      </c>
      <c r="AJ31" s="54">
        <f t="shared" si="0"/>
        <v>78</v>
      </c>
      <c r="AK31" s="54">
        <f t="shared" si="0"/>
        <v>328</v>
      </c>
      <c r="AL31" s="54">
        <f t="shared" si="0"/>
        <v>73</v>
      </c>
      <c r="AM31" s="54">
        <f t="shared" si="0"/>
        <v>308</v>
      </c>
      <c r="AN31" s="54">
        <f t="shared" si="0"/>
        <v>79</v>
      </c>
      <c r="AO31" s="54">
        <f t="shared" si="0"/>
        <v>266</v>
      </c>
      <c r="AP31" s="54">
        <f t="shared" si="0"/>
        <v>70</v>
      </c>
      <c r="AQ31" s="54">
        <f t="shared" si="0"/>
        <v>343</v>
      </c>
      <c r="AR31" s="54">
        <f t="shared" si="0"/>
        <v>86</v>
      </c>
      <c r="AS31" s="54">
        <f t="shared" si="0"/>
        <v>439</v>
      </c>
      <c r="AT31" s="54">
        <f t="shared" si="0"/>
        <v>121</v>
      </c>
      <c r="AU31" s="54">
        <f t="shared" si="0"/>
        <v>425</v>
      </c>
      <c r="AV31" s="54">
        <f t="shared" si="0"/>
        <v>154</v>
      </c>
      <c r="AW31" s="54">
        <f t="shared" si="0"/>
        <v>613</v>
      </c>
      <c r="AX31" s="54">
        <f t="shared" si="0"/>
        <v>120</v>
      </c>
      <c r="AY31" s="54">
        <f t="shared" si="0"/>
        <v>558</v>
      </c>
      <c r="AZ31" s="54">
        <f t="shared" si="0"/>
        <v>74</v>
      </c>
      <c r="BA31" s="54">
        <f t="shared" si="0"/>
        <v>375</v>
      </c>
      <c r="BB31" s="54">
        <f t="shared" si="0"/>
        <v>139</v>
      </c>
      <c r="BC31" s="54">
        <f t="shared" si="0"/>
        <v>529</v>
      </c>
      <c r="BD31" s="54">
        <f t="shared" si="0"/>
        <v>105</v>
      </c>
      <c r="BE31" s="54">
        <f t="shared" si="0"/>
        <v>442</v>
      </c>
      <c r="BF31" s="54">
        <f t="shared" si="0"/>
        <v>115</v>
      </c>
      <c r="BG31" s="54">
        <f t="shared" si="0"/>
        <v>662</v>
      </c>
      <c r="BH31" s="54">
        <f t="shared" si="0"/>
        <v>122</v>
      </c>
      <c r="BI31" s="54">
        <f t="shared" si="0"/>
        <v>702</v>
      </c>
      <c r="BJ31" s="54">
        <f t="shared" si="0"/>
        <v>91</v>
      </c>
      <c r="BK31" s="54">
        <f t="shared" si="0"/>
        <v>690</v>
      </c>
      <c r="BL31" s="54">
        <f t="shared" si="0"/>
        <v>96</v>
      </c>
      <c r="BM31" s="54">
        <f t="shared" si="0"/>
        <v>596</v>
      </c>
      <c r="BN31" s="54">
        <f t="shared" si="0"/>
        <v>130</v>
      </c>
      <c r="BO31" s="54">
        <f t="shared" si="0"/>
        <v>815</v>
      </c>
      <c r="BP31" s="54">
        <f t="shared" ref="BP31:EA31" si="1">SUM(BP3:BP30)</f>
        <v>88</v>
      </c>
      <c r="BQ31" s="54">
        <f t="shared" si="1"/>
        <v>682</v>
      </c>
      <c r="BR31" s="54">
        <f t="shared" si="1"/>
        <v>107</v>
      </c>
      <c r="BS31" s="54">
        <f t="shared" si="1"/>
        <v>612</v>
      </c>
      <c r="BT31" s="54">
        <f t="shared" si="1"/>
        <v>117</v>
      </c>
      <c r="BU31" s="54">
        <f t="shared" si="1"/>
        <v>794</v>
      </c>
      <c r="BV31" s="54">
        <f t="shared" si="1"/>
        <v>125</v>
      </c>
      <c r="BW31" s="54">
        <f t="shared" si="1"/>
        <v>557</v>
      </c>
      <c r="BX31" s="54">
        <f t="shared" si="1"/>
        <v>140</v>
      </c>
      <c r="BY31" s="54">
        <f t="shared" si="1"/>
        <v>588</v>
      </c>
      <c r="BZ31" s="54">
        <f t="shared" si="1"/>
        <v>104</v>
      </c>
      <c r="CA31" s="54">
        <f t="shared" si="1"/>
        <v>698</v>
      </c>
      <c r="CB31" s="54">
        <f t="shared" si="1"/>
        <v>144</v>
      </c>
      <c r="CC31" s="54">
        <f t="shared" si="1"/>
        <v>712</v>
      </c>
      <c r="CD31" s="54">
        <f t="shared" si="1"/>
        <v>174</v>
      </c>
      <c r="CE31" s="54">
        <f t="shared" si="1"/>
        <v>961</v>
      </c>
      <c r="CF31" s="54">
        <f t="shared" si="1"/>
        <v>142</v>
      </c>
      <c r="CG31" s="54">
        <f t="shared" si="1"/>
        <v>899</v>
      </c>
      <c r="CH31" s="54">
        <f t="shared" si="1"/>
        <v>179</v>
      </c>
      <c r="CI31" s="54">
        <f t="shared" si="1"/>
        <v>972</v>
      </c>
      <c r="CJ31" s="54">
        <f t="shared" si="1"/>
        <v>124</v>
      </c>
      <c r="CK31" s="54">
        <f t="shared" si="1"/>
        <v>767</v>
      </c>
      <c r="CL31" s="54">
        <f t="shared" si="1"/>
        <v>220</v>
      </c>
      <c r="CM31" s="54">
        <f t="shared" si="1"/>
        <v>1266</v>
      </c>
      <c r="CN31" s="54">
        <f t="shared" si="1"/>
        <v>168</v>
      </c>
      <c r="CO31" s="54">
        <f t="shared" si="1"/>
        <v>976</v>
      </c>
      <c r="CP31" s="54">
        <f t="shared" si="1"/>
        <v>197</v>
      </c>
      <c r="CQ31" s="54">
        <f t="shared" si="1"/>
        <v>1195</v>
      </c>
      <c r="CR31" s="54">
        <f t="shared" si="1"/>
        <v>175</v>
      </c>
      <c r="CS31" s="54">
        <f t="shared" si="1"/>
        <v>1119</v>
      </c>
      <c r="CT31" s="54">
        <f t="shared" si="1"/>
        <v>223</v>
      </c>
      <c r="CU31" s="54">
        <f t="shared" si="1"/>
        <v>1021</v>
      </c>
      <c r="CV31" s="54">
        <f t="shared" si="1"/>
        <v>262</v>
      </c>
      <c r="CW31" s="54">
        <f t="shared" si="1"/>
        <v>1255</v>
      </c>
      <c r="CX31" s="54">
        <f t="shared" si="1"/>
        <v>170</v>
      </c>
      <c r="CY31" s="54">
        <f t="shared" si="1"/>
        <v>1048</v>
      </c>
      <c r="CZ31" s="54">
        <f t="shared" si="1"/>
        <v>215</v>
      </c>
      <c r="DA31" s="54">
        <f t="shared" si="1"/>
        <v>941</v>
      </c>
      <c r="DB31" s="54">
        <f t="shared" si="1"/>
        <v>323</v>
      </c>
      <c r="DC31" s="54">
        <f t="shared" si="1"/>
        <v>1433</v>
      </c>
      <c r="DD31" s="54">
        <f t="shared" si="1"/>
        <v>295</v>
      </c>
      <c r="DE31" s="54">
        <f t="shared" si="1"/>
        <v>1462</v>
      </c>
      <c r="DF31" s="54">
        <f t="shared" si="1"/>
        <v>249</v>
      </c>
      <c r="DG31" s="54">
        <f t="shared" si="1"/>
        <v>1046</v>
      </c>
      <c r="DH31" s="54">
        <f t="shared" si="1"/>
        <v>286</v>
      </c>
      <c r="DI31" s="54">
        <f t="shared" si="1"/>
        <v>1085</v>
      </c>
      <c r="DJ31" s="54">
        <f t="shared" si="1"/>
        <v>315</v>
      </c>
      <c r="DK31" s="54">
        <f t="shared" si="1"/>
        <v>1261</v>
      </c>
      <c r="DL31" s="54">
        <f t="shared" si="1"/>
        <v>296</v>
      </c>
      <c r="DM31" s="54">
        <f t="shared" si="1"/>
        <v>1266</v>
      </c>
      <c r="DN31" s="54">
        <f t="shared" si="1"/>
        <v>281</v>
      </c>
      <c r="DO31" s="54">
        <f t="shared" si="1"/>
        <v>1140</v>
      </c>
      <c r="DP31" s="54">
        <f t="shared" si="1"/>
        <v>302</v>
      </c>
      <c r="DQ31" s="54">
        <f t="shared" si="1"/>
        <v>1093</v>
      </c>
      <c r="DR31" s="54">
        <f t="shared" si="1"/>
        <v>250</v>
      </c>
      <c r="DS31" s="54">
        <f t="shared" si="1"/>
        <v>1015</v>
      </c>
      <c r="DT31" s="54">
        <f t="shared" si="1"/>
        <v>318</v>
      </c>
      <c r="DU31" s="54">
        <f t="shared" si="1"/>
        <v>1273</v>
      </c>
      <c r="DV31" s="54">
        <f t="shared" si="1"/>
        <v>156</v>
      </c>
      <c r="DW31" s="54">
        <f t="shared" si="1"/>
        <v>1011</v>
      </c>
      <c r="DX31" s="54">
        <f t="shared" si="1"/>
        <v>168</v>
      </c>
      <c r="DY31" s="54">
        <f t="shared" si="1"/>
        <v>1057</v>
      </c>
      <c r="DZ31" s="54">
        <f t="shared" si="1"/>
        <v>205</v>
      </c>
      <c r="EA31" s="54">
        <f t="shared" si="1"/>
        <v>1350</v>
      </c>
      <c r="EB31" s="54">
        <f t="shared" ref="EB31:GM31" si="2">SUM(EB3:EB30)</f>
        <v>303</v>
      </c>
      <c r="EC31" s="54">
        <f t="shared" si="2"/>
        <v>1345</v>
      </c>
      <c r="ED31" s="54">
        <f t="shared" si="2"/>
        <v>209</v>
      </c>
      <c r="EE31" s="54">
        <f t="shared" si="2"/>
        <v>1112</v>
      </c>
      <c r="EF31" s="54">
        <f t="shared" si="2"/>
        <v>187</v>
      </c>
      <c r="EG31" s="55">
        <f t="shared" si="2"/>
        <v>1361</v>
      </c>
      <c r="EH31" s="56">
        <f t="shared" si="2"/>
        <v>192</v>
      </c>
      <c r="EI31" s="54">
        <f t="shared" si="2"/>
        <v>1210</v>
      </c>
      <c r="EJ31" s="54">
        <f t="shared" si="2"/>
        <v>251</v>
      </c>
      <c r="EK31" s="54">
        <f t="shared" si="2"/>
        <v>1468</v>
      </c>
      <c r="EL31" s="54">
        <f t="shared" si="2"/>
        <v>220</v>
      </c>
      <c r="EM31" s="54">
        <f t="shared" si="2"/>
        <v>1282</v>
      </c>
      <c r="EN31" s="54">
        <f t="shared" si="2"/>
        <v>207</v>
      </c>
      <c r="EO31" s="54">
        <f t="shared" si="2"/>
        <v>1041</v>
      </c>
      <c r="EP31" s="54">
        <f t="shared" si="2"/>
        <v>290</v>
      </c>
      <c r="EQ31" s="54">
        <f t="shared" si="2"/>
        <v>1304</v>
      </c>
      <c r="ER31" s="54">
        <f t="shared" si="2"/>
        <v>282</v>
      </c>
      <c r="ES31" s="54">
        <f t="shared" si="2"/>
        <v>1324</v>
      </c>
      <c r="ET31" s="54">
        <f t="shared" si="2"/>
        <v>250</v>
      </c>
      <c r="EU31" s="54">
        <f t="shared" si="2"/>
        <v>1278</v>
      </c>
      <c r="EV31" s="54">
        <f t="shared" si="2"/>
        <v>212</v>
      </c>
      <c r="EW31" s="54">
        <f t="shared" si="2"/>
        <v>1080</v>
      </c>
      <c r="EX31" s="54">
        <f t="shared" si="2"/>
        <v>292</v>
      </c>
      <c r="EY31" s="54">
        <f t="shared" si="2"/>
        <v>1648</v>
      </c>
      <c r="EZ31" s="54">
        <f t="shared" si="2"/>
        <v>220</v>
      </c>
      <c r="FA31" s="54">
        <f t="shared" si="2"/>
        <v>1178</v>
      </c>
      <c r="FB31" s="54">
        <f t="shared" si="2"/>
        <v>311</v>
      </c>
      <c r="FC31" s="54">
        <f t="shared" si="2"/>
        <v>1621</v>
      </c>
      <c r="FD31" s="54">
        <f t="shared" si="2"/>
        <v>244</v>
      </c>
      <c r="FE31" s="54">
        <f t="shared" si="2"/>
        <v>1430</v>
      </c>
      <c r="FF31" s="54">
        <f t="shared" si="2"/>
        <v>296</v>
      </c>
      <c r="FG31" s="54">
        <f t="shared" si="2"/>
        <v>1503</v>
      </c>
      <c r="FH31" s="54">
        <f t="shared" si="2"/>
        <v>284</v>
      </c>
      <c r="FI31" s="54">
        <f t="shared" si="2"/>
        <v>1586</v>
      </c>
      <c r="FJ31" s="54">
        <f t="shared" si="2"/>
        <v>235</v>
      </c>
      <c r="FK31" s="54">
        <f t="shared" si="2"/>
        <v>1494</v>
      </c>
      <c r="FL31" s="54">
        <f t="shared" si="2"/>
        <v>1543</v>
      </c>
      <c r="FM31" s="54">
        <f t="shared" si="2"/>
        <v>1543</v>
      </c>
      <c r="FN31" s="54">
        <f t="shared" si="2"/>
        <v>230</v>
      </c>
      <c r="FO31" s="54">
        <f t="shared" si="2"/>
        <v>1127</v>
      </c>
      <c r="FP31" s="54">
        <f t="shared" si="2"/>
        <v>211</v>
      </c>
      <c r="FQ31" s="54">
        <f t="shared" si="2"/>
        <v>1054</v>
      </c>
      <c r="FR31" s="54">
        <f t="shared" si="2"/>
        <v>159</v>
      </c>
      <c r="FS31" s="54">
        <f t="shared" si="2"/>
        <v>921</v>
      </c>
      <c r="FT31" s="54">
        <f t="shared" si="2"/>
        <v>243</v>
      </c>
      <c r="FU31" s="54">
        <f t="shared" si="2"/>
        <v>1191</v>
      </c>
      <c r="FV31" s="54">
        <f t="shared" si="2"/>
        <v>123</v>
      </c>
      <c r="FW31" s="54">
        <f t="shared" si="2"/>
        <v>813</v>
      </c>
      <c r="FX31" s="54">
        <f t="shared" si="2"/>
        <v>200</v>
      </c>
      <c r="FY31" s="54">
        <f t="shared" si="2"/>
        <v>1046</v>
      </c>
      <c r="FZ31" s="54">
        <f t="shared" si="2"/>
        <v>152</v>
      </c>
      <c r="GA31" s="54">
        <f t="shared" si="2"/>
        <v>914</v>
      </c>
      <c r="GB31" s="54">
        <f t="shared" si="2"/>
        <v>195</v>
      </c>
      <c r="GC31" s="54">
        <f t="shared" si="2"/>
        <v>1090</v>
      </c>
      <c r="GD31" s="54">
        <f t="shared" si="2"/>
        <v>157</v>
      </c>
      <c r="GE31" s="54">
        <f t="shared" si="2"/>
        <v>948</v>
      </c>
      <c r="GF31" s="54">
        <f t="shared" si="2"/>
        <v>180</v>
      </c>
      <c r="GG31" s="54">
        <f t="shared" si="2"/>
        <v>852</v>
      </c>
      <c r="GH31" s="54">
        <f t="shared" si="2"/>
        <v>159</v>
      </c>
      <c r="GI31" s="54">
        <f t="shared" si="2"/>
        <v>855</v>
      </c>
      <c r="GJ31" s="54">
        <f t="shared" si="2"/>
        <v>134</v>
      </c>
      <c r="GK31" s="54">
        <f t="shared" si="2"/>
        <v>661</v>
      </c>
      <c r="GL31" s="54">
        <f t="shared" si="2"/>
        <v>199</v>
      </c>
      <c r="GM31" s="54">
        <f t="shared" si="2"/>
        <v>1053</v>
      </c>
      <c r="GN31" s="54">
        <f t="shared" ref="GN31:IZ31" si="3">SUM(GN3:GN30)</f>
        <v>172</v>
      </c>
      <c r="GO31" s="54">
        <f t="shared" si="3"/>
        <v>894</v>
      </c>
      <c r="GP31" s="54">
        <f t="shared" si="3"/>
        <v>141</v>
      </c>
      <c r="GQ31" s="54">
        <f t="shared" si="3"/>
        <v>767</v>
      </c>
      <c r="GR31" s="54">
        <f t="shared" si="3"/>
        <v>159</v>
      </c>
      <c r="GS31" s="54">
        <f t="shared" si="3"/>
        <v>813</v>
      </c>
      <c r="GT31" s="54">
        <f t="shared" si="3"/>
        <v>107</v>
      </c>
      <c r="GU31" s="54">
        <f t="shared" si="3"/>
        <v>551</v>
      </c>
      <c r="GV31" s="54">
        <f t="shared" si="3"/>
        <v>220</v>
      </c>
      <c r="GW31" s="54">
        <f t="shared" si="3"/>
        <v>883</v>
      </c>
      <c r="GX31" s="54">
        <f t="shared" si="3"/>
        <v>192</v>
      </c>
      <c r="GY31" s="54">
        <f t="shared" si="3"/>
        <v>944</v>
      </c>
      <c r="GZ31" s="54">
        <f t="shared" si="3"/>
        <v>217</v>
      </c>
      <c r="HA31" s="54">
        <f t="shared" si="3"/>
        <v>894</v>
      </c>
      <c r="HB31" s="54">
        <f t="shared" si="3"/>
        <v>159</v>
      </c>
      <c r="HC31" s="54">
        <f t="shared" si="3"/>
        <v>669</v>
      </c>
      <c r="HD31" s="54">
        <f t="shared" si="3"/>
        <v>232</v>
      </c>
      <c r="HE31" s="54">
        <f t="shared" si="3"/>
        <v>863</v>
      </c>
      <c r="HF31" s="54">
        <f t="shared" si="3"/>
        <v>211</v>
      </c>
      <c r="HG31" s="54">
        <f t="shared" si="3"/>
        <v>720</v>
      </c>
      <c r="HH31" s="54">
        <f t="shared" si="3"/>
        <v>137</v>
      </c>
      <c r="HI31" s="54">
        <f t="shared" si="3"/>
        <v>584</v>
      </c>
      <c r="HJ31" s="54">
        <f t="shared" si="3"/>
        <v>176</v>
      </c>
      <c r="HK31" s="54">
        <f t="shared" si="3"/>
        <v>599</v>
      </c>
      <c r="HL31" s="54">
        <f t="shared" si="3"/>
        <v>136</v>
      </c>
      <c r="HM31" s="54">
        <f t="shared" si="3"/>
        <v>638</v>
      </c>
      <c r="HN31" s="54">
        <f t="shared" si="3"/>
        <v>189</v>
      </c>
      <c r="HO31" s="54">
        <f t="shared" si="3"/>
        <v>666</v>
      </c>
      <c r="HP31" s="54">
        <f t="shared" si="3"/>
        <v>122</v>
      </c>
      <c r="HQ31" s="54">
        <f t="shared" si="3"/>
        <v>681</v>
      </c>
      <c r="HR31" s="54">
        <f t="shared" si="3"/>
        <v>143</v>
      </c>
      <c r="HS31" s="54">
        <f t="shared" si="3"/>
        <v>519</v>
      </c>
      <c r="HT31" s="54">
        <f t="shared" si="3"/>
        <v>180</v>
      </c>
      <c r="HU31" s="54">
        <f t="shared" si="3"/>
        <v>642</v>
      </c>
      <c r="HV31" s="54">
        <f t="shared" si="3"/>
        <v>237</v>
      </c>
      <c r="HW31" s="54">
        <f t="shared" si="3"/>
        <v>809</v>
      </c>
      <c r="HX31" s="54">
        <f t="shared" si="3"/>
        <v>291</v>
      </c>
      <c r="HY31" s="54">
        <f t="shared" si="3"/>
        <v>1014</v>
      </c>
      <c r="HZ31" s="54">
        <f t="shared" si="3"/>
        <v>296</v>
      </c>
      <c r="IA31" s="54">
        <f t="shared" si="3"/>
        <v>1015</v>
      </c>
      <c r="IB31" s="54">
        <f t="shared" si="3"/>
        <v>432</v>
      </c>
      <c r="IC31" s="54">
        <f t="shared" si="3"/>
        <v>1207</v>
      </c>
      <c r="ID31" s="54">
        <f t="shared" si="3"/>
        <v>348</v>
      </c>
      <c r="IE31" s="54">
        <f t="shared" si="3"/>
        <v>930</v>
      </c>
      <c r="IF31" s="54">
        <f t="shared" si="3"/>
        <v>323</v>
      </c>
      <c r="IG31" s="54">
        <f t="shared" si="3"/>
        <v>1018</v>
      </c>
      <c r="IH31" s="54">
        <f t="shared" si="3"/>
        <v>426</v>
      </c>
      <c r="II31" s="54">
        <f t="shared" si="3"/>
        <v>1120</v>
      </c>
      <c r="IJ31" s="54">
        <f t="shared" si="3"/>
        <v>531</v>
      </c>
      <c r="IK31" s="54">
        <f t="shared" si="3"/>
        <v>1144</v>
      </c>
      <c r="IL31" s="54">
        <f t="shared" si="3"/>
        <v>538</v>
      </c>
      <c r="IM31" s="54">
        <f t="shared" si="3"/>
        <v>1273</v>
      </c>
      <c r="IN31" s="54">
        <f t="shared" si="3"/>
        <v>461</v>
      </c>
      <c r="IO31" s="54">
        <f t="shared" si="3"/>
        <v>935</v>
      </c>
      <c r="IP31" s="54">
        <f t="shared" si="3"/>
        <v>444</v>
      </c>
      <c r="IQ31" s="54">
        <f t="shared" si="3"/>
        <v>889</v>
      </c>
      <c r="IR31" s="54">
        <f t="shared" si="3"/>
        <v>689</v>
      </c>
      <c r="IS31" s="54">
        <f t="shared" si="3"/>
        <v>1416</v>
      </c>
      <c r="IT31" s="54">
        <f t="shared" si="3"/>
        <v>541</v>
      </c>
      <c r="IU31" s="54">
        <f t="shared" si="3"/>
        <v>1203</v>
      </c>
      <c r="IV31" s="54">
        <f t="shared" si="3"/>
        <v>481</v>
      </c>
      <c r="IW31" s="54">
        <f t="shared" si="3"/>
        <v>1028</v>
      </c>
      <c r="IX31" s="54">
        <f t="shared" si="3"/>
        <v>438</v>
      </c>
      <c r="IY31" s="54">
        <f t="shared" si="3"/>
        <v>949</v>
      </c>
      <c r="IZ31" s="54">
        <f t="shared" si="3"/>
        <v>488</v>
      </c>
      <c r="JA31" s="54">
        <f t="shared" ref="JA31:JE31" si="4">SUM(JA3:JA30)</f>
        <v>1147</v>
      </c>
      <c r="JB31" s="54">
        <f t="shared" si="4"/>
        <v>433</v>
      </c>
      <c r="JC31" s="54">
        <f t="shared" si="4"/>
        <v>1078</v>
      </c>
      <c r="JD31" s="54">
        <f t="shared" si="4"/>
        <v>459</v>
      </c>
      <c r="JE31" s="54">
        <f t="shared" si="4"/>
        <v>1019</v>
      </c>
    </row>
    <row r="32" spans="1:265" ht="25" customHeight="1" x14ac:dyDescent="0.15">
      <c r="A32" s="57">
        <v>28</v>
      </c>
      <c r="B32" s="58" t="s">
        <v>60</v>
      </c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1"/>
      <c r="EH32" s="62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60"/>
      <c r="FL32" s="60"/>
      <c r="FM32" s="60"/>
      <c r="FN32" s="60"/>
      <c r="FO32" s="60"/>
      <c r="FP32" s="60"/>
      <c r="FQ32" s="60"/>
      <c r="FR32" s="60"/>
      <c r="FS32" s="60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0"/>
      <c r="GK32" s="60"/>
      <c r="GL32" s="60"/>
      <c r="GM32" s="60"/>
      <c r="GN32" s="60"/>
      <c r="GO32" s="60"/>
      <c r="GP32" s="60"/>
      <c r="GQ32" s="60"/>
      <c r="GR32" s="60"/>
      <c r="GS32" s="60"/>
      <c r="GT32" s="60"/>
      <c r="GU32" s="60"/>
      <c r="GV32" s="60"/>
      <c r="GW32" s="60"/>
      <c r="GX32" s="60"/>
      <c r="GY32" s="60"/>
      <c r="GZ32" s="60"/>
      <c r="HA32" s="60"/>
      <c r="HB32" s="60"/>
      <c r="HC32" s="60"/>
      <c r="HD32" s="60"/>
      <c r="HE32" s="60"/>
      <c r="HF32" s="60"/>
      <c r="HG32" s="60"/>
      <c r="HH32" s="60"/>
      <c r="HI32" s="60"/>
      <c r="HJ32" s="60"/>
      <c r="HK32" s="60"/>
      <c r="HL32" s="60"/>
      <c r="HM32" s="60"/>
      <c r="HN32" s="60"/>
      <c r="HO32" s="60"/>
      <c r="HP32" s="60"/>
      <c r="HQ32" s="60"/>
      <c r="HR32" s="60"/>
      <c r="HS32" s="60"/>
      <c r="HT32" s="60"/>
      <c r="HU32" s="60"/>
      <c r="HV32" s="60"/>
      <c r="HW32" s="60"/>
      <c r="HX32" s="60"/>
      <c r="HY32" s="60"/>
      <c r="HZ32" s="60"/>
      <c r="IA32" s="60"/>
      <c r="IB32" s="60"/>
      <c r="IC32" s="60"/>
      <c r="ID32" s="60"/>
      <c r="IE32" s="60"/>
      <c r="IF32" s="60"/>
      <c r="IG32" s="60"/>
      <c r="IH32" s="60"/>
      <c r="II32" s="60"/>
      <c r="IJ32" s="60"/>
      <c r="IK32" s="60"/>
      <c r="IL32" s="60"/>
      <c r="IM32" s="60"/>
      <c r="IN32" s="60"/>
      <c r="IO32" s="60"/>
      <c r="IP32" s="60"/>
      <c r="IQ32" s="60"/>
      <c r="IR32" s="60"/>
      <c r="IS32" s="60"/>
      <c r="IT32" s="60"/>
      <c r="IU32" s="60"/>
      <c r="IV32" s="60"/>
      <c r="IW32" s="60"/>
      <c r="IX32" s="63">
        <v>67</v>
      </c>
      <c r="IY32" s="63">
        <v>124</v>
      </c>
      <c r="IZ32" s="63">
        <v>37</v>
      </c>
      <c r="JA32" s="63">
        <v>72</v>
      </c>
      <c r="JB32" s="63">
        <v>26</v>
      </c>
      <c r="JC32" s="63">
        <v>77</v>
      </c>
      <c r="JD32" s="63">
        <v>20</v>
      </c>
      <c r="JE32" s="63">
        <v>69</v>
      </c>
    </row>
    <row r="33" spans="1:265" ht="28" x14ac:dyDescent="0.15">
      <c r="A33" s="57">
        <v>44</v>
      </c>
      <c r="B33" s="58" t="s">
        <v>61</v>
      </c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0"/>
      <c r="DY33" s="60"/>
      <c r="DZ33" s="60"/>
      <c r="EA33" s="60"/>
      <c r="EB33" s="60"/>
      <c r="EC33" s="60"/>
      <c r="ED33" s="60"/>
      <c r="EE33" s="60"/>
      <c r="EF33" s="60"/>
      <c r="EG33" s="61"/>
      <c r="EH33" s="62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0"/>
      <c r="FE33" s="60"/>
      <c r="FF33" s="60"/>
      <c r="FG33" s="60"/>
      <c r="FH33" s="60"/>
      <c r="FI33" s="60"/>
      <c r="FJ33" s="60"/>
      <c r="FK33" s="60"/>
      <c r="FL33" s="60"/>
      <c r="FM33" s="60"/>
      <c r="FN33" s="60"/>
      <c r="FO33" s="60"/>
      <c r="FP33" s="60"/>
      <c r="FQ33" s="60"/>
      <c r="FR33" s="60"/>
      <c r="FS33" s="60"/>
      <c r="FT33" s="60"/>
      <c r="FU33" s="60"/>
      <c r="FV33" s="60"/>
      <c r="FW33" s="60"/>
      <c r="FX33" s="60"/>
      <c r="FY33" s="60"/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0"/>
      <c r="GK33" s="60"/>
      <c r="GL33" s="60"/>
      <c r="GM33" s="60"/>
      <c r="GN33" s="60"/>
      <c r="GO33" s="60"/>
      <c r="GP33" s="60"/>
      <c r="GQ33" s="60"/>
      <c r="GR33" s="60"/>
      <c r="GS33" s="60"/>
      <c r="GT33" s="60"/>
      <c r="GU33" s="60"/>
      <c r="GV33" s="60"/>
      <c r="GW33" s="60"/>
      <c r="GX33" s="60"/>
      <c r="GY33" s="60"/>
      <c r="GZ33" s="60"/>
      <c r="HA33" s="60"/>
      <c r="HB33" s="60"/>
      <c r="HC33" s="60"/>
      <c r="HD33" s="60"/>
      <c r="HE33" s="60"/>
      <c r="HF33" s="60"/>
      <c r="HG33" s="60"/>
      <c r="HH33" s="60"/>
      <c r="HI33" s="60"/>
      <c r="HJ33" s="60"/>
      <c r="HK33" s="60"/>
      <c r="HL33" s="60"/>
      <c r="HM33" s="60"/>
      <c r="HN33" s="60"/>
      <c r="HO33" s="60"/>
      <c r="HP33" s="60"/>
      <c r="HQ33" s="60"/>
      <c r="HR33" s="60"/>
      <c r="HS33" s="60"/>
      <c r="HT33" s="60"/>
      <c r="HU33" s="60"/>
      <c r="HV33" s="60"/>
      <c r="HW33" s="60"/>
      <c r="HX33" s="60"/>
      <c r="HY33" s="60"/>
      <c r="HZ33" s="60"/>
      <c r="IA33" s="60"/>
      <c r="IB33" s="60"/>
      <c r="IC33" s="60"/>
      <c r="ID33" s="60"/>
      <c r="IE33" s="60"/>
      <c r="IF33" s="60"/>
      <c r="IG33" s="60"/>
      <c r="IH33" s="60"/>
      <c r="II33" s="60"/>
      <c r="IJ33" s="60"/>
      <c r="IK33" s="60"/>
      <c r="IL33" s="60"/>
      <c r="IM33" s="60"/>
      <c r="IN33" s="60"/>
      <c r="IO33" s="60"/>
      <c r="IP33" s="60"/>
      <c r="IQ33" s="60"/>
      <c r="IR33" s="63">
        <v>56</v>
      </c>
      <c r="IS33" s="63">
        <v>300</v>
      </c>
      <c r="IT33" s="63">
        <v>45</v>
      </c>
      <c r="IU33" s="63">
        <v>234</v>
      </c>
      <c r="IV33" s="63">
        <v>43</v>
      </c>
      <c r="IW33" s="63">
        <v>238</v>
      </c>
      <c r="IX33" s="63">
        <v>29</v>
      </c>
      <c r="IY33" s="63">
        <v>232</v>
      </c>
      <c r="IZ33" s="63">
        <v>36</v>
      </c>
      <c r="JA33" s="63">
        <v>212</v>
      </c>
      <c r="JB33" s="63">
        <v>35</v>
      </c>
      <c r="JC33" s="63">
        <v>224</v>
      </c>
      <c r="JD33" s="63">
        <v>17</v>
      </c>
      <c r="JE33" s="63">
        <v>257</v>
      </c>
    </row>
    <row r="34" spans="1:265" ht="28" x14ac:dyDescent="0.15">
      <c r="A34" s="57">
        <v>45</v>
      </c>
      <c r="B34" s="58" t="s">
        <v>62</v>
      </c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1"/>
      <c r="EH34" s="62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0"/>
      <c r="GK34" s="60"/>
      <c r="GL34" s="60"/>
      <c r="GM34" s="60"/>
      <c r="GN34" s="60"/>
      <c r="GO34" s="60"/>
      <c r="GP34" s="60"/>
      <c r="GQ34" s="60"/>
      <c r="GR34" s="60"/>
      <c r="GS34" s="60"/>
      <c r="GT34" s="60"/>
      <c r="GU34" s="60"/>
      <c r="GV34" s="60"/>
      <c r="GW34" s="60"/>
      <c r="GX34" s="60"/>
      <c r="GY34" s="60"/>
      <c r="GZ34" s="60"/>
      <c r="HA34" s="60"/>
      <c r="HB34" s="60"/>
      <c r="HC34" s="60"/>
      <c r="HD34" s="60"/>
      <c r="HE34" s="60"/>
      <c r="HF34" s="60"/>
      <c r="HG34" s="60"/>
      <c r="HH34" s="60"/>
      <c r="HI34" s="60"/>
      <c r="HJ34" s="60"/>
      <c r="HK34" s="60"/>
      <c r="HL34" s="60"/>
      <c r="HM34" s="60"/>
      <c r="HN34" s="60"/>
      <c r="HO34" s="60"/>
      <c r="HP34" s="60"/>
      <c r="HQ34" s="60"/>
      <c r="HR34" s="60"/>
      <c r="HS34" s="60"/>
      <c r="HT34" s="60"/>
      <c r="HU34" s="60"/>
      <c r="HV34" s="60"/>
      <c r="HW34" s="60"/>
      <c r="HX34" s="60"/>
      <c r="HY34" s="60"/>
      <c r="HZ34" s="60"/>
      <c r="IA34" s="60"/>
      <c r="IB34" s="60"/>
      <c r="IC34" s="60"/>
      <c r="ID34" s="60"/>
      <c r="IE34" s="60"/>
      <c r="IF34" s="60"/>
      <c r="IG34" s="60"/>
      <c r="IH34" s="60"/>
      <c r="II34" s="60"/>
      <c r="IJ34" s="60"/>
      <c r="IK34" s="60"/>
      <c r="IL34" s="60"/>
      <c r="IM34" s="60"/>
      <c r="IN34" s="60"/>
      <c r="IO34" s="60"/>
      <c r="IP34" s="60"/>
      <c r="IQ34" s="60"/>
      <c r="IR34" s="63">
        <v>49</v>
      </c>
      <c r="IS34" s="63">
        <v>94</v>
      </c>
      <c r="IT34" s="63">
        <v>52</v>
      </c>
      <c r="IU34" s="63">
        <v>122</v>
      </c>
      <c r="IV34" s="63">
        <v>46</v>
      </c>
      <c r="IW34" s="63">
        <v>89</v>
      </c>
      <c r="IX34" s="63">
        <v>42</v>
      </c>
      <c r="IY34" s="63">
        <v>93</v>
      </c>
      <c r="IZ34" s="63">
        <v>35</v>
      </c>
      <c r="JA34" s="63">
        <v>95</v>
      </c>
      <c r="JB34" s="63">
        <v>28</v>
      </c>
      <c r="JC34" s="63">
        <v>80</v>
      </c>
      <c r="JD34" s="63">
        <v>12</v>
      </c>
      <c r="JE34" s="63">
        <v>103</v>
      </c>
    </row>
    <row r="35" spans="1:265" ht="28" x14ac:dyDescent="0.15">
      <c r="A35" s="57">
        <v>46</v>
      </c>
      <c r="B35" s="58" t="s">
        <v>63</v>
      </c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60"/>
      <c r="DT35" s="60"/>
      <c r="DU35" s="60"/>
      <c r="DV35" s="60"/>
      <c r="DW35" s="60"/>
      <c r="DX35" s="60"/>
      <c r="DY35" s="60"/>
      <c r="DZ35" s="60"/>
      <c r="EA35" s="60"/>
      <c r="EB35" s="60"/>
      <c r="EC35" s="60"/>
      <c r="ED35" s="60"/>
      <c r="EE35" s="60"/>
      <c r="EF35" s="60"/>
      <c r="EG35" s="61"/>
      <c r="EH35" s="62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0"/>
      <c r="FE35" s="60"/>
      <c r="FF35" s="60"/>
      <c r="FG35" s="60"/>
      <c r="FH35" s="60"/>
      <c r="FI35" s="60"/>
      <c r="FJ35" s="60"/>
      <c r="FK35" s="60"/>
      <c r="FL35" s="60"/>
      <c r="FM35" s="60"/>
      <c r="FN35" s="60"/>
      <c r="FO35" s="60"/>
      <c r="FP35" s="60"/>
      <c r="FQ35" s="60"/>
      <c r="FR35" s="60"/>
      <c r="FS35" s="60"/>
      <c r="FT35" s="60"/>
      <c r="FU35" s="60"/>
      <c r="FV35" s="60"/>
      <c r="FW35" s="60"/>
      <c r="FX35" s="60"/>
      <c r="FY35" s="60"/>
      <c r="FZ35" s="60"/>
      <c r="GA35" s="60"/>
      <c r="GB35" s="60"/>
      <c r="GC35" s="60"/>
      <c r="GD35" s="60"/>
      <c r="GE35" s="60"/>
      <c r="GF35" s="60"/>
      <c r="GG35" s="60"/>
      <c r="GH35" s="60"/>
      <c r="GI35" s="60"/>
      <c r="GJ35" s="60"/>
      <c r="GK35" s="60"/>
      <c r="GL35" s="60"/>
      <c r="GM35" s="60"/>
      <c r="GN35" s="60"/>
      <c r="GO35" s="60"/>
      <c r="GP35" s="60"/>
      <c r="GQ35" s="60"/>
      <c r="GR35" s="60"/>
      <c r="GS35" s="60"/>
      <c r="GT35" s="60"/>
      <c r="GU35" s="60"/>
      <c r="GV35" s="60"/>
      <c r="GW35" s="60"/>
      <c r="GX35" s="60"/>
      <c r="GY35" s="60"/>
      <c r="GZ35" s="60"/>
      <c r="HA35" s="60"/>
      <c r="HB35" s="60"/>
      <c r="HC35" s="60"/>
      <c r="HD35" s="60"/>
      <c r="HE35" s="60"/>
      <c r="HF35" s="60"/>
      <c r="HG35" s="60"/>
      <c r="HH35" s="60"/>
      <c r="HI35" s="60"/>
      <c r="HJ35" s="60"/>
      <c r="HK35" s="60"/>
      <c r="HL35" s="60"/>
      <c r="HM35" s="60"/>
      <c r="HN35" s="60"/>
      <c r="HO35" s="60"/>
      <c r="HP35" s="60"/>
      <c r="HQ35" s="60"/>
      <c r="HR35" s="60"/>
      <c r="HS35" s="60"/>
      <c r="HT35" s="60"/>
      <c r="HU35" s="60"/>
      <c r="HV35" s="60"/>
      <c r="HW35" s="60"/>
      <c r="HX35" s="60"/>
      <c r="HY35" s="60"/>
      <c r="HZ35" s="60"/>
      <c r="IA35" s="60"/>
      <c r="IB35" s="60"/>
      <c r="IC35" s="60"/>
      <c r="ID35" s="60"/>
      <c r="IE35" s="60"/>
      <c r="IF35" s="60"/>
      <c r="IG35" s="60"/>
      <c r="IH35" s="60"/>
      <c r="II35" s="60"/>
      <c r="IJ35" s="60"/>
      <c r="IK35" s="60"/>
      <c r="IL35" s="60"/>
      <c r="IM35" s="60"/>
      <c r="IN35" s="60"/>
      <c r="IO35" s="60"/>
      <c r="IP35" s="60"/>
      <c r="IQ35" s="60"/>
      <c r="IR35" s="63">
        <v>91</v>
      </c>
      <c r="IS35" s="63">
        <v>158</v>
      </c>
      <c r="IT35" s="63">
        <v>64</v>
      </c>
      <c r="IU35" s="63">
        <v>123</v>
      </c>
      <c r="IV35" s="63">
        <v>61</v>
      </c>
      <c r="IW35" s="63">
        <v>131</v>
      </c>
      <c r="IX35" s="63">
        <v>93</v>
      </c>
      <c r="IY35" s="63">
        <v>161</v>
      </c>
      <c r="IZ35" s="63">
        <v>54</v>
      </c>
      <c r="JA35" s="63">
        <v>135</v>
      </c>
      <c r="JB35" s="63">
        <v>56</v>
      </c>
      <c r="JC35" s="63">
        <v>146</v>
      </c>
      <c r="JD35" s="63">
        <v>40</v>
      </c>
      <c r="JE35" s="63">
        <v>164</v>
      </c>
    </row>
    <row r="36" spans="1:265" ht="28" x14ac:dyDescent="0.15">
      <c r="A36" s="64" t="s">
        <v>64</v>
      </c>
      <c r="B36" s="58" t="s">
        <v>65</v>
      </c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0"/>
      <c r="DY36" s="60"/>
      <c r="DZ36" s="60"/>
      <c r="EA36" s="60"/>
      <c r="EB36" s="60"/>
      <c r="EC36" s="60"/>
      <c r="ED36" s="60"/>
      <c r="EE36" s="60"/>
      <c r="EF36" s="60"/>
      <c r="EG36" s="61"/>
      <c r="EH36" s="62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  <c r="FW36" s="60"/>
      <c r="FX36" s="60"/>
      <c r="FY36" s="60"/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0"/>
      <c r="GK36" s="60"/>
      <c r="GL36" s="60"/>
      <c r="GM36" s="60"/>
      <c r="GN36" s="60"/>
      <c r="GO36" s="60"/>
      <c r="GP36" s="60"/>
      <c r="GQ36" s="60"/>
      <c r="GR36" s="60"/>
      <c r="GS36" s="60"/>
      <c r="GT36" s="60"/>
      <c r="GU36" s="60"/>
      <c r="GV36" s="60"/>
      <c r="GW36" s="60"/>
      <c r="GX36" s="60"/>
      <c r="GY36" s="60"/>
      <c r="GZ36" s="60"/>
      <c r="HA36" s="60"/>
      <c r="HB36" s="60"/>
      <c r="HC36" s="60"/>
      <c r="HD36" s="60"/>
      <c r="HE36" s="60"/>
      <c r="HF36" s="60"/>
      <c r="HG36" s="60"/>
      <c r="HH36" s="60"/>
      <c r="HI36" s="60"/>
      <c r="HJ36" s="60"/>
      <c r="HK36" s="60"/>
      <c r="HL36" s="60"/>
      <c r="HM36" s="60"/>
      <c r="HN36" s="60"/>
      <c r="HO36" s="60"/>
      <c r="HP36" s="60"/>
      <c r="HQ36" s="60"/>
      <c r="HR36" s="60"/>
      <c r="HS36" s="60"/>
      <c r="HT36" s="60"/>
      <c r="HU36" s="60"/>
      <c r="HV36" s="60"/>
      <c r="HW36" s="60"/>
      <c r="HX36" s="60"/>
      <c r="HY36" s="60"/>
      <c r="HZ36" s="60"/>
      <c r="IA36" s="60"/>
      <c r="IB36" s="60"/>
      <c r="IC36" s="60"/>
      <c r="ID36" s="60"/>
      <c r="IE36" s="60"/>
      <c r="IF36" s="60"/>
      <c r="IG36" s="60"/>
      <c r="IH36" s="60"/>
      <c r="II36" s="60"/>
      <c r="IJ36" s="60"/>
      <c r="IK36" s="60"/>
      <c r="IL36" s="60"/>
      <c r="IM36" s="60"/>
      <c r="IN36" s="60"/>
      <c r="IO36" s="60"/>
      <c r="IP36" s="60"/>
      <c r="IQ36" s="60"/>
      <c r="IR36" s="63">
        <v>41</v>
      </c>
      <c r="IS36" s="63">
        <v>139</v>
      </c>
      <c r="IT36" s="63">
        <v>29</v>
      </c>
      <c r="IU36" s="63">
        <v>137</v>
      </c>
      <c r="IV36" s="63">
        <v>29</v>
      </c>
      <c r="IW36" s="63">
        <v>143</v>
      </c>
      <c r="IX36" s="63">
        <v>21</v>
      </c>
      <c r="IY36" s="63">
        <v>116</v>
      </c>
      <c r="IZ36" s="63">
        <v>27</v>
      </c>
      <c r="JA36" s="63">
        <v>95</v>
      </c>
      <c r="JB36" s="63">
        <v>17</v>
      </c>
      <c r="JC36" s="63">
        <v>110</v>
      </c>
      <c r="JD36" s="63">
        <v>10</v>
      </c>
      <c r="JE36" s="63">
        <v>132</v>
      </c>
    </row>
    <row r="37" spans="1:265" ht="28" x14ac:dyDescent="0.15">
      <c r="A37" s="64" t="s">
        <v>66</v>
      </c>
      <c r="B37" s="58" t="s">
        <v>67</v>
      </c>
      <c r="C37" s="59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1"/>
      <c r="EH37" s="62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60"/>
      <c r="FO37" s="60"/>
      <c r="FP37" s="60"/>
      <c r="FQ37" s="60"/>
      <c r="FR37" s="60"/>
      <c r="FS37" s="60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60"/>
      <c r="GO37" s="60"/>
      <c r="GP37" s="60"/>
      <c r="GQ37" s="60"/>
      <c r="GR37" s="60"/>
      <c r="GS37" s="60"/>
      <c r="GT37" s="60"/>
      <c r="GU37" s="60"/>
      <c r="GV37" s="60"/>
      <c r="GW37" s="60"/>
      <c r="GX37" s="60"/>
      <c r="GY37" s="60"/>
      <c r="GZ37" s="60"/>
      <c r="HA37" s="60"/>
      <c r="HB37" s="60"/>
      <c r="HC37" s="60"/>
      <c r="HD37" s="60"/>
      <c r="HE37" s="60"/>
      <c r="HF37" s="60"/>
      <c r="HG37" s="60"/>
      <c r="HH37" s="60"/>
      <c r="HI37" s="60"/>
      <c r="HJ37" s="60"/>
      <c r="HK37" s="60"/>
      <c r="HL37" s="60"/>
      <c r="HM37" s="60"/>
      <c r="HN37" s="60"/>
      <c r="HO37" s="60"/>
      <c r="HP37" s="60"/>
      <c r="HQ37" s="60"/>
      <c r="HR37" s="60"/>
      <c r="HS37" s="60"/>
      <c r="HT37" s="60"/>
      <c r="HU37" s="60"/>
      <c r="HV37" s="60"/>
      <c r="HW37" s="60"/>
      <c r="HX37" s="60"/>
      <c r="HY37" s="60"/>
      <c r="HZ37" s="60"/>
      <c r="IA37" s="60"/>
      <c r="IB37" s="60"/>
      <c r="IC37" s="60"/>
      <c r="ID37" s="60"/>
      <c r="IE37" s="60"/>
      <c r="IF37" s="60"/>
      <c r="IG37" s="60"/>
      <c r="IH37" s="60"/>
      <c r="II37" s="60"/>
      <c r="IJ37" s="60"/>
      <c r="IK37" s="60"/>
      <c r="IL37" s="60"/>
      <c r="IM37" s="60"/>
      <c r="IN37" s="60"/>
      <c r="IO37" s="60"/>
      <c r="IP37" s="60"/>
      <c r="IQ37" s="60"/>
      <c r="IR37" s="63">
        <v>24</v>
      </c>
      <c r="IS37" s="63">
        <v>86</v>
      </c>
      <c r="IT37" s="63">
        <v>20</v>
      </c>
      <c r="IU37" s="63">
        <v>83</v>
      </c>
      <c r="IV37" s="63">
        <v>20</v>
      </c>
      <c r="IW37" s="63">
        <v>76</v>
      </c>
      <c r="IX37" s="63">
        <v>15</v>
      </c>
      <c r="IY37" s="63">
        <v>61</v>
      </c>
      <c r="IZ37" s="63">
        <v>15</v>
      </c>
      <c r="JA37" s="63">
        <v>79</v>
      </c>
      <c r="JB37" s="63">
        <v>13</v>
      </c>
      <c r="JC37" s="63">
        <v>90</v>
      </c>
      <c r="JD37" s="63">
        <v>3</v>
      </c>
      <c r="JE37" s="63">
        <v>74</v>
      </c>
    </row>
    <row r="38" spans="1:265" ht="42" x14ac:dyDescent="0.15">
      <c r="A38" s="57">
        <v>48</v>
      </c>
      <c r="B38" s="58" t="s">
        <v>68</v>
      </c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0"/>
      <c r="EF38" s="60"/>
      <c r="EG38" s="61"/>
      <c r="EH38" s="62"/>
      <c r="EI38" s="60"/>
      <c r="EJ38" s="60"/>
      <c r="EK38" s="60"/>
      <c r="EL38" s="60"/>
      <c r="EM38" s="60"/>
      <c r="EN38" s="60"/>
      <c r="EO38" s="60"/>
      <c r="EP38" s="60"/>
      <c r="EQ38" s="60"/>
      <c r="ER38" s="60"/>
      <c r="ES38" s="60"/>
      <c r="ET38" s="60"/>
      <c r="EU38" s="60"/>
      <c r="EV38" s="60"/>
      <c r="EW38" s="60"/>
      <c r="EX38" s="60"/>
      <c r="EY38" s="60"/>
      <c r="EZ38" s="60"/>
      <c r="FA38" s="60"/>
      <c r="FB38" s="60"/>
      <c r="FC38" s="60"/>
      <c r="FD38" s="60"/>
      <c r="FE38" s="60"/>
      <c r="FF38" s="60"/>
      <c r="FG38" s="60"/>
      <c r="FH38" s="60"/>
      <c r="FI38" s="60"/>
      <c r="FJ38" s="60"/>
      <c r="FK38" s="60"/>
      <c r="FL38" s="60"/>
      <c r="FM38" s="60"/>
      <c r="FN38" s="60"/>
      <c r="FO38" s="60"/>
      <c r="FP38" s="60"/>
      <c r="FQ38" s="60"/>
      <c r="FR38" s="60"/>
      <c r="FS38" s="60"/>
      <c r="FT38" s="60"/>
      <c r="FU38" s="60"/>
      <c r="FV38" s="60"/>
      <c r="FW38" s="60"/>
      <c r="FX38" s="60"/>
      <c r="FY38" s="60"/>
      <c r="FZ38" s="60"/>
      <c r="GA38" s="60"/>
      <c r="GB38" s="60"/>
      <c r="GC38" s="60"/>
      <c r="GD38" s="60"/>
      <c r="GE38" s="60"/>
      <c r="GF38" s="60"/>
      <c r="GG38" s="60"/>
      <c r="GH38" s="60"/>
      <c r="GI38" s="60"/>
      <c r="GJ38" s="60"/>
      <c r="GK38" s="60"/>
      <c r="GL38" s="60"/>
      <c r="GM38" s="60"/>
      <c r="GN38" s="60"/>
      <c r="GO38" s="60"/>
      <c r="GP38" s="60"/>
      <c r="GQ38" s="60"/>
      <c r="GR38" s="60"/>
      <c r="GS38" s="60"/>
      <c r="GT38" s="60"/>
      <c r="GU38" s="60"/>
      <c r="GV38" s="60"/>
      <c r="GW38" s="60"/>
      <c r="GX38" s="60"/>
      <c r="GY38" s="60"/>
      <c r="GZ38" s="60"/>
      <c r="HA38" s="60"/>
      <c r="HB38" s="60"/>
      <c r="HC38" s="60"/>
      <c r="HD38" s="60"/>
      <c r="HE38" s="60"/>
      <c r="HF38" s="60"/>
      <c r="HG38" s="60"/>
      <c r="HH38" s="60"/>
      <c r="HI38" s="60"/>
      <c r="HJ38" s="60"/>
      <c r="HK38" s="60"/>
      <c r="HL38" s="60"/>
      <c r="HM38" s="60"/>
      <c r="HN38" s="60"/>
      <c r="HO38" s="60"/>
      <c r="HP38" s="60"/>
      <c r="HQ38" s="60"/>
      <c r="HR38" s="60"/>
      <c r="HS38" s="60"/>
      <c r="HT38" s="60"/>
      <c r="HU38" s="60"/>
      <c r="HV38" s="60"/>
      <c r="HW38" s="60"/>
      <c r="HX38" s="60"/>
      <c r="HY38" s="60"/>
      <c r="HZ38" s="60"/>
      <c r="IA38" s="60"/>
      <c r="IB38" s="60"/>
      <c r="IC38" s="60"/>
      <c r="ID38" s="60"/>
      <c r="IE38" s="60"/>
      <c r="IF38" s="60"/>
      <c r="IG38" s="60"/>
      <c r="IH38" s="60"/>
      <c r="II38" s="60"/>
      <c r="IJ38" s="60"/>
      <c r="IK38" s="60"/>
      <c r="IL38" s="60"/>
      <c r="IM38" s="60"/>
      <c r="IN38" s="60"/>
      <c r="IO38" s="60"/>
      <c r="IP38" s="60"/>
      <c r="IQ38" s="60"/>
      <c r="IR38" s="60"/>
      <c r="IS38" s="60"/>
      <c r="IT38" s="60"/>
      <c r="IU38" s="60"/>
      <c r="IV38" s="63">
        <v>126</v>
      </c>
      <c r="IW38" s="63">
        <v>311</v>
      </c>
      <c r="IX38" s="63">
        <v>63</v>
      </c>
      <c r="IY38" s="63">
        <v>299</v>
      </c>
      <c r="IZ38" s="63">
        <v>66</v>
      </c>
      <c r="JA38" s="63">
        <v>293</v>
      </c>
      <c r="JB38" s="63">
        <v>67</v>
      </c>
      <c r="JC38" s="63">
        <v>271</v>
      </c>
      <c r="JD38" s="63">
        <v>16</v>
      </c>
      <c r="JE38" s="63">
        <v>260</v>
      </c>
    </row>
    <row r="39" spans="1:265" ht="42" x14ac:dyDescent="0.15">
      <c r="A39" s="57" t="s">
        <v>69</v>
      </c>
      <c r="B39" s="58" t="s">
        <v>68</v>
      </c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0"/>
      <c r="DY39" s="60"/>
      <c r="DZ39" s="60"/>
      <c r="EA39" s="60"/>
      <c r="EB39" s="60"/>
      <c r="EC39" s="60"/>
      <c r="ED39" s="60"/>
      <c r="EE39" s="60"/>
      <c r="EF39" s="60"/>
      <c r="EG39" s="61"/>
      <c r="EH39" s="62"/>
      <c r="EI39" s="60"/>
      <c r="EJ39" s="60"/>
      <c r="EK39" s="60"/>
      <c r="EL39" s="60"/>
      <c r="EM39" s="60"/>
      <c r="EN39" s="60"/>
      <c r="EO39" s="60"/>
      <c r="EP39" s="60"/>
      <c r="EQ39" s="60"/>
      <c r="ER39" s="60"/>
      <c r="ES39" s="60"/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0"/>
      <c r="FE39" s="60"/>
      <c r="FF39" s="60"/>
      <c r="FG39" s="60"/>
      <c r="FH39" s="60"/>
      <c r="FI39" s="60"/>
      <c r="FJ39" s="60"/>
      <c r="FK39" s="60"/>
      <c r="FL39" s="60"/>
      <c r="FM39" s="60"/>
      <c r="FN39" s="60"/>
      <c r="FO39" s="60"/>
      <c r="FP39" s="60"/>
      <c r="FQ39" s="60"/>
      <c r="FR39" s="60"/>
      <c r="FS39" s="60"/>
      <c r="FT39" s="60"/>
      <c r="FU39" s="60"/>
      <c r="FV39" s="60"/>
      <c r="FW39" s="60"/>
      <c r="FX39" s="60"/>
      <c r="FY39" s="60"/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60"/>
      <c r="GM39" s="60"/>
      <c r="GN39" s="60"/>
      <c r="GO39" s="60"/>
      <c r="GP39" s="60"/>
      <c r="GQ39" s="60"/>
      <c r="GR39" s="60"/>
      <c r="GS39" s="60"/>
      <c r="GT39" s="60"/>
      <c r="GU39" s="60"/>
      <c r="GV39" s="60"/>
      <c r="GW39" s="60"/>
      <c r="GX39" s="60"/>
      <c r="GY39" s="60"/>
      <c r="GZ39" s="60"/>
      <c r="HA39" s="60"/>
      <c r="HB39" s="60"/>
      <c r="HC39" s="60"/>
      <c r="HD39" s="60"/>
      <c r="HE39" s="60"/>
      <c r="HF39" s="60"/>
      <c r="HG39" s="60"/>
      <c r="HH39" s="60"/>
      <c r="HI39" s="60"/>
      <c r="HJ39" s="60"/>
      <c r="HK39" s="60"/>
      <c r="HL39" s="60"/>
      <c r="HM39" s="60"/>
      <c r="HN39" s="60"/>
      <c r="HO39" s="60"/>
      <c r="HP39" s="60"/>
      <c r="HQ39" s="60"/>
      <c r="HR39" s="60"/>
      <c r="HS39" s="60"/>
      <c r="HT39" s="60"/>
      <c r="HU39" s="60"/>
      <c r="HV39" s="60"/>
      <c r="HW39" s="60"/>
      <c r="HX39" s="60"/>
      <c r="HY39" s="60"/>
      <c r="HZ39" s="60"/>
      <c r="IA39" s="60"/>
      <c r="IB39" s="60"/>
      <c r="IC39" s="60"/>
      <c r="ID39" s="60"/>
      <c r="IE39" s="60"/>
      <c r="IF39" s="60"/>
      <c r="IG39" s="60"/>
      <c r="IH39" s="60"/>
      <c r="II39" s="60"/>
      <c r="IJ39" s="60"/>
      <c r="IK39" s="60"/>
      <c r="IL39" s="60"/>
      <c r="IM39" s="60"/>
      <c r="IN39" s="60"/>
      <c r="IO39" s="60"/>
      <c r="IP39" s="60"/>
      <c r="IQ39" s="60"/>
      <c r="IR39" s="60"/>
      <c r="IS39" s="60"/>
      <c r="IT39" s="60"/>
      <c r="IU39" s="60"/>
      <c r="IV39" s="60"/>
      <c r="IW39" s="60"/>
      <c r="IX39" s="60"/>
      <c r="IY39" s="60"/>
      <c r="IZ39" s="60"/>
      <c r="JA39" s="60"/>
      <c r="JB39" s="63">
        <v>1</v>
      </c>
      <c r="JC39" s="63">
        <v>14</v>
      </c>
      <c r="JD39" s="63">
        <v>0</v>
      </c>
      <c r="JE39" s="63">
        <v>13</v>
      </c>
    </row>
    <row r="40" spans="1:265" ht="42" x14ac:dyDescent="0.15">
      <c r="A40" s="57">
        <v>49</v>
      </c>
      <c r="B40" s="58" t="s">
        <v>70</v>
      </c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1"/>
      <c r="EH40" s="62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  <c r="FK40" s="60"/>
      <c r="FL40" s="60"/>
      <c r="FM40" s="60"/>
      <c r="FN40" s="60"/>
      <c r="FO40" s="60"/>
      <c r="FP40" s="60"/>
      <c r="FQ40" s="60"/>
      <c r="FR40" s="60"/>
      <c r="FS40" s="60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60"/>
      <c r="GM40" s="60"/>
      <c r="GN40" s="60"/>
      <c r="GO40" s="60"/>
      <c r="GP40" s="60"/>
      <c r="GQ40" s="60"/>
      <c r="GR40" s="60"/>
      <c r="GS40" s="60"/>
      <c r="GT40" s="60"/>
      <c r="GU40" s="60"/>
      <c r="GV40" s="60"/>
      <c r="GW40" s="60"/>
      <c r="GX40" s="60"/>
      <c r="GY40" s="60"/>
      <c r="GZ40" s="60"/>
      <c r="HA40" s="60"/>
      <c r="HB40" s="60"/>
      <c r="HC40" s="60"/>
      <c r="HD40" s="60"/>
      <c r="HE40" s="60"/>
      <c r="HF40" s="60"/>
      <c r="HG40" s="60"/>
      <c r="HH40" s="60"/>
      <c r="HI40" s="60"/>
      <c r="HJ40" s="60"/>
      <c r="HK40" s="60"/>
      <c r="HL40" s="60"/>
      <c r="HM40" s="60"/>
      <c r="HN40" s="60"/>
      <c r="HO40" s="60"/>
      <c r="HP40" s="60"/>
      <c r="HQ40" s="60"/>
      <c r="HR40" s="60"/>
      <c r="HS40" s="60"/>
      <c r="HT40" s="60"/>
      <c r="HU40" s="60"/>
      <c r="HV40" s="60"/>
      <c r="HW40" s="60"/>
      <c r="HX40" s="60"/>
      <c r="HY40" s="60"/>
      <c r="HZ40" s="60"/>
      <c r="IA40" s="60"/>
      <c r="IB40" s="60"/>
      <c r="IC40" s="60"/>
      <c r="ID40" s="60"/>
      <c r="IE40" s="60"/>
      <c r="IF40" s="60"/>
      <c r="IG40" s="60"/>
      <c r="IH40" s="60"/>
      <c r="II40" s="60"/>
      <c r="IJ40" s="60"/>
      <c r="IK40" s="60"/>
      <c r="IL40" s="60"/>
      <c r="IM40" s="60"/>
      <c r="IN40" s="60"/>
      <c r="IO40" s="60"/>
      <c r="IP40" s="60"/>
      <c r="IQ40" s="60"/>
      <c r="IR40" s="60"/>
      <c r="IS40" s="60"/>
      <c r="IT40" s="60"/>
      <c r="IU40" s="60"/>
      <c r="IV40" s="63">
        <v>188</v>
      </c>
      <c r="IW40" s="63">
        <v>331</v>
      </c>
      <c r="IX40" s="63">
        <v>123</v>
      </c>
      <c r="IY40" s="63">
        <v>368</v>
      </c>
      <c r="IZ40" s="63">
        <v>107</v>
      </c>
      <c r="JA40" s="63">
        <v>332</v>
      </c>
      <c r="JB40" s="63">
        <v>108</v>
      </c>
      <c r="JC40" s="63">
        <v>305</v>
      </c>
      <c r="JD40" s="63">
        <v>47</v>
      </c>
      <c r="JE40" s="63">
        <v>300</v>
      </c>
    </row>
    <row r="41" spans="1:265" ht="42" x14ac:dyDescent="0.15">
      <c r="A41" s="57" t="s">
        <v>71</v>
      </c>
      <c r="B41" s="58" t="s">
        <v>70</v>
      </c>
      <c r="C41" s="59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s="60"/>
      <c r="EE41" s="60"/>
      <c r="EF41" s="60"/>
      <c r="EG41" s="61"/>
      <c r="EH41" s="62"/>
      <c r="EI41" s="60"/>
      <c r="EJ41" s="60"/>
      <c r="EK41" s="60"/>
      <c r="EL41" s="60"/>
      <c r="EM41" s="60"/>
      <c r="EN41" s="60"/>
      <c r="EO41" s="60"/>
      <c r="EP41" s="60"/>
      <c r="EQ41" s="60"/>
      <c r="ER41" s="60"/>
      <c r="ES41" s="60"/>
      <c r="ET41" s="60"/>
      <c r="EU41" s="60"/>
      <c r="EV41" s="60"/>
      <c r="EW41" s="60"/>
      <c r="EX41" s="60"/>
      <c r="EY41" s="60"/>
      <c r="EZ41" s="60"/>
      <c r="FA41" s="60"/>
      <c r="FB41" s="60"/>
      <c r="FC41" s="60"/>
      <c r="FD41" s="60"/>
      <c r="FE41" s="60"/>
      <c r="FF41" s="60"/>
      <c r="FG41" s="60"/>
      <c r="FH41" s="60"/>
      <c r="FI41" s="60"/>
      <c r="FJ41" s="60"/>
      <c r="FK41" s="60"/>
      <c r="FL41" s="60"/>
      <c r="FM41" s="60"/>
      <c r="FN41" s="60"/>
      <c r="FO41" s="60"/>
      <c r="FP41" s="60"/>
      <c r="FQ41" s="60"/>
      <c r="FR41" s="60"/>
      <c r="FS41" s="60"/>
      <c r="FT41" s="60"/>
      <c r="FU41" s="60"/>
      <c r="FV41" s="60"/>
      <c r="FW41" s="60"/>
      <c r="FX41" s="60"/>
      <c r="FY41" s="60"/>
      <c r="FZ41" s="60"/>
      <c r="GA41" s="60"/>
      <c r="GB41" s="60"/>
      <c r="GC41" s="60"/>
      <c r="GD41" s="60"/>
      <c r="GE41" s="60"/>
      <c r="GF41" s="60"/>
      <c r="GG41" s="60"/>
      <c r="GH41" s="60"/>
      <c r="GI41" s="60"/>
      <c r="GJ41" s="60"/>
      <c r="GK41" s="60"/>
      <c r="GL41" s="60"/>
      <c r="GM41" s="60"/>
      <c r="GN41" s="60"/>
      <c r="GO41" s="60"/>
      <c r="GP41" s="60"/>
      <c r="GQ41" s="60"/>
      <c r="GR41" s="60"/>
      <c r="GS41" s="60"/>
      <c r="GT41" s="60"/>
      <c r="GU41" s="60"/>
      <c r="GV41" s="60"/>
      <c r="GW41" s="60"/>
      <c r="GX41" s="60"/>
      <c r="GY41" s="60"/>
      <c r="GZ41" s="60"/>
      <c r="HA41" s="60"/>
      <c r="HB41" s="60"/>
      <c r="HC41" s="60"/>
      <c r="HD41" s="60"/>
      <c r="HE41" s="60"/>
      <c r="HF41" s="60"/>
      <c r="HG41" s="60"/>
      <c r="HH41" s="60"/>
      <c r="HI41" s="60"/>
      <c r="HJ41" s="60"/>
      <c r="HK41" s="60"/>
      <c r="HL41" s="60"/>
      <c r="HM41" s="60"/>
      <c r="HN41" s="60"/>
      <c r="HO41" s="60"/>
      <c r="HP41" s="60"/>
      <c r="HQ41" s="60"/>
      <c r="HR41" s="60"/>
      <c r="HS41" s="60"/>
      <c r="HT41" s="60"/>
      <c r="HU41" s="60"/>
      <c r="HV41" s="60"/>
      <c r="HW41" s="60"/>
      <c r="HX41" s="60"/>
      <c r="HY41" s="60"/>
      <c r="HZ41" s="60"/>
      <c r="IA41" s="60"/>
      <c r="IB41" s="60"/>
      <c r="IC41" s="60"/>
      <c r="ID41" s="60"/>
      <c r="IE41" s="60"/>
      <c r="IF41" s="60"/>
      <c r="IG41" s="60"/>
      <c r="IH41" s="60"/>
      <c r="II41" s="60"/>
      <c r="IJ41" s="60"/>
      <c r="IK41" s="60"/>
      <c r="IL41" s="60"/>
      <c r="IM41" s="60"/>
      <c r="IN41" s="60"/>
      <c r="IO41" s="60"/>
      <c r="IP41" s="60"/>
      <c r="IQ41" s="60"/>
      <c r="IR41" s="60"/>
      <c r="IS41" s="60"/>
      <c r="IT41" s="60"/>
      <c r="IU41" s="60"/>
      <c r="IV41" s="60"/>
      <c r="IW41" s="60"/>
      <c r="IX41" s="60"/>
      <c r="IY41" s="60"/>
      <c r="IZ41" s="60"/>
      <c r="JA41" s="60"/>
      <c r="JB41" s="63">
        <v>6</v>
      </c>
      <c r="JC41" s="63">
        <v>16</v>
      </c>
      <c r="JD41" s="63">
        <v>1</v>
      </c>
      <c r="JE41" s="63">
        <v>15</v>
      </c>
    </row>
    <row r="42" spans="1:265" ht="42" x14ac:dyDescent="0.15">
      <c r="A42" s="57">
        <v>51</v>
      </c>
      <c r="B42" s="58" t="s">
        <v>72</v>
      </c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1"/>
      <c r="EH42" s="62"/>
      <c r="EI42" s="60"/>
      <c r="EJ42" s="60"/>
      <c r="EK42" s="60"/>
      <c r="EL42" s="60"/>
      <c r="EM42" s="60"/>
      <c r="EN42" s="60"/>
      <c r="EO42" s="60"/>
      <c r="EP42" s="60"/>
      <c r="EQ42" s="60"/>
      <c r="ER42" s="60"/>
      <c r="ES42" s="60"/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0"/>
      <c r="FE42" s="60"/>
      <c r="FF42" s="60"/>
      <c r="FG42" s="60"/>
      <c r="FH42" s="60"/>
      <c r="FI42" s="60"/>
      <c r="FJ42" s="60"/>
      <c r="FK42" s="60"/>
      <c r="FL42" s="60"/>
      <c r="FM42" s="60"/>
      <c r="FN42" s="60"/>
      <c r="FO42" s="60"/>
      <c r="FP42" s="60"/>
      <c r="FQ42" s="60"/>
      <c r="FR42" s="60"/>
      <c r="FS42" s="60"/>
      <c r="FT42" s="60"/>
      <c r="FU42" s="60"/>
      <c r="FV42" s="60"/>
      <c r="FW42" s="60"/>
      <c r="FX42" s="60"/>
      <c r="FY42" s="60"/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0"/>
      <c r="GK42" s="60"/>
      <c r="GL42" s="60"/>
      <c r="GM42" s="60"/>
      <c r="GN42" s="60"/>
      <c r="GO42" s="60"/>
      <c r="GP42" s="60"/>
      <c r="GQ42" s="60"/>
      <c r="GR42" s="60"/>
      <c r="GS42" s="60"/>
      <c r="GT42" s="60"/>
      <c r="GU42" s="60"/>
      <c r="GV42" s="60"/>
      <c r="GW42" s="60"/>
      <c r="GX42" s="60"/>
      <c r="GY42" s="60"/>
      <c r="GZ42" s="60"/>
      <c r="HA42" s="60"/>
      <c r="HB42" s="60"/>
      <c r="HC42" s="60"/>
      <c r="HD42" s="60"/>
      <c r="HE42" s="60"/>
      <c r="HF42" s="60"/>
      <c r="HG42" s="60"/>
      <c r="HH42" s="60"/>
      <c r="HI42" s="60"/>
      <c r="HJ42" s="60"/>
      <c r="HK42" s="60"/>
      <c r="HL42" s="60"/>
      <c r="HM42" s="60"/>
      <c r="HN42" s="60"/>
      <c r="HO42" s="60"/>
      <c r="HP42" s="60"/>
      <c r="HQ42" s="60"/>
      <c r="HR42" s="60"/>
      <c r="HS42" s="60"/>
      <c r="HT42" s="60"/>
      <c r="HU42" s="60"/>
      <c r="HV42" s="60"/>
      <c r="HW42" s="60"/>
      <c r="HX42" s="60"/>
      <c r="HY42" s="60"/>
      <c r="HZ42" s="60"/>
      <c r="IA42" s="60"/>
      <c r="IB42" s="60"/>
      <c r="IC42" s="60"/>
      <c r="ID42" s="60"/>
      <c r="IE42" s="60"/>
      <c r="IF42" s="60"/>
      <c r="IG42" s="60"/>
      <c r="IH42" s="60"/>
      <c r="II42" s="60"/>
      <c r="IJ42" s="60"/>
      <c r="IK42" s="60"/>
      <c r="IL42" s="60"/>
      <c r="IM42" s="60"/>
      <c r="IN42" s="60"/>
      <c r="IO42" s="60"/>
      <c r="IP42" s="60"/>
      <c r="IQ42" s="60"/>
      <c r="IR42" s="60"/>
      <c r="IS42" s="60"/>
      <c r="IT42" s="60"/>
      <c r="IU42" s="60"/>
      <c r="IV42" s="63">
        <v>136</v>
      </c>
      <c r="IW42" s="63">
        <v>259</v>
      </c>
      <c r="IX42" s="63">
        <v>98</v>
      </c>
      <c r="IY42" s="63">
        <v>245</v>
      </c>
      <c r="IZ42" s="63">
        <v>127</v>
      </c>
      <c r="JA42" s="63">
        <v>320</v>
      </c>
      <c r="JB42" s="63">
        <v>112</v>
      </c>
      <c r="JC42" s="63">
        <v>295</v>
      </c>
      <c r="JD42" s="63">
        <v>58</v>
      </c>
      <c r="JE42" s="63">
        <v>280</v>
      </c>
    </row>
    <row r="43" spans="1:265" ht="42" x14ac:dyDescent="0.15">
      <c r="A43" s="57" t="s">
        <v>73</v>
      </c>
      <c r="B43" s="58" t="s">
        <v>72</v>
      </c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1"/>
      <c r="EH43" s="62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  <c r="FA43" s="60"/>
      <c r="FB43" s="60"/>
      <c r="FC43" s="60"/>
      <c r="FD43" s="60"/>
      <c r="FE43" s="60"/>
      <c r="FF43" s="60"/>
      <c r="FG43" s="60"/>
      <c r="FH43" s="60"/>
      <c r="FI43" s="60"/>
      <c r="FJ43" s="60"/>
      <c r="FK43" s="60"/>
      <c r="FL43" s="60"/>
      <c r="FM43" s="60"/>
      <c r="FN43" s="60"/>
      <c r="FO43" s="60"/>
      <c r="FP43" s="60"/>
      <c r="FQ43" s="60"/>
      <c r="FR43" s="60"/>
      <c r="FS43" s="60"/>
      <c r="FT43" s="60"/>
      <c r="FU43" s="60"/>
      <c r="FV43" s="60"/>
      <c r="FW43" s="60"/>
      <c r="FX43" s="60"/>
      <c r="FY43" s="60"/>
      <c r="FZ43" s="60"/>
      <c r="GA43" s="60"/>
      <c r="GB43" s="60"/>
      <c r="GC43" s="60"/>
      <c r="GD43" s="60"/>
      <c r="GE43" s="60"/>
      <c r="GF43" s="60"/>
      <c r="GG43" s="60"/>
      <c r="GH43" s="60"/>
      <c r="GI43" s="60"/>
      <c r="GJ43" s="60"/>
      <c r="GK43" s="60"/>
      <c r="GL43" s="60"/>
      <c r="GM43" s="60"/>
      <c r="GN43" s="60"/>
      <c r="GO43" s="60"/>
      <c r="GP43" s="60"/>
      <c r="GQ43" s="60"/>
      <c r="GR43" s="60"/>
      <c r="GS43" s="60"/>
      <c r="GT43" s="60"/>
      <c r="GU43" s="60"/>
      <c r="GV43" s="60"/>
      <c r="GW43" s="60"/>
      <c r="GX43" s="60"/>
      <c r="GY43" s="60"/>
      <c r="GZ43" s="60"/>
      <c r="HA43" s="60"/>
      <c r="HB43" s="60"/>
      <c r="HC43" s="60"/>
      <c r="HD43" s="60"/>
      <c r="HE43" s="60"/>
      <c r="HF43" s="60"/>
      <c r="HG43" s="60"/>
      <c r="HH43" s="60"/>
      <c r="HI43" s="60"/>
      <c r="HJ43" s="60"/>
      <c r="HK43" s="60"/>
      <c r="HL43" s="60"/>
      <c r="HM43" s="60"/>
      <c r="HN43" s="60"/>
      <c r="HO43" s="60"/>
      <c r="HP43" s="60"/>
      <c r="HQ43" s="60"/>
      <c r="HR43" s="60"/>
      <c r="HS43" s="60"/>
      <c r="HT43" s="60"/>
      <c r="HU43" s="60"/>
      <c r="HV43" s="60"/>
      <c r="HW43" s="60"/>
      <c r="HX43" s="60"/>
      <c r="HY43" s="60"/>
      <c r="HZ43" s="60"/>
      <c r="IA43" s="60"/>
      <c r="IB43" s="60"/>
      <c r="IC43" s="60"/>
      <c r="ID43" s="60"/>
      <c r="IE43" s="60"/>
      <c r="IF43" s="60"/>
      <c r="IG43" s="60"/>
      <c r="IH43" s="60"/>
      <c r="II43" s="60"/>
      <c r="IJ43" s="60"/>
      <c r="IK43" s="60"/>
      <c r="IL43" s="60"/>
      <c r="IM43" s="60"/>
      <c r="IN43" s="60"/>
      <c r="IO43" s="60"/>
      <c r="IP43" s="60"/>
      <c r="IQ43" s="60"/>
      <c r="IR43" s="60"/>
      <c r="IS43" s="60"/>
      <c r="IT43" s="60"/>
      <c r="IU43" s="60"/>
      <c r="IV43" s="60"/>
      <c r="IW43" s="60"/>
      <c r="IX43" s="60"/>
      <c r="IY43" s="60"/>
      <c r="IZ43" s="60"/>
      <c r="JA43" s="60"/>
      <c r="JB43" s="63">
        <v>2</v>
      </c>
      <c r="JC43" s="63">
        <v>15</v>
      </c>
      <c r="JD43" s="63">
        <v>0</v>
      </c>
      <c r="JE43" s="63">
        <v>14</v>
      </c>
    </row>
    <row r="44" spans="1:265" ht="14" x14ac:dyDescent="0.15">
      <c r="A44" s="51"/>
      <c r="B44" s="52" t="s">
        <v>74</v>
      </c>
      <c r="C44" s="53" t="s">
        <v>74</v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5"/>
      <c r="EH44" s="56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4"/>
      <c r="FM44" s="54"/>
      <c r="FN44" s="54"/>
      <c r="FO44" s="54"/>
      <c r="FP44" s="54"/>
      <c r="FQ44" s="54"/>
      <c r="FR44" s="54"/>
      <c r="FS44" s="54"/>
      <c r="FT44" s="54"/>
      <c r="FU44" s="54"/>
      <c r="FV44" s="54"/>
      <c r="FW44" s="54"/>
      <c r="FX44" s="54"/>
      <c r="FY44" s="54"/>
      <c r="FZ44" s="54"/>
      <c r="GA44" s="54"/>
      <c r="GB44" s="54"/>
      <c r="GC44" s="54"/>
      <c r="GD44" s="54"/>
      <c r="GE44" s="54"/>
      <c r="GF44" s="54"/>
      <c r="GG44" s="54"/>
      <c r="GH44" s="54"/>
      <c r="GI44" s="54"/>
      <c r="GJ44" s="54"/>
      <c r="GK44" s="54"/>
      <c r="GL44" s="54"/>
      <c r="GM44" s="54"/>
      <c r="GN44" s="54"/>
      <c r="GO44" s="54"/>
      <c r="GP44" s="54"/>
      <c r="GQ44" s="54"/>
      <c r="GR44" s="54"/>
      <c r="GS44" s="54"/>
      <c r="GT44" s="54"/>
      <c r="GU44" s="54"/>
      <c r="GV44" s="54"/>
      <c r="GW44" s="54"/>
      <c r="GX44" s="54"/>
      <c r="GY44" s="54"/>
      <c r="GZ44" s="54"/>
      <c r="HA44" s="54"/>
      <c r="HB44" s="54"/>
      <c r="HC44" s="54"/>
      <c r="HD44" s="54"/>
      <c r="HE44" s="54"/>
      <c r="HF44" s="54"/>
      <c r="HG44" s="54"/>
      <c r="HH44" s="54"/>
      <c r="HI44" s="54"/>
      <c r="HJ44" s="54"/>
      <c r="HK44" s="54"/>
      <c r="HL44" s="54"/>
      <c r="HM44" s="54"/>
      <c r="HN44" s="54"/>
      <c r="HO44" s="54"/>
      <c r="HP44" s="54"/>
      <c r="HQ44" s="54"/>
      <c r="HR44" s="54"/>
      <c r="HS44" s="54"/>
      <c r="HT44" s="54"/>
      <c r="HU44" s="54"/>
      <c r="HV44" s="54"/>
      <c r="HW44" s="54"/>
      <c r="HX44" s="54"/>
      <c r="HY44" s="54"/>
      <c r="HZ44" s="54"/>
      <c r="IA44" s="54"/>
      <c r="IB44" s="54"/>
      <c r="IC44" s="54"/>
      <c r="ID44" s="54"/>
      <c r="IE44" s="54"/>
      <c r="IF44" s="54"/>
      <c r="IG44" s="54"/>
      <c r="IH44" s="54"/>
      <c r="II44" s="54"/>
      <c r="IJ44" s="54"/>
      <c r="IK44" s="54"/>
      <c r="IL44" s="54"/>
      <c r="IM44" s="54"/>
      <c r="IN44" s="54"/>
      <c r="IO44" s="54"/>
      <c r="IP44" s="54"/>
      <c r="IQ44" s="54"/>
      <c r="IR44" s="54">
        <f>SUM(IR33:IR37)</f>
        <v>261</v>
      </c>
      <c r="IS44" s="54">
        <f>SUM(IS33:IS37)</f>
        <v>777</v>
      </c>
      <c r="IT44" s="54">
        <f t="shared" ref="IT44:IU44" si="5">SUM(IT33:IT37)</f>
        <v>210</v>
      </c>
      <c r="IU44" s="54">
        <f t="shared" si="5"/>
        <v>699</v>
      </c>
      <c r="IV44" s="54">
        <f>SUM(IV33:IV42)</f>
        <v>649</v>
      </c>
      <c r="IW44" s="54">
        <f>SUM(IW33:IW42)</f>
        <v>1578</v>
      </c>
      <c r="IX44" s="54">
        <f>SUM(IX32:IX42)</f>
        <v>551</v>
      </c>
      <c r="IY44" s="54">
        <f>SUM(IY32:IY42)</f>
        <v>1699</v>
      </c>
      <c r="IZ44" s="54">
        <f t="shared" ref="IZ44:JA44" si="6">SUM(IZ32:IZ42)</f>
        <v>504</v>
      </c>
      <c r="JA44" s="54">
        <f t="shared" si="6"/>
        <v>1633</v>
      </c>
      <c r="JB44" s="54">
        <f>SUM(JB32:JB43)</f>
        <v>471</v>
      </c>
      <c r="JC44" s="54">
        <f>SUM(JC32:JC43)</f>
        <v>1643</v>
      </c>
      <c r="JD44" s="54">
        <f t="shared" ref="JD44:JE44" si="7">SUM(JD32:JD43)</f>
        <v>224</v>
      </c>
      <c r="JE44" s="54">
        <f t="shared" si="7"/>
        <v>1681</v>
      </c>
    </row>
    <row r="45" spans="1:265" ht="42" x14ac:dyDescent="0.15">
      <c r="A45" s="65">
        <v>3.1</v>
      </c>
      <c r="B45" s="66" t="s">
        <v>75</v>
      </c>
      <c r="C45" s="67" t="s">
        <v>76</v>
      </c>
      <c r="D45" s="68">
        <v>0</v>
      </c>
      <c r="E45" s="68">
        <v>1</v>
      </c>
      <c r="F45" s="68">
        <v>0</v>
      </c>
      <c r="G45" s="68">
        <v>0</v>
      </c>
      <c r="H45" s="68">
        <v>0</v>
      </c>
      <c r="I45" s="68">
        <v>0</v>
      </c>
      <c r="J45" s="68">
        <v>0</v>
      </c>
      <c r="K45" s="68">
        <v>1</v>
      </c>
      <c r="L45" s="68">
        <v>0</v>
      </c>
      <c r="M45" s="68">
        <v>2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2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0</v>
      </c>
      <c r="AF45" s="68">
        <v>0</v>
      </c>
      <c r="AG45" s="68">
        <v>0</v>
      </c>
      <c r="AH45" s="68">
        <v>0</v>
      </c>
      <c r="AI45" s="68">
        <v>0</v>
      </c>
      <c r="AJ45" s="68">
        <v>0</v>
      </c>
      <c r="AK45" s="68">
        <v>1</v>
      </c>
      <c r="AL45" s="68">
        <v>0</v>
      </c>
      <c r="AM45" s="68">
        <v>0</v>
      </c>
      <c r="AN45" s="68">
        <v>0</v>
      </c>
      <c r="AO45" s="68">
        <v>0</v>
      </c>
      <c r="AP45" s="68">
        <v>0</v>
      </c>
      <c r="AQ45" s="68">
        <v>0</v>
      </c>
      <c r="AR45" s="68">
        <v>0</v>
      </c>
      <c r="AS45" s="68">
        <v>0</v>
      </c>
      <c r="AT45" s="68">
        <v>0</v>
      </c>
      <c r="AU45" s="68">
        <v>0</v>
      </c>
      <c r="AV45" s="68">
        <v>0</v>
      </c>
      <c r="AW45" s="68">
        <v>0</v>
      </c>
      <c r="AX45" s="68">
        <v>0</v>
      </c>
      <c r="AY45" s="68">
        <v>0</v>
      </c>
      <c r="AZ45" s="68">
        <v>0</v>
      </c>
      <c r="BA45" s="68">
        <v>0</v>
      </c>
      <c r="BB45" s="68">
        <v>0</v>
      </c>
      <c r="BC45" s="68">
        <v>0</v>
      </c>
      <c r="BD45" s="68">
        <v>0</v>
      </c>
      <c r="BE45" s="68">
        <v>1</v>
      </c>
      <c r="BF45" s="68">
        <v>0</v>
      </c>
      <c r="BG45" s="68">
        <v>0</v>
      </c>
      <c r="BH45" s="69"/>
      <c r="BI45" s="69"/>
      <c r="BJ45" s="68">
        <v>0</v>
      </c>
      <c r="BK45" s="68">
        <v>0</v>
      </c>
      <c r="BL45" s="68">
        <v>0</v>
      </c>
      <c r="BM45" s="68">
        <v>0</v>
      </c>
      <c r="BN45" s="68">
        <v>0</v>
      </c>
      <c r="BO45" s="68">
        <v>0</v>
      </c>
      <c r="BP45" s="68">
        <v>0</v>
      </c>
      <c r="BQ45" s="68">
        <v>2</v>
      </c>
      <c r="BR45" s="68">
        <v>0</v>
      </c>
      <c r="BS45" s="68">
        <v>2</v>
      </c>
      <c r="BT45" s="68">
        <v>0</v>
      </c>
      <c r="BU45" s="68">
        <v>0</v>
      </c>
      <c r="BV45" s="68">
        <v>0</v>
      </c>
      <c r="BW45" s="68">
        <v>3</v>
      </c>
      <c r="BX45" s="68">
        <v>0</v>
      </c>
      <c r="BY45" s="68">
        <v>2</v>
      </c>
      <c r="BZ45" s="68">
        <v>0</v>
      </c>
      <c r="CA45" s="68">
        <v>1</v>
      </c>
      <c r="CB45" s="68">
        <v>0</v>
      </c>
      <c r="CC45" s="68">
        <v>0</v>
      </c>
      <c r="CD45" s="68">
        <v>0</v>
      </c>
      <c r="CE45" s="68">
        <v>0</v>
      </c>
      <c r="CF45" s="68">
        <v>0</v>
      </c>
      <c r="CG45" s="68">
        <v>0</v>
      </c>
      <c r="CH45" s="68">
        <v>0</v>
      </c>
      <c r="CI45" s="68">
        <v>2</v>
      </c>
      <c r="CJ45" s="68">
        <v>0</v>
      </c>
      <c r="CK45" s="68">
        <v>0</v>
      </c>
      <c r="CL45" s="68">
        <v>1</v>
      </c>
      <c r="CM45" s="63">
        <v>3</v>
      </c>
      <c r="CN45" s="68">
        <v>0</v>
      </c>
      <c r="CO45" s="63">
        <v>0</v>
      </c>
      <c r="CP45" s="68">
        <v>0</v>
      </c>
      <c r="CQ45" s="63">
        <v>0</v>
      </c>
      <c r="CR45" s="68">
        <v>0</v>
      </c>
      <c r="CS45" s="63">
        <v>0</v>
      </c>
      <c r="CT45" s="68">
        <v>0</v>
      </c>
      <c r="CU45" s="63">
        <v>0</v>
      </c>
      <c r="CV45" s="68">
        <v>0</v>
      </c>
      <c r="CW45" s="63">
        <v>0</v>
      </c>
      <c r="CX45" s="68">
        <v>0</v>
      </c>
      <c r="CY45" s="63">
        <v>0</v>
      </c>
      <c r="CZ45" s="68">
        <v>0</v>
      </c>
      <c r="DA45" s="63">
        <v>0</v>
      </c>
      <c r="DB45" s="68">
        <v>0</v>
      </c>
      <c r="DC45" s="63">
        <v>0</v>
      </c>
      <c r="DD45" s="68">
        <v>0</v>
      </c>
      <c r="DE45" s="63">
        <v>0</v>
      </c>
      <c r="DF45" s="68">
        <v>0</v>
      </c>
      <c r="DG45" s="63">
        <v>0</v>
      </c>
      <c r="DH45" s="68">
        <v>0</v>
      </c>
      <c r="DI45" s="63">
        <v>0</v>
      </c>
      <c r="DJ45" s="68">
        <v>0</v>
      </c>
      <c r="DK45" s="63">
        <v>0</v>
      </c>
      <c r="DL45" s="68">
        <v>0</v>
      </c>
      <c r="DM45" s="63">
        <v>0</v>
      </c>
      <c r="DN45" s="68">
        <v>0</v>
      </c>
      <c r="DO45" s="63">
        <v>0</v>
      </c>
      <c r="DP45" s="68">
        <v>0</v>
      </c>
      <c r="DQ45" s="63">
        <v>0</v>
      </c>
      <c r="DR45" s="68">
        <v>0</v>
      </c>
      <c r="DS45" s="63">
        <v>0</v>
      </c>
      <c r="DT45" s="68">
        <v>0</v>
      </c>
      <c r="DU45" s="63">
        <v>0</v>
      </c>
      <c r="DV45" s="68">
        <v>0</v>
      </c>
      <c r="DW45" s="63">
        <v>0</v>
      </c>
      <c r="DX45" s="68">
        <v>0</v>
      </c>
      <c r="DY45" s="63">
        <v>0</v>
      </c>
      <c r="DZ45" s="68">
        <v>0</v>
      </c>
      <c r="EA45" s="63">
        <v>0</v>
      </c>
      <c r="EB45" s="68">
        <v>0</v>
      </c>
      <c r="EC45" s="63">
        <v>0</v>
      </c>
      <c r="ED45" s="68">
        <v>0</v>
      </c>
      <c r="EE45" s="63">
        <v>0</v>
      </c>
      <c r="EF45" s="68">
        <v>0</v>
      </c>
      <c r="EG45" s="70">
        <v>0</v>
      </c>
      <c r="EH45" s="71">
        <v>0</v>
      </c>
      <c r="EI45" s="63">
        <v>1</v>
      </c>
      <c r="EJ45" s="63">
        <v>0</v>
      </c>
      <c r="EK45" s="63">
        <v>0</v>
      </c>
      <c r="EL45" s="63">
        <v>0</v>
      </c>
      <c r="EM45" s="63">
        <v>0</v>
      </c>
      <c r="EN45" s="63">
        <v>0</v>
      </c>
      <c r="EO45" s="63">
        <v>0</v>
      </c>
      <c r="EP45" s="63">
        <v>0</v>
      </c>
      <c r="EQ45" s="63">
        <v>0</v>
      </c>
      <c r="ER45" s="63">
        <v>0</v>
      </c>
      <c r="ES45" s="63">
        <v>0</v>
      </c>
      <c r="ET45" s="63">
        <v>0</v>
      </c>
      <c r="EU45" s="63">
        <v>0</v>
      </c>
      <c r="EV45" s="72"/>
      <c r="EW45" s="72"/>
      <c r="EX45" s="72"/>
      <c r="EY45" s="72"/>
      <c r="EZ45" s="72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  <c r="HN45" s="72"/>
      <c r="HO45" s="72"/>
      <c r="HP45" s="72"/>
      <c r="HQ45" s="72"/>
      <c r="HR45" s="72"/>
      <c r="HS45" s="72"/>
      <c r="HT45" s="72"/>
      <c r="HU45" s="72"/>
      <c r="HV45" s="72"/>
      <c r="HW45" s="72"/>
      <c r="HX45" s="72"/>
      <c r="HY45" s="72"/>
      <c r="HZ45" s="72"/>
      <c r="IA45" s="72"/>
      <c r="IB45" s="72"/>
      <c r="IC45" s="72"/>
      <c r="ID45" s="72"/>
      <c r="IE45" s="72"/>
      <c r="IF45" s="72"/>
      <c r="IG45" s="72"/>
      <c r="IH45" s="72"/>
      <c r="II45" s="72"/>
      <c r="IJ45" s="72"/>
      <c r="IK45" s="72"/>
      <c r="IL45" s="72"/>
      <c r="IM45" s="72"/>
      <c r="IN45" s="72"/>
      <c r="IO45" s="72"/>
      <c r="IP45" s="72"/>
      <c r="IQ45" s="72"/>
      <c r="IR45" s="72"/>
      <c r="IS45" s="72"/>
      <c r="IT45" s="72"/>
      <c r="IU45" s="72"/>
      <c r="IV45" s="72"/>
      <c r="IW45" s="72"/>
      <c r="IX45" s="72"/>
      <c r="IY45" s="72"/>
      <c r="IZ45" s="72"/>
      <c r="JA45" s="72"/>
      <c r="JB45" s="72"/>
      <c r="JC45" s="72"/>
      <c r="JD45" s="72"/>
      <c r="JE45" s="72"/>
    </row>
    <row r="46" spans="1:265" ht="56" x14ac:dyDescent="0.15">
      <c r="A46" s="65">
        <v>3.2</v>
      </c>
      <c r="B46" s="66" t="s">
        <v>77</v>
      </c>
      <c r="C46" s="67" t="s">
        <v>78</v>
      </c>
      <c r="D46" s="68">
        <v>4</v>
      </c>
      <c r="E46" s="68">
        <v>32</v>
      </c>
      <c r="F46" s="68">
        <v>4</v>
      </c>
      <c r="G46" s="68">
        <v>39</v>
      </c>
      <c r="H46" s="68">
        <v>1</v>
      </c>
      <c r="I46" s="68">
        <v>37</v>
      </c>
      <c r="J46" s="68">
        <v>3</v>
      </c>
      <c r="K46" s="68">
        <v>45</v>
      </c>
      <c r="L46" s="68">
        <v>1</v>
      </c>
      <c r="M46" s="68">
        <v>38</v>
      </c>
      <c r="N46" s="68">
        <v>2</v>
      </c>
      <c r="O46" s="68">
        <v>49</v>
      </c>
      <c r="P46" s="68">
        <v>1</v>
      </c>
      <c r="Q46" s="68">
        <v>15</v>
      </c>
      <c r="R46" s="68">
        <v>1</v>
      </c>
      <c r="S46" s="68">
        <v>40</v>
      </c>
      <c r="T46" s="68">
        <v>1</v>
      </c>
      <c r="U46" s="68">
        <v>42</v>
      </c>
      <c r="V46" s="68">
        <v>2</v>
      </c>
      <c r="W46" s="68">
        <v>43</v>
      </c>
      <c r="X46" s="68">
        <v>0</v>
      </c>
      <c r="Y46" s="68">
        <v>48</v>
      </c>
      <c r="Z46" s="68">
        <v>0</v>
      </c>
      <c r="AA46" s="68">
        <v>53</v>
      </c>
      <c r="AB46" s="68">
        <v>0</v>
      </c>
      <c r="AC46" s="68">
        <v>19</v>
      </c>
      <c r="AD46" s="68">
        <v>0</v>
      </c>
      <c r="AE46" s="68">
        <v>13</v>
      </c>
      <c r="AF46" s="68">
        <v>1</v>
      </c>
      <c r="AG46" s="68">
        <v>7</v>
      </c>
      <c r="AH46" s="68">
        <v>0</v>
      </c>
      <c r="AI46" s="68">
        <v>5</v>
      </c>
      <c r="AJ46" s="68">
        <v>0</v>
      </c>
      <c r="AK46" s="68">
        <v>11</v>
      </c>
      <c r="AL46" s="68">
        <v>0</v>
      </c>
      <c r="AM46" s="68">
        <v>3</v>
      </c>
      <c r="AN46" s="68">
        <v>1</v>
      </c>
      <c r="AO46" s="68">
        <v>9</v>
      </c>
      <c r="AP46" s="68">
        <v>0</v>
      </c>
      <c r="AQ46" s="68">
        <v>10</v>
      </c>
      <c r="AR46" s="68">
        <v>0</v>
      </c>
      <c r="AS46" s="68">
        <v>9</v>
      </c>
      <c r="AT46" s="68">
        <v>0</v>
      </c>
      <c r="AU46" s="68">
        <v>10</v>
      </c>
      <c r="AV46" s="68">
        <v>2</v>
      </c>
      <c r="AW46" s="68">
        <v>12</v>
      </c>
      <c r="AX46" s="68">
        <v>0</v>
      </c>
      <c r="AY46" s="68">
        <v>8</v>
      </c>
      <c r="AZ46" s="68">
        <v>0</v>
      </c>
      <c r="BA46" s="68">
        <v>6</v>
      </c>
      <c r="BB46" s="68">
        <v>0</v>
      </c>
      <c r="BC46" s="68">
        <v>5</v>
      </c>
      <c r="BD46" s="68">
        <v>0</v>
      </c>
      <c r="BE46" s="68">
        <v>6</v>
      </c>
      <c r="BF46" s="68">
        <v>0</v>
      </c>
      <c r="BG46" s="68">
        <v>8</v>
      </c>
      <c r="BH46" s="69"/>
      <c r="BI46" s="69"/>
      <c r="BJ46" s="68">
        <v>1</v>
      </c>
      <c r="BK46" s="68">
        <v>43</v>
      </c>
      <c r="BL46" s="68">
        <v>1</v>
      </c>
      <c r="BM46" s="68">
        <v>30</v>
      </c>
      <c r="BN46" s="68">
        <v>0</v>
      </c>
      <c r="BO46" s="68">
        <v>21</v>
      </c>
      <c r="BP46" s="68">
        <v>0</v>
      </c>
      <c r="BQ46" s="68">
        <v>22</v>
      </c>
      <c r="BR46" s="68">
        <v>1</v>
      </c>
      <c r="BS46" s="68">
        <v>16</v>
      </c>
      <c r="BT46" s="68">
        <v>0</v>
      </c>
      <c r="BU46" s="68">
        <v>16</v>
      </c>
      <c r="BV46" s="68">
        <v>1</v>
      </c>
      <c r="BW46" s="68">
        <v>16</v>
      </c>
      <c r="BX46" s="68">
        <v>0</v>
      </c>
      <c r="BY46" s="68">
        <v>15</v>
      </c>
      <c r="BZ46" s="68">
        <v>2</v>
      </c>
      <c r="CA46" s="68">
        <v>18</v>
      </c>
      <c r="CB46" s="68">
        <v>1</v>
      </c>
      <c r="CC46" s="68">
        <v>21</v>
      </c>
      <c r="CD46" s="68">
        <v>0</v>
      </c>
      <c r="CE46" s="68">
        <v>16</v>
      </c>
      <c r="CF46" s="68">
        <v>0</v>
      </c>
      <c r="CG46" s="68">
        <v>22</v>
      </c>
      <c r="CH46" s="68">
        <v>1</v>
      </c>
      <c r="CI46" s="68">
        <v>23</v>
      </c>
      <c r="CJ46" s="68">
        <v>0</v>
      </c>
      <c r="CK46" s="68">
        <v>17</v>
      </c>
      <c r="CL46" s="68">
        <v>0</v>
      </c>
      <c r="CM46" s="63">
        <v>22</v>
      </c>
      <c r="CN46" s="68">
        <v>0</v>
      </c>
      <c r="CO46" s="63">
        <v>15</v>
      </c>
      <c r="CP46" s="68">
        <v>1</v>
      </c>
      <c r="CQ46" s="63">
        <v>14</v>
      </c>
      <c r="CR46" s="68">
        <v>0</v>
      </c>
      <c r="CS46" s="63">
        <v>14</v>
      </c>
      <c r="CT46" s="68">
        <v>0</v>
      </c>
      <c r="CU46" s="63">
        <v>8</v>
      </c>
      <c r="CV46" s="68">
        <v>1</v>
      </c>
      <c r="CW46" s="63">
        <v>13</v>
      </c>
      <c r="CX46" s="68">
        <v>0</v>
      </c>
      <c r="CY46" s="63">
        <v>13</v>
      </c>
      <c r="CZ46" s="68">
        <v>2</v>
      </c>
      <c r="DA46" s="63">
        <v>22</v>
      </c>
      <c r="DB46" s="68">
        <v>2</v>
      </c>
      <c r="DC46" s="63">
        <v>6</v>
      </c>
      <c r="DD46" s="68">
        <v>0</v>
      </c>
      <c r="DE46" s="63">
        <v>16</v>
      </c>
      <c r="DF46" s="68">
        <v>1</v>
      </c>
      <c r="DG46" s="63">
        <v>13</v>
      </c>
      <c r="DH46" s="68">
        <v>1</v>
      </c>
      <c r="DI46" s="63">
        <v>14</v>
      </c>
      <c r="DJ46" s="68">
        <v>1</v>
      </c>
      <c r="DK46" s="63">
        <v>9</v>
      </c>
      <c r="DL46" s="68">
        <v>0</v>
      </c>
      <c r="DM46" s="63">
        <v>8</v>
      </c>
      <c r="DN46" s="68">
        <v>1</v>
      </c>
      <c r="DO46" s="63">
        <v>11</v>
      </c>
      <c r="DP46" s="68">
        <v>1</v>
      </c>
      <c r="DQ46" s="63">
        <v>13</v>
      </c>
      <c r="DR46" s="68">
        <v>0</v>
      </c>
      <c r="DS46" s="63">
        <v>15</v>
      </c>
      <c r="DT46" s="68">
        <v>0</v>
      </c>
      <c r="DU46" s="63">
        <v>16</v>
      </c>
      <c r="DV46" s="68">
        <v>1</v>
      </c>
      <c r="DW46" s="63">
        <v>10</v>
      </c>
      <c r="DX46" s="68">
        <v>1</v>
      </c>
      <c r="DY46" s="63">
        <v>15</v>
      </c>
      <c r="DZ46" s="68">
        <v>1</v>
      </c>
      <c r="EA46" s="63">
        <v>13</v>
      </c>
      <c r="EB46" s="68">
        <v>1</v>
      </c>
      <c r="EC46" s="63">
        <v>12</v>
      </c>
      <c r="ED46" s="68">
        <v>1</v>
      </c>
      <c r="EE46" s="63">
        <v>13</v>
      </c>
      <c r="EF46" s="68">
        <v>0</v>
      </c>
      <c r="EG46" s="70">
        <v>14</v>
      </c>
      <c r="EH46" s="71">
        <v>1</v>
      </c>
      <c r="EI46" s="63">
        <v>13</v>
      </c>
      <c r="EJ46" s="63">
        <v>1</v>
      </c>
      <c r="EK46" s="63">
        <v>21</v>
      </c>
      <c r="EL46" s="63">
        <v>0</v>
      </c>
      <c r="EM46" s="63">
        <v>14</v>
      </c>
      <c r="EN46" s="63">
        <v>2</v>
      </c>
      <c r="EO46" s="63">
        <v>22</v>
      </c>
      <c r="EP46" s="63">
        <v>1</v>
      </c>
      <c r="EQ46" s="63">
        <v>20</v>
      </c>
      <c r="ER46" s="63">
        <v>0</v>
      </c>
      <c r="ES46" s="63">
        <v>15</v>
      </c>
      <c r="ET46" s="63">
        <v>0</v>
      </c>
      <c r="EU46" s="63">
        <v>21</v>
      </c>
      <c r="EV46" s="63">
        <v>1</v>
      </c>
      <c r="EW46" s="63">
        <v>6</v>
      </c>
      <c r="EX46" s="63">
        <v>0</v>
      </c>
      <c r="EY46" s="63">
        <v>15</v>
      </c>
      <c r="EZ46" s="63">
        <v>1</v>
      </c>
      <c r="FA46" s="63">
        <v>15</v>
      </c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72"/>
      <c r="FR46" s="72"/>
      <c r="FS46" s="72"/>
      <c r="FT46" s="72"/>
      <c r="FU46" s="72"/>
      <c r="FV46" s="72"/>
      <c r="FW46" s="72"/>
      <c r="FX46" s="72"/>
      <c r="FY46" s="72"/>
      <c r="FZ46" s="72"/>
      <c r="GA46" s="72"/>
      <c r="GB46" s="72"/>
      <c r="GC46" s="72"/>
      <c r="GD46" s="72"/>
      <c r="GE46" s="72"/>
      <c r="GF46" s="72"/>
      <c r="GG46" s="72"/>
      <c r="GH46" s="72"/>
      <c r="GI46" s="72"/>
      <c r="GJ46" s="72"/>
      <c r="GK46" s="72"/>
      <c r="GL46" s="72"/>
      <c r="GM46" s="72"/>
      <c r="GN46" s="72"/>
      <c r="GO46" s="72"/>
      <c r="GP46" s="72"/>
      <c r="GQ46" s="72"/>
      <c r="GR46" s="72"/>
      <c r="GS46" s="72"/>
      <c r="GT46" s="72"/>
      <c r="GU46" s="72"/>
      <c r="GV46" s="72"/>
      <c r="GW46" s="72"/>
      <c r="GX46" s="72"/>
      <c r="GY46" s="72"/>
      <c r="GZ46" s="72"/>
      <c r="HA46" s="72"/>
      <c r="HB46" s="72"/>
      <c r="HC46" s="72"/>
      <c r="HD46" s="72"/>
      <c r="HE46" s="72"/>
      <c r="HF46" s="72"/>
      <c r="HG46" s="72"/>
      <c r="HH46" s="72"/>
      <c r="HI46" s="72"/>
      <c r="HJ46" s="72"/>
      <c r="HK46" s="72"/>
      <c r="HL46" s="72"/>
      <c r="HM46" s="72"/>
      <c r="HN46" s="72"/>
      <c r="HO46" s="72"/>
      <c r="HP46" s="72"/>
      <c r="HQ46" s="72"/>
      <c r="HR46" s="72"/>
      <c r="HS46" s="72"/>
      <c r="HT46" s="72"/>
      <c r="HU46" s="72"/>
      <c r="HV46" s="72"/>
      <c r="HW46" s="72"/>
      <c r="HX46" s="72"/>
      <c r="HY46" s="72"/>
      <c r="HZ46" s="72"/>
      <c r="IA46" s="72"/>
      <c r="IB46" s="72"/>
      <c r="IC46" s="72"/>
      <c r="ID46" s="72"/>
      <c r="IE46" s="72"/>
      <c r="IF46" s="72"/>
      <c r="IG46" s="72"/>
      <c r="IH46" s="72"/>
      <c r="II46" s="72"/>
      <c r="IJ46" s="72"/>
      <c r="IK46" s="72"/>
      <c r="IL46" s="72"/>
      <c r="IM46" s="72"/>
      <c r="IN46" s="72"/>
      <c r="IO46" s="72"/>
      <c r="IP46" s="72"/>
      <c r="IQ46" s="72"/>
      <c r="IR46" s="72"/>
      <c r="IS46" s="72"/>
      <c r="IT46" s="72"/>
      <c r="IU46" s="72"/>
      <c r="IV46" s="72"/>
      <c r="IW46" s="72"/>
      <c r="IX46" s="72"/>
      <c r="IY46" s="72"/>
      <c r="IZ46" s="72"/>
      <c r="JA46" s="72"/>
      <c r="JB46" s="72"/>
      <c r="JC46" s="72"/>
      <c r="JD46" s="72"/>
      <c r="JE46" s="72"/>
    </row>
    <row r="47" spans="1:265" ht="70" x14ac:dyDescent="0.15">
      <c r="A47" s="65">
        <v>3.3</v>
      </c>
      <c r="B47" s="66" t="s">
        <v>79</v>
      </c>
      <c r="C47" s="67" t="s">
        <v>80</v>
      </c>
      <c r="D47" s="73"/>
      <c r="E47" s="73"/>
      <c r="F47" s="73"/>
      <c r="G47" s="73"/>
      <c r="H47" s="73"/>
      <c r="I47" s="73"/>
      <c r="J47" s="73"/>
      <c r="K47" s="73"/>
      <c r="L47" s="68">
        <v>2</v>
      </c>
      <c r="M47" s="68">
        <v>80</v>
      </c>
      <c r="N47" s="68">
        <v>1</v>
      </c>
      <c r="O47" s="68">
        <v>54</v>
      </c>
      <c r="P47" s="68">
        <v>0</v>
      </c>
      <c r="Q47" s="68">
        <v>25</v>
      </c>
      <c r="R47" s="68">
        <v>0</v>
      </c>
      <c r="S47" s="68">
        <v>0</v>
      </c>
      <c r="T47" s="68">
        <v>0</v>
      </c>
      <c r="U47" s="68">
        <v>52</v>
      </c>
      <c r="V47" s="68">
        <v>1</v>
      </c>
      <c r="W47" s="68">
        <v>53</v>
      </c>
      <c r="X47" s="68">
        <v>0</v>
      </c>
      <c r="Y47" s="68">
        <v>66</v>
      </c>
      <c r="Z47" s="68">
        <v>3</v>
      </c>
      <c r="AA47" s="68">
        <v>76</v>
      </c>
      <c r="AB47" s="68">
        <v>0</v>
      </c>
      <c r="AC47" s="68">
        <v>37</v>
      </c>
      <c r="AD47" s="68">
        <v>0</v>
      </c>
      <c r="AE47" s="68">
        <v>33</v>
      </c>
      <c r="AF47" s="68">
        <v>1</v>
      </c>
      <c r="AG47" s="68">
        <v>23</v>
      </c>
      <c r="AH47" s="68">
        <v>1</v>
      </c>
      <c r="AI47" s="68">
        <v>31</v>
      </c>
      <c r="AJ47" s="68">
        <v>0</v>
      </c>
      <c r="AK47" s="68">
        <v>22</v>
      </c>
      <c r="AL47" s="68">
        <v>1</v>
      </c>
      <c r="AM47" s="68">
        <v>27</v>
      </c>
      <c r="AN47" s="68">
        <v>0</v>
      </c>
      <c r="AO47" s="68">
        <v>30</v>
      </c>
      <c r="AP47" s="68">
        <v>1</v>
      </c>
      <c r="AQ47" s="68">
        <v>24</v>
      </c>
      <c r="AR47" s="68">
        <v>0</v>
      </c>
      <c r="AS47" s="68">
        <v>21</v>
      </c>
      <c r="AT47" s="68">
        <v>0</v>
      </c>
      <c r="AU47" s="68">
        <v>23</v>
      </c>
      <c r="AV47" s="68"/>
      <c r="AW47" s="68">
        <v>23</v>
      </c>
      <c r="AX47" s="68">
        <v>0</v>
      </c>
      <c r="AY47" s="68">
        <v>26</v>
      </c>
      <c r="AZ47" s="68">
        <v>2</v>
      </c>
      <c r="BA47" s="68">
        <v>18</v>
      </c>
      <c r="BB47" s="68">
        <v>1</v>
      </c>
      <c r="BC47" s="68">
        <v>19</v>
      </c>
      <c r="BD47" s="68">
        <v>0</v>
      </c>
      <c r="BE47" s="68">
        <v>22</v>
      </c>
      <c r="BF47" s="68">
        <v>0</v>
      </c>
      <c r="BG47" s="68">
        <v>21</v>
      </c>
      <c r="BH47" s="69"/>
      <c r="BI47" s="69"/>
      <c r="BJ47" s="68">
        <v>0</v>
      </c>
      <c r="BK47" s="68">
        <v>31</v>
      </c>
      <c r="BL47" s="68">
        <v>1</v>
      </c>
      <c r="BM47" s="68">
        <v>27</v>
      </c>
      <c r="BN47" s="68">
        <v>0</v>
      </c>
      <c r="BO47" s="68">
        <v>23</v>
      </c>
      <c r="BP47" s="68">
        <v>0</v>
      </c>
      <c r="BQ47" s="68">
        <v>19</v>
      </c>
      <c r="BR47" s="68">
        <v>0</v>
      </c>
      <c r="BS47" s="68">
        <v>27</v>
      </c>
      <c r="BT47" s="68">
        <v>2</v>
      </c>
      <c r="BU47" s="68">
        <v>27</v>
      </c>
      <c r="BV47" s="68">
        <v>0</v>
      </c>
      <c r="BW47" s="68">
        <v>20</v>
      </c>
      <c r="BX47" s="68">
        <v>0</v>
      </c>
      <c r="BY47" s="68">
        <v>18</v>
      </c>
      <c r="BZ47" s="68">
        <v>0</v>
      </c>
      <c r="CA47" s="68">
        <v>14</v>
      </c>
      <c r="CB47" s="68">
        <v>0</v>
      </c>
      <c r="CC47" s="68">
        <v>24</v>
      </c>
      <c r="CD47" s="68">
        <v>0</v>
      </c>
      <c r="CE47" s="68">
        <v>22</v>
      </c>
      <c r="CF47" s="68">
        <v>0</v>
      </c>
      <c r="CG47" s="68">
        <v>12</v>
      </c>
      <c r="CH47" s="68">
        <v>2</v>
      </c>
      <c r="CI47" s="68">
        <v>28</v>
      </c>
      <c r="CJ47" s="68">
        <v>2</v>
      </c>
      <c r="CK47" s="68">
        <v>22</v>
      </c>
      <c r="CL47" s="68">
        <v>1</v>
      </c>
      <c r="CM47" s="63">
        <v>20</v>
      </c>
      <c r="CN47" s="68">
        <v>1</v>
      </c>
      <c r="CO47" s="63">
        <v>23</v>
      </c>
      <c r="CP47" s="68">
        <v>0</v>
      </c>
      <c r="CQ47" s="63">
        <v>18</v>
      </c>
      <c r="CR47" s="68">
        <v>3</v>
      </c>
      <c r="CS47" s="63">
        <v>24</v>
      </c>
      <c r="CT47" s="68">
        <v>2</v>
      </c>
      <c r="CU47" s="63">
        <v>24</v>
      </c>
      <c r="CV47" s="68">
        <v>0</v>
      </c>
      <c r="CW47" s="63">
        <v>10</v>
      </c>
      <c r="CX47" s="68">
        <v>1</v>
      </c>
      <c r="CY47" s="63">
        <v>16</v>
      </c>
      <c r="CZ47" s="68">
        <v>3</v>
      </c>
      <c r="DA47" s="63">
        <v>33</v>
      </c>
      <c r="DB47" s="68">
        <v>4</v>
      </c>
      <c r="DC47" s="63">
        <v>53</v>
      </c>
      <c r="DD47" s="68">
        <v>2</v>
      </c>
      <c r="DE47" s="63">
        <v>43</v>
      </c>
      <c r="DF47" s="68">
        <v>2</v>
      </c>
      <c r="DG47" s="63">
        <v>49</v>
      </c>
      <c r="DH47" s="68">
        <v>4</v>
      </c>
      <c r="DI47" s="63">
        <v>44</v>
      </c>
      <c r="DJ47" s="68">
        <v>4</v>
      </c>
      <c r="DK47" s="63">
        <v>41</v>
      </c>
      <c r="DL47" s="68">
        <v>3</v>
      </c>
      <c r="DM47" s="63">
        <v>56</v>
      </c>
      <c r="DN47" s="68">
        <v>3</v>
      </c>
      <c r="DO47" s="63">
        <v>42</v>
      </c>
      <c r="DP47" s="68">
        <v>2</v>
      </c>
      <c r="DQ47" s="63">
        <v>45</v>
      </c>
      <c r="DR47" s="68">
        <v>0</v>
      </c>
      <c r="DS47" s="63">
        <v>34</v>
      </c>
      <c r="DT47" s="68">
        <v>0</v>
      </c>
      <c r="DU47" s="63">
        <v>34</v>
      </c>
      <c r="DV47" s="68">
        <v>3</v>
      </c>
      <c r="DW47" s="63">
        <v>36</v>
      </c>
      <c r="DX47" s="68">
        <v>0</v>
      </c>
      <c r="DY47" s="63">
        <v>48</v>
      </c>
      <c r="DZ47" s="68">
        <v>3</v>
      </c>
      <c r="EA47" s="63">
        <v>46</v>
      </c>
      <c r="EB47" s="68">
        <v>2</v>
      </c>
      <c r="EC47" s="63">
        <v>40</v>
      </c>
      <c r="ED47" s="68">
        <v>0</v>
      </c>
      <c r="EE47" s="63">
        <v>30</v>
      </c>
      <c r="EF47" s="68">
        <v>1</v>
      </c>
      <c r="EG47" s="70">
        <v>55</v>
      </c>
      <c r="EH47" s="71">
        <v>1</v>
      </c>
      <c r="EI47" s="63">
        <v>32</v>
      </c>
      <c r="EJ47" s="63">
        <v>3</v>
      </c>
      <c r="EK47" s="63">
        <v>48</v>
      </c>
      <c r="EL47" s="63">
        <v>0</v>
      </c>
      <c r="EM47" s="63">
        <v>45</v>
      </c>
      <c r="EN47" s="63">
        <v>0</v>
      </c>
      <c r="EO47" s="63">
        <v>36</v>
      </c>
      <c r="EP47" s="63">
        <v>1</v>
      </c>
      <c r="EQ47" s="63">
        <v>39</v>
      </c>
      <c r="ER47" s="63">
        <v>0</v>
      </c>
      <c r="ES47" s="63">
        <v>39</v>
      </c>
      <c r="ET47" s="63">
        <v>3</v>
      </c>
      <c r="EU47" s="63">
        <v>41</v>
      </c>
      <c r="EV47" s="63">
        <v>2</v>
      </c>
      <c r="EW47" s="63">
        <v>25</v>
      </c>
      <c r="EX47" s="63">
        <v>1</v>
      </c>
      <c r="EY47" s="63">
        <v>47</v>
      </c>
      <c r="EZ47" s="63">
        <v>0</v>
      </c>
      <c r="FA47" s="63">
        <v>39</v>
      </c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/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  <c r="HJ47" s="72"/>
      <c r="HK47" s="72"/>
      <c r="HL47" s="72"/>
      <c r="HM47" s="72"/>
      <c r="HN47" s="72"/>
      <c r="HO47" s="72"/>
      <c r="HP47" s="72"/>
      <c r="HQ47" s="72"/>
      <c r="HR47" s="72"/>
      <c r="HS47" s="72"/>
      <c r="HT47" s="72"/>
      <c r="HU47" s="72"/>
      <c r="HV47" s="72"/>
      <c r="HW47" s="72"/>
      <c r="HX47" s="72"/>
      <c r="HY47" s="72"/>
      <c r="HZ47" s="72"/>
      <c r="IA47" s="72"/>
      <c r="IB47" s="72"/>
      <c r="IC47" s="72"/>
      <c r="ID47" s="72"/>
      <c r="IE47" s="72"/>
      <c r="IF47" s="72"/>
      <c r="IG47" s="72"/>
      <c r="IH47" s="72"/>
      <c r="II47" s="72"/>
      <c r="IJ47" s="72"/>
      <c r="IK47" s="72"/>
      <c r="IL47" s="72"/>
      <c r="IM47" s="72"/>
      <c r="IN47" s="72"/>
      <c r="IO47" s="72"/>
      <c r="IP47" s="72"/>
      <c r="IQ47" s="72"/>
      <c r="IR47" s="72"/>
      <c r="IS47" s="72"/>
      <c r="IT47" s="72"/>
      <c r="IU47" s="72"/>
      <c r="IV47" s="72"/>
      <c r="IW47" s="72"/>
      <c r="IX47" s="72"/>
      <c r="IY47" s="72"/>
      <c r="IZ47" s="72"/>
      <c r="JA47" s="72"/>
      <c r="JB47" s="72"/>
      <c r="JC47" s="72"/>
      <c r="JD47" s="72"/>
      <c r="JE47" s="72"/>
    </row>
    <row r="48" spans="1:265" ht="42" x14ac:dyDescent="0.15">
      <c r="A48" s="65">
        <v>3.4</v>
      </c>
      <c r="B48" s="66" t="s">
        <v>81</v>
      </c>
      <c r="C48" s="74" t="s">
        <v>82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68">
        <v>0</v>
      </c>
      <c r="O48" s="68">
        <v>59</v>
      </c>
      <c r="P48" s="68">
        <v>0</v>
      </c>
      <c r="Q48" s="68">
        <v>10</v>
      </c>
      <c r="R48" s="68">
        <v>0</v>
      </c>
      <c r="S48" s="68">
        <v>0</v>
      </c>
      <c r="T48" s="68">
        <v>0</v>
      </c>
      <c r="U48" s="68">
        <v>30</v>
      </c>
      <c r="V48" s="68">
        <v>0</v>
      </c>
      <c r="W48" s="68">
        <v>51</v>
      </c>
      <c r="X48" s="68">
        <v>0</v>
      </c>
      <c r="Y48" s="68">
        <v>52</v>
      </c>
      <c r="Z48" s="68">
        <v>1</v>
      </c>
      <c r="AA48" s="68">
        <v>52</v>
      </c>
      <c r="AB48" s="68">
        <v>0</v>
      </c>
      <c r="AC48" s="68">
        <v>36</v>
      </c>
      <c r="AD48" s="68">
        <v>0</v>
      </c>
      <c r="AE48" s="68">
        <v>34</v>
      </c>
      <c r="AF48" s="68">
        <v>0</v>
      </c>
      <c r="AG48" s="68">
        <v>47</v>
      </c>
      <c r="AH48" s="68">
        <v>1</v>
      </c>
      <c r="AI48" s="68">
        <v>61</v>
      </c>
      <c r="AJ48" s="68">
        <v>0</v>
      </c>
      <c r="AK48" s="68">
        <v>79</v>
      </c>
      <c r="AL48" s="68">
        <v>0</v>
      </c>
      <c r="AM48" s="68">
        <v>28</v>
      </c>
      <c r="AN48" s="68">
        <v>0</v>
      </c>
      <c r="AO48" s="68">
        <v>43</v>
      </c>
      <c r="AP48" s="68">
        <v>0</v>
      </c>
      <c r="AQ48" s="68">
        <v>58</v>
      </c>
      <c r="AR48" s="68">
        <v>0</v>
      </c>
      <c r="AS48" s="68">
        <v>6</v>
      </c>
      <c r="AT48" s="68">
        <v>0</v>
      </c>
      <c r="AU48" s="68">
        <v>5</v>
      </c>
      <c r="AV48" s="68">
        <v>0</v>
      </c>
      <c r="AW48" s="68">
        <v>3</v>
      </c>
      <c r="AX48" s="68">
        <v>0</v>
      </c>
      <c r="AY48" s="68">
        <v>1</v>
      </c>
      <c r="AZ48" s="68">
        <v>0</v>
      </c>
      <c r="BA48" s="68">
        <v>3</v>
      </c>
      <c r="BB48" s="68">
        <v>0</v>
      </c>
      <c r="BC48" s="68">
        <v>5</v>
      </c>
      <c r="BD48" s="68">
        <v>0</v>
      </c>
      <c r="BE48" s="68">
        <v>3</v>
      </c>
      <c r="BF48" s="68">
        <v>0</v>
      </c>
      <c r="BG48" s="68">
        <v>4</v>
      </c>
      <c r="BH48" s="69"/>
      <c r="BI48" s="69"/>
      <c r="BJ48" s="68">
        <v>0</v>
      </c>
      <c r="BK48" s="68">
        <v>6</v>
      </c>
      <c r="BL48" s="68">
        <v>0</v>
      </c>
      <c r="BM48" s="68">
        <v>5</v>
      </c>
      <c r="BN48" s="68">
        <v>0</v>
      </c>
      <c r="BO48" s="68">
        <v>2</v>
      </c>
      <c r="BP48" s="68">
        <v>0</v>
      </c>
      <c r="BQ48" s="68">
        <v>3</v>
      </c>
      <c r="BR48" s="68">
        <v>0</v>
      </c>
      <c r="BS48" s="68">
        <v>1</v>
      </c>
      <c r="BT48" s="68">
        <v>0</v>
      </c>
      <c r="BU48" s="68">
        <v>2</v>
      </c>
      <c r="BV48" s="68">
        <v>0</v>
      </c>
      <c r="BW48" s="68">
        <v>2</v>
      </c>
      <c r="BX48" s="68">
        <v>0</v>
      </c>
      <c r="BY48" s="68">
        <v>2</v>
      </c>
      <c r="BZ48" s="68">
        <v>0</v>
      </c>
      <c r="CA48" s="68">
        <v>5</v>
      </c>
      <c r="CB48" s="68">
        <v>0</v>
      </c>
      <c r="CC48" s="68">
        <v>5</v>
      </c>
      <c r="CD48" s="68">
        <v>0</v>
      </c>
      <c r="CE48" s="68">
        <v>15</v>
      </c>
      <c r="CF48" s="68">
        <v>0</v>
      </c>
      <c r="CG48" s="68">
        <v>15</v>
      </c>
      <c r="CH48" s="68">
        <v>0</v>
      </c>
      <c r="CI48" s="68">
        <v>14</v>
      </c>
      <c r="CJ48" s="68">
        <v>1</v>
      </c>
      <c r="CK48" s="68">
        <v>24</v>
      </c>
      <c r="CL48" s="68">
        <v>0</v>
      </c>
      <c r="CM48" s="63">
        <v>20</v>
      </c>
      <c r="CN48" s="68">
        <v>0</v>
      </c>
      <c r="CO48" s="63">
        <v>19</v>
      </c>
      <c r="CP48" s="68">
        <v>0</v>
      </c>
      <c r="CQ48" s="63">
        <v>27</v>
      </c>
      <c r="CR48" s="68">
        <v>0</v>
      </c>
      <c r="CS48" s="63">
        <v>20</v>
      </c>
      <c r="CT48" s="68">
        <v>0</v>
      </c>
      <c r="CU48" s="63">
        <v>23</v>
      </c>
      <c r="CV48" s="68">
        <v>0</v>
      </c>
      <c r="CW48" s="63">
        <v>15</v>
      </c>
      <c r="CX48" s="68">
        <v>0</v>
      </c>
      <c r="CY48" s="63">
        <v>19</v>
      </c>
      <c r="CZ48" s="68">
        <v>1</v>
      </c>
      <c r="DA48" s="63">
        <v>51</v>
      </c>
      <c r="DB48" s="68">
        <v>0</v>
      </c>
      <c r="DC48" s="63">
        <v>21</v>
      </c>
      <c r="DD48" s="68">
        <v>0</v>
      </c>
      <c r="DE48" s="63">
        <v>38</v>
      </c>
      <c r="DF48" s="68">
        <v>0</v>
      </c>
      <c r="DG48" s="63">
        <v>19</v>
      </c>
      <c r="DH48" s="68">
        <v>0</v>
      </c>
      <c r="DI48" s="63">
        <v>35</v>
      </c>
      <c r="DJ48" s="68">
        <v>1</v>
      </c>
      <c r="DK48" s="63">
        <v>41</v>
      </c>
      <c r="DL48" s="68">
        <v>0</v>
      </c>
      <c r="DM48" s="63">
        <v>35</v>
      </c>
      <c r="DN48" s="68">
        <v>1</v>
      </c>
      <c r="DO48" s="63">
        <v>30</v>
      </c>
      <c r="DP48" s="68">
        <v>0</v>
      </c>
      <c r="DQ48" s="63">
        <v>38</v>
      </c>
      <c r="DR48" s="68">
        <v>0</v>
      </c>
      <c r="DS48" s="63">
        <v>35</v>
      </c>
      <c r="DT48" s="68">
        <v>0</v>
      </c>
      <c r="DU48" s="63">
        <v>45</v>
      </c>
      <c r="DV48" s="68">
        <v>0</v>
      </c>
      <c r="DW48" s="63">
        <v>38</v>
      </c>
      <c r="DX48" s="68">
        <v>1</v>
      </c>
      <c r="DY48" s="63">
        <v>39</v>
      </c>
      <c r="DZ48" s="68">
        <v>0</v>
      </c>
      <c r="EA48" s="63">
        <v>39</v>
      </c>
      <c r="EB48" s="68">
        <v>0</v>
      </c>
      <c r="EC48" s="63">
        <v>31</v>
      </c>
      <c r="ED48" s="68">
        <v>0</v>
      </c>
      <c r="EE48" s="63">
        <v>33</v>
      </c>
      <c r="EF48" s="68">
        <v>0</v>
      </c>
      <c r="EG48" s="70">
        <v>33</v>
      </c>
      <c r="EH48" s="71">
        <v>0</v>
      </c>
      <c r="EI48" s="63">
        <v>35</v>
      </c>
      <c r="EJ48" s="63">
        <v>0</v>
      </c>
      <c r="EK48" s="63">
        <v>20</v>
      </c>
      <c r="EL48" s="63">
        <v>0</v>
      </c>
      <c r="EM48" s="63">
        <v>26</v>
      </c>
      <c r="EN48" s="63">
        <v>0</v>
      </c>
      <c r="EO48" s="63">
        <v>36</v>
      </c>
      <c r="EP48" s="72"/>
      <c r="EQ48" s="72"/>
      <c r="ER48" s="72"/>
      <c r="ES48" s="72"/>
      <c r="ET48" s="72"/>
      <c r="EU48" s="72"/>
      <c r="EV48" s="72"/>
      <c r="EW48" s="72"/>
      <c r="EX48" s="72"/>
      <c r="EY48" s="72"/>
      <c r="EZ48" s="72"/>
      <c r="FA48" s="72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/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  <c r="HJ48" s="72"/>
      <c r="HK48" s="72"/>
      <c r="HL48" s="72"/>
      <c r="HM48" s="72"/>
      <c r="HN48" s="72"/>
      <c r="HO48" s="72"/>
      <c r="HP48" s="72"/>
      <c r="HQ48" s="72"/>
      <c r="HR48" s="72"/>
      <c r="HS48" s="72"/>
      <c r="HT48" s="72"/>
      <c r="HU48" s="72"/>
      <c r="HV48" s="72"/>
      <c r="HW48" s="72"/>
      <c r="HX48" s="72"/>
      <c r="HY48" s="72"/>
      <c r="HZ48" s="72"/>
      <c r="IA48" s="72"/>
      <c r="IB48" s="72"/>
      <c r="IC48" s="72"/>
      <c r="ID48" s="72"/>
      <c r="IE48" s="72"/>
      <c r="IF48" s="72"/>
      <c r="IG48" s="72"/>
      <c r="IH48" s="72"/>
      <c r="II48" s="72"/>
      <c r="IJ48" s="72"/>
      <c r="IK48" s="72"/>
      <c r="IL48" s="72"/>
      <c r="IM48" s="72"/>
      <c r="IN48" s="72"/>
      <c r="IO48" s="72"/>
      <c r="IP48" s="72"/>
      <c r="IQ48" s="72"/>
      <c r="IR48" s="72"/>
      <c r="IS48" s="72"/>
      <c r="IT48" s="72"/>
      <c r="IU48" s="72"/>
      <c r="IV48" s="72"/>
      <c r="IW48" s="72"/>
      <c r="IX48" s="72"/>
      <c r="IY48" s="72"/>
      <c r="IZ48" s="72"/>
      <c r="JA48" s="72"/>
      <c r="JB48" s="72"/>
      <c r="JC48" s="72"/>
      <c r="JD48" s="72"/>
      <c r="JE48" s="72"/>
    </row>
    <row r="49" spans="1:265" ht="42" x14ac:dyDescent="0.15">
      <c r="A49" s="65">
        <v>3.5</v>
      </c>
      <c r="B49" s="66" t="s">
        <v>83</v>
      </c>
      <c r="C49" s="67" t="s">
        <v>84</v>
      </c>
      <c r="D49" s="68">
        <v>0</v>
      </c>
      <c r="E49" s="68">
        <v>0</v>
      </c>
      <c r="F49" s="68">
        <v>0</v>
      </c>
      <c r="G49" s="68">
        <v>2</v>
      </c>
      <c r="H49" s="68">
        <v>0</v>
      </c>
      <c r="I49" s="68">
        <v>1</v>
      </c>
      <c r="J49" s="68">
        <v>0</v>
      </c>
      <c r="K49" s="68">
        <v>3</v>
      </c>
      <c r="L49" s="68">
        <v>0</v>
      </c>
      <c r="M49" s="68">
        <v>1</v>
      </c>
      <c r="N49" s="68">
        <v>0</v>
      </c>
      <c r="O49" s="68">
        <v>2</v>
      </c>
      <c r="P49" s="68">
        <v>0</v>
      </c>
      <c r="Q49" s="68">
        <v>0</v>
      </c>
      <c r="R49" s="68">
        <v>0</v>
      </c>
      <c r="S49" s="68">
        <v>0</v>
      </c>
      <c r="T49" s="68">
        <v>0</v>
      </c>
      <c r="U49" s="68">
        <v>2</v>
      </c>
      <c r="V49" s="68">
        <v>0</v>
      </c>
      <c r="W49" s="68">
        <v>2</v>
      </c>
      <c r="X49" s="68">
        <v>0</v>
      </c>
      <c r="Y49" s="68">
        <v>2</v>
      </c>
      <c r="Z49" s="68">
        <v>0</v>
      </c>
      <c r="AA49" s="68">
        <v>0</v>
      </c>
      <c r="AB49" s="68">
        <v>0</v>
      </c>
      <c r="AC49" s="68">
        <v>0</v>
      </c>
      <c r="AD49" s="68">
        <v>0</v>
      </c>
      <c r="AE49" s="68">
        <v>0</v>
      </c>
      <c r="AF49" s="68">
        <v>0</v>
      </c>
      <c r="AG49" s="68">
        <v>0</v>
      </c>
      <c r="AH49" s="68">
        <v>0</v>
      </c>
      <c r="AI49" s="68">
        <v>0</v>
      </c>
      <c r="AJ49" s="68">
        <v>0</v>
      </c>
      <c r="AK49" s="68">
        <v>0</v>
      </c>
      <c r="AL49" s="68">
        <v>0</v>
      </c>
      <c r="AM49" s="68">
        <v>0</v>
      </c>
      <c r="AN49" s="68">
        <v>0</v>
      </c>
      <c r="AO49" s="68">
        <v>0</v>
      </c>
      <c r="AP49" s="68">
        <v>0</v>
      </c>
      <c r="AQ49" s="68">
        <v>0</v>
      </c>
      <c r="AR49" s="68">
        <v>0</v>
      </c>
      <c r="AS49" s="68">
        <v>0</v>
      </c>
      <c r="AT49" s="68">
        <v>0</v>
      </c>
      <c r="AU49" s="68">
        <v>0</v>
      </c>
      <c r="AV49" s="68">
        <v>0</v>
      </c>
      <c r="AW49" s="68">
        <v>0</v>
      </c>
      <c r="AX49" s="68">
        <v>0</v>
      </c>
      <c r="AY49" s="68">
        <v>0</v>
      </c>
      <c r="AZ49" s="68">
        <v>0</v>
      </c>
      <c r="BA49" s="68">
        <v>0</v>
      </c>
      <c r="BB49" s="68">
        <v>0</v>
      </c>
      <c r="BC49" s="68">
        <v>0</v>
      </c>
      <c r="BD49" s="68">
        <v>0</v>
      </c>
      <c r="BE49" s="68">
        <v>0</v>
      </c>
      <c r="BF49" s="68">
        <v>0</v>
      </c>
      <c r="BG49" s="68">
        <v>0</v>
      </c>
      <c r="BH49" s="69"/>
      <c r="BI49" s="69"/>
      <c r="BJ49" s="68">
        <v>0</v>
      </c>
      <c r="BK49" s="68">
        <v>0</v>
      </c>
      <c r="BL49" s="68">
        <v>0</v>
      </c>
      <c r="BM49" s="68">
        <v>0</v>
      </c>
      <c r="BN49" s="68">
        <v>0</v>
      </c>
      <c r="BO49" s="68">
        <v>0</v>
      </c>
      <c r="BP49" s="68">
        <v>0</v>
      </c>
      <c r="BQ49" s="68">
        <v>0</v>
      </c>
      <c r="BR49" s="68">
        <v>0</v>
      </c>
      <c r="BS49" s="68">
        <v>0</v>
      </c>
      <c r="BT49" s="68">
        <v>0</v>
      </c>
      <c r="BU49" s="68">
        <v>0</v>
      </c>
      <c r="BV49" s="68">
        <v>0</v>
      </c>
      <c r="BW49" s="68">
        <v>0</v>
      </c>
      <c r="BX49" s="68">
        <v>0</v>
      </c>
      <c r="BY49" s="68">
        <v>0</v>
      </c>
      <c r="BZ49" s="68">
        <v>0</v>
      </c>
      <c r="CA49" s="68">
        <v>0</v>
      </c>
      <c r="CB49" s="68">
        <v>0</v>
      </c>
      <c r="CC49" s="68">
        <v>0</v>
      </c>
      <c r="CD49" s="68">
        <v>0</v>
      </c>
      <c r="CE49" s="68">
        <v>0</v>
      </c>
      <c r="CF49" s="68">
        <v>0</v>
      </c>
      <c r="CG49" s="68">
        <v>0</v>
      </c>
      <c r="CH49" s="68">
        <v>0</v>
      </c>
      <c r="CI49" s="68">
        <v>0</v>
      </c>
      <c r="CJ49" s="68">
        <v>0</v>
      </c>
      <c r="CK49" s="68">
        <v>0</v>
      </c>
      <c r="CL49" s="68">
        <v>0</v>
      </c>
      <c r="CM49" s="63">
        <v>0</v>
      </c>
      <c r="CN49" s="68">
        <v>0</v>
      </c>
      <c r="CO49" s="63">
        <v>0</v>
      </c>
      <c r="CP49" s="68">
        <v>0</v>
      </c>
      <c r="CQ49" s="63">
        <v>0</v>
      </c>
      <c r="CR49" s="68">
        <v>0</v>
      </c>
      <c r="CS49" s="63">
        <v>0</v>
      </c>
      <c r="CT49" s="68">
        <v>0</v>
      </c>
      <c r="CU49" s="63">
        <v>0</v>
      </c>
      <c r="CV49" s="68">
        <v>0</v>
      </c>
      <c r="CW49" s="63">
        <v>0</v>
      </c>
      <c r="CX49" s="68">
        <v>0</v>
      </c>
      <c r="CY49" s="63">
        <v>0</v>
      </c>
      <c r="CZ49" s="68">
        <v>0</v>
      </c>
      <c r="DA49" s="63">
        <v>0</v>
      </c>
      <c r="DB49" s="68">
        <v>0</v>
      </c>
      <c r="DC49" s="63">
        <v>0</v>
      </c>
      <c r="DD49" s="68">
        <v>0</v>
      </c>
      <c r="DE49" s="63">
        <v>0</v>
      </c>
      <c r="DF49" s="68">
        <v>0</v>
      </c>
      <c r="DG49" s="63">
        <v>0</v>
      </c>
      <c r="DH49" s="68">
        <v>0</v>
      </c>
      <c r="DI49" s="63">
        <v>0</v>
      </c>
      <c r="DJ49" s="68">
        <v>0</v>
      </c>
      <c r="DK49" s="63">
        <v>0</v>
      </c>
      <c r="DL49" s="68">
        <v>0</v>
      </c>
      <c r="DM49" s="63">
        <v>0</v>
      </c>
      <c r="DN49" s="68">
        <v>0</v>
      </c>
      <c r="DO49" s="63">
        <v>0</v>
      </c>
      <c r="DP49" s="68">
        <v>0</v>
      </c>
      <c r="DQ49" s="63">
        <v>0</v>
      </c>
      <c r="DR49" s="68">
        <v>0</v>
      </c>
      <c r="DS49" s="63">
        <v>0</v>
      </c>
      <c r="DT49" s="68">
        <v>0</v>
      </c>
      <c r="DU49" s="63">
        <v>0</v>
      </c>
      <c r="DV49" s="68">
        <v>0</v>
      </c>
      <c r="DW49" s="63">
        <v>0</v>
      </c>
      <c r="DX49" s="68">
        <v>0</v>
      </c>
      <c r="DY49" s="63">
        <v>0</v>
      </c>
      <c r="DZ49" s="68">
        <v>0</v>
      </c>
      <c r="EA49" s="63">
        <v>0</v>
      </c>
      <c r="EB49" s="68">
        <v>0</v>
      </c>
      <c r="EC49" s="63">
        <v>0</v>
      </c>
      <c r="ED49" s="68">
        <v>0</v>
      </c>
      <c r="EE49" s="63">
        <v>0</v>
      </c>
      <c r="EF49" s="68">
        <v>0</v>
      </c>
      <c r="EG49" s="70">
        <v>0</v>
      </c>
      <c r="EH49" s="71">
        <v>0</v>
      </c>
      <c r="EI49" s="63">
        <v>0</v>
      </c>
      <c r="EJ49" s="63">
        <v>0</v>
      </c>
      <c r="EK49" s="63">
        <v>0</v>
      </c>
      <c r="EL49" s="63">
        <v>0</v>
      </c>
      <c r="EM49" s="63">
        <v>0</v>
      </c>
      <c r="EN49" s="63">
        <v>0</v>
      </c>
      <c r="EO49" s="63">
        <v>0</v>
      </c>
      <c r="EP49" s="63">
        <v>0</v>
      </c>
      <c r="EQ49" s="63">
        <v>0</v>
      </c>
      <c r="ER49" s="63">
        <v>0</v>
      </c>
      <c r="ES49" s="63">
        <v>0</v>
      </c>
      <c r="ET49" s="63">
        <v>0</v>
      </c>
      <c r="EU49" s="63">
        <v>0</v>
      </c>
      <c r="EV49" s="72"/>
      <c r="EW49" s="72"/>
      <c r="EX49" s="72"/>
      <c r="EY49" s="72"/>
      <c r="EZ49" s="72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72"/>
      <c r="FR49" s="72"/>
      <c r="FS49" s="72"/>
      <c r="FT49" s="72"/>
      <c r="FU49" s="72"/>
      <c r="FV49" s="72"/>
      <c r="FW49" s="72"/>
      <c r="FX49" s="72"/>
      <c r="FY49" s="72"/>
      <c r="FZ49" s="72"/>
      <c r="GA49" s="72"/>
      <c r="GB49" s="72"/>
      <c r="GC49" s="72"/>
      <c r="GD49" s="72"/>
      <c r="GE49" s="72"/>
      <c r="GF49" s="72"/>
      <c r="GG49" s="72"/>
      <c r="GH49" s="72"/>
      <c r="GI49" s="72"/>
      <c r="GJ49" s="72"/>
      <c r="GK49" s="72"/>
      <c r="GL49" s="72"/>
      <c r="GM49" s="72"/>
      <c r="GN49" s="72"/>
      <c r="GO49" s="72"/>
      <c r="GP49" s="72"/>
      <c r="GQ49" s="72"/>
      <c r="GR49" s="72"/>
      <c r="GS49" s="72"/>
      <c r="GT49" s="72"/>
      <c r="GU49" s="72"/>
      <c r="GV49" s="72"/>
      <c r="GW49" s="72"/>
      <c r="GX49" s="72"/>
      <c r="GY49" s="72"/>
      <c r="GZ49" s="72"/>
      <c r="HA49" s="72"/>
      <c r="HB49" s="72"/>
      <c r="HC49" s="72"/>
      <c r="HD49" s="72"/>
      <c r="HE49" s="72"/>
      <c r="HF49" s="72"/>
      <c r="HG49" s="72"/>
      <c r="HH49" s="72"/>
      <c r="HI49" s="72"/>
      <c r="HJ49" s="72"/>
      <c r="HK49" s="72"/>
      <c r="HL49" s="72"/>
      <c r="HM49" s="72"/>
      <c r="HN49" s="72"/>
      <c r="HO49" s="72"/>
      <c r="HP49" s="72"/>
      <c r="HQ49" s="72"/>
      <c r="HR49" s="72"/>
      <c r="HS49" s="72"/>
      <c r="HT49" s="72"/>
      <c r="HU49" s="72"/>
      <c r="HV49" s="72"/>
      <c r="HW49" s="72"/>
      <c r="HX49" s="72"/>
      <c r="HY49" s="72"/>
      <c r="HZ49" s="72"/>
      <c r="IA49" s="72"/>
      <c r="IB49" s="72"/>
      <c r="IC49" s="72"/>
      <c r="ID49" s="72"/>
      <c r="IE49" s="72"/>
      <c r="IF49" s="72"/>
      <c r="IG49" s="72"/>
      <c r="IH49" s="72"/>
      <c r="II49" s="72"/>
      <c r="IJ49" s="72"/>
      <c r="IK49" s="72"/>
      <c r="IL49" s="72"/>
      <c r="IM49" s="72"/>
      <c r="IN49" s="72"/>
      <c r="IO49" s="72"/>
      <c r="IP49" s="72"/>
      <c r="IQ49" s="72"/>
      <c r="IR49" s="72"/>
      <c r="IS49" s="72"/>
      <c r="IT49" s="72"/>
      <c r="IU49" s="72"/>
      <c r="IV49" s="72"/>
      <c r="IW49" s="72"/>
      <c r="IX49" s="72"/>
      <c r="IY49" s="72"/>
      <c r="IZ49" s="72"/>
      <c r="JA49" s="72"/>
      <c r="JB49" s="72"/>
      <c r="JC49" s="72"/>
      <c r="JD49" s="72"/>
      <c r="JE49" s="72"/>
    </row>
    <row r="50" spans="1:265" ht="42" x14ac:dyDescent="0.15">
      <c r="A50" s="65">
        <v>3.6</v>
      </c>
      <c r="B50" s="66" t="s">
        <v>85</v>
      </c>
      <c r="C50" s="67" t="s">
        <v>86</v>
      </c>
      <c r="D50" s="68">
        <v>1</v>
      </c>
      <c r="E50" s="68">
        <v>15</v>
      </c>
      <c r="F50" s="68">
        <v>0</v>
      </c>
      <c r="G50" s="68">
        <v>15</v>
      </c>
      <c r="H50" s="68">
        <v>0</v>
      </c>
      <c r="I50" s="68">
        <v>13</v>
      </c>
      <c r="J50" s="68">
        <v>0</v>
      </c>
      <c r="K50" s="68">
        <v>6</v>
      </c>
      <c r="L50" s="68">
        <v>0</v>
      </c>
      <c r="M50" s="68">
        <v>12</v>
      </c>
      <c r="N50" s="68">
        <v>0</v>
      </c>
      <c r="O50" s="68">
        <v>12</v>
      </c>
      <c r="P50" s="68">
        <v>0</v>
      </c>
      <c r="Q50" s="68">
        <v>2</v>
      </c>
      <c r="R50" s="68">
        <v>0</v>
      </c>
      <c r="S50" s="68">
        <v>0</v>
      </c>
      <c r="T50" s="68">
        <v>0</v>
      </c>
      <c r="U50" s="68">
        <v>14</v>
      </c>
      <c r="V50" s="68">
        <v>0</v>
      </c>
      <c r="W50" s="68">
        <v>14</v>
      </c>
      <c r="X50" s="68">
        <v>0</v>
      </c>
      <c r="Y50" s="68">
        <v>12</v>
      </c>
      <c r="Z50" s="68">
        <v>0</v>
      </c>
      <c r="AA50" s="68">
        <v>0</v>
      </c>
      <c r="AB50" s="68">
        <v>0</v>
      </c>
      <c r="AC50" s="68">
        <v>0</v>
      </c>
      <c r="AD50" s="68">
        <v>0</v>
      </c>
      <c r="AE50" s="68">
        <v>0</v>
      </c>
      <c r="AF50" s="68">
        <v>0</v>
      </c>
      <c r="AG50" s="68">
        <v>0</v>
      </c>
      <c r="AH50" s="68">
        <v>0</v>
      </c>
      <c r="AI50" s="68">
        <v>1</v>
      </c>
      <c r="AJ50" s="68">
        <v>0</v>
      </c>
      <c r="AK50" s="68">
        <v>0</v>
      </c>
      <c r="AL50" s="68">
        <v>0</v>
      </c>
      <c r="AM50" s="68">
        <v>0</v>
      </c>
      <c r="AN50" s="68">
        <v>0</v>
      </c>
      <c r="AO50" s="68">
        <v>0</v>
      </c>
      <c r="AP50" s="68">
        <v>0</v>
      </c>
      <c r="AQ50" s="68">
        <v>0</v>
      </c>
      <c r="AR50" s="68">
        <v>0</v>
      </c>
      <c r="AS50" s="68">
        <v>0</v>
      </c>
      <c r="AT50" s="68">
        <v>0</v>
      </c>
      <c r="AU50" s="68">
        <v>0</v>
      </c>
      <c r="AV50" s="68">
        <v>0</v>
      </c>
      <c r="AW50" s="68">
        <v>0</v>
      </c>
      <c r="AX50" s="68">
        <v>0</v>
      </c>
      <c r="AY50" s="68">
        <v>0</v>
      </c>
      <c r="AZ50" s="68">
        <v>0</v>
      </c>
      <c r="BA50" s="68">
        <v>0</v>
      </c>
      <c r="BB50" s="68">
        <v>0</v>
      </c>
      <c r="BC50" s="68">
        <v>0</v>
      </c>
      <c r="BD50" s="68">
        <v>0</v>
      </c>
      <c r="BE50" s="68">
        <v>2</v>
      </c>
      <c r="BF50" s="68">
        <v>0</v>
      </c>
      <c r="BG50" s="68">
        <v>0</v>
      </c>
      <c r="BH50" s="69"/>
      <c r="BI50" s="69"/>
      <c r="BJ50" s="68">
        <v>0</v>
      </c>
      <c r="BK50" s="68">
        <v>0</v>
      </c>
      <c r="BL50" s="68">
        <v>0</v>
      </c>
      <c r="BM50" s="68">
        <v>1</v>
      </c>
      <c r="BN50" s="68">
        <v>0</v>
      </c>
      <c r="BO50" s="68">
        <v>0</v>
      </c>
      <c r="BP50" s="68">
        <v>0</v>
      </c>
      <c r="BQ50" s="68">
        <v>1</v>
      </c>
      <c r="BR50" s="68">
        <v>0</v>
      </c>
      <c r="BS50" s="68">
        <v>1</v>
      </c>
      <c r="BT50" s="68">
        <v>0</v>
      </c>
      <c r="BU50" s="68">
        <v>1</v>
      </c>
      <c r="BV50" s="68">
        <v>0</v>
      </c>
      <c r="BW50" s="68">
        <v>1</v>
      </c>
      <c r="BX50" s="68">
        <v>0</v>
      </c>
      <c r="BY50" s="68">
        <v>0</v>
      </c>
      <c r="BZ50" s="68">
        <v>0</v>
      </c>
      <c r="CA50" s="68">
        <v>3</v>
      </c>
      <c r="CB50" s="68">
        <v>0</v>
      </c>
      <c r="CC50" s="68">
        <v>0</v>
      </c>
      <c r="CD50" s="68">
        <v>0</v>
      </c>
      <c r="CE50" s="68">
        <v>0</v>
      </c>
      <c r="CF50" s="68">
        <v>0</v>
      </c>
      <c r="CG50" s="68">
        <v>2</v>
      </c>
      <c r="CH50" s="68">
        <v>0</v>
      </c>
      <c r="CI50" s="68">
        <v>2</v>
      </c>
      <c r="CJ50" s="68">
        <v>0</v>
      </c>
      <c r="CK50" s="68">
        <v>0</v>
      </c>
      <c r="CL50" s="68">
        <v>0</v>
      </c>
      <c r="CM50" s="63">
        <v>0</v>
      </c>
      <c r="CN50" s="68">
        <v>0</v>
      </c>
      <c r="CO50" s="63">
        <v>0</v>
      </c>
      <c r="CP50" s="68">
        <v>0</v>
      </c>
      <c r="CQ50" s="63">
        <v>1</v>
      </c>
      <c r="CR50" s="68">
        <v>0</v>
      </c>
      <c r="CS50" s="63">
        <v>0</v>
      </c>
      <c r="CT50" s="68">
        <v>0</v>
      </c>
      <c r="CU50" s="63">
        <v>0</v>
      </c>
      <c r="CV50" s="68">
        <v>0</v>
      </c>
      <c r="CW50" s="63">
        <v>0</v>
      </c>
      <c r="CX50" s="68">
        <v>0</v>
      </c>
      <c r="CY50" s="63">
        <v>2</v>
      </c>
      <c r="CZ50" s="68">
        <v>0</v>
      </c>
      <c r="DA50" s="63">
        <v>0</v>
      </c>
      <c r="DB50" s="68">
        <v>0</v>
      </c>
      <c r="DC50" s="63">
        <v>1</v>
      </c>
      <c r="DD50" s="68">
        <v>0</v>
      </c>
      <c r="DE50" s="63">
        <v>0</v>
      </c>
      <c r="DF50" s="68">
        <v>0</v>
      </c>
      <c r="DG50" s="63">
        <v>0</v>
      </c>
      <c r="DH50" s="68">
        <v>0</v>
      </c>
      <c r="DI50" s="63">
        <v>3</v>
      </c>
      <c r="DJ50" s="68">
        <v>0</v>
      </c>
      <c r="DK50" s="63">
        <v>0</v>
      </c>
      <c r="DL50" s="68">
        <v>0</v>
      </c>
      <c r="DM50" s="63">
        <v>1</v>
      </c>
      <c r="DN50" s="68">
        <v>0</v>
      </c>
      <c r="DO50" s="63">
        <v>2</v>
      </c>
      <c r="DP50" s="68">
        <v>0</v>
      </c>
      <c r="DQ50" s="63">
        <v>0</v>
      </c>
      <c r="DR50" s="68">
        <v>0</v>
      </c>
      <c r="DS50" s="63">
        <v>1</v>
      </c>
      <c r="DT50" s="68">
        <v>0</v>
      </c>
      <c r="DU50" s="63">
        <v>1</v>
      </c>
      <c r="DV50" s="68">
        <v>0</v>
      </c>
      <c r="DW50" s="63">
        <v>0</v>
      </c>
      <c r="DX50" s="68">
        <v>0</v>
      </c>
      <c r="DY50" s="63">
        <v>0</v>
      </c>
      <c r="DZ50" s="68">
        <v>0</v>
      </c>
      <c r="EA50" s="63">
        <v>0</v>
      </c>
      <c r="EB50" s="68">
        <v>0</v>
      </c>
      <c r="EC50" s="63">
        <v>1</v>
      </c>
      <c r="ED50" s="68">
        <v>0</v>
      </c>
      <c r="EE50" s="63">
        <v>0</v>
      </c>
      <c r="EF50" s="68">
        <v>0</v>
      </c>
      <c r="EG50" s="70">
        <v>0</v>
      </c>
      <c r="EH50" s="71">
        <v>0</v>
      </c>
      <c r="EI50" s="63">
        <v>1</v>
      </c>
      <c r="EJ50" s="63">
        <v>0</v>
      </c>
      <c r="EK50" s="63">
        <v>0</v>
      </c>
      <c r="EL50" s="63">
        <v>0</v>
      </c>
      <c r="EM50" s="63">
        <v>0</v>
      </c>
      <c r="EN50" s="63">
        <v>0</v>
      </c>
      <c r="EO50" s="63">
        <v>0</v>
      </c>
      <c r="EP50" s="63">
        <v>0</v>
      </c>
      <c r="EQ50" s="63">
        <v>0</v>
      </c>
      <c r="ER50" s="63">
        <v>0</v>
      </c>
      <c r="ES50" s="63">
        <v>1</v>
      </c>
      <c r="ET50" s="63">
        <v>0</v>
      </c>
      <c r="EU50" s="63">
        <v>0</v>
      </c>
      <c r="EV50" s="28" t="s">
        <v>30</v>
      </c>
      <c r="EW50" s="28" t="s">
        <v>30</v>
      </c>
      <c r="EX50" s="28" t="s">
        <v>30</v>
      </c>
      <c r="EY50" s="28" t="s">
        <v>30</v>
      </c>
      <c r="EZ50" s="28" t="s">
        <v>30</v>
      </c>
      <c r="FA50" s="28" t="s">
        <v>30</v>
      </c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T50" s="28"/>
      <c r="GU50" s="28"/>
      <c r="GV50" s="28"/>
      <c r="GW50" s="28"/>
      <c r="GX50" s="28"/>
      <c r="GY50" s="28"/>
      <c r="GZ50" s="28"/>
      <c r="HA50" s="28"/>
      <c r="HB50" s="28"/>
      <c r="HC50" s="28"/>
      <c r="HD50" s="28"/>
      <c r="HE50" s="28"/>
      <c r="HF50" s="28"/>
      <c r="HG50" s="28"/>
      <c r="HH50" s="28"/>
      <c r="HI50" s="28"/>
      <c r="HJ50" s="28"/>
      <c r="HK50" s="28"/>
      <c r="HL50" s="28"/>
      <c r="HM50" s="28"/>
      <c r="HN50" s="28"/>
      <c r="HO50" s="28"/>
      <c r="HP50" s="28"/>
      <c r="HQ50" s="28"/>
      <c r="HR50" s="28"/>
      <c r="HS50" s="28"/>
      <c r="HT50" s="28"/>
      <c r="HU50" s="28"/>
      <c r="HV50" s="28"/>
      <c r="HW50" s="28"/>
      <c r="HX50" s="28"/>
      <c r="HY50" s="28"/>
      <c r="HZ50" s="28"/>
      <c r="IA50" s="28"/>
      <c r="IB50" s="28"/>
      <c r="IC50" s="28"/>
      <c r="ID50" s="28"/>
      <c r="IE50" s="28"/>
      <c r="IF50" s="28"/>
      <c r="IG50" s="28"/>
      <c r="IH50" s="28"/>
      <c r="II50" s="28"/>
      <c r="IJ50" s="28"/>
      <c r="IK50" s="28"/>
      <c r="IL50" s="28"/>
      <c r="IM50" s="28"/>
      <c r="IN50" s="28"/>
      <c r="IO50" s="28"/>
      <c r="IP50" s="28"/>
      <c r="IQ50" s="28"/>
      <c r="IR50" s="28"/>
      <c r="IS50" s="28"/>
      <c r="IT50" s="28"/>
      <c r="IU50" s="28"/>
      <c r="IV50" s="28"/>
      <c r="IW50" s="28"/>
      <c r="IX50" s="28"/>
      <c r="IY50" s="28"/>
      <c r="IZ50" s="28"/>
      <c r="JA50" s="28"/>
      <c r="JB50" s="28"/>
      <c r="JC50" s="28"/>
      <c r="JD50" s="28"/>
      <c r="JE50" s="28"/>
    </row>
    <row r="51" spans="1:265" ht="28" x14ac:dyDescent="0.15">
      <c r="A51" s="65">
        <v>3.7</v>
      </c>
      <c r="B51" s="66" t="s">
        <v>87</v>
      </c>
      <c r="C51" s="67" t="s">
        <v>88</v>
      </c>
      <c r="D51" s="68">
        <v>0</v>
      </c>
      <c r="E51" s="68">
        <v>78</v>
      </c>
      <c r="F51" s="68">
        <v>0</v>
      </c>
      <c r="G51" s="68">
        <v>51</v>
      </c>
      <c r="H51" s="68">
        <v>1</v>
      </c>
      <c r="I51" s="68">
        <v>46</v>
      </c>
      <c r="J51" s="68">
        <v>0</v>
      </c>
      <c r="K51" s="68">
        <v>59</v>
      </c>
      <c r="L51" s="68">
        <v>0</v>
      </c>
      <c r="M51" s="68">
        <v>62</v>
      </c>
      <c r="N51" s="68">
        <v>0</v>
      </c>
      <c r="O51" s="68">
        <v>50</v>
      </c>
      <c r="P51" s="68">
        <v>0</v>
      </c>
      <c r="Q51" s="68">
        <v>13</v>
      </c>
      <c r="R51" s="68">
        <v>0</v>
      </c>
      <c r="S51" s="68">
        <v>0</v>
      </c>
      <c r="T51" s="68">
        <v>0</v>
      </c>
      <c r="U51" s="68">
        <v>71</v>
      </c>
      <c r="V51" s="68">
        <v>0</v>
      </c>
      <c r="W51" s="68">
        <v>62</v>
      </c>
      <c r="X51" s="68">
        <v>0</v>
      </c>
      <c r="Y51" s="68">
        <v>68</v>
      </c>
      <c r="Z51" s="68">
        <v>0</v>
      </c>
      <c r="AA51" s="68">
        <v>1</v>
      </c>
      <c r="AB51" s="68">
        <v>0</v>
      </c>
      <c r="AC51" s="68">
        <v>2</v>
      </c>
      <c r="AD51" s="68">
        <v>0</v>
      </c>
      <c r="AE51" s="68">
        <v>4</v>
      </c>
      <c r="AF51" s="68">
        <v>0</v>
      </c>
      <c r="AG51" s="68">
        <v>0</v>
      </c>
      <c r="AH51" s="68">
        <v>1</v>
      </c>
      <c r="AI51" s="68">
        <v>5</v>
      </c>
      <c r="AJ51" s="68">
        <v>0</v>
      </c>
      <c r="AK51" s="68">
        <v>3</v>
      </c>
      <c r="AL51" s="68">
        <v>0</v>
      </c>
      <c r="AM51" s="68">
        <v>2</v>
      </c>
      <c r="AN51" s="68">
        <v>0</v>
      </c>
      <c r="AO51" s="68">
        <v>3</v>
      </c>
      <c r="AP51" s="68">
        <v>0</v>
      </c>
      <c r="AQ51" s="68">
        <v>1</v>
      </c>
      <c r="AR51" s="68">
        <v>0</v>
      </c>
      <c r="AS51" s="68">
        <v>3</v>
      </c>
      <c r="AT51" s="68">
        <v>0</v>
      </c>
      <c r="AU51" s="68">
        <v>7</v>
      </c>
      <c r="AV51" s="68">
        <v>0</v>
      </c>
      <c r="AW51" s="68">
        <v>3</v>
      </c>
      <c r="AX51" s="68">
        <v>0</v>
      </c>
      <c r="AY51" s="68">
        <v>3</v>
      </c>
      <c r="AZ51" s="68"/>
      <c r="BA51" s="68">
        <v>1</v>
      </c>
      <c r="BB51" s="68"/>
      <c r="BC51" s="68">
        <v>3</v>
      </c>
      <c r="BD51" s="68">
        <v>0</v>
      </c>
      <c r="BE51" s="68">
        <v>1</v>
      </c>
      <c r="BF51" s="68">
        <v>0</v>
      </c>
      <c r="BG51" s="68">
        <v>4</v>
      </c>
      <c r="BH51" s="69"/>
      <c r="BI51" s="69"/>
      <c r="BJ51" s="68">
        <v>0</v>
      </c>
      <c r="BK51" s="68">
        <v>5</v>
      </c>
      <c r="BL51" s="68">
        <v>0</v>
      </c>
      <c r="BM51" s="68">
        <v>3</v>
      </c>
      <c r="BN51" s="68">
        <v>0</v>
      </c>
      <c r="BO51" s="68">
        <v>0</v>
      </c>
      <c r="BP51" s="68">
        <v>0</v>
      </c>
      <c r="BQ51" s="68">
        <v>6</v>
      </c>
      <c r="BR51" s="68">
        <v>0</v>
      </c>
      <c r="BS51" s="68">
        <v>4</v>
      </c>
      <c r="BT51" s="68">
        <v>0</v>
      </c>
      <c r="BU51" s="68">
        <v>3</v>
      </c>
      <c r="BV51" s="68">
        <v>0</v>
      </c>
      <c r="BW51" s="68">
        <v>4</v>
      </c>
      <c r="BX51" s="68">
        <v>0</v>
      </c>
      <c r="BY51" s="68">
        <v>6</v>
      </c>
      <c r="BZ51" s="68">
        <v>0</v>
      </c>
      <c r="CA51" s="68">
        <v>2</v>
      </c>
      <c r="CB51" s="68">
        <v>0</v>
      </c>
      <c r="CC51" s="68">
        <v>5</v>
      </c>
      <c r="CD51" s="68">
        <v>0</v>
      </c>
      <c r="CE51" s="68">
        <v>6</v>
      </c>
      <c r="CF51" s="68">
        <v>0</v>
      </c>
      <c r="CG51" s="68">
        <v>3</v>
      </c>
      <c r="CH51" s="68">
        <v>0</v>
      </c>
      <c r="CI51" s="68">
        <v>6</v>
      </c>
      <c r="CJ51" s="68">
        <v>0</v>
      </c>
      <c r="CK51" s="68">
        <v>1</v>
      </c>
      <c r="CL51" s="68">
        <v>0</v>
      </c>
      <c r="CM51" s="63">
        <v>2</v>
      </c>
      <c r="CN51" s="68">
        <v>0</v>
      </c>
      <c r="CO51" s="63">
        <v>2</v>
      </c>
      <c r="CP51" s="68">
        <v>0</v>
      </c>
      <c r="CQ51" s="63">
        <v>6</v>
      </c>
      <c r="CR51" s="68">
        <v>0</v>
      </c>
      <c r="CS51" s="63">
        <v>4</v>
      </c>
      <c r="CT51" s="68">
        <v>0</v>
      </c>
      <c r="CU51" s="63">
        <v>5</v>
      </c>
      <c r="CV51" s="68">
        <v>0</v>
      </c>
      <c r="CW51" s="63">
        <v>1</v>
      </c>
      <c r="CX51" s="68">
        <v>0</v>
      </c>
      <c r="CY51" s="63">
        <v>0</v>
      </c>
      <c r="CZ51" s="68">
        <v>0</v>
      </c>
      <c r="DA51" s="63">
        <v>3</v>
      </c>
      <c r="DB51" s="68">
        <v>0</v>
      </c>
      <c r="DC51" s="63">
        <v>5</v>
      </c>
      <c r="DD51" s="68">
        <v>0</v>
      </c>
      <c r="DE51" s="63">
        <v>4</v>
      </c>
      <c r="DF51" s="68">
        <v>0</v>
      </c>
      <c r="DG51" s="63">
        <v>6</v>
      </c>
      <c r="DH51" s="68">
        <v>0</v>
      </c>
      <c r="DI51" s="63">
        <v>0</v>
      </c>
      <c r="DJ51" s="68">
        <v>0</v>
      </c>
      <c r="DK51" s="63">
        <v>7</v>
      </c>
      <c r="DL51" s="68">
        <v>0</v>
      </c>
      <c r="DM51" s="63">
        <v>2</v>
      </c>
      <c r="DN51" s="68">
        <v>1</v>
      </c>
      <c r="DO51" s="63">
        <v>5</v>
      </c>
      <c r="DP51" s="68">
        <v>0</v>
      </c>
      <c r="DQ51" s="63">
        <v>8</v>
      </c>
      <c r="DR51" s="68">
        <v>0</v>
      </c>
      <c r="DS51" s="63">
        <v>5</v>
      </c>
      <c r="DT51" s="68">
        <v>0</v>
      </c>
      <c r="DU51" s="63">
        <v>10</v>
      </c>
      <c r="DV51" s="68">
        <v>0</v>
      </c>
      <c r="DW51" s="63">
        <v>4</v>
      </c>
      <c r="DX51" s="68">
        <v>0</v>
      </c>
      <c r="DY51" s="63">
        <v>7</v>
      </c>
      <c r="DZ51" s="68">
        <v>0</v>
      </c>
      <c r="EA51" s="63">
        <v>9</v>
      </c>
      <c r="EB51" s="68">
        <v>0</v>
      </c>
      <c r="EC51" s="63">
        <v>4</v>
      </c>
      <c r="ED51" s="68">
        <v>0</v>
      </c>
      <c r="EE51" s="63">
        <v>3</v>
      </c>
      <c r="EF51" s="68">
        <v>0</v>
      </c>
      <c r="EG51" s="70">
        <v>7</v>
      </c>
      <c r="EH51" s="71">
        <v>0</v>
      </c>
      <c r="EI51" s="63">
        <v>3</v>
      </c>
      <c r="EJ51" s="63">
        <v>0</v>
      </c>
      <c r="EK51" s="63">
        <v>2</v>
      </c>
      <c r="EL51" s="63">
        <v>0</v>
      </c>
      <c r="EM51" s="63">
        <v>4</v>
      </c>
      <c r="EN51" s="63">
        <v>0</v>
      </c>
      <c r="EO51" s="63">
        <v>5</v>
      </c>
      <c r="EP51" s="63">
        <v>0</v>
      </c>
      <c r="EQ51" s="63">
        <v>5</v>
      </c>
      <c r="ER51" s="63">
        <v>1</v>
      </c>
      <c r="ES51" s="63">
        <v>8</v>
      </c>
      <c r="ET51" s="63">
        <v>0</v>
      </c>
      <c r="EU51" s="63">
        <v>3</v>
      </c>
      <c r="EV51" s="28" t="s">
        <v>30</v>
      </c>
      <c r="EW51" s="28" t="s">
        <v>30</v>
      </c>
      <c r="EX51" s="28" t="s">
        <v>30</v>
      </c>
      <c r="EY51" s="28" t="s">
        <v>30</v>
      </c>
      <c r="EZ51" s="28" t="s">
        <v>30</v>
      </c>
      <c r="FA51" s="28" t="s">
        <v>30</v>
      </c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  <c r="FS51" s="28"/>
      <c r="FT51" s="28"/>
      <c r="FU51" s="28"/>
      <c r="FV51" s="28"/>
      <c r="FW51" s="28"/>
      <c r="FX51" s="28"/>
      <c r="FY51" s="28"/>
      <c r="FZ51" s="28"/>
      <c r="GA51" s="28"/>
      <c r="GB51" s="28"/>
      <c r="GC51" s="28"/>
      <c r="GD51" s="28"/>
      <c r="GE51" s="28"/>
      <c r="GF51" s="28"/>
      <c r="GG51" s="28"/>
      <c r="GH51" s="28"/>
      <c r="GI51" s="28"/>
      <c r="GJ51" s="28"/>
      <c r="GK51" s="28"/>
      <c r="GL51" s="28"/>
      <c r="GM51" s="28"/>
      <c r="GN51" s="28"/>
      <c r="GO51" s="28"/>
      <c r="GP51" s="28"/>
      <c r="GQ51" s="28"/>
      <c r="GR51" s="28"/>
      <c r="GS51" s="28"/>
      <c r="GT51" s="28"/>
      <c r="GU51" s="28"/>
      <c r="GV51" s="28"/>
      <c r="GW51" s="28"/>
      <c r="GX51" s="28"/>
      <c r="GY51" s="28"/>
      <c r="GZ51" s="28"/>
      <c r="HA51" s="28"/>
      <c r="HB51" s="28"/>
      <c r="HC51" s="28"/>
      <c r="HD51" s="28"/>
      <c r="HE51" s="28"/>
      <c r="HF51" s="28"/>
      <c r="HG51" s="28"/>
      <c r="HH51" s="28"/>
      <c r="HI51" s="28"/>
      <c r="HJ51" s="28"/>
      <c r="HK51" s="28"/>
      <c r="HL51" s="28"/>
      <c r="HM51" s="28"/>
      <c r="HN51" s="28"/>
      <c r="HO51" s="28"/>
      <c r="HP51" s="28"/>
      <c r="HQ51" s="28"/>
      <c r="HR51" s="28"/>
      <c r="HS51" s="28"/>
      <c r="HT51" s="28"/>
      <c r="HU51" s="28"/>
      <c r="HV51" s="28"/>
      <c r="HW51" s="28"/>
      <c r="HX51" s="28"/>
      <c r="HY51" s="28"/>
      <c r="HZ51" s="28"/>
      <c r="IA51" s="28"/>
      <c r="IB51" s="28"/>
      <c r="IC51" s="28"/>
      <c r="ID51" s="28"/>
      <c r="IE51" s="28"/>
      <c r="IF51" s="28"/>
      <c r="IG51" s="28"/>
      <c r="IH51" s="28"/>
      <c r="II51" s="28"/>
      <c r="IJ51" s="28"/>
      <c r="IK51" s="28"/>
      <c r="IL51" s="28"/>
      <c r="IM51" s="28"/>
      <c r="IN51" s="28"/>
      <c r="IO51" s="28"/>
      <c r="IP51" s="28"/>
      <c r="IQ51" s="28"/>
      <c r="IR51" s="28"/>
      <c r="IS51" s="28"/>
      <c r="IT51" s="28"/>
      <c r="IU51" s="28"/>
      <c r="IV51" s="28"/>
      <c r="IW51" s="28"/>
      <c r="IX51" s="28"/>
      <c r="IY51" s="28"/>
      <c r="IZ51" s="28"/>
      <c r="JA51" s="28"/>
      <c r="JB51" s="28"/>
      <c r="JC51" s="28"/>
      <c r="JD51" s="28"/>
      <c r="JE51" s="28"/>
    </row>
    <row r="52" spans="1:265" ht="25.5" hidden="1" customHeight="1" x14ac:dyDescent="0.15">
      <c r="A52" s="65">
        <v>3.8</v>
      </c>
      <c r="B52" s="66"/>
      <c r="C52" s="67" t="s">
        <v>89</v>
      </c>
      <c r="D52" s="73"/>
      <c r="E52" s="73"/>
      <c r="F52" s="73"/>
      <c r="G52" s="73"/>
      <c r="H52" s="73"/>
      <c r="I52" s="73"/>
      <c r="J52" s="68">
        <v>0</v>
      </c>
      <c r="K52" s="68">
        <v>5</v>
      </c>
      <c r="L52" s="68">
        <v>0</v>
      </c>
      <c r="M52" s="68">
        <v>4</v>
      </c>
      <c r="N52" s="68">
        <v>0</v>
      </c>
      <c r="O52" s="68">
        <v>2</v>
      </c>
      <c r="P52" s="68">
        <v>0</v>
      </c>
      <c r="Q52" s="68">
        <v>0</v>
      </c>
      <c r="R52" s="68">
        <v>0</v>
      </c>
      <c r="S52" s="68">
        <v>0</v>
      </c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69"/>
      <c r="BI52" s="69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5"/>
      <c r="CN52" s="73"/>
      <c r="CO52" s="75"/>
      <c r="CP52" s="73"/>
      <c r="CQ52" s="75"/>
      <c r="CR52" s="73"/>
      <c r="CS52" s="75"/>
      <c r="CT52" s="73"/>
      <c r="CU52" s="75"/>
      <c r="CV52" s="73"/>
      <c r="CW52" s="75"/>
      <c r="CX52" s="73"/>
      <c r="CY52" s="75"/>
      <c r="CZ52" s="73"/>
      <c r="DA52" s="75"/>
      <c r="DB52" s="73"/>
      <c r="DC52" s="75"/>
      <c r="DD52" s="73"/>
      <c r="DE52" s="75"/>
      <c r="DF52" s="73"/>
      <c r="DG52" s="75"/>
      <c r="DH52" s="73"/>
      <c r="DI52" s="75"/>
      <c r="DJ52" s="73"/>
      <c r="DK52" s="75"/>
      <c r="DL52" s="73"/>
      <c r="DM52" s="75"/>
      <c r="DN52" s="73"/>
      <c r="DO52" s="75"/>
      <c r="DP52" s="73"/>
      <c r="DQ52" s="75"/>
      <c r="DR52" s="73"/>
      <c r="DS52" s="75"/>
      <c r="DT52" s="73"/>
      <c r="DU52" s="75"/>
      <c r="DV52" s="73"/>
      <c r="DW52" s="75"/>
      <c r="DX52" s="73"/>
      <c r="DY52" s="75"/>
      <c r="DZ52" s="73"/>
      <c r="EA52" s="75"/>
      <c r="EB52" s="73"/>
      <c r="EC52" s="75"/>
      <c r="ED52" s="73"/>
      <c r="EE52" s="75"/>
      <c r="EF52" s="73"/>
      <c r="EG52" s="76"/>
      <c r="EH52" s="77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75"/>
      <c r="FM52" s="75"/>
      <c r="FN52" s="75"/>
      <c r="FO52" s="75"/>
      <c r="FP52" s="75"/>
      <c r="FQ52" s="75"/>
      <c r="FR52" s="75"/>
      <c r="FS52" s="75"/>
      <c r="FT52" s="75"/>
      <c r="FU52" s="75"/>
      <c r="FV52" s="75"/>
      <c r="FW52" s="75"/>
      <c r="FX52" s="75"/>
      <c r="FY52" s="75"/>
      <c r="FZ52" s="75"/>
      <c r="GA52" s="75"/>
      <c r="GB52" s="75"/>
      <c r="GC52" s="75"/>
      <c r="GD52" s="75"/>
      <c r="GE52" s="75"/>
      <c r="GF52" s="75"/>
      <c r="GG52" s="75"/>
      <c r="GH52" s="75"/>
      <c r="GI52" s="75"/>
      <c r="GJ52" s="75"/>
      <c r="GK52" s="75"/>
      <c r="GL52" s="75"/>
      <c r="GM52" s="75"/>
      <c r="GN52" s="75"/>
      <c r="GO52" s="75"/>
      <c r="GP52" s="75"/>
      <c r="GQ52" s="75"/>
      <c r="GR52" s="75"/>
      <c r="GS52" s="75"/>
      <c r="GT52" s="75"/>
      <c r="GU52" s="75"/>
      <c r="GV52" s="75"/>
      <c r="GW52" s="75"/>
      <c r="GX52" s="75"/>
      <c r="GY52" s="75"/>
      <c r="GZ52" s="75"/>
      <c r="HA52" s="75"/>
      <c r="HB52" s="75"/>
      <c r="HC52" s="75"/>
      <c r="HD52" s="75"/>
      <c r="HE52" s="75"/>
      <c r="HF52" s="75"/>
      <c r="HG52" s="75"/>
      <c r="HH52" s="75"/>
      <c r="HI52" s="75"/>
      <c r="HJ52" s="75"/>
      <c r="HK52" s="75"/>
      <c r="HL52" s="75"/>
      <c r="HM52" s="75"/>
      <c r="HN52" s="75"/>
      <c r="HO52" s="75"/>
      <c r="HP52" s="75"/>
      <c r="HQ52" s="75"/>
      <c r="HR52" s="75"/>
      <c r="HS52" s="75"/>
      <c r="HT52" s="75"/>
      <c r="HU52" s="75"/>
      <c r="HV52" s="75"/>
      <c r="HW52" s="75"/>
      <c r="HX52" s="75"/>
      <c r="HY52" s="75"/>
      <c r="HZ52" s="75"/>
      <c r="IA52" s="75"/>
      <c r="IB52" s="75"/>
      <c r="IC52" s="75"/>
      <c r="ID52" s="75"/>
      <c r="IE52" s="75"/>
      <c r="IF52" s="75"/>
      <c r="IG52" s="75"/>
      <c r="IH52" s="75"/>
      <c r="II52" s="75"/>
      <c r="IJ52" s="75"/>
      <c r="IK52" s="75"/>
      <c r="IL52" s="75"/>
      <c r="IM52" s="75"/>
      <c r="IN52" s="75"/>
      <c r="IO52" s="75"/>
      <c r="IP52" s="75"/>
      <c r="IQ52" s="75"/>
      <c r="IR52" s="75"/>
      <c r="IS52" s="75"/>
      <c r="IT52" s="75"/>
      <c r="IU52" s="75"/>
      <c r="IV52" s="75"/>
      <c r="IW52" s="75"/>
      <c r="IX52" s="75"/>
      <c r="IY52" s="75"/>
      <c r="IZ52" s="75"/>
      <c r="JA52" s="75"/>
      <c r="JB52" s="75"/>
      <c r="JC52" s="75"/>
      <c r="JD52" s="75"/>
      <c r="JE52" s="75"/>
    </row>
    <row r="53" spans="1:265" ht="42" x14ac:dyDescent="0.15">
      <c r="A53" s="65">
        <v>3.9</v>
      </c>
      <c r="B53" s="66" t="s">
        <v>90</v>
      </c>
      <c r="C53" s="67" t="s">
        <v>91</v>
      </c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68">
        <v>1</v>
      </c>
      <c r="AI53" s="68">
        <v>56</v>
      </c>
      <c r="AJ53" s="68">
        <v>0</v>
      </c>
      <c r="AK53" s="68">
        <v>72</v>
      </c>
      <c r="AL53" s="68">
        <v>0</v>
      </c>
      <c r="AM53" s="68">
        <v>21</v>
      </c>
      <c r="AN53" s="68">
        <v>1</v>
      </c>
      <c r="AO53" s="68">
        <v>22</v>
      </c>
      <c r="AP53" s="68">
        <v>0</v>
      </c>
      <c r="AQ53" s="68">
        <v>93</v>
      </c>
      <c r="AR53" s="68">
        <v>0</v>
      </c>
      <c r="AS53" s="68">
        <v>28</v>
      </c>
      <c r="AT53" s="68">
        <v>0</v>
      </c>
      <c r="AU53" s="68">
        <v>21</v>
      </c>
      <c r="AV53" s="68">
        <v>0</v>
      </c>
      <c r="AW53" s="68">
        <v>0</v>
      </c>
      <c r="AX53" s="68">
        <v>0</v>
      </c>
      <c r="AY53" s="68">
        <v>0</v>
      </c>
      <c r="AZ53" s="68">
        <v>0</v>
      </c>
      <c r="BA53" s="68">
        <v>0</v>
      </c>
      <c r="BB53" s="68">
        <v>0</v>
      </c>
      <c r="BC53" s="68">
        <v>0</v>
      </c>
      <c r="BD53" s="68">
        <v>0</v>
      </c>
      <c r="BE53" s="68">
        <v>0</v>
      </c>
      <c r="BF53" s="68">
        <v>0</v>
      </c>
      <c r="BG53" s="68">
        <v>0</v>
      </c>
      <c r="BH53" s="69"/>
      <c r="BI53" s="69"/>
      <c r="BJ53" s="68">
        <v>0</v>
      </c>
      <c r="BK53" s="68">
        <v>0</v>
      </c>
      <c r="BL53" s="68">
        <v>0</v>
      </c>
      <c r="BM53" s="68">
        <v>0</v>
      </c>
      <c r="BN53" s="68">
        <v>0</v>
      </c>
      <c r="BO53" s="68">
        <v>0</v>
      </c>
      <c r="BP53" s="68">
        <v>0</v>
      </c>
      <c r="BQ53" s="68">
        <v>0</v>
      </c>
      <c r="BR53" s="68">
        <v>0</v>
      </c>
      <c r="BS53" s="68">
        <v>0</v>
      </c>
      <c r="BT53" s="68">
        <v>0</v>
      </c>
      <c r="BU53" s="68">
        <v>0</v>
      </c>
      <c r="BV53" s="68">
        <v>0</v>
      </c>
      <c r="BW53" s="68">
        <v>0</v>
      </c>
      <c r="BX53" s="68">
        <v>0</v>
      </c>
      <c r="BY53" s="68">
        <v>0</v>
      </c>
      <c r="BZ53" s="68">
        <v>0</v>
      </c>
      <c r="CA53" s="68">
        <v>0</v>
      </c>
      <c r="CB53" s="68">
        <v>0</v>
      </c>
      <c r="CC53" s="68">
        <v>0</v>
      </c>
      <c r="CD53" s="68">
        <v>0</v>
      </c>
      <c r="CE53" s="68">
        <v>0</v>
      </c>
      <c r="CF53" s="68">
        <v>0</v>
      </c>
      <c r="CG53" s="68">
        <v>0</v>
      </c>
      <c r="CH53" s="68">
        <v>0</v>
      </c>
      <c r="CI53" s="68">
        <v>0</v>
      </c>
      <c r="CJ53" s="68">
        <v>0</v>
      </c>
      <c r="CK53" s="68">
        <v>0</v>
      </c>
      <c r="CL53" s="68">
        <v>0</v>
      </c>
      <c r="CM53" s="63">
        <v>0</v>
      </c>
      <c r="CN53" s="68">
        <v>0</v>
      </c>
      <c r="CO53" s="63">
        <v>0</v>
      </c>
      <c r="CP53" s="68">
        <v>0</v>
      </c>
      <c r="CQ53" s="63">
        <v>0</v>
      </c>
      <c r="CR53" s="68">
        <v>0</v>
      </c>
      <c r="CS53" s="63">
        <v>0</v>
      </c>
      <c r="CT53" s="68">
        <v>0</v>
      </c>
      <c r="CU53" s="63">
        <v>0</v>
      </c>
      <c r="CV53" s="68">
        <v>0</v>
      </c>
      <c r="CW53" s="63">
        <v>0</v>
      </c>
      <c r="CX53" s="68">
        <v>0</v>
      </c>
      <c r="CY53" s="63">
        <v>0</v>
      </c>
      <c r="CZ53" s="68">
        <v>0</v>
      </c>
      <c r="DA53" s="63">
        <v>0</v>
      </c>
      <c r="DB53" s="68">
        <v>0</v>
      </c>
      <c r="DC53" s="63">
        <v>0</v>
      </c>
      <c r="DD53" s="68">
        <v>0</v>
      </c>
      <c r="DE53" s="63">
        <v>0</v>
      </c>
      <c r="DF53" s="68">
        <v>0</v>
      </c>
      <c r="DG53" s="63">
        <v>0</v>
      </c>
      <c r="DH53" s="68">
        <v>0</v>
      </c>
      <c r="DI53" s="63">
        <v>0</v>
      </c>
      <c r="DJ53" s="68">
        <v>0</v>
      </c>
      <c r="DK53" s="63">
        <v>0</v>
      </c>
      <c r="DL53" s="68">
        <v>0</v>
      </c>
      <c r="DM53" s="63">
        <v>0</v>
      </c>
      <c r="DN53" s="68">
        <v>0</v>
      </c>
      <c r="DO53" s="63">
        <v>0</v>
      </c>
      <c r="DP53" s="68">
        <v>0</v>
      </c>
      <c r="DQ53" s="63">
        <v>0</v>
      </c>
      <c r="DR53" s="68">
        <v>0</v>
      </c>
      <c r="DS53" s="63">
        <v>0</v>
      </c>
      <c r="DT53" s="68">
        <v>0</v>
      </c>
      <c r="DU53" s="63">
        <v>0</v>
      </c>
      <c r="DV53" s="68">
        <v>0</v>
      </c>
      <c r="DW53" s="63">
        <v>0</v>
      </c>
      <c r="DX53" s="68">
        <v>0</v>
      </c>
      <c r="DY53" s="63">
        <v>0</v>
      </c>
      <c r="DZ53" s="68">
        <v>0</v>
      </c>
      <c r="EA53" s="63">
        <v>0</v>
      </c>
      <c r="EB53" s="68">
        <v>0</v>
      </c>
      <c r="EC53" s="63">
        <v>0</v>
      </c>
      <c r="ED53" s="68">
        <v>0</v>
      </c>
      <c r="EE53" s="63">
        <v>0</v>
      </c>
      <c r="EF53" s="68">
        <v>0</v>
      </c>
      <c r="EG53" s="70">
        <v>0</v>
      </c>
      <c r="EH53" s="71">
        <v>0</v>
      </c>
      <c r="EI53" s="63">
        <v>0</v>
      </c>
      <c r="EJ53" s="63">
        <v>0</v>
      </c>
      <c r="EK53" s="63">
        <v>0</v>
      </c>
      <c r="EL53" s="63">
        <v>0</v>
      </c>
      <c r="EM53" s="63">
        <v>0</v>
      </c>
      <c r="EN53" s="63">
        <v>0</v>
      </c>
      <c r="EO53" s="63">
        <v>0</v>
      </c>
      <c r="EP53" s="63">
        <v>0</v>
      </c>
      <c r="EQ53" s="63">
        <v>0</v>
      </c>
      <c r="ER53" s="63">
        <v>0</v>
      </c>
      <c r="ES53" s="63">
        <v>0</v>
      </c>
      <c r="ET53" s="63">
        <v>0</v>
      </c>
      <c r="EU53" s="63">
        <v>0</v>
      </c>
      <c r="EV53" s="28" t="s">
        <v>30</v>
      </c>
      <c r="EW53" s="28" t="s">
        <v>30</v>
      </c>
      <c r="EX53" s="28" t="s">
        <v>30</v>
      </c>
      <c r="EY53" s="28" t="s">
        <v>30</v>
      </c>
      <c r="EZ53" s="28" t="s">
        <v>30</v>
      </c>
      <c r="FA53" s="28" t="s">
        <v>30</v>
      </c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  <c r="FS53" s="28"/>
      <c r="FT53" s="28"/>
      <c r="FU53" s="28"/>
      <c r="FV53" s="28"/>
      <c r="FW53" s="28"/>
      <c r="FX53" s="28"/>
      <c r="FY53" s="28"/>
      <c r="FZ53" s="28"/>
      <c r="GA53" s="28"/>
      <c r="GB53" s="28"/>
      <c r="GC53" s="28"/>
      <c r="GD53" s="28"/>
      <c r="GE53" s="28"/>
      <c r="GF53" s="28"/>
      <c r="GG53" s="28"/>
      <c r="GH53" s="28"/>
      <c r="GI53" s="28"/>
      <c r="GJ53" s="28"/>
      <c r="GK53" s="28"/>
      <c r="GL53" s="28"/>
      <c r="GM53" s="28"/>
      <c r="GN53" s="28"/>
      <c r="GO53" s="28"/>
      <c r="GP53" s="28"/>
      <c r="GQ53" s="28"/>
      <c r="GR53" s="28"/>
      <c r="GS53" s="28"/>
      <c r="GT53" s="28"/>
      <c r="GU53" s="28"/>
      <c r="GV53" s="28"/>
      <c r="GW53" s="28"/>
      <c r="GX53" s="28"/>
      <c r="GY53" s="28"/>
      <c r="GZ53" s="28"/>
      <c r="HA53" s="28"/>
      <c r="HB53" s="28"/>
      <c r="HC53" s="28"/>
      <c r="HD53" s="28"/>
      <c r="HE53" s="28"/>
      <c r="HF53" s="28"/>
      <c r="HG53" s="28"/>
      <c r="HH53" s="28"/>
      <c r="HI53" s="28"/>
      <c r="HJ53" s="28"/>
      <c r="HK53" s="28"/>
      <c r="HL53" s="28"/>
      <c r="HM53" s="28"/>
      <c r="HN53" s="28"/>
      <c r="HO53" s="28"/>
      <c r="HP53" s="28"/>
      <c r="HQ53" s="28"/>
      <c r="HR53" s="28"/>
      <c r="HS53" s="28"/>
      <c r="HT53" s="28"/>
      <c r="HU53" s="28"/>
      <c r="HV53" s="28"/>
      <c r="HW53" s="28"/>
      <c r="HX53" s="28"/>
      <c r="HY53" s="28"/>
      <c r="HZ53" s="28"/>
      <c r="IA53" s="28"/>
      <c r="IB53" s="28"/>
      <c r="IC53" s="28"/>
      <c r="ID53" s="28"/>
      <c r="IE53" s="28"/>
      <c r="IF53" s="28"/>
      <c r="IG53" s="28"/>
      <c r="IH53" s="28"/>
      <c r="II53" s="28"/>
      <c r="IJ53" s="28"/>
      <c r="IK53" s="28"/>
      <c r="IL53" s="28"/>
      <c r="IM53" s="28"/>
      <c r="IN53" s="28"/>
      <c r="IO53" s="28"/>
      <c r="IP53" s="28"/>
      <c r="IQ53" s="28"/>
      <c r="IR53" s="28"/>
      <c r="IS53" s="28"/>
      <c r="IT53" s="28"/>
      <c r="IU53" s="28"/>
      <c r="IV53" s="28"/>
      <c r="IW53" s="28"/>
      <c r="IX53" s="28"/>
      <c r="IY53" s="28"/>
      <c r="IZ53" s="28"/>
      <c r="JA53" s="28"/>
      <c r="JB53" s="28"/>
      <c r="JC53" s="28"/>
      <c r="JD53" s="28"/>
      <c r="JE53" s="28"/>
    </row>
    <row r="54" spans="1:265" ht="28" x14ac:dyDescent="0.15">
      <c r="A54" s="78" t="s">
        <v>92</v>
      </c>
      <c r="B54" s="78" t="s">
        <v>93</v>
      </c>
      <c r="C54" s="79" t="s">
        <v>94</v>
      </c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1"/>
      <c r="BI54" s="81"/>
      <c r="BJ54" s="82">
        <v>0</v>
      </c>
      <c r="BK54" s="82">
        <v>1</v>
      </c>
      <c r="BL54" s="82">
        <v>1</v>
      </c>
      <c r="BM54" s="82">
        <v>5</v>
      </c>
      <c r="BN54" s="82">
        <v>0</v>
      </c>
      <c r="BO54" s="82">
        <v>4</v>
      </c>
      <c r="BP54" s="82">
        <v>0</v>
      </c>
      <c r="BQ54" s="82">
        <v>1</v>
      </c>
      <c r="BR54" s="82">
        <v>0</v>
      </c>
      <c r="BS54" s="82">
        <v>0</v>
      </c>
      <c r="BT54" s="82">
        <v>0</v>
      </c>
      <c r="BU54" s="82">
        <v>2</v>
      </c>
      <c r="BV54" s="82">
        <v>0</v>
      </c>
      <c r="BW54" s="82">
        <v>2</v>
      </c>
      <c r="BX54" s="82">
        <v>0</v>
      </c>
      <c r="BY54" s="82">
        <v>0</v>
      </c>
      <c r="BZ54" s="82">
        <v>0</v>
      </c>
      <c r="CA54" s="82">
        <v>0</v>
      </c>
      <c r="CB54" s="82">
        <v>0</v>
      </c>
      <c r="CC54" s="82">
        <v>2</v>
      </c>
      <c r="CD54" s="82">
        <v>0</v>
      </c>
      <c r="CE54" s="82">
        <v>2</v>
      </c>
      <c r="CF54" s="82">
        <v>0</v>
      </c>
      <c r="CG54" s="82">
        <v>0</v>
      </c>
      <c r="CH54" s="82">
        <v>0</v>
      </c>
      <c r="CI54" s="82">
        <v>3</v>
      </c>
      <c r="CJ54" s="82">
        <v>0</v>
      </c>
      <c r="CK54" s="82">
        <v>2</v>
      </c>
      <c r="CL54" s="82">
        <v>0</v>
      </c>
      <c r="CM54" s="83">
        <v>2</v>
      </c>
      <c r="CN54" s="82">
        <v>0</v>
      </c>
      <c r="CO54" s="83">
        <v>0</v>
      </c>
      <c r="CP54" s="82">
        <v>0</v>
      </c>
      <c r="CQ54" s="83">
        <v>3</v>
      </c>
      <c r="CR54" s="82">
        <v>0</v>
      </c>
      <c r="CS54" s="83">
        <v>2</v>
      </c>
      <c r="CT54" s="82">
        <v>0</v>
      </c>
      <c r="CU54" s="83">
        <v>1</v>
      </c>
      <c r="CV54" s="82">
        <v>0</v>
      </c>
      <c r="CW54" s="83">
        <v>0</v>
      </c>
      <c r="CX54" s="82">
        <v>0</v>
      </c>
      <c r="CY54" s="83">
        <v>2</v>
      </c>
      <c r="CZ54" s="82">
        <v>0</v>
      </c>
      <c r="DA54" s="83">
        <v>4</v>
      </c>
      <c r="DB54" s="82">
        <v>1</v>
      </c>
      <c r="DC54" s="83">
        <v>2</v>
      </c>
      <c r="DD54" s="82">
        <v>0</v>
      </c>
      <c r="DE54" s="83">
        <v>1</v>
      </c>
      <c r="DF54" s="82">
        <v>0</v>
      </c>
      <c r="DG54" s="83">
        <v>0</v>
      </c>
      <c r="DH54" s="82">
        <v>0</v>
      </c>
      <c r="DI54" s="83">
        <v>4</v>
      </c>
      <c r="DJ54" s="82">
        <v>0</v>
      </c>
      <c r="DK54" s="83">
        <v>6</v>
      </c>
      <c r="DL54" s="82">
        <v>0</v>
      </c>
      <c r="DM54" s="83">
        <v>0</v>
      </c>
      <c r="DN54" s="82">
        <v>0</v>
      </c>
      <c r="DO54" s="83">
        <v>2</v>
      </c>
      <c r="DP54" s="82">
        <v>0</v>
      </c>
      <c r="DQ54" s="83">
        <v>2</v>
      </c>
      <c r="DR54" s="82">
        <v>0</v>
      </c>
      <c r="DS54" s="83">
        <v>3</v>
      </c>
      <c r="DT54" s="82">
        <v>0</v>
      </c>
      <c r="DU54" s="83">
        <v>2</v>
      </c>
      <c r="DV54" s="82">
        <v>0</v>
      </c>
      <c r="DW54" s="83">
        <v>1</v>
      </c>
      <c r="DX54" s="82">
        <v>0</v>
      </c>
      <c r="DY54" s="83">
        <v>3</v>
      </c>
      <c r="DZ54" s="82">
        <v>0</v>
      </c>
      <c r="EA54" s="83">
        <v>2</v>
      </c>
      <c r="EB54" s="82">
        <v>0</v>
      </c>
      <c r="EC54" s="83">
        <v>4</v>
      </c>
      <c r="ED54" s="82">
        <v>0</v>
      </c>
      <c r="EE54" s="83">
        <v>0</v>
      </c>
      <c r="EF54" s="82">
        <v>0</v>
      </c>
      <c r="EG54" s="84">
        <v>1</v>
      </c>
      <c r="EH54" s="85">
        <v>0</v>
      </c>
      <c r="EI54" s="83">
        <v>1</v>
      </c>
      <c r="EJ54" s="83">
        <v>0</v>
      </c>
      <c r="EK54" s="83">
        <v>3</v>
      </c>
      <c r="EL54" s="83">
        <v>0</v>
      </c>
      <c r="EM54" s="83">
        <v>1</v>
      </c>
      <c r="EN54" s="83">
        <v>0</v>
      </c>
      <c r="EO54" s="83">
        <v>1</v>
      </c>
      <c r="EP54" s="83">
        <v>0</v>
      </c>
      <c r="EQ54" s="83">
        <v>0</v>
      </c>
      <c r="ER54" s="83">
        <v>0</v>
      </c>
      <c r="ES54" s="83">
        <v>0</v>
      </c>
      <c r="ET54" s="83">
        <v>0</v>
      </c>
      <c r="EU54" s="83">
        <v>0</v>
      </c>
      <c r="EV54" s="72"/>
      <c r="EW54" s="72"/>
      <c r="EX54" s="72"/>
      <c r="EY54" s="72"/>
      <c r="EZ54" s="72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72"/>
      <c r="FM54" s="72"/>
      <c r="FN54" s="72"/>
      <c r="FO54" s="72"/>
      <c r="FP54" s="72"/>
      <c r="FQ54" s="72"/>
      <c r="FR54" s="72"/>
      <c r="FS54" s="72"/>
      <c r="FT54" s="72"/>
      <c r="FU54" s="72"/>
      <c r="FV54" s="72"/>
      <c r="FW54" s="72"/>
      <c r="FX54" s="72"/>
      <c r="FY54" s="72"/>
      <c r="FZ54" s="72"/>
      <c r="GA54" s="72"/>
      <c r="GB54" s="72"/>
      <c r="GC54" s="72"/>
      <c r="GD54" s="72"/>
      <c r="GE54" s="72"/>
      <c r="GF54" s="72"/>
      <c r="GG54" s="72"/>
      <c r="GH54" s="72"/>
      <c r="GI54" s="72"/>
      <c r="GJ54" s="72"/>
      <c r="GK54" s="72"/>
      <c r="GL54" s="72"/>
      <c r="GM54" s="72"/>
      <c r="GN54" s="72"/>
      <c r="GO54" s="72"/>
      <c r="GP54" s="72"/>
      <c r="GQ54" s="72"/>
      <c r="GR54" s="72"/>
      <c r="GS54" s="72"/>
      <c r="GT54" s="72"/>
      <c r="GU54" s="72"/>
      <c r="GV54" s="72"/>
      <c r="GW54" s="72"/>
      <c r="GX54" s="72"/>
      <c r="GY54" s="72"/>
      <c r="GZ54" s="72"/>
      <c r="HA54" s="72"/>
      <c r="HB54" s="72"/>
      <c r="HC54" s="72"/>
      <c r="HD54" s="72"/>
      <c r="HE54" s="72"/>
      <c r="HF54" s="72"/>
      <c r="HG54" s="72"/>
      <c r="HH54" s="72"/>
      <c r="HI54" s="72"/>
      <c r="HJ54" s="72"/>
      <c r="HK54" s="72"/>
      <c r="HL54" s="72"/>
      <c r="HM54" s="72"/>
      <c r="HN54" s="72"/>
      <c r="HO54" s="72"/>
      <c r="HP54" s="72"/>
      <c r="HQ54" s="72"/>
      <c r="HR54" s="72"/>
      <c r="HS54" s="72"/>
      <c r="HT54" s="72"/>
      <c r="HU54" s="72"/>
      <c r="HV54" s="72"/>
      <c r="HW54" s="72"/>
      <c r="HX54" s="72"/>
      <c r="HY54" s="72"/>
      <c r="HZ54" s="72"/>
      <c r="IA54" s="72"/>
      <c r="IB54" s="72"/>
      <c r="IC54" s="72"/>
      <c r="ID54" s="72"/>
      <c r="IE54" s="72"/>
      <c r="IF54" s="72"/>
      <c r="IG54" s="72"/>
      <c r="IH54" s="72"/>
      <c r="II54" s="72"/>
      <c r="IJ54" s="72"/>
      <c r="IK54" s="72"/>
      <c r="IL54" s="72"/>
      <c r="IM54" s="72"/>
      <c r="IN54" s="72"/>
      <c r="IO54" s="72"/>
      <c r="IP54" s="72"/>
      <c r="IQ54" s="72"/>
      <c r="IR54" s="72"/>
      <c r="IS54" s="72"/>
      <c r="IT54" s="72"/>
      <c r="IU54" s="72"/>
      <c r="IV54" s="72"/>
      <c r="IW54" s="72"/>
      <c r="IX54" s="72"/>
      <c r="IY54" s="72"/>
      <c r="IZ54" s="72"/>
      <c r="JA54" s="72"/>
      <c r="JB54" s="72"/>
      <c r="JC54" s="72"/>
      <c r="JD54" s="72"/>
      <c r="JE54" s="72"/>
    </row>
    <row r="55" spans="1:265" ht="28" x14ac:dyDescent="0.15">
      <c r="A55" s="65">
        <v>3.11</v>
      </c>
      <c r="B55" s="66" t="s">
        <v>95</v>
      </c>
      <c r="C55" s="79" t="s">
        <v>96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1"/>
      <c r="BI55" s="81"/>
      <c r="BJ55" s="82">
        <v>0</v>
      </c>
      <c r="BK55" s="82">
        <v>20</v>
      </c>
      <c r="BL55" s="82">
        <v>0</v>
      </c>
      <c r="BM55" s="82">
        <v>28</v>
      </c>
      <c r="BN55" s="82">
        <v>1</v>
      </c>
      <c r="BO55" s="82">
        <v>23</v>
      </c>
      <c r="BP55" s="82">
        <v>0</v>
      </c>
      <c r="BQ55" s="82">
        <v>20</v>
      </c>
      <c r="BR55" s="82">
        <v>0</v>
      </c>
      <c r="BS55" s="82">
        <v>17</v>
      </c>
      <c r="BT55" s="82">
        <v>2</v>
      </c>
      <c r="BU55" s="82">
        <v>26</v>
      </c>
      <c r="BV55" s="82">
        <v>1</v>
      </c>
      <c r="BW55" s="82">
        <v>13</v>
      </c>
      <c r="BX55" s="82">
        <v>0</v>
      </c>
      <c r="BY55" s="82">
        <v>19</v>
      </c>
      <c r="BZ55" s="82">
        <v>0</v>
      </c>
      <c r="CA55" s="82">
        <v>22</v>
      </c>
      <c r="CB55" s="82">
        <v>0</v>
      </c>
      <c r="CC55" s="82">
        <v>13</v>
      </c>
      <c r="CD55" s="82">
        <v>0</v>
      </c>
      <c r="CE55" s="82">
        <v>17</v>
      </c>
      <c r="CF55" s="82">
        <v>0</v>
      </c>
      <c r="CG55" s="82">
        <v>12</v>
      </c>
      <c r="CH55" s="82">
        <v>0</v>
      </c>
      <c r="CI55" s="82">
        <v>16</v>
      </c>
      <c r="CJ55" s="82">
        <v>0</v>
      </c>
      <c r="CK55" s="82">
        <v>13</v>
      </c>
      <c r="CL55" s="82">
        <v>0</v>
      </c>
      <c r="CM55" s="83">
        <v>8</v>
      </c>
      <c r="CN55" s="82">
        <v>0</v>
      </c>
      <c r="CO55" s="83">
        <v>7</v>
      </c>
      <c r="CP55" s="82">
        <v>0</v>
      </c>
      <c r="CQ55" s="83">
        <v>10</v>
      </c>
      <c r="CR55" s="82">
        <v>0</v>
      </c>
      <c r="CS55" s="83">
        <v>14</v>
      </c>
      <c r="CT55" s="82">
        <v>0</v>
      </c>
      <c r="CU55" s="83">
        <v>23</v>
      </c>
      <c r="CV55" s="82">
        <v>0</v>
      </c>
      <c r="CW55" s="83">
        <v>8</v>
      </c>
      <c r="CX55" s="82">
        <v>0</v>
      </c>
      <c r="CY55" s="83">
        <v>9</v>
      </c>
      <c r="CZ55" s="82">
        <v>0</v>
      </c>
      <c r="DA55" s="83">
        <v>15</v>
      </c>
      <c r="DB55" s="82">
        <v>1</v>
      </c>
      <c r="DC55" s="83">
        <v>14</v>
      </c>
      <c r="DD55" s="82">
        <v>0</v>
      </c>
      <c r="DE55" s="83">
        <v>2</v>
      </c>
      <c r="DF55" s="82">
        <v>0</v>
      </c>
      <c r="DG55" s="83">
        <v>8</v>
      </c>
      <c r="DH55" s="82">
        <v>0</v>
      </c>
      <c r="DI55" s="83">
        <v>19</v>
      </c>
      <c r="DJ55" s="82">
        <v>0</v>
      </c>
      <c r="DK55" s="83">
        <v>7</v>
      </c>
      <c r="DL55" s="82">
        <v>0</v>
      </c>
      <c r="DM55" s="83">
        <v>13</v>
      </c>
      <c r="DN55" s="82">
        <v>0</v>
      </c>
      <c r="DO55" s="83">
        <v>10</v>
      </c>
      <c r="DP55" s="82">
        <v>0</v>
      </c>
      <c r="DQ55" s="83">
        <v>14</v>
      </c>
      <c r="DR55" s="82">
        <v>0</v>
      </c>
      <c r="DS55" s="83">
        <v>4</v>
      </c>
      <c r="DT55" s="82">
        <v>1</v>
      </c>
      <c r="DU55" s="83">
        <v>19</v>
      </c>
      <c r="DV55" s="82">
        <v>0</v>
      </c>
      <c r="DW55" s="83">
        <v>7</v>
      </c>
      <c r="DX55" s="82">
        <v>0</v>
      </c>
      <c r="DY55" s="83">
        <v>9</v>
      </c>
      <c r="DZ55" s="82">
        <v>0</v>
      </c>
      <c r="EA55" s="83">
        <v>12</v>
      </c>
      <c r="EB55" s="82">
        <v>0</v>
      </c>
      <c r="EC55" s="83">
        <v>10</v>
      </c>
      <c r="ED55" s="82">
        <v>0</v>
      </c>
      <c r="EE55" s="83">
        <v>6</v>
      </c>
      <c r="EF55" s="82">
        <v>0</v>
      </c>
      <c r="EG55" s="84">
        <v>8</v>
      </c>
      <c r="EH55" s="85">
        <v>0</v>
      </c>
      <c r="EI55" s="83">
        <v>9</v>
      </c>
      <c r="EJ55" s="83">
        <v>0</v>
      </c>
      <c r="EK55" s="83">
        <v>5</v>
      </c>
      <c r="EL55" s="83">
        <v>0</v>
      </c>
      <c r="EM55" s="83">
        <v>2</v>
      </c>
      <c r="EN55" s="83">
        <v>0</v>
      </c>
      <c r="EO55" s="83">
        <v>3</v>
      </c>
      <c r="EP55" s="83">
        <v>0</v>
      </c>
      <c r="EQ55" s="83">
        <v>5</v>
      </c>
      <c r="ER55" s="83">
        <v>0</v>
      </c>
      <c r="ES55" s="83">
        <v>4</v>
      </c>
      <c r="ET55" s="72"/>
      <c r="EU55" s="72"/>
      <c r="EV55" s="72"/>
      <c r="EW55" s="72"/>
      <c r="EX55" s="72"/>
      <c r="EY55" s="72"/>
      <c r="EZ55" s="72"/>
      <c r="FA55" s="72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72"/>
      <c r="FM55" s="72"/>
      <c r="FN55" s="72"/>
      <c r="FO55" s="72"/>
      <c r="FP55" s="72"/>
      <c r="FQ55" s="72"/>
      <c r="FR55" s="72"/>
      <c r="FS55" s="72"/>
      <c r="FT55" s="72"/>
      <c r="FU55" s="72"/>
      <c r="FV55" s="72"/>
      <c r="FW55" s="72"/>
      <c r="FX55" s="72"/>
      <c r="FY55" s="72"/>
      <c r="FZ55" s="72"/>
      <c r="GA55" s="72"/>
      <c r="GB55" s="72"/>
      <c r="GC55" s="72"/>
      <c r="GD55" s="72"/>
      <c r="GE55" s="72"/>
      <c r="GF55" s="72"/>
      <c r="GG55" s="72"/>
      <c r="GH55" s="72"/>
      <c r="GI55" s="72"/>
      <c r="GJ55" s="72"/>
      <c r="GK55" s="72"/>
      <c r="GL55" s="72"/>
      <c r="GM55" s="72"/>
      <c r="GN55" s="72"/>
      <c r="GO55" s="72"/>
      <c r="GP55" s="72"/>
      <c r="GQ55" s="72"/>
      <c r="GR55" s="72"/>
      <c r="GS55" s="72"/>
      <c r="GT55" s="72"/>
      <c r="GU55" s="72"/>
      <c r="GV55" s="72"/>
      <c r="GW55" s="72"/>
      <c r="GX55" s="72"/>
      <c r="GY55" s="72"/>
      <c r="GZ55" s="72"/>
      <c r="HA55" s="72"/>
      <c r="HB55" s="72"/>
      <c r="HC55" s="72"/>
      <c r="HD55" s="72"/>
      <c r="HE55" s="72"/>
      <c r="HF55" s="72"/>
      <c r="HG55" s="72"/>
      <c r="HH55" s="72"/>
      <c r="HI55" s="72"/>
      <c r="HJ55" s="72"/>
      <c r="HK55" s="72"/>
      <c r="HL55" s="72"/>
      <c r="HM55" s="72"/>
      <c r="HN55" s="72"/>
      <c r="HO55" s="72"/>
      <c r="HP55" s="72"/>
      <c r="HQ55" s="72"/>
      <c r="HR55" s="72"/>
      <c r="HS55" s="72"/>
      <c r="HT55" s="72"/>
      <c r="HU55" s="72"/>
      <c r="HV55" s="72"/>
      <c r="HW55" s="72"/>
      <c r="HX55" s="72"/>
      <c r="HY55" s="72"/>
      <c r="HZ55" s="72"/>
      <c r="IA55" s="72"/>
      <c r="IB55" s="72"/>
      <c r="IC55" s="72"/>
      <c r="ID55" s="72"/>
      <c r="IE55" s="72"/>
      <c r="IF55" s="72"/>
      <c r="IG55" s="72"/>
      <c r="IH55" s="72"/>
      <c r="II55" s="72"/>
      <c r="IJ55" s="72"/>
      <c r="IK55" s="72"/>
      <c r="IL55" s="72"/>
      <c r="IM55" s="72"/>
      <c r="IN55" s="72"/>
      <c r="IO55" s="72"/>
      <c r="IP55" s="72"/>
      <c r="IQ55" s="72"/>
      <c r="IR55" s="72"/>
      <c r="IS55" s="72"/>
      <c r="IT55" s="72"/>
      <c r="IU55" s="72"/>
      <c r="IV55" s="72"/>
      <c r="IW55" s="72"/>
      <c r="IX55" s="72"/>
      <c r="IY55" s="72"/>
      <c r="IZ55" s="72"/>
      <c r="JA55" s="72"/>
      <c r="JB55" s="72"/>
      <c r="JC55" s="72"/>
      <c r="JD55" s="72"/>
      <c r="JE55" s="72"/>
    </row>
    <row r="56" spans="1:265" ht="28" x14ac:dyDescent="0.15">
      <c r="A56" s="65">
        <v>3.12</v>
      </c>
      <c r="B56" s="66" t="s">
        <v>97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6"/>
      <c r="CN56" s="81"/>
      <c r="CO56" s="86"/>
      <c r="CP56" s="81"/>
      <c r="CQ56" s="86"/>
      <c r="CR56" s="81"/>
      <c r="CS56" s="86"/>
      <c r="CT56" s="81"/>
      <c r="CU56" s="86"/>
      <c r="CV56" s="81"/>
      <c r="CW56" s="86"/>
      <c r="CX56" s="81"/>
      <c r="CY56" s="86"/>
      <c r="CZ56" s="81"/>
      <c r="DA56" s="86"/>
      <c r="DB56" s="81"/>
      <c r="DC56" s="86"/>
      <c r="DD56" s="81"/>
      <c r="DE56" s="86"/>
      <c r="DF56" s="81"/>
      <c r="DG56" s="86"/>
      <c r="DH56" s="81"/>
      <c r="DI56" s="86"/>
      <c r="DJ56" s="81"/>
      <c r="DK56" s="86"/>
      <c r="DL56" s="81"/>
      <c r="DM56" s="86"/>
      <c r="DN56" s="81"/>
      <c r="DO56" s="86"/>
      <c r="DP56" s="81"/>
      <c r="DQ56" s="86"/>
      <c r="DR56" s="81"/>
      <c r="DS56" s="86"/>
      <c r="DT56" s="81"/>
      <c r="DU56" s="86"/>
      <c r="DV56" s="81"/>
      <c r="DW56" s="86"/>
      <c r="DX56" s="81"/>
      <c r="DY56" s="86"/>
      <c r="DZ56" s="81"/>
      <c r="EA56" s="86"/>
      <c r="EB56" s="81"/>
      <c r="EC56" s="86"/>
      <c r="ED56" s="81"/>
      <c r="EE56" s="86"/>
      <c r="EF56" s="81"/>
      <c r="EG56" s="87"/>
      <c r="EH56" s="88"/>
      <c r="EI56" s="86"/>
      <c r="EJ56" s="86"/>
      <c r="EK56" s="86"/>
      <c r="EL56" s="86"/>
      <c r="EM56" s="86"/>
      <c r="EN56" s="86"/>
      <c r="EO56" s="8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  <c r="FJ56" s="86"/>
      <c r="FK56" s="86"/>
      <c r="FL56" s="86"/>
      <c r="FM56" s="86"/>
      <c r="FN56" s="86"/>
      <c r="FO56" s="86"/>
      <c r="FP56" s="83">
        <v>0</v>
      </c>
      <c r="FQ56" s="83">
        <v>21</v>
      </c>
      <c r="FR56" s="83">
        <v>0</v>
      </c>
      <c r="FS56" s="83">
        <v>3</v>
      </c>
      <c r="FT56" s="83">
        <v>0</v>
      </c>
      <c r="FU56" s="83">
        <v>4</v>
      </c>
      <c r="FV56" s="83">
        <v>0</v>
      </c>
      <c r="FW56" s="83">
        <v>6</v>
      </c>
      <c r="FX56" s="83">
        <v>0</v>
      </c>
      <c r="FY56" s="83">
        <v>2</v>
      </c>
      <c r="FZ56" s="83">
        <v>0</v>
      </c>
      <c r="GA56" s="83">
        <v>2</v>
      </c>
      <c r="GB56" s="83">
        <v>0</v>
      </c>
      <c r="GC56" s="83">
        <v>4</v>
      </c>
      <c r="GD56" s="83">
        <v>0</v>
      </c>
      <c r="GE56" s="83">
        <v>7</v>
      </c>
      <c r="GF56" s="83">
        <v>0</v>
      </c>
      <c r="GG56" s="83">
        <v>7</v>
      </c>
      <c r="GH56" s="83">
        <v>0</v>
      </c>
      <c r="GI56" s="83">
        <v>4</v>
      </c>
      <c r="GJ56" s="83">
        <v>0</v>
      </c>
      <c r="GK56" s="83">
        <v>3</v>
      </c>
      <c r="GL56" s="83">
        <v>0</v>
      </c>
      <c r="GM56" s="83">
        <v>3</v>
      </c>
      <c r="GN56" s="83">
        <v>0</v>
      </c>
      <c r="GO56" s="83">
        <v>5</v>
      </c>
      <c r="GP56" s="83">
        <v>0</v>
      </c>
      <c r="GQ56" s="83">
        <v>4</v>
      </c>
      <c r="GR56" s="83">
        <v>0</v>
      </c>
      <c r="GS56" s="83">
        <v>1</v>
      </c>
      <c r="GT56" s="83">
        <v>1</v>
      </c>
      <c r="GU56" s="83">
        <v>2</v>
      </c>
      <c r="GV56" s="83">
        <v>0</v>
      </c>
      <c r="GW56" s="83">
        <v>3</v>
      </c>
      <c r="GX56" s="83">
        <v>1</v>
      </c>
      <c r="GY56" s="83">
        <v>4</v>
      </c>
      <c r="GZ56" s="83">
        <v>0</v>
      </c>
      <c r="HA56" s="83">
        <v>4</v>
      </c>
      <c r="HB56" s="83">
        <v>0</v>
      </c>
      <c r="HC56" s="83">
        <v>4</v>
      </c>
      <c r="HD56" s="83">
        <v>0</v>
      </c>
      <c r="HE56" s="83">
        <v>8</v>
      </c>
      <c r="HF56" s="83">
        <v>0</v>
      </c>
      <c r="HG56" s="83">
        <v>3</v>
      </c>
      <c r="HH56" s="83">
        <v>0</v>
      </c>
      <c r="HI56" s="83">
        <v>5</v>
      </c>
      <c r="HJ56" s="83">
        <v>0</v>
      </c>
      <c r="HK56" s="83">
        <v>3</v>
      </c>
      <c r="HL56" s="83">
        <v>0</v>
      </c>
      <c r="HM56" s="83">
        <v>4</v>
      </c>
      <c r="HN56" s="83">
        <v>0</v>
      </c>
      <c r="HO56" s="83">
        <v>2</v>
      </c>
      <c r="HP56" s="83">
        <v>0</v>
      </c>
      <c r="HQ56" s="83">
        <v>3</v>
      </c>
      <c r="HR56" s="83">
        <v>0</v>
      </c>
      <c r="HS56" s="83">
        <v>2</v>
      </c>
      <c r="HT56" s="83">
        <v>0</v>
      </c>
      <c r="HU56" s="83">
        <v>4</v>
      </c>
      <c r="HV56" s="83">
        <v>0</v>
      </c>
      <c r="HW56" s="83">
        <v>1</v>
      </c>
      <c r="HX56" s="83">
        <v>0</v>
      </c>
      <c r="HY56" s="83">
        <v>3</v>
      </c>
      <c r="HZ56" s="83">
        <v>0</v>
      </c>
      <c r="IA56" s="83">
        <v>1</v>
      </c>
      <c r="IB56" s="83">
        <v>0</v>
      </c>
      <c r="IC56" s="83">
        <v>1</v>
      </c>
      <c r="ID56" s="83">
        <v>0</v>
      </c>
      <c r="IE56" s="83">
        <v>2</v>
      </c>
      <c r="IF56" s="83">
        <v>0</v>
      </c>
      <c r="IG56" s="83">
        <v>3</v>
      </c>
      <c r="IH56" s="83">
        <v>0</v>
      </c>
      <c r="II56" s="83">
        <v>3</v>
      </c>
      <c r="IJ56" s="83">
        <v>0</v>
      </c>
      <c r="IK56" s="83">
        <v>10</v>
      </c>
      <c r="IL56" s="83">
        <v>0</v>
      </c>
      <c r="IM56" s="83">
        <v>2</v>
      </c>
      <c r="IN56" s="83">
        <v>0</v>
      </c>
      <c r="IO56" s="83">
        <v>1</v>
      </c>
      <c r="IP56" s="83">
        <v>0</v>
      </c>
      <c r="IQ56" s="83">
        <v>3</v>
      </c>
      <c r="IR56" s="83">
        <v>0</v>
      </c>
      <c r="IS56" s="83">
        <v>7</v>
      </c>
      <c r="IT56" s="83">
        <v>0</v>
      </c>
      <c r="IU56" s="83">
        <v>4</v>
      </c>
      <c r="IV56" s="83">
        <v>0</v>
      </c>
      <c r="IW56" s="83">
        <v>0</v>
      </c>
      <c r="IX56" s="83">
        <v>0</v>
      </c>
      <c r="IY56" s="83">
        <v>10</v>
      </c>
      <c r="IZ56" s="83">
        <v>0</v>
      </c>
      <c r="JA56" s="83">
        <v>6</v>
      </c>
      <c r="JB56" s="83">
        <v>0</v>
      </c>
      <c r="JC56" s="83">
        <v>6</v>
      </c>
      <c r="JD56" s="83">
        <v>0</v>
      </c>
      <c r="JE56" s="83">
        <v>9</v>
      </c>
    </row>
    <row r="57" spans="1:265" ht="42" x14ac:dyDescent="0.15">
      <c r="A57" s="65">
        <v>3.13</v>
      </c>
      <c r="B57" s="66" t="s">
        <v>98</v>
      </c>
      <c r="C57" s="79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6"/>
      <c r="CN57" s="81"/>
      <c r="CO57" s="86"/>
      <c r="CP57" s="81"/>
      <c r="CQ57" s="86"/>
      <c r="CR57" s="81"/>
      <c r="CS57" s="86"/>
      <c r="CT57" s="81"/>
      <c r="CU57" s="86"/>
      <c r="CV57" s="81"/>
      <c r="CW57" s="86"/>
      <c r="CX57" s="81"/>
      <c r="CY57" s="86"/>
      <c r="CZ57" s="81"/>
      <c r="DA57" s="86"/>
      <c r="DB57" s="81"/>
      <c r="DC57" s="86"/>
      <c r="DD57" s="81"/>
      <c r="DE57" s="86"/>
      <c r="DF57" s="81"/>
      <c r="DG57" s="86"/>
      <c r="DH57" s="81"/>
      <c r="DI57" s="86"/>
      <c r="DJ57" s="81"/>
      <c r="DK57" s="86"/>
      <c r="DL57" s="81"/>
      <c r="DM57" s="86"/>
      <c r="DN57" s="81"/>
      <c r="DO57" s="86"/>
      <c r="DP57" s="81"/>
      <c r="DQ57" s="86"/>
      <c r="DR57" s="81"/>
      <c r="DS57" s="86"/>
      <c r="DT57" s="81"/>
      <c r="DU57" s="86"/>
      <c r="DV57" s="81"/>
      <c r="DW57" s="86"/>
      <c r="DX57" s="81"/>
      <c r="DY57" s="86"/>
      <c r="DZ57" s="81"/>
      <c r="EA57" s="86"/>
      <c r="EB57" s="81"/>
      <c r="EC57" s="86"/>
      <c r="ED57" s="81"/>
      <c r="EE57" s="86"/>
      <c r="EF57" s="81"/>
      <c r="EG57" s="87"/>
      <c r="EH57" s="88"/>
      <c r="EI57" s="86"/>
      <c r="EJ57" s="86"/>
      <c r="EK57" s="86"/>
      <c r="EL57" s="86"/>
      <c r="EM57" s="86"/>
      <c r="EN57" s="86"/>
      <c r="EO57" s="8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  <c r="FJ57" s="86"/>
      <c r="FK57" s="86"/>
      <c r="FL57" s="86"/>
      <c r="FM57" s="86"/>
      <c r="FN57" s="86"/>
      <c r="FO57" s="86"/>
      <c r="FP57" s="83">
        <v>2</v>
      </c>
      <c r="FQ57" s="83">
        <v>11</v>
      </c>
      <c r="FR57" s="83">
        <v>7</v>
      </c>
      <c r="FS57" s="83">
        <v>39</v>
      </c>
      <c r="FT57" s="83">
        <v>9</v>
      </c>
      <c r="FU57" s="83">
        <v>50</v>
      </c>
      <c r="FV57" s="83">
        <v>3</v>
      </c>
      <c r="FW57" s="83">
        <v>43</v>
      </c>
      <c r="FX57" s="83">
        <v>3</v>
      </c>
      <c r="FY57" s="83">
        <v>44</v>
      </c>
      <c r="FZ57" s="83">
        <v>5</v>
      </c>
      <c r="GA57" s="83">
        <v>53</v>
      </c>
      <c r="GB57" s="83">
        <v>5</v>
      </c>
      <c r="GC57" s="83">
        <v>58</v>
      </c>
      <c r="GD57" s="83">
        <v>7</v>
      </c>
      <c r="GE57" s="83">
        <v>86</v>
      </c>
      <c r="GF57" s="83">
        <v>6</v>
      </c>
      <c r="GG57" s="83">
        <v>70</v>
      </c>
      <c r="GH57" s="83">
        <v>6</v>
      </c>
      <c r="GI57" s="83">
        <v>80</v>
      </c>
      <c r="GJ57" s="83">
        <v>9</v>
      </c>
      <c r="GK57" s="83">
        <v>87</v>
      </c>
      <c r="GL57" s="83">
        <v>8</v>
      </c>
      <c r="GM57" s="83">
        <v>84</v>
      </c>
      <c r="GN57" s="83">
        <v>6</v>
      </c>
      <c r="GO57" s="83">
        <v>73</v>
      </c>
      <c r="GP57" s="83">
        <v>3</v>
      </c>
      <c r="GQ57" s="83">
        <v>68</v>
      </c>
      <c r="GR57" s="83">
        <v>4</v>
      </c>
      <c r="GS57" s="83">
        <v>72</v>
      </c>
      <c r="GT57" s="83">
        <v>6</v>
      </c>
      <c r="GU57" s="83">
        <v>57</v>
      </c>
      <c r="GV57" s="83">
        <v>10</v>
      </c>
      <c r="GW57" s="83">
        <v>54</v>
      </c>
      <c r="GX57" s="83">
        <v>4</v>
      </c>
      <c r="GY57" s="83">
        <v>56</v>
      </c>
      <c r="GZ57" s="83">
        <v>3</v>
      </c>
      <c r="HA57" s="83">
        <v>41</v>
      </c>
      <c r="HB57" s="83">
        <v>5</v>
      </c>
      <c r="HC57" s="83">
        <v>49</v>
      </c>
      <c r="HD57" s="83">
        <v>3</v>
      </c>
      <c r="HE57" s="83">
        <v>60</v>
      </c>
      <c r="HF57" s="83">
        <v>1</v>
      </c>
      <c r="HG57" s="83">
        <v>47</v>
      </c>
      <c r="HH57" s="83">
        <v>3</v>
      </c>
      <c r="HI57" s="83">
        <v>49</v>
      </c>
      <c r="HJ57" s="83">
        <v>5</v>
      </c>
      <c r="HK57" s="83">
        <v>50</v>
      </c>
      <c r="HL57" s="83">
        <v>4</v>
      </c>
      <c r="HM57" s="83">
        <v>54</v>
      </c>
      <c r="HN57" s="83">
        <v>2</v>
      </c>
      <c r="HO57" s="83">
        <v>44</v>
      </c>
      <c r="HP57" s="83">
        <v>3</v>
      </c>
      <c r="HQ57" s="83">
        <v>68</v>
      </c>
      <c r="HR57" s="83">
        <v>12</v>
      </c>
      <c r="HS57" s="83">
        <v>65</v>
      </c>
      <c r="HT57" s="83">
        <v>4</v>
      </c>
      <c r="HU57" s="83">
        <v>45</v>
      </c>
      <c r="HV57" s="83">
        <v>2</v>
      </c>
      <c r="HW57" s="83">
        <v>23</v>
      </c>
      <c r="HX57" s="83">
        <v>4</v>
      </c>
      <c r="HY57" s="83">
        <v>37</v>
      </c>
      <c r="HZ57" s="83">
        <v>6</v>
      </c>
      <c r="IA57" s="83">
        <v>42</v>
      </c>
      <c r="IB57" s="83">
        <v>4</v>
      </c>
      <c r="IC57" s="83">
        <v>58</v>
      </c>
      <c r="ID57" s="83">
        <v>9</v>
      </c>
      <c r="IE57" s="83">
        <v>48</v>
      </c>
      <c r="IF57" s="83">
        <v>8</v>
      </c>
      <c r="IG57" s="83">
        <v>55</v>
      </c>
      <c r="IH57" s="83">
        <v>3</v>
      </c>
      <c r="II57" s="83">
        <v>46</v>
      </c>
      <c r="IJ57" s="83">
        <v>11</v>
      </c>
      <c r="IK57" s="83">
        <v>54</v>
      </c>
      <c r="IL57" s="83">
        <v>5</v>
      </c>
      <c r="IM57" s="83">
        <v>49</v>
      </c>
      <c r="IN57" s="83">
        <v>4</v>
      </c>
      <c r="IO57" s="83">
        <v>57</v>
      </c>
      <c r="IP57" s="83">
        <v>3</v>
      </c>
      <c r="IQ57" s="83">
        <v>39</v>
      </c>
      <c r="IR57" s="83">
        <v>4</v>
      </c>
      <c r="IS57" s="83">
        <v>48</v>
      </c>
      <c r="IT57" s="83">
        <v>10</v>
      </c>
      <c r="IU57" s="83">
        <v>46</v>
      </c>
      <c r="IV57" s="83">
        <v>7</v>
      </c>
      <c r="IW57" s="83">
        <v>48</v>
      </c>
      <c r="IX57" s="83">
        <v>6</v>
      </c>
      <c r="IY57" s="83">
        <v>44</v>
      </c>
      <c r="IZ57" s="83">
        <v>13</v>
      </c>
      <c r="JA57" s="83">
        <v>41</v>
      </c>
      <c r="JB57" s="83">
        <v>14</v>
      </c>
      <c r="JC57" s="83">
        <v>53</v>
      </c>
      <c r="JD57" s="83">
        <v>10</v>
      </c>
      <c r="JE57" s="83">
        <v>55</v>
      </c>
    </row>
    <row r="58" spans="1:265" ht="14" x14ac:dyDescent="0.15">
      <c r="A58" s="51"/>
      <c r="B58" s="53" t="s">
        <v>99</v>
      </c>
      <c r="C58" s="53" t="s">
        <v>99</v>
      </c>
      <c r="D58" s="89">
        <f t="shared" ref="D58:BO58" si="8">SUM(D45:D57)</f>
        <v>5</v>
      </c>
      <c r="E58" s="89">
        <f t="shared" si="8"/>
        <v>126</v>
      </c>
      <c r="F58" s="89">
        <f t="shared" si="8"/>
        <v>4</v>
      </c>
      <c r="G58" s="89">
        <f t="shared" si="8"/>
        <v>107</v>
      </c>
      <c r="H58" s="89">
        <f t="shared" si="8"/>
        <v>2</v>
      </c>
      <c r="I58" s="89">
        <f t="shared" si="8"/>
        <v>97</v>
      </c>
      <c r="J58" s="89">
        <f t="shared" si="8"/>
        <v>3</v>
      </c>
      <c r="K58" s="89">
        <f t="shared" si="8"/>
        <v>119</v>
      </c>
      <c r="L58" s="89">
        <f t="shared" si="8"/>
        <v>3</v>
      </c>
      <c r="M58" s="89">
        <f t="shared" si="8"/>
        <v>199</v>
      </c>
      <c r="N58" s="89">
        <f t="shared" si="8"/>
        <v>3</v>
      </c>
      <c r="O58" s="89">
        <f t="shared" si="8"/>
        <v>228</v>
      </c>
      <c r="P58" s="89">
        <f t="shared" si="8"/>
        <v>1</v>
      </c>
      <c r="Q58" s="89">
        <f t="shared" si="8"/>
        <v>65</v>
      </c>
      <c r="R58" s="89">
        <f t="shared" si="8"/>
        <v>1</v>
      </c>
      <c r="S58" s="89">
        <f t="shared" si="8"/>
        <v>40</v>
      </c>
      <c r="T58" s="89">
        <f t="shared" si="8"/>
        <v>1</v>
      </c>
      <c r="U58" s="89">
        <f t="shared" si="8"/>
        <v>211</v>
      </c>
      <c r="V58" s="89">
        <f t="shared" si="8"/>
        <v>3</v>
      </c>
      <c r="W58" s="89">
        <f t="shared" si="8"/>
        <v>225</v>
      </c>
      <c r="X58" s="89">
        <f t="shared" si="8"/>
        <v>0</v>
      </c>
      <c r="Y58" s="89">
        <f t="shared" si="8"/>
        <v>250</v>
      </c>
      <c r="Z58" s="89">
        <f t="shared" si="8"/>
        <v>4</v>
      </c>
      <c r="AA58" s="89">
        <f t="shared" si="8"/>
        <v>182</v>
      </c>
      <c r="AB58" s="89">
        <f t="shared" si="8"/>
        <v>0</v>
      </c>
      <c r="AC58" s="89">
        <f t="shared" si="8"/>
        <v>94</v>
      </c>
      <c r="AD58" s="89">
        <f t="shared" si="8"/>
        <v>0</v>
      </c>
      <c r="AE58" s="89">
        <f t="shared" si="8"/>
        <v>84</v>
      </c>
      <c r="AF58" s="89">
        <f t="shared" si="8"/>
        <v>2</v>
      </c>
      <c r="AG58" s="89">
        <f t="shared" si="8"/>
        <v>77</v>
      </c>
      <c r="AH58" s="89">
        <f t="shared" si="8"/>
        <v>4</v>
      </c>
      <c r="AI58" s="89">
        <f t="shared" si="8"/>
        <v>159</v>
      </c>
      <c r="AJ58" s="89">
        <f t="shared" si="8"/>
        <v>0</v>
      </c>
      <c r="AK58" s="89">
        <f t="shared" si="8"/>
        <v>188</v>
      </c>
      <c r="AL58" s="89">
        <f t="shared" si="8"/>
        <v>1</v>
      </c>
      <c r="AM58" s="89">
        <f t="shared" si="8"/>
        <v>81</v>
      </c>
      <c r="AN58" s="89">
        <f t="shared" si="8"/>
        <v>2</v>
      </c>
      <c r="AO58" s="89">
        <f t="shared" si="8"/>
        <v>107</v>
      </c>
      <c r="AP58" s="89">
        <f t="shared" si="8"/>
        <v>1</v>
      </c>
      <c r="AQ58" s="89">
        <f t="shared" si="8"/>
        <v>186</v>
      </c>
      <c r="AR58" s="89">
        <f t="shared" si="8"/>
        <v>0</v>
      </c>
      <c r="AS58" s="89">
        <f t="shared" si="8"/>
        <v>67</v>
      </c>
      <c r="AT58" s="89">
        <f t="shared" si="8"/>
        <v>0</v>
      </c>
      <c r="AU58" s="89">
        <f t="shared" si="8"/>
        <v>66</v>
      </c>
      <c r="AV58" s="89">
        <f t="shared" si="8"/>
        <v>2</v>
      </c>
      <c r="AW58" s="89">
        <f t="shared" si="8"/>
        <v>41</v>
      </c>
      <c r="AX58" s="89">
        <f t="shared" si="8"/>
        <v>0</v>
      </c>
      <c r="AY58" s="89">
        <f t="shared" si="8"/>
        <v>38</v>
      </c>
      <c r="AZ58" s="89">
        <f t="shared" si="8"/>
        <v>2</v>
      </c>
      <c r="BA58" s="89">
        <f t="shared" si="8"/>
        <v>28</v>
      </c>
      <c r="BB58" s="89">
        <f t="shared" si="8"/>
        <v>1</v>
      </c>
      <c r="BC58" s="89">
        <f t="shared" si="8"/>
        <v>32</v>
      </c>
      <c r="BD58" s="89">
        <f t="shared" si="8"/>
        <v>0</v>
      </c>
      <c r="BE58" s="89">
        <f t="shared" si="8"/>
        <v>35</v>
      </c>
      <c r="BF58" s="89">
        <f t="shared" si="8"/>
        <v>0</v>
      </c>
      <c r="BG58" s="89">
        <f t="shared" si="8"/>
        <v>37</v>
      </c>
      <c r="BH58" s="89">
        <f t="shared" si="8"/>
        <v>0</v>
      </c>
      <c r="BI58" s="89">
        <f t="shared" si="8"/>
        <v>0</v>
      </c>
      <c r="BJ58" s="89">
        <f t="shared" si="8"/>
        <v>1</v>
      </c>
      <c r="BK58" s="89">
        <f t="shared" si="8"/>
        <v>106</v>
      </c>
      <c r="BL58" s="89">
        <f t="shared" si="8"/>
        <v>3</v>
      </c>
      <c r="BM58" s="89">
        <f t="shared" si="8"/>
        <v>99</v>
      </c>
      <c r="BN58" s="89">
        <f t="shared" si="8"/>
        <v>1</v>
      </c>
      <c r="BO58" s="89">
        <f t="shared" si="8"/>
        <v>73</v>
      </c>
      <c r="BP58" s="89">
        <f t="shared" ref="BP58:EA58" si="9">SUM(BP45:BP57)</f>
        <v>0</v>
      </c>
      <c r="BQ58" s="89">
        <f t="shared" si="9"/>
        <v>74</v>
      </c>
      <c r="BR58" s="89">
        <f t="shared" si="9"/>
        <v>1</v>
      </c>
      <c r="BS58" s="89">
        <f t="shared" si="9"/>
        <v>68</v>
      </c>
      <c r="BT58" s="89">
        <f t="shared" si="9"/>
        <v>4</v>
      </c>
      <c r="BU58" s="89">
        <f t="shared" si="9"/>
        <v>77</v>
      </c>
      <c r="BV58" s="89">
        <f t="shared" si="9"/>
        <v>2</v>
      </c>
      <c r="BW58" s="89">
        <f t="shared" si="9"/>
        <v>61</v>
      </c>
      <c r="BX58" s="89">
        <f t="shared" si="9"/>
        <v>0</v>
      </c>
      <c r="BY58" s="89">
        <f t="shared" si="9"/>
        <v>62</v>
      </c>
      <c r="BZ58" s="89">
        <f t="shared" si="9"/>
        <v>2</v>
      </c>
      <c r="CA58" s="89">
        <f t="shared" si="9"/>
        <v>65</v>
      </c>
      <c r="CB58" s="89">
        <f t="shared" si="9"/>
        <v>1</v>
      </c>
      <c r="CC58" s="89">
        <f t="shared" si="9"/>
        <v>70</v>
      </c>
      <c r="CD58" s="89">
        <f t="shared" si="9"/>
        <v>0</v>
      </c>
      <c r="CE58" s="89">
        <f t="shared" si="9"/>
        <v>78</v>
      </c>
      <c r="CF58" s="89">
        <f t="shared" si="9"/>
        <v>0</v>
      </c>
      <c r="CG58" s="89">
        <f t="shared" si="9"/>
        <v>66</v>
      </c>
      <c r="CH58" s="89">
        <f t="shared" si="9"/>
        <v>3</v>
      </c>
      <c r="CI58" s="89">
        <f t="shared" si="9"/>
        <v>94</v>
      </c>
      <c r="CJ58" s="89">
        <f t="shared" si="9"/>
        <v>3</v>
      </c>
      <c r="CK58" s="89">
        <f t="shared" si="9"/>
        <v>79</v>
      </c>
      <c r="CL58" s="89">
        <f t="shared" si="9"/>
        <v>2</v>
      </c>
      <c r="CM58" s="89">
        <f t="shared" si="9"/>
        <v>77</v>
      </c>
      <c r="CN58" s="89">
        <f t="shared" si="9"/>
        <v>1</v>
      </c>
      <c r="CO58" s="89">
        <f t="shared" si="9"/>
        <v>66</v>
      </c>
      <c r="CP58" s="89">
        <f t="shared" si="9"/>
        <v>1</v>
      </c>
      <c r="CQ58" s="89">
        <f t="shared" si="9"/>
        <v>79</v>
      </c>
      <c r="CR58" s="89">
        <f t="shared" si="9"/>
        <v>3</v>
      </c>
      <c r="CS58" s="89">
        <f t="shared" si="9"/>
        <v>78</v>
      </c>
      <c r="CT58" s="89">
        <f t="shared" si="9"/>
        <v>2</v>
      </c>
      <c r="CU58" s="89">
        <f t="shared" si="9"/>
        <v>84</v>
      </c>
      <c r="CV58" s="89">
        <f t="shared" si="9"/>
        <v>1</v>
      </c>
      <c r="CW58" s="89">
        <f t="shared" si="9"/>
        <v>47</v>
      </c>
      <c r="CX58" s="89">
        <f t="shared" si="9"/>
        <v>1</v>
      </c>
      <c r="CY58" s="89">
        <f t="shared" si="9"/>
        <v>61</v>
      </c>
      <c r="CZ58" s="89">
        <f t="shared" si="9"/>
        <v>6</v>
      </c>
      <c r="DA58" s="89">
        <f t="shared" si="9"/>
        <v>128</v>
      </c>
      <c r="DB58" s="89">
        <f t="shared" si="9"/>
        <v>8</v>
      </c>
      <c r="DC58" s="89">
        <f t="shared" si="9"/>
        <v>102</v>
      </c>
      <c r="DD58" s="89">
        <f t="shared" si="9"/>
        <v>2</v>
      </c>
      <c r="DE58" s="89">
        <f t="shared" si="9"/>
        <v>104</v>
      </c>
      <c r="DF58" s="89">
        <f t="shared" si="9"/>
        <v>3</v>
      </c>
      <c r="DG58" s="89">
        <f t="shared" si="9"/>
        <v>95</v>
      </c>
      <c r="DH58" s="89">
        <f t="shared" si="9"/>
        <v>5</v>
      </c>
      <c r="DI58" s="89">
        <f t="shared" si="9"/>
        <v>119</v>
      </c>
      <c r="DJ58" s="89">
        <f t="shared" si="9"/>
        <v>6</v>
      </c>
      <c r="DK58" s="89">
        <f t="shared" si="9"/>
        <v>111</v>
      </c>
      <c r="DL58" s="89">
        <f t="shared" si="9"/>
        <v>3</v>
      </c>
      <c r="DM58" s="89">
        <f t="shared" si="9"/>
        <v>115</v>
      </c>
      <c r="DN58" s="89">
        <f t="shared" si="9"/>
        <v>6</v>
      </c>
      <c r="DO58" s="89">
        <f t="shared" si="9"/>
        <v>102</v>
      </c>
      <c r="DP58" s="89">
        <f t="shared" si="9"/>
        <v>3</v>
      </c>
      <c r="DQ58" s="89">
        <f t="shared" si="9"/>
        <v>120</v>
      </c>
      <c r="DR58" s="89">
        <f t="shared" si="9"/>
        <v>0</v>
      </c>
      <c r="DS58" s="89">
        <f t="shared" si="9"/>
        <v>97</v>
      </c>
      <c r="DT58" s="89">
        <f t="shared" si="9"/>
        <v>1</v>
      </c>
      <c r="DU58" s="89">
        <f t="shared" si="9"/>
        <v>127</v>
      </c>
      <c r="DV58" s="89">
        <f t="shared" si="9"/>
        <v>4</v>
      </c>
      <c r="DW58" s="89">
        <f t="shared" si="9"/>
        <v>96</v>
      </c>
      <c r="DX58" s="89">
        <f t="shared" si="9"/>
        <v>2</v>
      </c>
      <c r="DY58" s="89">
        <f t="shared" si="9"/>
        <v>121</v>
      </c>
      <c r="DZ58" s="89">
        <f t="shared" si="9"/>
        <v>4</v>
      </c>
      <c r="EA58" s="89">
        <f t="shared" si="9"/>
        <v>121</v>
      </c>
      <c r="EB58" s="89">
        <f t="shared" ref="EB58:GM58" si="10">SUM(EB45:EB57)</f>
        <v>3</v>
      </c>
      <c r="EC58" s="89">
        <f t="shared" si="10"/>
        <v>102</v>
      </c>
      <c r="ED58" s="89">
        <f t="shared" si="10"/>
        <v>1</v>
      </c>
      <c r="EE58" s="89">
        <f t="shared" si="10"/>
        <v>85</v>
      </c>
      <c r="EF58" s="89">
        <f t="shared" si="10"/>
        <v>1</v>
      </c>
      <c r="EG58" s="89">
        <f t="shared" si="10"/>
        <v>118</v>
      </c>
      <c r="EH58" s="56">
        <f t="shared" si="10"/>
        <v>2</v>
      </c>
      <c r="EI58" s="89">
        <f t="shared" si="10"/>
        <v>95</v>
      </c>
      <c r="EJ58" s="89">
        <f t="shared" si="10"/>
        <v>4</v>
      </c>
      <c r="EK58" s="89">
        <f t="shared" si="10"/>
        <v>99</v>
      </c>
      <c r="EL58" s="89">
        <f t="shared" si="10"/>
        <v>0</v>
      </c>
      <c r="EM58" s="89">
        <f t="shared" si="10"/>
        <v>92</v>
      </c>
      <c r="EN58" s="89">
        <f t="shared" si="10"/>
        <v>2</v>
      </c>
      <c r="EO58" s="89">
        <f t="shared" si="10"/>
        <v>103</v>
      </c>
      <c r="EP58" s="89">
        <f t="shared" si="10"/>
        <v>2</v>
      </c>
      <c r="EQ58" s="89">
        <f t="shared" si="10"/>
        <v>69</v>
      </c>
      <c r="ER58" s="89">
        <f t="shared" si="10"/>
        <v>1</v>
      </c>
      <c r="ES58" s="89">
        <f t="shared" si="10"/>
        <v>67</v>
      </c>
      <c r="ET58" s="89">
        <f t="shared" si="10"/>
        <v>3</v>
      </c>
      <c r="EU58" s="89">
        <f t="shared" si="10"/>
        <v>65</v>
      </c>
      <c r="EV58" s="89">
        <f t="shared" si="10"/>
        <v>3</v>
      </c>
      <c r="EW58" s="89">
        <f t="shared" si="10"/>
        <v>31</v>
      </c>
      <c r="EX58" s="89">
        <f t="shared" si="10"/>
        <v>1</v>
      </c>
      <c r="EY58" s="89">
        <f t="shared" si="10"/>
        <v>62</v>
      </c>
      <c r="EZ58" s="89">
        <f t="shared" si="10"/>
        <v>1</v>
      </c>
      <c r="FA58" s="89">
        <f t="shared" si="10"/>
        <v>54</v>
      </c>
      <c r="FB58" s="89">
        <f t="shared" si="10"/>
        <v>0</v>
      </c>
      <c r="FC58" s="89">
        <f t="shared" si="10"/>
        <v>0</v>
      </c>
      <c r="FD58" s="89">
        <f t="shared" si="10"/>
        <v>0</v>
      </c>
      <c r="FE58" s="89">
        <f t="shared" si="10"/>
        <v>0</v>
      </c>
      <c r="FF58" s="89">
        <f t="shared" si="10"/>
        <v>0</v>
      </c>
      <c r="FG58" s="89">
        <f t="shared" si="10"/>
        <v>0</v>
      </c>
      <c r="FH58" s="89">
        <f t="shared" si="10"/>
        <v>0</v>
      </c>
      <c r="FI58" s="89">
        <f t="shared" si="10"/>
        <v>0</v>
      </c>
      <c r="FJ58" s="89">
        <f t="shared" si="10"/>
        <v>0</v>
      </c>
      <c r="FK58" s="89">
        <f t="shared" si="10"/>
        <v>0</v>
      </c>
      <c r="FL58" s="89">
        <f t="shared" si="10"/>
        <v>0</v>
      </c>
      <c r="FM58" s="89">
        <f t="shared" si="10"/>
        <v>0</v>
      </c>
      <c r="FN58" s="89">
        <f t="shared" si="10"/>
        <v>0</v>
      </c>
      <c r="FO58" s="89">
        <f t="shared" si="10"/>
        <v>0</v>
      </c>
      <c r="FP58" s="89">
        <f t="shared" si="10"/>
        <v>2</v>
      </c>
      <c r="FQ58" s="89">
        <f t="shared" si="10"/>
        <v>32</v>
      </c>
      <c r="FR58" s="89">
        <f t="shared" si="10"/>
        <v>7</v>
      </c>
      <c r="FS58" s="89">
        <f t="shared" si="10"/>
        <v>42</v>
      </c>
      <c r="FT58" s="89">
        <f t="shared" si="10"/>
        <v>9</v>
      </c>
      <c r="FU58" s="89">
        <f t="shared" si="10"/>
        <v>54</v>
      </c>
      <c r="FV58" s="89">
        <f t="shared" si="10"/>
        <v>3</v>
      </c>
      <c r="FW58" s="89">
        <f t="shared" si="10"/>
        <v>49</v>
      </c>
      <c r="FX58" s="89">
        <f t="shared" si="10"/>
        <v>3</v>
      </c>
      <c r="FY58" s="89">
        <f t="shared" si="10"/>
        <v>46</v>
      </c>
      <c r="FZ58" s="89">
        <f t="shared" si="10"/>
        <v>5</v>
      </c>
      <c r="GA58" s="89">
        <f t="shared" si="10"/>
        <v>55</v>
      </c>
      <c r="GB58" s="89">
        <f t="shared" si="10"/>
        <v>5</v>
      </c>
      <c r="GC58" s="89">
        <f t="shared" si="10"/>
        <v>62</v>
      </c>
      <c r="GD58" s="89">
        <f t="shared" si="10"/>
        <v>7</v>
      </c>
      <c r="GE58" s="89">
        <f t="shared" si="10"/>
        <v>93</v>
      </c>
      <c r="GF58" s="89">
        <f t="shared" si="10"/>
        <v>6</v>
      </c>
      <c r="GG58" s="89">
        <f t="shared" si="10"/>
        <v>77</v>
      </c>
      <c r="GH58" s="89">
        <f t="shared" si="10"/>
        <v>6</v>
      </c>
      <c r="GI58" s="89">
        <f t="shared" si="10"/>
        <v>84</v>
      </c>
      <c r="GJ58" s="89">
        <f t="shared" si="10"/>
        <v>9</v>
      </c>
      <c r="GK58" s="89">
        <f t="shared" si="10"/>
        <v>90</v>
      </c>
      <c r="GL58" s="89">
        <f t="shared" si="10"/>
        <v>8</v>
      </c>
      <c r="GM58" s="89">
        <f t="shared" si="10"/>
        <v>87</v>
      </c>
      <c r="GN58" s="89">
        <f t="shared" ref="GN58:IZ58" si="11">SUM(GN45:GN57)</f>
        <v>6</v>
      </c>
      <c r="GO58" s="89">
        <f t="shared" si="11"/>
        <v>78</v>
      </c>
      <c r="GP58" s="89">
        <f t="shared" si="11"/>
        <v>3</v>
      </c>
      <c r="GQ58" s="89">
        <f t="shared" si="11"/>
        <v>72</v>
      </c>
      <c r="GR58" s="89">
        <f t="shared" si="11"/>
        <v>4</v>
      </c>
      <c r="GS58" s="89">
        <f t="shared" si="11"/>
        <v>73</v>
      </c>
      <c r="GT58" s="89">
        <f t="shared" si="11"/>
        <v>7</v>
      </c>
      <c r="GU58" s="89">
        <f t="shared" si="11"/>
        <v>59</v>
      </c>
      <c r="GV58" s="89">
        <f t="shared" si="11"/>
        <v>10</v>
      </c>
      <c r="GW58" s="89">
        <f t="shared" si="11"/>
        <v>57</v>
      </c>
      <c r="GX58" s="89">
        <f t="shared" si="11"/>
        <v>5</v>
      </c>
      <c r="GY58" s="89">
        <f t="shared" si="11"/>
        <v>60</v>
      </c>
      <c r="GZ58" s="89">
        <f t="shared" si="11"/>
        <v>3</v>
      </c>
      <c r="HA58" s="89">
        <f t="shared" si="11"/>
        <v>45</v>
      </c>
      <c r="HB58" s="89">
        <f t="shared" si="11"/>
        <v>5</v>
      </c>
      <c r="HC58" s="89">
        <f t="shared" si="11"/>
        <v>53</v>
      </c>
      <c r="HD58" s="89">
        <f t="shared" si="11"/>
        <v>3</v>
      </c>
      <c r="HE58" s="89">
        <f t="shared" si="11"/>
        <v>68</v>
      </c>
      <c r="HF58" s="89">
        <f t="shared" si="11"/>
        <v>1</v>
      </c>
      <c r="HG58" s="89">
        <f t="shared" si="11"/>
        <v>50</v>
      </c>
      <c r="HH58" s="89">
        <f t="shared" si="11"/>
        <v>3</v>
      </c>
      <c r="HI58" s="89">
        <f t="shared" si="11"/>
        <v>54</v>
      </c>
      <c r="HJ58" s="89">
        <f t="shared" si="11"/>
        <v>5</v>
      </c>
      <c r="HK58" s="89">
        <f t="shared" si="11"/>
        <v>53</v>
      </c>
      <c r="HL58" s="89">
        <f t="shared" si="11"/>
        <v>4</v>
      </c>
      <c r="HM58" s="89">
        <f t="shared" si="11"/>
        <v>58</v>
      </c>
      <c r="HN58" s="89">
        <f t="shared" si="11"/>
        <v>2</v>
      </c>
      <c r="HO58" s="89">
        <f t="shared" si="11"/>
        <v>46</v>
      </c>
      <c r="HP58" s="89">
        <f t="shared" si="11"/>
        <v>3</v>
      </c>
      <c r="HQ58" s="89">
        <f t="shared" si="11"/>
        <v>71</v>
      </c>
      <c r="HR58" s="89">
        <f t="shared" si="11"/>
        <v>12</v>
      </c>
      <c r="HS58" s="89">
        <f t="shared" si="11"/>
        <v>67</v>
      </c>
      <c r="HT58" s="89">
        <f t="shared" si="11"/>
        <v>4</v>
      </c>
      <c r="HU58" s="89">
        <f t="shared" si="11"/>
        <v>49</v>
      </c>
      <c r="HV58" s="89">
        <f t="shared" si="11"/>
        <v>2</v>
      </c>
      <c r="HW58" s="89">
        <f t="shared" si="11"/>
        <v>24</v>
      </c>
      <c r="HX58" s="89">
        <f t="shared" si="11"/>
        <v>4</v>
      </c>
      <c r="HY58" s="89">
        <f t="shared" si="11"/>
        <v>40</v>
      </c>
      <c r="HZ58" s="89">
        <f t="shared" si="11"/>
        <v>6</v>
      </c>
      <c r="IA58" s="89">
        <f t="shared" si="11"/>
        <v>43</v>
      </c>
      <c r="IB58" s="89">
        <f t="shared" si="11"/>
        <v>4</v>
      </c>
      <c r="IC58" s="89">
        <f t="shared" si="11"/>
        <v>59</v>
      </c>
      <c r="ID58" s="89">
        <f t="shared" si="11"/>
        <v>9</v>
      </c>
      <c r="IE58" s="89">
        <f t="shared" si="11"/>
        <v>50</v>
      </c>
      <c r="IF58" s="89">
        <f t="shared" si="11"/>
        <v>8</v>
      </c>
      <c r="IG58" s="89">
        <f t="shared" si="11"/>
        <v>58</v>
      </c>
      <c r="IH58" s="89">
        <f t="shared" si="11"/>
        <v>3</v>
      </c>
      <c r="II58" s="89">
        <f t="shared" si="11"/>
        <v>49</v>
      </c>
      <c r="IJ58" s="89">
        <f t="shared" si="11"/>
        <v>11</v>
      </c>
      <c r="IK58" s="89">
        <f t="shared" si="11"/>
        <v>64</v>
      </c>
      <c r="IL58" s="89">
        <f t="shared" si="11"/>
        <v>5</v>
      </c>
      <c r="IM58" s="89">
        <f t="shared" si="11"/>
        <v>51</v>
      </c>
      <c r="IN58" s="89">
        <f t="shared" si="11"/>
        <v>4</v>
      </c>
      <c r="IO58" s="89">
        <f t="shared" si="11"/>
        <v>58</v>
      </c>
      <c r="IP58" s="89">
        <f t="shared" si="11"/>
        <v>3</v>
      </c>
      <c r="IQ58" s="89">
        <f t="shared" si="11"/>
        <v>42</v>
      </c>
      <c r="IR58" s="89">
        <f t="shared" si="11"/>
        <v>4</v>
      </c>
      <c r="IS58" s="89">
        <f t="shared" si="11"/>
        <v>55</v>
      </c>
      <c r="IT58" s="89">
        <f t="shared" si="11"/>
        <v>10</v>
      </c>
      <c r="IU58" s="89">
        <f t="shared" si="11"/>
        <v>50</v>
      </c>
      <c r="IV58" s="89">
        <f t="shared" si="11"/>
        <v>7</v>
      </c>
      <c r="IW58" s="89">
        <f t="shared" si="11"/>
        <v>48</v>
      </c>
      <c r="IX58" s="89">
        <f t="shared" si="11"/>
        <v>6</v>
      </c>
      <c r="IY58" s="89">
        <f t="shared" si="11"/>
        <v>54</v>
      </c>
      <c r="IZ58" s="89">
        <f t="shared" si="11"/>
        <v>13</v>
      </c>
      <c r="JA58" s="89">
        <f t="shared" ref="JA58:JE58" si="12">SUM(JA45:JA57)</f>
        <v>47</v>
      </c>
      <c r="JB58" s="89">
        <f t="shared" si="12"/>
        <v>14</v>
      </c>
      <c r="JC58" s="89">
        <f t="shared" si="12"/>
        <v>59</v>
      </c>
      <c r="JD58" s="89">
        <f t="shared" si="12"/>
        <v>10</v>
      </c>
      <c r="JE58" s="89">
        <f t="shared" si="12"/>
        <v>64</v>
      </c>
    </row>
    <row r="59" spans="1:265" ht="28" x14ac:dyDescent="0.15">
      <c r="A59" s="90">
        <v>2.1</v>
      </c>
      <c r="B59" s="91" t="s">
        <v>100</v>
      </c>
      <c r="C59" s="92" t="s">
        <v>101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5</v>
      </c>
      <c r="J59" s="68">
        <v>0</v>
      </c>
      <c r="K59" s="68">
        <v>51</v>
      </c>
      <c r="L59" s="68">
        <v>0</v>
      </c>
      <c r="M59" s="68">
        <v>27</v>
      </c>
      <c r="N59" s="68">
        <v>0</v>
      </c>
      <c r="O59" s="68">
        <v>71</v>
      </c>
      <c r="P59" s="68">
        <v>0</v>
      </c>
      <c r="Q59" s="68">
        <v>28</v>
      </c>
      <c r="R59" s="68">
        <v>0</v>
      </c>
      <c r="S59" s="68">
        <v>10</v>
      </c>
      <c r="T59" s="68">
        <v>0</v>
      </c>
      <c r="U59" s="68">
        <v>89</v>
      </c>
      <c r="V59" s="68">
        <v>0</v>
      </c>
      <c r="W59" s="68">
        <v>168</v>
      </c>
      <c r="X59" s="68">
        <v>1</v>
      </c>
      <c r="Y59" s="68">
        <v>166</v>
      </c>
      <c r="Z59" s="73"/>
      <c r="AA59" s="73"/>
      <c r="AB59" s="68">
        <v>0</v>
      </c>
      <c r="AC59" s="68">
        <v>8</v>
      </c>
      <c r="AD59" s="68">
        <v>1</v>
      </c>
      <c r="AE59" s="68">
        <v>1</v>
      </c>
      <c r="AF59" s="68">
        <v>0</v>
      </c>
      <c r="AG59" s="68">
        <v>5</v>
      </c>
      <c r="AH59" s="68">
        <v>0</v>
      </c>
      <c r="AI59" s="68">
        <v>1</v>
      </c>
      <c r="AJ59" s="68">
        <v>0</v>
      </c>
      <c r="AK59" s="68">
        <v>3</v>
      </c>
      <c r="AL59" s="68">
        <v>0</v>
      </c>
      <c r="AM59" s="68">
        <v>5</v>
      </c>
      <c r="AN59" s="68">
        <v>0</v>
      </c>
      <c r="AO59" s="68">
        <v>3</v>
      </c>
      <c r="AP59" s="68">
        <v>0</v>
      </c>
      <c r="AQ59" s="68">
        <v>1</v>
      </c>
      <c r="AR59" s="68">
        <v>0</v>
      </c>
      <c r="AS59" s="68">
        <v>10</v>
      </c>
      <c r="AT59" s="68">
        <v>0</v>
      </c>
      <c r="AU59" s="68">
        <v>2</v>
      </c>
      <c r="AV59" s="68">
        <v>0</v>
      </c>
      <c r="AW59" s="68">
        <v>6</v>
      </c>
      <c r="AX59" s="68">
        <v>1</v>
      </c>
      <c r="AY59" s="68">
        <v>7</v>
      </c>
      <c r="AZ59" s="68">
        <v>0</v>
      </c>
      <c r="BA59" s="68">
        <v>2</v>
      </c>
      <c r="BB59" s="68">
        <v>0</v>
      </c>
      <c r="BC59" s="68">
        <v>2</v>
      </c>
      <c r="BD59" s="68">
        <v>0</v>
      </c>
      <c r="BE59" s="68">
        <v>6</v>
      </c>
      <c r="BF59" s="68">
        <v>0</v>
      </c>
      <c r="BG59" s="68">
        <v>1</v>
      </c>
      <c r="BH59" s="68">
        <v>0</v>
      </c>
      <c r="BI59" s="68">
        <v>5</v>
      </c>
      <c r="BJ59" s="68">
        <v>0</v>
      </c>
      <c r="BK59" s="68">
        <v>0</v>
      </c>
      <c r="BL59" s="68">
        <v>0</v>
      </c>
      <c r="BM59" s="68">
        <v>3</v>
      </c>
      <c r="BN59" s="68">
        <v>0</v>
      </c>
      <c r="BO59" s="68">
        <v>1</v>
      </c>
      <c r="BP59" s="68">
        <v>0</v>
      </c>
      <c r="BQ59" s="68">
        <v>0</v>
      </c>
      <c r="BR59" s="68">
        <v>0</v>
      </c>
      <c r="BS59" s="68">
        <v>0</v>
      </c>
      <c r="BT59" s="68">
        <v>0</v>
      </c>
      <c r="BU59" s="68">
        <v>7</v>
      </c>
      <c r="BV59" s="68">
        <v>0</v>
      </c>
      <c r="BW59" s="68">
        <v>4</v>
      </c>
      <c r="BX59" s="68">
        <v>0</v>
      </c>
      <c r="BY59" s="68">
        <v>0</v>
      </c>
      <c r="BZ59" s="68">
        <v>0</v>
      </c>
      <c r="CA59" s="68">
        <v>2</v>
      </c>
      <c r="CB59" s="68">
        <v>0</v>
      </c>
      <c r="CC59" s="68">
        <v>0</v>
      </c>
      <c r="CD59" s="68">
        <v>0</v>
      </c>
      <c r="CE59" s="68">
        <v>1</v>
      </c>
      <c r="CF59" s="68">
        <v>0</v>
      </c>
      <c r="CG59" s="68">
        <v>0</v>
      </c>
      <c r="CH59" s="68">
        <v>0</v>
      </c>
      <c r="CI59" s="68">
        <v>0</v>
      </c>
      <c r="CJ59" s="68">
        <v>0</v>
      </c>
      <c r="CK59" s="68">
        <v>0</v>
      </c>
      <c r="CL59" s="68">
        <v>0</v>
      </c>
      <c r="CM59" s="63">
        <v>0</v>
      </c>
      <c r="CN59" s="68">
        <v>0</v>
      </c>
      <c r="CO59" s="63">
        <v>0</v>
      </c>
      <c r="CP59" s="68">
        <v>0</v>
      </c>
      <c r="CQ59" s="63">
        <v>0</v>
      </c>
      <c r="CR59" s="68">
        <v>0</v>
      </c>
      <c r="CS59" s="63">
        <v>2</v>
      </c>
      <c r="CT59" s="68">
        <v>0</v>
      </c>
      <c r="CU59" s="63">
        <v>0</v>
      </c>
      <c r="CV59" s="68">
        <v>0</v>
      </c>
      <c r="CW59" s="63">
        <v>0</v>
      </c>
      <c r="CX59" s="68">
        <v>0</v>
      </c>
      <c r="CY59" s="63">
        <v>0</v>
      </c>
      <c r="CZ59" s="68">
        <v>0</v>
      </c>
      <c r="DA59" s="63">
        <v>9</v>
      </c>
      <c r="DB59" s="68">
        <v>0</v>
      </c>
      <c r="DC59" s="63">
        <v>6</v>
      </c>
      <c r="DD59" s="68">
        <v>0</v>
      </c>
      <c r="DE59" s="63">
        <v>0</v>
      </c>
      <c r="DF59" s="68">
        <v>0</v>
      </c>
      <c r="DG59" s="63">
        <v>0</v>
      </c>
      <c r="DH59" s="68">
        <v>0</v>
      </c>
      <c r="DI59" s="63">
        <v>0</v>
      </c>
      <c r="DJ59" s="68">
        <v>0</v>
      </c>
      <c r="DK59" s="63">
        <v>0</v>
      </c>
      <c r="DL59" s="68">
        <v>0</v>
      </c>
      <c r="DM59" s="63">
        <v>1</v>
      </c>
      <c r="DN59" s="68">
        <v>0</v>
      </c>
      <c r="DO59" s="63">
        <v>4</v>
      </c>
      <c r="DP59" s="68">
        <v>0</v>
      </c>
      <c r="DQ59" s="63">
        <v>2</v>
      </c>
      <c r="DR59" s="68">
        <v>0</v>
      </c>
      <c r="DS59" s="63">
        <v>0</v>
      </c>
      <c r="DT59" s="68">
        <v>0</v>
      </c>
      <c r="DU59" s="63">
        <v>1</v>
      </c>
      <c r="DV59" s="68">
        <v>0</v>
      </c>
      <c r="DW59" s="63">
        <v>0</v>
      </c>
      <c r="DX59" s="68">
        <v>0</v>
      </c>
      <c r="DY59" s="63">
        <v>0</v>
      </c>
      <c r="DZ59" s="68">
        <v>0</v>
      </c>
      <c r="EA59" s="63">
        <v>0</v>
      </c>
      <c r="EB59" s="68">
        <v>0</v>
      </c>
      <c r="EC59" s="63">
        <v>4</v>
      </c>
      <c r="ED59" s="68">
        <v>0</v>
      </c>
      <c r="EE59" s="63">
        <v>0</v>
      </c>
      <c r="EF59" s="68">
        <v>0</v>
      </c>
      <c r="EG59" s="70">
        <v>0</v>
      </c>
      <c r="EH59" s="71">
        <v>0</v>
      </c>
      <c r="EI59" s="63">
        <v>0</v>
      </c>
      <c r="EJ59" s="63">
        <v>0</v>
      </c>
      <c r="EK59" s="63">
        <v>1</v>
      </c>
      <c r="EL59" s="63">
        <v>0</v>
      </c>
      <c r="EM59" s="63">
        <v>2</v>
      </c>
      <c r="EN59" s="63">
        <v>0</v>
      </c>
      <c r="EO59" s="63">
        <v>0</v>
      </c>
      <c r="EP59" s="63">
        <v>0</v>
      </c>
      <c r="EQ59" s="63">
        <v>5</v>
      </c>
      <c r="ER59" s="63">
        <v>0</v>
      </c>
      <c r="ES59" s="63">
        <v>10</v>
      </c>
      <c r="ET59" s="28" t="s">
        <v>30</v>
      </c>
      <c r="EU59" s="28" t="s">
        <v>30</v>
      </c>
      <c r="EV59" s="28" t="s">
        <v>30</v>
      </c>
      <c r="EW59" s="28" t="s">
        <v>30</v>
      </c>
      <c r="EX59" s="28" t="s">
        <v>30</v>
      </c>
      <c r="EY59" s="28" t="s">
        <v>30</v>
      </c>
      <c r="EZ59" s="28" t="s">
        <v>30</v>
      </c>
      <c r="FA59" s="28" t="s">
        <v>30</v>
      </c>
      <c r="FB59" s="28" t="s">
        <v>30</v>
      </c>
      <c r="FC59" s="28" t="s">
        <v>30</v>
      </c>
      <c r="FD59" s="28" t="s">
        <v>30</v>
      </c>
      <c r="FE59" s="28" t="s">
        <v>30</v>
      </c>
      <c r="FF59" s="28" t="s">
        <v>30</v>
      </c>
      <c r="FG59" s="28" t="s">
        <v>30</v>
      </c>
      <c r="FH59" s="28" t="s">
        <v>30</v>
      </c>
      <c r="FI59" s="28" t="s">
        <v>30</v>
      </c>
      <c r="FJ59" s="28" t="s">
        <v>30</v>
      </c>
      <c r="FK59" s="28" t="s">
        <v>30</v>
      </c>
      <c r="FL59" s="28" t="s">
        <v>30</v>
      </c>
      <c r="FM59" s="28" t="s">
        <v>30</v>
      </c>
      <c r="FN59" s="28" t="s">
        <v>30</v>
      </c>
      <c r="FO59" s="28" t="s">
        <v>30</v>
      </c>
      <c r="FP59" s="28" t="s">
        <v>30</v>
      </c>
      <c r="FQ59" s="28" t="s">
        <v>30</v>
      </c>
      <c r="FR59" s="28" t="s">
        <v>30</v>
      </c>
      <c r="FS59" s="28" t="s">
        <v>30</v>
      </c>
      <c r="FT59" s="63">
        <v>2</v>
      </c>
      <c r="FU59" s="63">
        <v>20</v>
      </c>
      <c r="FV59" s="63">
        <v>0</v>
      </c>
      <c r="FW59" s="63">
        <v>0</v>
      </c>
      <c r="FX59" s="63">
        <v>2</v>
      </c>
      <c r="FY59" s="63">
        <v>34</v>
      </c>
      <c r="FZ59" s="63">
        <v>2</v>
      </c>
      <c r="GA59" s="63">
        <v>59</v>
      </c>
      <c r="GB59" s="63">
        <v>0</v>
      </c>
      <c r="GC59" s="63">
        <v>73</v>
      </c>
      <c r="GD59" s="63">
        <v>0</v>
      </c>
      <c r="GE59" s="63">
        <v>35</v>
      </c>
      <c r="GF59" s="63">
        <v>0</v>
      </c>
      <c r="GG59" s="63">
        <v>15</v>
      </c>
      <c r="GH59" s="63">
        <v>0</v>
      </c>
      <c r="GI59" s="63">
        <v>82</v>
      </c>
      <c r="GJ59" s="63">
        <v>0</v>
      </c>
      <c r="GK59" s="63">
        <v>40</v>
      </c>
      <c r="GL59" s="63">
        <v>0</v>
      </c>
      <c r="GM59" s="63">
        <v>48</v>
      </c>
      <c r="GN59" s="63">
        <v>1</v>
      </c>
      <c r="GO59" s="63">
        <v>91</v>
      </c>
      <c r="GP59" s="63">
        <v>1</v>
      </c>
      <c r="GQ59" s="63">
        <v>40</v>
      </c>
      <c r="GR59" s="63">
        <v>0</v>
      </c>
      <c r="GS59" s="63">
        <v>28</v>
      </c>
      <c r="GT59" s="63">
        <v>0</v>
      </c>
      <c r="GU59" s="63">
        <v>25</v>
      </c>
      <c r="GV59" s="63">
        <v>0</v>
      </c>
      <c r="GW59" s="63">
        <v>4</v>
      </c>
      <c r="GX59" s="63">
        <v>0</v>
      </c>
      <c r="GY59" s="63">
        <v>64</v>
      </c>
      <c r="GZ59" s="63">
        <v>0</v>
      </c>
      <c r="HA59" s="63">
        <v>25</v>
      </c>
      <c r="HB59" s="28" t="s">
        <v>30</v>
      </c>
      <c r="HC59" s="28" t="s">
        <v>30</v>
      </c>
      <c r="HD59" s="28" t="s">
        <v>30</v>
      </c>
      <c r="HE59" s="28" t="s">
        <v>30</v>
      </c>
      <c r="HF59" s="28" t="s">
        <v>30</v>
      </c>
      <c r="HG59" s="28" t="s">
        <v>30</v>
      </c>
      <c r="HH59" s="28" t="s">
        <v>30</v>
      </c>
      <c r="HI59" s="28" t="s">
        <v>30</v>
      </c>
      <c r="HJ59" s="28" t="s">
        <v>30</v>
      </c>
      <c r="HK59" s="28" t="s">
        <v>30</v>
      </c>
      <c r="HL59" s="28" t="s">
        <v>30</v>
      </c>
      <c r="HM59" s="28" t="s">
        <v>30</v>
      </c>
      <c r="HN59" s="28" t="s">
        <v>30</v>
      </c>
      <c r="HO59" s="28" t="s">
        <v>30</v>
      </c>
      <c r="HP59" s="28" t="s">
        <v>30</v>
      </c>
      <c r="HQ59" s="28" t="s">
        <v>30</v>
      </c>
      <c r="HR59" s="28" t="s">
        <v>30</v>
      </c>
      <c r="HS59" s="28" t="s">
        <v>30</v>
      </c>
      <c r="HT59" s="28" t="s">
        <v>30</v>
      </c>
      <c r="HU59" s="28" t="s">
        <v>30</v>
      </c>
      <c r="HV59" s="28" t="s">
        <v>30</v>
      </c>
      <c r="HW59" s="28" t="s">
        <v>30</v>
      </c>
      <c r="HX59" s="28" t="s">
        <v>30</v>
      </c>
      <c r="HY59" s="28" t="s">
        <v>30</v>
      </c>
      <c r="HZ59" s="28" t="s">
        <v>30</v>
      </c>
      <c r="IA59" s="28" t="s">
        <v>30</v>
      </c>
      <c r="IB59" s="28" t="s">
        <v>30</v>
      </c>
      <c r="IC59" s="28" t="s">
        <v>30</v>
      </c>
      <c r="ID59" s="28" t="s">
        <v>30</v>
      </c>
      <c r="IE59" s="28" t="s">
        <v>30</v>
      </c>
      <c r="IF59" s="28" t="s">
        <v>30</v>
      </c>
      <c r="IG59" s="28" t="s">
        <v>30</v>
      </c>
      <c r="IH59" s="28" t="s">
        <v>30</v>
      </c>
      <c r="II59" s="28" t="s">
        <v>30</v>
      </c>
      <c r="IJ59" s="28" t="s">
        <v>30</v>
      </c>
      <c r="IK59" s="28" t="s">
        <v>30</v>
      </c>
      <c r="IL59" s="28" t="s">
        <v>30</v>
      </c>
      <c r="IM59" s="28" t="s">
        <v>30</v>
      </c>
      <c r="IN59" s="28" t="s">
        <v>30</v>
      </c>
      <c r="IO59" s="28" t="s">
        <v>30</v>
      </c>
      <c r="IP59" s="28" t="s">
        <v>30</v>
      </c>
      <c r="IQ59" s="28" t="s">
        <v>30</v>
      </c>
      <c r="IR59" s="28" t="s">
        <v>30</v>
      </c>
      <c r="IS59" s="28" t="s">
        <v>30</v>
      </c>
      <c r="IT59" s="28" t="s">
        <v>30</v>
      </c>
      <c r="IU59" s="28" t="s">
        <v>30</v>
      </c>
      <c r="IV59" s="28" t="s">
        <v>30</v>
      </c>
      <c r="IW59" s="28" t="s">
        <v>30</v>
      </c>
      <c r="IX59" s="28" t="s">
        <v>30</v>
      </c>
      <c r="IY59" s="28" t="s">
        <v>30</v>
      </c>
      <c r="IZ59" s="28" t="s">
        <v>30</v>
      </c>
      <c r="JA59" s="28" t="s">
        <v>30</v>
      </c>
      <c r="JB59" s="28" t="s">
        <v>30</v>
      </c>
      <c r="JC59" s="28" t="s">
        <v>30</v>
      </c>
      <c r="JD59" s="28" t="s">
        <v>30</v>
      </c>
      <c r="JE59" s="28" t="s">
        <v>30</v>
      </c>
    </row>
    <row r="60" spans="1:265" ht="28" hidden="1" x14ac:dyDescent="0.15">
      <c r="A60" s="90">
        <v>2.2000000000000002</v>
      </c>
      <c r="B60" s="90"/>
      <c r="C60" s="93" t="s">
        <v>102</v>
      </c>
      <c r="D60" s="68">
        <v>1</v>
      </c>
      <c r="E60" s="68">
        <v>20</v>
      </c>
      <c r="F60" s="68">
        <v>0</v>
      </c>
      <c r="G60" s="68">
        <v>25</v>
      </c>
      <c r="H60" s="68">
        <v>0</v>
      </c>
      <c r="I60" s="68">
        <v>4</v>
      </c>
      <c r="J60" s="68">
        <v>0</v>
      </c>
      <c r="K60" s="68">
        <v>10</v>
      </c>
      <c r="L60" s="68">
        <v>0</v>
      </c>
      <c r="M60" s="68">
        <v>20</v>
      </c>
      <c r="N60" s="68">
        <v>0</v>
      </c>
      <c r="O60" s="68">
        <v>21</v>
      </c>
      <c r="P60" s="68">
        <v>0</v>
      </c>
      <c r="Q60" s="68">
        <v>7</v>
      </c>
      <c r="R60" s="68">
        <v>0</v>
      </c>
      <c r="S60" s="68">
        <v>0</v>
      </c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5"/>
      <c r="CN60" s="73"/>
      <c r="CO60" s="75"/>
      <c r="CP60" s="73"/>
      <c r="CQ60" s="75"/>
      <c r="CR60" s="73"/>
      <c r="CS60" s="75"/>
      <c r="CT60" s="73"/>
      <c r="CU60" s="75"/>
      <c r="CV60" s="73"/>
      <c r="CW60" s="75"/>
      <c r="CX60" s="73"/>
      <c r="CY60" s="75"/>
      <c r="CZ60" s="73"/>
      <c r="DA60" s="75"/>
      <c r="DB60" s="73"/>
      <c r="DC60" s="75"/>
      <c r="DD60" s="73"/>
      <c r="DE60" s="75"/>
      <c r="DF60" s="73"/>
      <c r="DG60" s="75"/>
      <c r="DH60" s="73"/>
      <c r="DI60" s="75"/>
      <c r="DJ60" s="73"/>
      <c r="DK60" s="75"/>
      <c r="DL60" s="73"/>
      <c r="DM60" s="75"/>
      <c r="DN60" s="73"/>
      <c r="DO60" s="75"/>
      <c r="DP60" s="73"/>
      <c r="DQ60" s="75"/>
      <c r="DR60" s="73"/>
      <c r="DS60" s="75"/>
      <c r="DT60" s="73"/>
      <c r="DU60" s="75"/>
      <c r="DV60" s="73"/>
      <c r="DW60" s="75"/>
      <c r="DX60" s="73"/>
      <c r="DY60" s="75"/>
      <c r="DZ60" s="73"/>
      <c r="EA60" s="75"/>
      <c r="EB60" s="73"/>
      <c r="EC60" s="75"/>
      <c r="ED60" s="73"/>
      <c r="EE60" s="75"/>
      <c r="EF60" s="73"/>
      <c r="EG60" s="76"/>
      <c r="EH60" s="77"/>
      <c r="EI60" s="75"/>
      <c r="EJ60" s="75"/>
      <c r="EK60" s="75"/>
      <c r="EL60" s="75"/>
      <c r="EM60" s="75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75"/>
      <c r="FF60" s="75"/>
      <c r="FG60" s="75"/>
      <c r="FH60" s="75"/>
      <c r="FI60" s="75"/>
      <c r="FJ60" s="75"/>
      <c r="FK60" s="75"/>
      <c r="FL60" s="75"/>
      <c r="FM60" s="75"/>
      <c r="FN60" s="75"/>
      <c r="FO60" s="75"/>
      <c r="FP60" s="75"/>
      <c r="FQ60" s="75"/>
      <c r="FR60" s="75"/>
      <c r="FS60" s="75"/>
      <c r="FT60" s="63"/>
      <c r="FU60" s="63"/>
      <c r="FV60" s="75"/>
      <c r="FW60" s="75"/>
      <c r="FX60" s="75"/>
      <c r="FY60" s="75"/>
      <c r="FZ60" s="75"/>
      <c r="GA60" s="75"/>
      <c r="GB60" s="75"/>
      <c r="GC60" s="75"/>
      <c r="GD60" s="75"/>
      <c r="GE60" s="75"/>
      <c r="GF60" s="75"/>
      <c r="GG60" s="75"/>
      <c r="GH60" s="75"/>
      <c r="GI60" s="75"/>
      <c r="GJ60" s="75"/>
      <c r="GK60" s="75"/>
      <c r="GL60" s="75"/>
      <c r="GM60" s="75"/>
      <c r="GN60" s="75"/>
      <c r="GO60" s="75"/>
      <c r="GP60" s="75"/>
      <c r="GQ60" s="75"/>
      <c r="GR60" s="75"/>
      <c r="GS60" s="75"/>
      <c r="GT60" s="75"/>
      <c r="GU60" s="75"/>
      <c r="GV60" s="75"/>
      <c r="GW60" s="75"/>
      <c r="GX60" s="75"/>
      <c r="GY60" s="75"/>
      <c r="GZ60" s="75"/>
      <c r="HA60" s="75"/>
      <c r="HB60" s="75"/>
      <c r="HC60" s="75"/>
      <c r="HD60" s="75"/>
      <c r="HE60" s="75"/>
      <c r="HF60" s="75"/>
      <c r="HG60" s="75"/>
      <c r="HH60" s="75"/>
      <c r="HI60" s="75"/>
      <c r="HJ60" s="75"/>
      <c r="HK60" s="75"/>
      <c r="HL60" s="75"/>
      <c r="HM60" s="75"/>
      <c r="HN60" s="75"/>
      <c r="HO60" s="75"/>
      <c r="HP60" s="75"/>
      <c r="HQ60" s="75"/>
      <c r="HR60" s="75"/>
      <c r="HS60" s="75"/>
      <c r="HT60" s="75"/>
      <c r="HU60" s="75"/>
      <c r="HV60" s="75"/>
      <c r="HW60" s="94"/>
      <c r="HX60" s="75"/>
      <c r="HY60" s="75"/>
      <c r="HZ60" s="75"/>
      <c r="IA60" s="75"/>
      <c r="IB60" s="75"/>
      <c r="IC60" s="75"/>
      <c r="ID60" s="75"/>
      <c r="IE60" s="75"/>
      <c r="IF60" s="75"/>
      <c r="IG60" s="75"/>
      <c r="IH60" s="75"/>
      <c r="II60" s="75"/>
      <c r="IJ60" s="75"/>
      <c r="IK60" s="75"/>
      <c r="IL60" s="75"/>
      <c r="IM60" s="75"/>
      <c r="IN60" s="75"/>
      <c r="IO60" s="75"/>
      <c r="IP60" s="75"/>
      <c r="IQ60" s="75"/>
      <c r="IR60" s="75"/>
      <c r="IS60" s="75"/>
      <c r="IT60" s="75"/>
      <c r="IU60" s="75"/>
      <c r="IV60" s="75"/>
      <c r="IW60" s="75"/>
      <c r="IX60" s="75"/>
      <c r="IY60" s="75"/>
      <c r="IZ60" s="75"/>
      <c r="JA60" s="75"/>
      <c r="JB60" s="75"/>
      <c r="JC60" s="75"/>
      <c r="JD60" s="75"/>
      <c r="JE60" s="75"/>
    </row>
    <row r="61" spans="1:265" ht="42" x14ac:dyDescent="0.15">
      <c r="A61" s="90">
        <v>2.2999999999999998</v>
      </c>
      <c r="B61" s="91" t="s">
        <v>103</v>
      </c>
      <c r="C61" s="92" t="s">
        <v>104</v>
      </c>
      <c r="D61" s="68">
        <v>2</v>
      </c>
      <c r="E61" s="68">
        <v>35</v>
      </c>
      <c r="F61" s="68">
        <v>0</v>
      </c>
      <c r="G61" s="68">
        <v>38</v>
      </c>
      <c r="H61" s="68">
        <v>0</v>
      </c>
      <c r="I61" s="68">
        <v>1</v>
      </c>
      <c r="J61" s="68">
        <v>0</v>
      </c>
      <c r="K61" s="68">
        <v>6</v>
      </c>
      <c r="L61" s="68">
        <v>0</v>
      </c>
      <c r="M61" s="68">
        <v>7</v>
      </c>
      <c r="N61" s="68">
        <v>0</v>
      </c>
      <c r="O61" s="68">
        <v>9</v>
      </c>
      <c r="P61" s="68">
        <v>0</v>
      </c>
      <c r="Q61" s="68">
        <v>0</v>
      </c>
      <c r="R61" s="68">
        <v>0</v>
      </c>
      <c r="S61" s="68">
        <v>0</v>
      </c>
      <c r="T61" s="68">
        <v>0</v>
      </c>
      <c r="U61" s="68">
        <v>7</v>
      </c>
      <c r="V61" s="68">
        <v>0</v>
      </c>
      <c r="W61" s="68">
        <v>7</v>
      </c>
      <c r="X61" s="68">
        <v>0</v>
      </c>
      <c r="Y61" s="68">
        <v>7</v>
      </c>
      <c r="Z61" s="68">
        <v>0</v>
      </c>
      <c r="AA61" s="68">
        <v>13</v>
      </c>
      <c r="AB61" s="68">
        <v>0</v>
      </c>
      <c r="AC61" s="68">
        <v>19</v>
      </c>
      <c r="AD61" s="68">
        <v>0</v>
      </c>
      <c r="AE61" s="68">
        <v>8</v>
      </c>
      <c r="AF61" s="68">
        <v>0</v>
      </c>
      <c r="AG61" s="68">
        <v>11</v>
      </c>
      <c r="AH61" s="68">
        <v>0</v>
      </c>
      <c r="AI61" s="68">
        <v>2</v>
      </c>
      <c r="AJ61" s="68">
        <v>0</v>
      </c>
      <c r="AK61" s="68">
        <v>7</v>
      </c>
      <c r="AL61" s="68">
        <v>0</v>
      </c>
      <c r="AM61" s="68">
        <v>14</v>
      </c>
      <c r="AN61" s="68">
        <v>0</v>
      </c>
      <c r="AO61" s="68">
        <v>10</v>
      </c>
      <c r="AP61" s="68">
        <v>0</v>
      </c>
      <c r="AQ61" s="68">
        <v>8</v>
      </c>
      <c r="AR61" s="68">
        <v>0</v>
      </c>
      <c r="AS61" s="68">
        <v>16</v>
      </c>
      <c r="AT61" s="68">
        <v>0</v>
      </c>
      <c r="AU61" s="68">
        <v>5</v>
      </c>
      <c r="AV61" s="68">
        <v>1</v>
      </c>
      <c r="AW61" s="68">
        <v>18</v>
      </c>
      <c r="AX61" s="68">
        <v>0</v>
      </c>
      <c r="AY61" s="68">
        <v>7</v>
      </c>
      <c r="AZ61" s="68">
        <v>0</v>
      </c>
      <c r="BA61" s="68">
        <v>8</v>
      </c>
      <c r="BB61" s="68">
        <v>0</v>
      </c>
      <c r="BC61" s="68">
        <v>4</v>
      </c>
      <c r="BD61" s="68">
        <v>0</v>
      </c>
      <c r="BE61" s="68">
        <v>4</v>
      </c>
      <c r="BF61" s="68">
        <v>0</v>
      </c>
      <c r="BG61" s="68">
        <v>0</v>
      </c>
      <c r="BH61" s="68">
        <v>0</v>
      </c>
      <c r="BI61" s="68">
        <v>9</v>
      </c>
      <c r="BJ61" s="68">
        <v>0</v>
      </c>
      <c r="BK61" s="68">
        <v>4</v>
      </c>
      <c r="BL61" s="68">
        <v>1</v>
      </c>
      <c r="BM61" s="68">
        <v>2</v>
      </c>
      <c r="BN61" s="68">
        <v>0</v>
      </c>
      <c r="BO61" s="68">
        <v>2</v>
      </c>
      <c r="BP61" s="68">
        <v>0</v>
      </c>
      <c r="BQ61" s="68">
        <v>1</v>
      </c>
      <c r="BR61" s="68">
        <v>0</v>
      </c>
      <c r="BS61" s="68">
        <v>5</v>
      </c>
      <c r="BT61" s="68">
        <v>0</v>
      </c>
      <c r="BU61" s="68">
        <v>6</v>
      </c>
      <c r="BV61" s="68">
        <v>0</v>
      </c>
      <c r="BW61" s="68">
        <v>0</v>
      </c>
      <c r="BX61" s="68">
        <v>0</v>
      </c>
      <c r="BY61" s="68">
        <v>2</v>
      </c>
      <c r="BZ61" s="68">
        <v>0</v>
      </c>
      <c r="CA61" s="68">
        <v>1</v>
      </c>
      <c r="CB61" s="68">
        <v>0</v>
      </c>
      <c r="CC61" s="68">
        <v>3</v>
      </c>
      <c r="CD61" s="68">
        <v>0</v>
      </c>
      <c r="CE61" s="68">
        <v>0</v>
      </c>
      <c r="CF61" s="68">
        <v>0</v>
      </c>
      <c r="CG61" s="68">
        <v>0</v>
      </c>
      <c r="CH61" s="68">
        <v>0</v>
      </c>
      <c r="CI61" s="68">
        <v>1</v>
      </c>
      <c r="CJ61" s="68">
        <v>0</v>
      </c>
      <c r="CK61" s="68">
        <v>0</v>
      </c>
      <c r="CL61" s="68">
        <v>0</v>
      </c>
      <c r="CM61" s="63">
        <v>0</v>
      </c>
      <c r="CN61" s="68">
        <v>0</v>
      </c>
      <c r="CO61" s="63">
        <v>0</v>
      </c>
      <c r="CP61" s="68">
        <v>0</v>
      </c>
      <c r="CQ61" s="63">
        <v>0</v>
      </c>
      <c r="CR61" s="68">
        <v>0</v>
      </c>
      <c r="CS61" s="63">
        <v>4</v>
      </c>
      <c r="CT61" s="68">
        <v>0</v>
      </c>
      <c r="CU61" s="63">
        <v>0</v>
      </c>
      <c r="CV61" s="68">
        <v>0</v>
      </c>
      <c r="CW61" s="63">
        <v>5</v>
      </c>
      <c r="CX61" s="68">
        <v>0</v>
      </c>
      <c r="CY61" s="63">
        <v>3</v>
      </c>
      <c r="CZ61" s="68">
        <v>0</v>
      </c>
      <c r="DA61" s="63">
        <v>19</v>
      </c>
      <c r="DB61" s="68">
        <v>0</v>
      </c>
      <c r="DC61" s="63">
        <v>11</v>
      </c>
      <c r="DD61" s="68">
        <v>0</v>
      </c>
      <c r="DE61" s="63">
        <v>0</v>
      </c>
      <c r="DF61" s="68">
        <v>0</v>
      </c>
      <c r="DG61" s="63">
        <v>0</v>
      </c>
      <c r="DH61" s="68">
        <v>0</v>
      </c>
      <c r="DI61" s="63">
        <v>3</v>
      </c>
      <c r="DJ61" s="68">
        <v>3</v>
      </c>
      <c r="DK61" s="63">
        <v>73</v>
      </c>
      <c r="DL61" s="68">
        <v>0</v>
      </c>
      <c r="DM61" s="63">
        <v>70</v>
      </c>
      <c r="DN61" s="68">
        <v>4</v>
      </c>
      <c r="DO61" s="63">
        <v>68</v>
      </c>
      <c r="DP61" s="68">
        <v>3</v>
      </c>
      <c r="DQ61" s="63">
        <v>81</v>
      </c>
      <c r="DR61" s="68">
        <v>2</v>
      </c>
      <c r="DS61" s="63">
        <v>92</v>
      </c>
      <c r="DT61" s="68">
        <v>1</v>
      </c>
      <c r="DU61" s="63">
        <v>93</v>
      </c>
      <c r="DV61" s="68">
        <v>0</v>
      </c>
      <c r="DW61" s="63">
        <v>92</v>
      </c>
      <c r="DX61" s="68">
        <v>2</v>
      </c>
      <c r="DY61" s="63">
        <v>107</v>
      </c>
      <c r="DZ61" s="68">
        <v>0</v>
      </c>
      <c r="EA61" s="63">
        <v>109</v>
      </c>
      <c r="EB61" s="68">
        <v>0</v>
      </c>
      <c r="EC61" s="63">
        <v>71</v>
      </c>
      <c r="ED61" s="68">
        <v>2</v>
      </c>
      <c r="EE61" s="63">
        <v>81</v>
      </c>
      <c r="EF61" s="68">
        <v>0</v>
      </c>
      <c r="EG61" s="70">
        <v>72</v>
      </c>
      <c r="EH61" s="71">
        <v>0</v>
      </c>
      <c r="EI61" s="63">
        <v>67</v>
      </c>
      <c r="EJ61" s="63">
        <v>0</v>
      </c>
      <c r="EK61" s="63">
        <v>79</v>
      </c>
      <c r="EL61" s="63">
        <v>1</v>
      </c>
      <c r="EM61" s="63">
        <v>68</v>
      </c>
      <c r="EN61" s="63">
        <v>2</v>
      </c>
      <c r="EO61" s="63">
        <v>89</v>
      </c>
      <c r="EP61" s="63">
        <v>0</v>
      </c>
      <c r="EQ61" s="63">
        <v>78</v>
      </c>
      <c r="ER61" s="63">
        <v>0</v>
      </c>
      <c r="ES61" s="63">
        <v>111</v>
      </c>
      <c r="ET61" s="63">
        <v>1</v>
      </c>
      <c r="EU61" s="63">
        <v>152</v>
      </c>
      <c r="EV61" s="63">
        <v>0</v>
      </c>
      <c r="EW61" s="63">
        <v>177</v>
      </c>
      <c r="EX61" s="63">
        <v>1</v>
      </c>
      <c r="EY61" s="63">
        <v>49</v>
      </c>
      <c r="EZ61" s="63">
        <v>1</v>
      </c>
      <c r="FA61" s="63">
        <v>67</v>
      </c>
      <c r="FB61" s="63">
        <v>2</v>
      </c>
      <c r="FC61" s="63">
        <v>46</v>
      </c>
      <c r="FD61" s="63">
        <v>1</v>
      </c>
      <c r="FE61" s="63">
        <v>68</v>
      </c>
      <c r="FF61" s="63">
        <v>2</v>
      </c>
      <c r="FG61" s="63">
        <v>80</v>
      </c>
      <c r="FH61" s="63">
        <v>3</v>
      </c>
      <c r="FI61" s="63">
        <v>81</v>
      </c>
      <c r="FJ61" s="63">
        <v>0</v>
      </c>
      <c r="FK61" s="95">
        <v>54</v>
      </c>
      <c r="FL61" s="96">
        <v>72</v>
      </c>
      <c r="FM61" s="63">
        <v>78</v>
      </c>
      <c r="FN61" s="28" t="s">
        <v>30</v>
      </c>
      <c r="FO61" s="28" t="s">
        <v>30</v>
      </c>
      <c r="FP61" s="28" t="s">
        <v>30</v>
      </c>
      <c r="FQ61" s="28" t="s">
        <v>30</v>
      </c>
      <c r="FR61" s="28" t="s">
        <v>30</v>
      </c>
      <c r="FS61" s="28"/>
      <c r="FT61" s="63">
        <v>1</v>
      </c>
      <c r="FU61" s="63">
        <v>22</v>
      </c>
      <c r="FV61" s="63">
        <v>0</v>
      </c>
      <c r="FW61" s="63">
        <v>0</v>
      </c>
      <c r="FX61" s="63">
        <v>1</v>
      </c>
      <c r="FY61" s="63">
        <v>35</v>
      </c>
      <c r="FZ61" s="63">
        <v>0</v>
      </c>
      <c r="GA61" s="63">
        <v>4</v>
      </c>
      <c r="GB61" s="63">
        <v>0</v>
      </c>
      <c r="GC61" s="63">
        <v>2</v>
      </c>
      <c r="GD61" s="63">
        <v>0</v>
      </c>
      <c r="GE61" s="63">
        <v>10</v>
      </c>
      <c r="GF61" s="63">
        <v>1</v>
      </c>
      <c r="GG61" s="63">
        <v>8</v>
      </c>
      <c r="GH61" s="63">
        <v>0</v>
      </c>
      <c r="GI61" s="63">
        <v>0</v>
      </c>
      <c r="GJ61" s="63">
        <v>0</v>
      </c>
      <c r="GK61" s="63">
        <v>26</v>
      </c>
      <c r="GL61" s="63">
        <v>0</v>
      </c>
      <c r="GM61" s="63">
        <v>37</v>
      </c>
      <c r="GN61" s="63">
        <v>0</v>
      </c>
      <c r="GO61" s="63">
        <v>1</v>
      </c>
      <c r="GP61" s="63">
        <v>0</v>
      </c>
      <c r="GQ61" s="63">
        <v>46</v>
      </c>
      <c r="GR61" s="63">
        <v>0</v>
      </c>
      <c r="GS61" s="63">
        <v>16</v>
      </c>
      <c r="GT61" s="63">
        <v>2</v>
      </c>
      <c r="GU61" s="63">
        <v>37</v>
      </c>
      <c r="GV61" s="63">
        <v>0</v>
      </c>
      <c r="GW61" s="63">
        <v>61</v>
      </c>
      <c r="GX61" s="63">
        <v>0</v>
      </c>
      <c r="GY61" s="63">
        <v>30</v>
      </c>
      <c r="GZ61" s="63">
        <v>2</v>
      </c>
      <c r="HA61" s="63">
        <v>50</v>
      </c>
      <c r="HB61" s="28" t="s">
        <v>30</v>
      </c>
      <c r="HC61" s="28" t="s">
        <v>30</v>
      </c>
      <c r="HD61" s="28" t="s">
        <v>30</v>
      </c>
      <c r="HE61" s="28" t="s">
        <v>30</v>
      </c>
      <c r="HF61" s="28" t="s">
        <v>30</v>
      </c>
      <c r="HG61" s="28" t="s">
        <v>30</v>
      </c>
      <c r="HH61" s="28" t="s">
        <v>30</v>
      </c>
      <c r="HI61" s="28" t="s">
        <v>30</v>
      </c>
      <c r="HJ61" s="28" t="s">
        <v>30</v>
      </c>
      <c r="HK61" s="28" t="s">
        <v>30</v>
      </c>
      <c r="HL61" s="28" t="s">
        <v>30</v>
      </c>
      <c r="HM61" s="28" t="s">
        <v>30</v>
      </c>
      <c r="HN61" s="28" t="s">
        <v>30</v>
      </c>
      <c r="HO61" s="28" t="s">
        <v>30</v>
      </c>
      <c r="HP61" s="28" t="s">
        <v>30</v>
      </c>
      <c r="HQ61" s="28" t="s">
        <v>30</v>
      </c>
      <c r="HR61" s="28" t="s">
        <v>30</v>
      </c>
      <c r="HS61" s="28" t="s">
        <v>30</v>
      </c>
      <c r="HT61" s="28" t="s">
        <v>30</v>
      </c>
      <c r="HU61" s="28" t="s">
        <v>30</v>
      </c>
      <c r="HV61" s="28" t="s">
        <v>30</v>
      </c>
      <c r="HW61" s="28" t="s">
        <v>30</v>
      </c>
      <c r="HX61" s="28" t="s">
        <v>30</v>
      </c>
      <c r="HY61" s="28" t="s">
        <v>30</v>
      </c>
      <c r="HZ61" s="28" t="s">
        <v>30</v>
      </c>
      <c r="IA61" s="28" t="s">
        <v>30</v>
      </c>
      <c r="IB61" s="28" t="s">
        <v>30</v>
      </c>
      <c r="IC61" s="28" t="s">
        <v>30</v>
      </c>
      <c r="ID61" s="28" t="s">
        <v>30</v>
      </c>
      <c r="IE61" s="28" t="s">
        <v>30</v>
      </c>
      <c r="IF61" s="28" t="s">
        <v>30</v>
      </c>
      <c r="IG61" s="28" t="s">
        <v>30</v>
      </c>
      <c r="IH61" s="28" t="s">
        <v>30</v>
      </c>
      <c r="II61" s="28" t="s">
        <v>30</v>
      </c>
      <c r="IJ61" s="28" t="s">
        <v>30</v>
      </c>
      <c r="IK61" s="28" t="s">
        <v>30</v>
      </c>
      <c r="IL61" s="28" t="s">
        <v>30</v>
      </c>
      <c r="IM61" s="28" t="s">
        <v>30</v>
      </c>
      <c r="IN61" s="28" t="s">
        <v>30</v>
      </c>
      <c r="IO61" s="28" t="s">
        <v>30</v>
      </c>
      <c r="IP61" s="28" t="s">
        <v>30</v>
      </c>
      <c r="IQ61" s="28" t="s">
        <v>30</v>
      </c>
      <c r="IR61" s="28" t="s">
        <v>30</v>
      </c>
      <c r="IS61" s="28" t="s">
        <v>30</v>
      </c>
      <c r="IT61" s="28" t="s">
        <v>30</v>
      </c>
      <c r="IU61" s="28" t="s">
        <v>30</v>
      </c>
      <c r="IV61" s="28" t="s">
        <v>30</v>
      </c>
      <c r="IW61" s="28" t="s">
        <v>30</v>
      </c>
      <c r="IX61" s="28" t="s">
        <v>30</v>
      </c>
      <c r="IY61" s="28" t="s">
        <v>30</v>
      </c>
      <c r="IZ61" s="28" t="s">
        <v>30</v>
      </c>
      <c r="JA61" s="28" t="s">
        <v>30</v>
      </c>
      <c r="JB61" s="28" t="s">
        <v>30</v>
      </c>
      <c r="JC61" s="28" t="s">
        <v>30</v>
      </c>
      <c r="JD61" s="28" t="s">
        <v>30</v>
      </c>
      <c r="JE61" s="28" t="s">
        <v>30</v>
      </c>
    </row>
    <row r="62" spans="1:265" ht="28" hidden="1" x14ac:dyDescent="0.15">
      <c r="A62" s="90">
        <v>1.8</v>
      </c>
      <c r="B62" s="90"/>
      <c r="C62" s="92" t="s">
        <v>105</v>
      </c>
      <c r="D62" s="68">
        <v>0</v>
      </c>
      <c r="E62" s="68">
        <v>49</v>
      </c>
      <c r="F62" s="68">
        <v>0</v>
      </c>
      <c r="G62" s="68">
        <v>61</v>
      </c>
      <c r="H62" s="68">
        <v>1</v>
      </c>
      <c r="I62" s="68">
        <v>34</v>
      </c>
      <c r="J62" s="68">
        <v>0</v>
      </c>
      <c r="K62" s="68">
        <v>44</v>
      </c>
      <c r="L62" s="68">
        <v>2</v>
      </c>
      <c r="M62" s="68">
        <v>54</v>
      </c>
      <c r="N62" s="68">
        <v>0</v>
      </c>
      <c r="O62" s="68">
        <v>48</v>
      </c>
      <c r="P62" s="68">
        <v>0</v>
      </c>
      <c r="Q62" s="68">
        <v>15</v>
      </c>
      <c r="R62" s="68">
        <v>0</v>
      </c>
      <c r="S62" s="68">
        <v>38</v>
      </c>
      <c r="T62" s="68">
        <v>0</v>
      </c>
      <c r="U62" s="68">
        <v>53</v>
      </c>
      <c r="V62" s="68">
        <v>1</v>
      </c>
      <c r="W62" s="68">
        <v>64</v>
      </c>
      <c r="X62" s="68">
        <v>0</v>
      </c>
      <c r="Y62" s="68">
        <v>84</v>
      </c>
      <c r="Z62" s="68">
        <v>0</v>
      </c>
      <c r="AA62" s="68">
        <v>61</v>
      </c>
      <c r="AB62" s="68">
        <v>0</v>
      </c>
      <c r="AC62" s="68">
        <v>61</v>
      </c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5"/>
      <c r="CN62" s="73"/>
      <c r="CO62" s="75"/>
      <c r="CP62" s="73"/>
      <c r="CQ62" s="75"/>
      <c r="CR62" s="73"/>
      <c r="CS62" s="75"/>
      <c r="CT62" s="73"/>
      <c r="CU62" s="75"/>
      <c r="CV62" s="73"/>
      <c r="CW62" s="75"/>
      <c r="CX62" s="73"/>
      <c r="CY62" s="75"/>
      <c r="CZ62" s="73"/>
      <c r="DA62" s="75"/>
      <c r="DB62" s="73"/>
      <c r="DC62" s="75"/>
      <c r="DD62" s="73"/>
      <c r="DE62" s="75"/>
      <c r="DF62" s="73"/>
      <c r="DG62" s="75"/>
      <c r="DH62" s="73"/>
      <c r="DI62" s="75"/>
      <c r="DJ62" s="73"/>
      <c r="DK62" s="75"/>
      <c r="DL62" s="73"/>
      <c r="DM62" s="75"/>
      <c r="DN62" s="73"/>
      <c r="DO62" s="75"/>
      <c r="DP62" s="73"/>
      <c r="DQ62" s="75"/>
      <c r="DR62" s="73"/>
      <c r="DS62" s="75"/>
      <c r="DT62" s="73"/>
      <c r="DU62" s="75"/>
      <c r="DV62" s="73"/>
      <c r="DW62" s="75"/>
      <c r="DX62" s="73"/>
      <c r="DY62" s="75"/>
      <c r="DZ62" s="73"/>
      <c r="EA62" s="75"/>
      <c r="EB62" s="73"/>
      <c r="EC62" s="75"/>
      <c r="ED62" s="73"/>
      <c r="EE62" s="75"/>
      <c r="EF62" s="73"/>
      <c r="EG62" s="76"/>
      <c r="EH62" s="77"/>
      <c r="EI62" s="75"/>
      <c r="EJ62" s="75"/>
      <c r="EK62" s="75"/>
      <c r="EL62" s="75"/>
      <c r="EM62" s="75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75"/>
      <c r="FF62" s="75"/>
      <c r="FG62" s="75"/>
      <c r="FH62" s="75"/>
      <c r="FI62" s="75"/>
      <c r="FJ62" s="75"/>
      <c r="FK62" s="75"/>
      <c r="FL62" s="75"/>
      <c r="FM62" s="75"/>
      <c r="FN62" s="75"/>
      <c r="FO62" s="75"/>
      <c r="FP62" s="75"/>
      <c r="FQ62" s="75"/>
      <c r="FR62" s="75"/>
      <c r="FS62" s="75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75"/>
      <c r="HQ62" s="75"/>
      <c r="HR62" s="75"/>
      <c r="HS62" s="75"/>
      <c r="HT62" s="75"/>
      <c r="HU62" s="75"/>
      <c r="HV62" s="75"/>
      <c r="HW62" s="75"/>
      <c r="HX62" s="75"/>
      <c r="HY62" s="75"/>
      <c r="HZ62" s="75"/>
      <c r="IA62" s="75"/>
      <c r="IB62" s="75"/>
      <c r="IC62" s="75"/>
      <c r="ID62" s="75"/>
      <c r="IE62" s="75"/>
      <c r="IF62" s="75"/>
      <c r="IG62" s="75"/>
      <c r="IH62" s="75"/>
      <c r="II62" s="75"/>
      <c r="IJ62" s="75"/>
      <c r="IK62" s="75"/>
      <c r="IL62" s="75"/>
      <c r="IM62" s="75"/>
      <c r="IN62" s="75"/>
      <c r="IO62" s="75"/>
      <c r="IP62" s="75"/>
      <c r="IQ62" s="75"/>
      <c r="IR62" s="75"/>
      <c r="IS62" s="75"/>
      <c r="IT62" s="75"/>
      <c r="IU62" s="75"/>
      <c r="IV62" s="75"/>
      <c r="IW62" s="75"/>
      <c r="IX62" s="75"/>
      <c r="IY62" s="75"/>
      <c r="IZ62" s="75"/>
      <c r="JA62" s="75"/>
      <c r="JB62" s="75"/>
      <c r="JC62" s="75"/>
      <c r="JD62" s="75"/>
      <c r="JE62" s="75"/>
    </row>
    <row r="63" spans="1:265" ht="56" x14ac:dyDescent="0.15">
      <c r="A63" s="90">
        <v>1.9</v>
      </c>
      <c r="B63" s="91" t="s">
        <v>106</v>
      </c>
      <c r="C63" s="92" t="s">
        <v>107</v>
      </c>
      <c r="D63" s="68">
        <v>0</v>
      </c>
      <c r="E63" s="68">
        <v>5</v>
      </c>
      <c r="F63" s="68">
        <v>0</v>
      </c>
      <c r="G63" s="68">
        <v>4</v>
      </c>
      <c r="H63" s="68">
        <v>0</v>
      </c>
      <c r="I63" s="68">
        <v>6</v>
      </c>
      <c r="J63" s="68">
        <v>0</v>
      </c>
      <c r="K63" s="68">
        <v>4</v>
      </c>
      <c r="L63" s="68">
        <v>0</v>
      </c>
      <c r="M63" s="68">
        <v>3</v>
      </c>
      <c r="N63" s="68">
        <v>0</v>
      </c>
      <c r="O63" s="68">
        <v>3</v>
      </c>
      <c r="P63" s="68">
        <v>0</v>
      </c>
      <c r="Q63" s="68">
        <v>0</v>
      </c>
      <c r="R63" s="68">
        <v>0</v>
      </c>
      <c r="S63" s="68">
        <v>2</v>
      </c>
      <c r="T63" s="68">
        <v>0</v>
      </c>
      <c r="U63" s="68">
        <v>6</v>
      </c>
      <c r="V63" s="68">
        <v>1</v>
      </c>
      <c r="W63" s="68">
        <v>4</v>
      </c>
      <c r="X63" s="68">
        <v>1</v>
      </c>
      <c r="Y63" s="68">
        <v>6</v>
      </c>
      <c r="Z63" s="68">
        <v>0</v>
      </c>
      <c r="AA63" s="68">
        <v>2</v>
      </c>
      <c r="AB63" s="68">
        <v>1</v>
      </c>
      <c r="AC63" s="68">
        <v>3</v>
      </c>
      <c r="AD63" s="68">
        <v>0</v>
      </c>
      <c r="AE63" s="68">
        <v>5</v>
      </c>
      <c r="AF63" s="68">
        <v>1</v>
      </c>
      <c r="AG63" s="68">
        <v>3</v>
      </c>
      <c r="AH63" s="68">
        <v>0</v>
      </c>
      <c r="AI63" s="68">
        <v>2</v>
      </c>
      <c r="AJ63" s="68">
        <v>0</v>
      </c>
      <c r="AK63" s="68">
        <v>6</v>
      </c>
      <c r="AL63" s="68">
        <v>0</v>
      </c>
      <c r="AM63" s="68">
        <v>2</v>
      </c>
      <c r="AN63" s="68">
        <v>0</v>
      </c>
      <c r="AO63" s="68">
        <v>4</v>
      </c>
      <c r="AP63" s="68">
        <v>0</v>
      </c>
      <c r="AQ63" s="68">
        <v>4</v>
      </c>
      <c r="AR63" s="68">
        <v>0</v>
      </c>
      <c r="AS63" s="68">
        <v>8</v>
      </c>
      <c r="AT63" s="68">
        <v>0</v>
      </c>
      <c r="AU63" s="68">
        <v>4</v>
      </c>
      <c r="AV63" s="68">
        <v>1</v>
      </c>
      <c r="AW63" s="68">
        <v>4</v>
      </c>
      <c r="AX63" s="68">
        <v>0</v>
      </c>
      <c r="AY63" s="68">
        <v>4</v>
      </c>
      <c r="AZ63" s="68">
        <v>0</v>
      </c>
      <c r="BA63" s="68">
        <v>4</v>
      </c>
      <c r="BB63" s="68">
        <v>0</v>
      </c>
      <c r="BC63" s="68">
        <v>3</v>
      </c>
      <c r="BD63" s="68">
        <v>0</v>
      </c>
      <c r="BE63" s="68">
        <v>3</v>
      </c>
      <c r="BF63" s="68">
        <v>0</v>
      </c>
      <c r="BG63" s="68">
        <v>2</v>
      </c>
      <c r="BH63" s="68">
        <v>1</v>
      </c>
      <c r="BI63" s="68">
        <v>3</v>
      </c>
      <c r="BJ63" s="68">
        <v>0</v>
      </c>
      <c r="BK63" s="68">
        <v>4</v>
      </c>
      <c r="BL63" s="68">
        <v>0</v>
      </c>
      <c r="BM63" s="68">
        <v>4</v>
      </c>
      <c r="BN63" s="68">
        <v>0</v>
      </c>
      <c r="BO63" s="68">
        <v>6</v>
      </c>
      <c r="BP63" s="68">
        <v>0</v>
      </c>
      <c r="BQ63" s="68">
        <v>4</v>
      </c>
      <c r="BR63" s="68">
        <v>0</v>
      </c>
      <c r="BS63" s="68">
        <v>4</v>
      </c>
      <c r="BT63" s="68">
        <v>0</v>
      </c>
      <c r="BU63" s="68">
        <v>6</v>
      </c>
      <c r="BV63" s="68">
        <v>0</v>
      </c>
      <c r="BW63" s="68">
        <v>2</v>
      </c>
      <c r="BX63" s="68">
        <v>0</v>
      </c>
      <c r="BY63" s="68">
        <v>2</v>
      </c>
      <c r="BZ63" s="68">
        <v>0</v>
      </c>
      <c r="CA63" s="68">
        <v>2</v>
      </c>
      <c r="CB63" s="68">
        <v>0</v>
      </c>
      <c r="CC63" s="68">
        <v>2</v>
      </c>
      <c r="CD63" s="68">
        <v>1</v>
      </c>
      <c r="CE63" s="68">
        <v>3</v>
      </c>
      <c r="CF63" s="68">
        <v>0</v>
      </c>
      <c r="CG63" s="68">
        <v>2</v>
      </c>
      <c r="CH63" s="68">
        <v>0</v>
      </c>
      <c r="CI63" s="68">
        <v>1</v>
      </c>
      <c r="CJ63" s="68">
        <v>0</v>
      </c>
      <c r="CK63" s="68">
        <v>0</v>
      </c>
      <c r="CL63" s="68">
        <v>0</v>
      </c>
      <c r="CM63" s="63">
        <v>2</v>
      </c>
      <c r="CN63" s="68">
        <v>0</v>
      </c>
      <c r="CO63" s="63">
        <v>2</v>
      </c>
      <c r="CP63" s="68">
        <v>0</v>
      </c>
      <c r="CQ63" s="63">
        <v>0</v>
      </c>
      <c r="CR63" s="68">
        <v>0</v>
      </c>
      <c r="CS63" s="63">
        <v>6</v>
      </c>
      <c r="CT63" s="68">
        <v>0</v>
      </c>
      <c r="CU63" s="63">
        <v>3</v>
      </c>
      <c r="CV63" s="68">
        <v>1</v>
      </c>
      <c r="CW63" s="63">
        <v>5</v>
      </c>
      <c r="CX63" s="68">
        <v>0</v>
      </c>
      <c r="CY63" s="63">
        <v>1</v>
      </c>
      <c r="CZ63" s="68">
        <v>0</v>
      </c>
      <c r="DA63" s="63">
        <v>3</v>
      </c>
      <c r="DB63" s="68">
        <v>0</v>
      </c>
      <c r="DC63" s="63">
        <v>2</v>
      </c>
      <c r="DD63" s="68">
        <v>0</v>
      </c>
      <c r="DE63" s="63">
        <v>3</v>
      </c>
      <c r="DF63" s="68">
        <v>0</v>
      </c>
      <c r="DG63" s="63">
        <v>1</v>
      </c>
      <c r="DH63" s="68">
        <v>0</v>
      </c>
      <c r="DI63" s="63">
        <v>1</v>
      </c>
      <c r="DJ63" s="68">
        <v>0</v>
      </c>
      <c r="DK63" s="63">
        <v>3</v>
      </c>
      <c r="DL63" s="68">
        <v>0</v>
      </c>
      <c r="DM63" s="63">
        <v>4</v>
      </c>
      <c r="DN63" s="68">
        <v>0</v>
      </c>
      <c r="DO63" s="63">
        <v>3</v>
      </c>
      <c r="DP63" s="68">
        <v>0</v>
      </c>
      <c r="DQ63" s="63">
        <v>1</v>
      </c>
      <c r="DR63" s="68">
        <v>0</v>
      </c>
      <c r="DS63" s="63">
        <v>2</v>
      </c>
      <c r="DT63" s="68">
        <v>0</v>
      </c>
      <c r="DU63" s="63">
        <v>2</v>
      </c>
      <c r="DV63" s="68">
        <v>0</v>
      </c>
      <c r="DW63" s="63">
        <v>0</v>
      </c>
      <c r="DX63" s="68">
        <v>0</v>
      </c>
      <c r="DY63" s="63">
        <v>0</v>
      </c>
      <c r="DZ63" s="68">
        <v>0</v>
      </c>
      <c r="EA63" s="63">
        <v>1</v>
      </c>
      <c r="EB63" s="68">
        <v>0</v>
      </c>
      <c r="EC63" s="63">
        <v>4</v>
      </c>
      <c r="ED63" s="68">
        <v>0</v>
      </c>
      <c r="EE63" s="63">
        <v>1</v>
      </c>
      <c r="EF63" s="68">
        <v>0</v>
      </c>
      <c r="EG63" s="70">
        <v>1</v>
      </c>
      <c r="EH63" s="71">
        <v>0</v>
      </c>
      <c r="EI63" s="63">
        <v>2</v>
      </c>
      <c r="EJ63" s="63">
        <v>0</v>
      </c>
      <c r="EK63" s="63">
        <v>2</v>
      </c>
      <c r="EL63" s="63">
        <v>0</v>
      </c>
      <c r="EM63" s="63">
        <v>2</v>
      </c>
      <c r="EN63" s="63">
        <v>0</v>
      </c>
      <c r="EO63" s="63">
        <v>4</v>
      </c>
      <c r="EP63" s="72"/>
      <c r="EQ63" s="72"/>
      <c r="ER63" s="72"/>
      <c r="ES63" s="72"/>
      <c r="ET63" s="72"/>
      <c r="EU63" s="72"/>
      <c r="EV63" s="72"/>
      <c r="EW63" s="72"/>
      <c r="EX63" s="72"/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72"/>
      <c r="FM63" s="72"/>
      <c r="FN63" s="72"/>
      <c r="FO63" s="72"/>
      <c r="FP63" s="72"/>
      <c r="FQ63" s="72"/>
      <c r="FR63" s="72"/>
      <c r="FS63" s="72"/>
      <c r="FT63" s="72"/>
      <c r="FU63" s="72"/>
      <c r="FV63" s="72"/>
      <c r="FW63" s="72"/>
      <c r="FX63" s="72"/>
      <c r="FY63" s="72"/>
      <c r="FZ63" s="72"/>
      <c r="GA63" s="72"/>
      <c r="GB63" s="72"/>
      <c r="GC63" s="72"/>
      <c r="GD63" s="72"/>
      <c r="GE63" s="72"/>
      <c r="GF63" s="72"/>
      <c r="GG63" s="72"/>
      <c r="GH63" s="72"/>
      <c r="GI63" s="72"/>
      <c r="GJ63" s="72"/>
      <c r="GK63" s="72"/>
      <c r="GL63" s="72"/>
      <c r="GM63" s="72"/>
      <c r="GN63" s="72"/>
      <c r="GO63" s="72"/>
      <c r="GP63" s="72"/>
      <c r="GQ63" s="72"/>
      <c r="GR63" s="72"/>
      <c r="GS63" s="72"/>
      <c r="GT63" s="72"/>
      <c r="GU63" s="72"/>
      <c r="GV63" s="72"/>
      <c r="GW63" s="72"/>
      <c r="GX63" s="72"/>
      <c r="GY63" s="72"/>
      <c r="GZ63" s="72"/>
      <c r="HA63" s="72"/>
      <c r="HB63" s="72"/>
      <c r="HC63" s="72"/>
      <c r="HD63" s="72"/>
      <c r="HE63" s="72"/>
      <c r="HF63" s="72"/>
      <c r="HG63" s="72"/>
      <c r="HH63" s="72"/>
      <c r="HI63" s="72"/>
      <c r="HJ63" s="72"/>
      <c r="HK63" s="72"/>
      <c r="HL63" s="72"/>
      <c r="HM63" s="72"/>
      <c r="HN63" s="72"/>
      <c r="HO63" s="72"/>
      <c r="HP63" s="72"/>
      <c r="HQ63" s="72"/>
      <c r="HR63" s="72"/>
      <c r="HS63" s="72"/>
      <c r="HT63" s="72"/>
      <c r="HU63" s="72"/>
      <c r="HV63" s="72"/>
      <c r="HW63" s="72"/>
      <c r="HX63" s="72"/>
      <c r="HY63" s="72"/>
      <c r="HZ63" s="72"/>
      <c r="IA63" s="72"/>
      <c r="IB63" s="72"/>
      <c r="IC63" s="72"/>
      <c r="ID63" s="72"/>
      <c r="IE63" s="72"/>
      <c r="IF63" s="72"/>
      <c r="IG63" s="72"/>
      <c r="IH63" s="72"/>
      <c r="II63" s="72"/>
      <c r="IJ63" s="72"/>
      <c r="IK63" s="72"/>
      <c r="IL63" s="72"/>
      <c r="IM63" s="72"/>
      <c r="IN63" s="72"/>
      <c r="IO63" s="72"/>
      <c r="IP63" s="72"/>
      <c r="IQ63" s="72"/>
      <c r="IR63" s="72"/>
      <c r="IS63" s="72"/>
      <c r="IT63" s="72"/>
      <c r="IU63" s="72"/>
      <c r="IV63" s="72"/>
      <c r="IW63" s="72"/>
      <c r="IX63" s="72"/>
      <c r="IY63" s="72"/>
      <c r="IZ63" s="72"/>
      <c r="JA63" s="72"/>
      <c r="JB63" s="72"/>
      <c r="JC63" s="72"/>
      <c r="JD63" s="72"/>
      <c r="JE63" s="72"/>
    </row>
    <row r="64" spans="1:265" ht="42" x14ac:dyDescent="0.15">
      <c r="A64" s="97" t="s">
        <v>108</v>
      </c>
      <c r="B64" s="98" t="s">
        <v>109</v>
      </c>
      <c r="C64" s="92" t="s">
        <v>110</v>
      </c>
      <c r="D64" s="73"/>
      <c r="E64" s="73"/>
      <c r="F64" s="68">
        <v>0</v>
      </c>
      <c r="G64" s="68">
        <v>4</v>
      </c>
      <c r="H64" s="68">
        <v>1</v>
      </c>
      <c r="I64" s="68">
        <v>10</v>
      </c>
      <c r="J64" s="68">
        <v>0</v>
      </c>
      <c r="K64" s="68">
        <v>10</v>
      </c>
      <c r="L64" s="68">
        <v>3</v>
      </c>
      <c r="M64" s="68">
        <v>11</v>
      </c>
      <c r="N64" s="68">
        <v>0</v>
      </c>
      <c r="O64" s="68">
        <v>9</v>
      </c>
      <c r="P64" s="68">
        <v>0</v>
      </c>
      <c r="Q64" s="68">
        <v>0</v>
      </c>
      <c r="R64" s="68">
        <v>1</v>
      </c>
      <c r="S64" s="68">
        <v>8</v>
      </c>
      <c r="T64" s="68">
        <v>0</v>
      </c>
      <c r="U64" s="68">
        <v>11</v>
      </c>
      <c r="V64" s="68">
        <v>0</v>
      </c>
      <c r="W64" s="68">
        <v>14</v>
      </c>
      <c r="X64" s="68">
        <v>0</v>
      </c>
      <c r="Y64" s="68">
        <v>9</v>
      </c>
      <c r="Z64" s="68">
        <v>0</v>
      </c>
      <c r="AA64" s="68">
        <v>12</v>
      </c>
      <c r="AB64" s="68">
        <v>1</v>
      </c>
      <c r="AC64" s="68">
        <v>15</v>
      </c>
      <c r="AD64" s="68">
        <v>0</v>
      </c>
      <c r="AE64" s="68">
        <v>11</v>
      </c>
      <c r="AF64" s="68">
        <v>1</v>
      </c>
      <c r="AG64" s="68">
        <v>9</v>
      </c>
      <c r="AH64" s="68">
        <v>0</v>
      </c>
      <c r="AI64" s="68">
        <v>10</v>
      </c>
      <c r="AJ64" s="68">
        <v>0</v>
      </c>
      <c r="AK64" s="68">
        <v>13</v>
      </c>
      <c r="AL64" s="68">
        <v>1</v>
      </c>
      <c r="AM64" s="68">
        <v>8</v>
      </c>
      <c r="AN64" s="68">
        <v>1</v>
      </c>
      <c r="AO64" s="68">
        <v>12</v>
      </c>
      <c r="AP64" s="68">
        <v>0</v>
      </c>
      <c r="AQ64" s="68">
        <v>10</v>
      </c>
      <c r="AR64" s="68">
        <v>0</v>
      </c>
      <c r="AS64" s="68">
        <v>23</v>
      </c>
      <c r="AT64" s="68">
        <v>1</v>
      </c>
      <c r="AU64" s="68">
        <v>13</v>
      </c>
      <c r="AV64" s="68">
        <v>1</v>
      </c>
      <c r="AW64" s="68">
        <v>11</v>
      </c>
      <c r="AX64" s="68">
        <v>2</v>
      </c>
      <c r="AY64" s="68">
        <v>13</v>
      </c>
      <c r="AZ64" s="68"/>
      <c r="BA64" s="68">
        <v>15</v>
      </c>
      <c r="BB64" s="68">
        <v>1</v>
      </c>
      <c r="BC64" s="68">
        <v>7</v>
      </c>
      <c r="BD64" s="68">
        <v>1</v>
      </c>
      <c r="BE64" s="68">
        <v>10</v>
      </c>
      <c r="BF64" s="68">
        <v>0</v>
      </c>
      <c r="BG64" s="68">
        <v>13</v>
      </c>
      <c r="BH64" s="68">
        <v>3</v>
      </c>
      <c r="BI64" s="68">
        <v>12</v>
      </c>
      <c r="BJ64" s="68">
        <v>0</v>
      </c>
      <c r="BK64" s="68">
        <v>10</v>
      </c>
      <c r="BL64" s="68">
        <v>0</v>
      </c>
      <c r="BM64" s="68">
        <v>13</v>
      </c>
      <c r="BN64" s="68">
        <v>1</v>
      </c>
      <c r="BO64" s="68">
        <v>14</v>
      </c>
      <c r="BP64" s="68">
        <v>0</v>
      </c>
      <c r="BQ64" s="68">
        <v>4</v>
      </c>
      <c r="BR64" s="68">
        <v>0</v>
      </c>
      <c r="BS64" s="68">
        <v>12</v>
      </c>
      <c r="BT64" s="68">
        <v>0</v>
      </c>
      <c r="BU64" s="68">
        <v>18</v>
      </c>
      <c r="BV64" s="68">
        <v>0</v>
      </c>
      <c r="BW64" s="68">
        <v>11</v>
      </c>
      <c r="BX64" s="68">
        <v>0</v>
      </c>
      <c r="BY64" s="68">
        <v>13</v>
      </c>
      <c r="BZ64" s="68">
        <v>0</v>
      </c>
      <c r="CA64" s="68">
        <v>6</v>
      </c>
      <c r="CB64" s="68">
        <v>0</v>
      </c>
      <c r="CC64" s="68">
        <v>16</v>
      </c>
      <c r="CD64" s="68">
        <v>2</v>
      </c>
      <c r="CE64" s="68">
        <v>9</v>
      </c>
      <c r="CF64" s="68">
        <v>1</v>
      </c>
      <c r="CG64" s="68">
        <v>7</v>
      </c>
      <c r="CH64" s="68">
        <v>0</v>
      </c>
      <c r="CI64" s="68">
        <v>0</v>
      </c>
      <c r="CJ64" s="68">
        <v>0</v>
      </c>
      <c r="CK64" s="68">
        <v>6</v>
      </c>
      <c r="CL64" s="68">
        <v>0</v>
      </c>
      <c r="CM64" s="63">
        <v>11</v>
      </c>
      <c r="CN64" s="68">
        <v>0</v>
      </c>
      <c r="CO64" s="63">
        <v>6</v>
      </c>
      <c r="CP64" s="68">
        <v>2</v>
      </c>
      <c r="CQ64" s="63">
        <v>12</v>
      </c>
      <c r="CR64" s="68">
        <v>0</v>
      </c>
      <c r="CS64" s="63">
        <v>11</v>
      </c>
      <c r="CT64" s="68">
        <v>0</v>
      </c>
      <c r="CU64" s="63">
        <v>5</v>
      </c>
      <c r="CV64" s="68">
        <v>0</v>
      </c>
      <c r="CW64" s="63">
        <v>9</v>
      </c>
      <c r="CX64" s="68">
        <v>0</v>
      </c>
      <c r="CY64" s="63">
        <v>7</v>
      </c>
      <c r="CZ64" s="68">
        <v>0</v>
      </c>
      <c r="DA64" s="63">
        <v>6</v>
      </c>
      <c r="DB64" s="68">
        <v>0</v>
      </c>
      <c r="DC64" s="63">
        <v>9</v>
      </c>
      <c r="DD64" s="68">
        <v>0</v>
      </c>
      <c r="DE64" s="63">
        <v>14</v>
      </c>
      <c r="DF64" s="68">
        <v>2</v>
      </c>
      <c r="DG64" s="63">
        <v>13</v>
      </c>
      <c r="DH64" s="68">
        <v>0</v>
      </c>
      <c r="DI64" s="63">
        <v>4</v>
      </c>
      <c r="DJ64" s="68">
        <v>0</v>
      </c>
      <c r="DK64" s="63">
        <v>9</v>
      </c>
      <c r="DL64" s="68">
        <v>0</v>
      </c>
      <c r="DM64" s="63">
        <v>8</v>
      </c>
      <c r="DN64" s="68">
        <v>0</v>
      </c>
      <c r="DO64" s="63">
        <v>10</v>
      </c>
      <c r="DP64" s="68">
        <v>0</v>
      </c>
      <c r="DQ64" s="63">
        <v>4</v>
      </c>
      <c r="DR64" s="68">
        <v>1</v>
      </c>
      <c r="DS64" s="63">
        <v>8</v>
      </c>
      <c r="DT64" s="68">
        <v>0</v>
      </c>
      <c r="DU64" s="63">
        <v>10</v>
      </c>
      <c r="DV64" s="68">
        <v>1</v>
      </c>
      <c r="DW64" s="63">
        <v>5</v>
      </c>
      <c r="DX64" s="68">
        <v>0</v>
      </c>
      <c r="DY64" s="63">
        <v>8</v>
      </c>
      <c r="DZ64" s="68">
        <v>1</v>
      </c>
      <c r="EA64" s="63">
        <v>8</v>
      </c>
      <c r="EB64" s="68">
        <v>0</v>
      </c>
      <c r="EC64" s="63">
        <v>10</v>
      </c>
      <c r="ED64" s="68">
        <v>0</v>
      </c>
      <c r="EE64" s="63">
        <v>9</v>
      </c>
      <c r="EF64" s="68">
        <v>0</v>
      </c>
      <c r="EG64" s="70">
        <v>11</v>
      </c>
      <c r="EH64" s="71">
        <v>0</v>
      </c>
      <c r="EI64" s="63">
        <v>10</v>
      </c>
      <c r="EJ64" s="63">
        <v>0</v>
      </c>
      <c r="EK64" s="63">
        <v>12</v>
      </c>
      <c r="EL64" s="63">
        <v>0</v>
      </c>
      <c r="EM64" s="63">
        <v>8</v>
      </c>
      <c r="EN64" s="63">
        <v>0</v>
      </c>
      <c r="EO64" s="63">
        <v>11</v>
      </c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/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72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/>
      <c r="GU64" s="72"/>
      <c r="GV64" s="72"/>
      <c r="GW64" s="72"/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72"/>
      <c r="HI64" s="72"/>
      <c r="HJ64" s="72"/>
      <c r="HK64" s="72"/>
      <c r="HL64" s="72"/>
      <c r="HM64" s="72"/>
      <c r="HN64" s="72"/>
      <c r="HO64" s="72"/>
      <c r="HP64" s="72"/>
      <c r="HQ64" s="72"/>
      <c r="HR64" s="72"/>
      <c r="HS64" s="72"/>
      <c r="HT64" s="72"/>
      <c r="HU64" s="72"/>
      <c r="HV64" s="72"/>
      <c r="HW64" s="72"/>
      <c r="HX64" s="72"/>
      <c r="HY64" s="72"/>
      <c r="HZ64" s="72"/>
      <c r="IA64" s="72"/>
      <c r="IB64" s="72"/>
      <c r="IC64" s="72"/>
      <c r="ID64" s="72"/>
      <c r="IE64" s="72"/>
      <c r="IF64" s="72"/>
      <c r="IG64" s="72"/>
      <c r="IH64" s="72"/>
      <c r="II64" s="72"/>
      <c r="IJ64" s="72"/>
      <c r="IK64" s="72"/>
      <c r="IL64" s="72"/>
      <c r="IM64" s="72"/>
      <c r="IN64" s="72"/>
      <c r="IO64" s="72"/>
      <c r="IP64" s="72"/>
      <c r="IQ64" s="72"/>
      <c r="IR64" s="72"/>
      <c r="IS64" s="72"/>
      <c r="IT64" s="72"/>
      <c r="IU64" s="72"/>
      <c r="IV64" s="72"/>
      <c r="IW64" s="72"/>
      <c r="IX64" s="72"/>
      <c r="IY64" s="72"/>
      <c r="IZ64" s="72"/>
      <c r="JA64" s="72"/>
      <c r="JB64" s="72"/>
      <c r="JC64" s="72"/>
      <c r="JD64" s="72"/>
      <c r="JE64" s="72"/>
    </row>
    <row r="65" spans="1:265" ht="28" x14ac:dyDescent="0.15">
      <c r="A65" s="90">
        <v>2.4</v>
      </c>
      <c r="B65" s="98" t="s">
        <v>111</v>
      </c>
      <c r="C65" s="92"/>
      <c r="D65" s="73"/>
      <c r="E65" s="73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72"/>
      <c r="CN65" s="69"/>
      <c r="CO65" s="72"/>
      <c r="CP65" s="69"/>
      <c r="CQ65" s="72"/>
      <c r="CR65" s="69"/>
      <c r="CS65" s="72"/>
      <c r="CT65" s="69"/>
      <c r="CU65" s="72"/>
      <c r="CV65" s="69"/>
      <c r="CW65" s="72"/>
      <c r="CX65" s="69"/>
      <c r="CY65" s="72"/>
      <c r="CZ65" s="69"/>
      <c r="DA65" s="72"/>
      <c r="DB65" s="69"/>
      <c r="DC65" s="72"/>
      <c r="DD65" s="69"/>
      <c r="DE65" s="72"/>
      <c r="DF65" s="69"/>
      <c r="DG65" s="72"/>
      <c r="DH65" s="69"/>
      <c r="DI65" s="72"/>
      <c r="DJ65" s="69"/>
      <c r="DK65" s="72"/>
      <c r="DL65" s="69"/>
      <c r="DM65" s="72"/>
      <c r="DN65" s="69"/>
      <c r="DO65" s="72"/>
      <c r="DP65" s="69"/>
      <c r="DQ65" s="72"/>
      <c r="DR65" s="69"/>
      <c r="DS65" s="72"/>
      <c r="DT65" s="69"/>
      <c r="DU65" s="72"/>
      <c r="DV65" s="69"/>
      <c r="DW65" s="72"/>
      <c r="DX65" s="69"/>
      <c r="DY65" s="72"/>
      <c r="DZ65" s="69"/>
      <c r="EA65" s="72"/>
      <c r="EB65" s="69"/>
      <c r="EC65" s="72"/>
      <c r="ED65" s="69"/>
      <c r="EE65" s="72"/>
      <c r="EF65" s="69"/>
      <c r="EG65" s="99"/>
      <c r="EH65" s="88"/>
      <c r="EI65" s="72"/>
      <c r="EJ65" s="72"/>
      <c r="EK65" s="72"/>
      <c r="EL65" s="72"/>
      <c r="EM65" s="72"/>
      <c r="EN65" s="72"/>
      <c r="EO65" s="72"/>
      <c r="EP65" s="72"/>
      <c r="EQ65" s="72"/>
      <c r="ER65" s="72"/>
      <c r="ES65" s="72"/>
      <c r="ET65" s="72"/>
      <c r="EU65" s="72"/>
      <c r="EV65" s="72"/>
      <c r="EW65" s="72"/>
      <c r="EX65" s="72"/>
      <c r="EY65" s="72"/>
      <c r="EZ65" s="72"/>
      <c r="FA65" s="72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72"/>
      <c r="FM65" s="72"/>
      <c r="FN65" s="72"/>
      <c r="FO65" s="72"/>
      <c r="FP65" s="72"/>
      <c r="FQ65" s="72"/>
      <c r="FR65" s="72"/>
      <c r="FS65" s="72"/>
      <c r="FT65" s="63">
        <v>1</v>
      </c>
      <c r="FU65" s="63">
        <v>2</v>
      </c>
      <c r="FV65" s="63">
        <v>0</v>
      </c>
      <c r="FW65" s="63">
        <v>0</v>
      </c>
      <c r="FX65" s="63">
        <v>0</v>
      </c>
      <c r="FY65" s="63">
        <v>4</v>
      </c>
      <c r="FZ65" s="63">
        <v>0</v>
      </c>
      <c r="GA65" s="63">
        <v>1</v>
      </c>
      <c r="GB65" s="63">
        <v>2</v>
      </c>
      <c r="GC65" s="63">
        <v>15</v>
      </c>
      <c r="GD65" s="63">
        <v>0</v>
      </c>
      <c r="GE65" s="63">
        <v>1</v>
      </c>
      <c r="GF65" s="63">
        <v>0</v>
      </c>
      <c r="GG65" s="63">
        <v>0</v>
      </c>
      <c r="GH65" s="63">
        <v>0</v>
      </c>
      <c r="GI65" s="63">
        <v>2</v>
      </c>
      <c r="GJ65" s="63">
        <v>0</v>
      </c>
      <c r="GK65" s="63">
        <v>4</v>
      </c>
      <c r="GL65" s="63">
        <v>0</v>
      </c>
      <c r="GM65" s="63">
        <v>13</v>
      </c>
      <c r="GN65" s="63">
        <v>0</v>
      </c>
      <c r="GO65" s="63">
        <v>5</v>
      </c>
      <c r="GP65" s="63">
        <v>0</v>
      </c>
      <c r="GQ65" s="63">
        <v>0</v>
      </c>
      <c r="GR65" s="63">
        <v>2</v>
      </c>
      <c r="GS65" s="63">
        <v>8</v>
      </c>
      <c r="GT65" s="63">
        <v>1</v>
      </c>
      <c r="GU65" s="63">
        <v>1</v>
      </c>
      <c r="GV65" s="63">
        <v>1</v>
      </c>
      <c r="GW65" s="63">
        <v>9</v>
      </c>
      <c r="GX65" s="63">
        <v>2</v>
      </c>
      <c r="GY65" s="63">
        <v>5</v>
      </c>
      <c r="GZ65" s="63">
        <v>0</v>
      </c>
      <c r="HA65" s="63">
        <v>2</v>
      </c>
      <c r="HB65" s="63">
        <v>0</v>
      </c>
      <c r="HC65" s="63">
        <v>9</v>
      </c>
      <c r="HD65" s="63">
        <v>2</v>
      </c>
      <c r="HE65" s="63">
        <v>2</v>
      </c>
      <c r="HF65" s="63">
        <v>0</v>
      </c>
      <c r="HG65" s="63">
        <v>3</v>
      </c>
      <c r="HH65" s="63">
        <v>0</v>
      </c>
      <c r="HI65" s="63">
        <v>4</v>
      </c>
      <c r="HJ65" s="63">
        <v>0</v>
      </c>
      <c r="HK65" s="63">
        <v>0</v>
      </c>
      <c r="HL65" s="63">
        <v>0</v>
      </c>
      <c r="HM65" s="63">
        <v>2</v>
      </c>
      <c r="HN65" s="63">
        <v>0</v>
      </c>
      <c r="HO65" s="63">
        <v>7</v>
      </c>
      <c r="HP65" s="63">
        <v>0</v>
      </c>
      <c r="HQ65" s="63">
        <v>1</v>
      </c>
      <c r="HR65" s="63">
        <v>1</v>
      </c>
      <c r="HS65" s="63">
        <v>4</v>
      </c>
      <c r="HT65" s="63">
        <v>0</v>
      </c>
      <c r="HU65" s="63">
        <v>1</v>
      </c>
      <c r="HV65" s="63">
        <v>0</v>
      </c>
      <c r="HW65" s="63">
        <v>0</v>
      </c>
      <c r="HX65" s="63">
        <v>0</v>
      </c>
      <c r="HY65" s="63">
        <v>4</v>
      </c>
      <c r="HZ65" s="63">
        <v>1</v>
      </c>
      <c r="IA65" s="63">
        <v>6</v>
      </c>
      <c r="IB65" s="63">
        <v>1</v>
      </c>
      <c r="IC65" s="63">
        <v>7</v>
      </c>
      <c r="ID65" s="63">
        <v>1</v>
      </c>
      <c r="IE65" s="63">
        <v>2</v>
      </c>
      <c r="IF65" s="63">
        <v>0</v>
      </c>
      <c r="IG65" s="63">
        <v>6</v>
      </c>
      <c r="IH65" s="63">
        <v>1</v>
      </c>
      <c r="II65" s="63">
        <v>4</v>
      </c>
      <c r="IJ65" s="63">
        <v>0</v>
      </c>
      <c r="IK65" s="63">
        <v>2</v>
      </c>
      <c r="IL65" s="63">
        <v>1</v>
      </c>
      <c r="IM65" s="63">
        <v>5</v>
      </c>
      <c r="IN65" s="63">
        <v>0</v>
      </c>
      <c r="IO65" s="63">
        <v>2</v>
      </c>
      <c r="IP65" s="63">
        <v>0</v>
      </c>
      <c r="IQ65" s="63">
        <v>1</v>
      </c>
      <c r="IR65" s="63">
        <v>0</v>
      </c>
      <c r="IS65" s="63">
        <v>1</v>
      </c>
      <c r="IT65" s="63">
        <v>0</v>
      </c>
      <c r="IU65" s="63">
        <v>5</v>
      </c>
      <c r="IV65" s="63">
        <v>0</v>
      </c>
      <c r="IW65" s="63">
        <v>3</v>
      </c>
      <c r="IX65" s="63">
        <v>0</v>
      </c>
      <c r="IY65" s="63">
        <v>3</v>
      </c>
      <c r="IZ65" s="63">
        <v>1</v>
      </c>
      <c r="JA65" s="63">
        <v>2</v>
      </c>
      <c r="JB65" s="63">
        <v>0</v>
      </c>
      <c r="JC65" s="63">
        <v>2</v>
      </c>
      <c r="JD65" s="63">
        <v>1</v>
      </c>
      <c r="JE65" s="63">
        <v>9</v>
      </c>
    </row>
    <row r="66" spans="1:265" ht="42" x14ac:dyDescent="0.15">
      <c r="A66" s="90">
        <v>2.5</v>
      </c>
      <c r="B66" s="98" t="s">
        <v>112</v>
      </c>
      <c r="C66" s="92"/>
      <c r="D66" s="73"/>
      <c r="E66" s="73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72"/>
      <c r="CN66" s="69"/>
      <c r="CO66" s="72"/>
      <c r="CP66" s="69"/>
      <c r="CQ66" s="72"/>
      <c r="CR66" s="69"/>
      <c r="CS66" s="72"/>
      <c r="CT66" s="69"/>
      <c r="CU66" s="72"/>
      <c r="CV66" s="69"/>
      <c r="CW66" s="72"/>
      <c r="CX66" s="69"/>
      <c r="CY66" s="72"/>
      <c r="CZ66" s="69"/>
      <c r="DA66" s="72"/>
      <c r="DB66" s="69"/>
      <c r="DC66" s="72"/>
      <c r="DD66" s="69"/>
      <c r="DE66" s="72"/>
      <c r="DF66" s="69"/>
      <c r="DG66" s="72"/>
      <c r="DH66" s="69"/>
      <c r="DI66" s="72"/>
      <c r="DJ66" s="69"/>
      <c r="DK66" s="72"/>
      <c r="DL66" s="69"/>
      <c r="DM66" s="72"/>
      <c r="DN66" s="69"/>
      <c r="DO66" s="72"/>
      <c r="DP66" s="69"/>
      <c r="DQ66" s="72"/>
      <c r="DR66" s="69"/>
      <c r="DS66" s="72"/>
      <c r="DT66" s="69"/>
      <c r="DU66" s="72"/>
      <c r="DV66" s="69"/>
      <c r="DW66" s="72"/>
      <c r="DX66" s="69"/>
      <c r="DY66" s="72"/>
      <c r="DZ66" s="69"/>
      <c r="EA66" s="72"/>
      <c r="EB66" s="69"/>
      <c r="EC66" s="72"/>
      <c r="ED66" s="69"/>
      <c r="EE66" s="72"/>
      <c r="EF66" s="69"/>
      <c r="EG66" s="99"/>
      <c r="EH66" s="88"/>
      <c r="EI66" s="72"/>
      <c r="EJ66" s="72"/>
      <c r="EK66" s="72"/>
      <c r="EL66" s="72"/>
      <c r="EM66" s="72"/>
      <c r="EN66" s="72"/>
      <c r="EO66" s="72"/>
      <c r="EP66" s="72"/>
      <c r="EQ66" s="72"/>
      <c r="ER66" s="72"/>
      <c r="ES66" s="72"/>
      <c r="ET66" s="72"/>
      <c r="EU66" s="72"/>
      <c r="EV66" s="72"/>
      <c r="EW66" s="72"/>
      <c r="EX66" s="72"/>
      <c r="EY66" s="72"/>
      <c r="EZ66" s="72"/>
      <c r="FA66" s="72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72"/>
      <c r="FM66" s="72"/>
      <c r="FN66" s="72"/>
      <c r="FO66" s="72"/>
      <c r="FP66" s="72"/>
      <c r="FQ66" s="72"/>
      <c r="FR66" s="72"/>
      <c r="FS66" s="72"/>
      <c r="FT66" s="63">
        <v>2</v>
      </c>
      <c r="FU66" s="63">
        <v>2</v>
      </c>
      <c r="FV66" s="63">
        <v>0</v>
      </c>
      <c r="FW66" s="63">
        <v>0</v>
      </c>
      <c r="FX66" s="63">
        <v>0</v>
      </c>
      <c r="FY66" s="63">
        <v>1</v>
      </c>
      <c r="FZ66" s="63">
        <v>0</v>
      </c>
      <c r="GA66" s="63">
        <v>0</v>
      </c>
      <c r="GB66" s="63">
        <v>0</v>
      </c>
      <c r="GC66" s="63">
        <v>2</v>
      </c>
      <c r="GD66" s="63">
        <v>0</v>
      </c>
      <c r="GE66" s="63">
        <v>1</v>
      </c>
      <c r="GF66" s="63">
        <v>0</v>
      </c>
      <c r="GG66" s="63">
        <v>0</v>
      </c>
      <c r="GH66" s="63">
        <v>0</v>
      </c>
      <c r="GI66" s="63">
        <v>0</v>
      </c>
      <c r="GJ66" s="63">
        <v>0</v>
      </c>
      <c r="GK66" s="63">
        <v>2</v>
      </c>
      <c r="GL66" s="63">
        <v>0</v>
      </c>
      <c r="GM66" s="63">
        <v>1</v>
      </c>
      <c r="GN66" s="63">
        <v>0</v>
      </c>
      <c r="GO66" s="63">
        <v>0</v>
      </c>
      <c r="GP66" s="63">
        <v>0</v>
      </c>
      <c r="GQ66" s="63">
        <v>1</v>
      </c>
      <c r="GR66" s="63">
        <v>0</v>
      </c>
      <c r="GS66" s="63">
        <v>1</v>
      </c>
      <c r="GT66" s="63">
        <v>0</v>
      </c>
      <c r="GU66" s="63">
        <v>0</v>
      </c>
      <c r="GV66" s="63">
        <v>0</v>
      </c>
      <c r="GW66" s="63">
        <v>2</v>
      </c>
      <c r="GX66" s="63">
        <v>0</v>
      </c>
      <c r="GY66" s="63">
        <v>2</v>
      </c>
      <c r="GZ66" s="63">
        <v>0</v>
      </c>
      <c r="HA66" s="63">
        <v>0</v>
      </c>
      <c r="HB66" s="63">
        <v>0</v>
      </c>
      <c r="HC66" s="63">
        <v>0</v>
      </c>
      <c r="HD66" s="63">
        <v>0</v>
      </c>
      <c r="HE66" s="63">
        <v>2</v>
      </c>
      <c r="HF66" s="63">
        <v>0</v>
      </c>
      <c r="HG66" s="63">
        <v>1</v>
      </c>
      <c r="HH66" s="63">
        <v>0</v>
      </c>
      <c r="HI66" s="63">
        <v>0</v>
      </c>
      <c r="HJ66" s="63">
        <v>0</v>
      </c>
      <c r="HK66" s="63">
        <v>4</v>
      </c>
      <c r="HL66" s="63">
        <v>0</v>
      </c>
      <c r="HM66" s="63">
        <v>0</v>
      </c>
      <c r="HN66" s="63">
        <v>0</v>
      </c>
      <c r="HO66" s="63">
        <v>1</v>
      </c>
      <c r="HP66" s="63">
        <v>0</v>
      </c>
      <c r="HQ66" s="63">
        <v>1</v>
      </c>
      <c r="HR66" s="63">
        <v>0</v>
      </c>
      <c r="HS66" s="63">
        <v>3</v>
      </c>
      <c r="HT66" s="63">
        <v>0</v>
      </c>
      <c r="HU66" s="63">
        <v>1</v>
      </c>
      <c r="HV66" s="63">
        <v>0</v>
      </c>
      <c r="HW66" s="63">
        <v>0</v>
      </c>
      <c r="HX66" s="63">
        <v>0</v>
      </c>
      <c r="HY66" s="63">
        <v>1</v>
      </c>
      <c r="HZ66" s="63">
        <v>0</v>
      </c>
      <c r="IA66" s="63">
        <v>0</v>
      </c>
      <c r="IB66" s="63">
        <v>0</v>
      </c>
      <c r="IC66" s="63">
        <v>0</v>
      </c>
      <c r="ID66" s="63">
        <v>0</v>
      </c>
      <c r="IE66" s="63">
        <v>2</v>
      </c>
      <c r="IF66" s="63">
        <v>0</v>
      </c>
      <c r="IG66" s="63">
        <v>3</v>
      </c>
      <c r="IH66" s="63">
        <v>0</v>
      </c>
      <c r="II66" s="63">
        <v>1</v>
      </c>
      <c r="IJ66" s="63">
        <v>0</v>
      </c>
      <c r="IK66" s="63">
        <v>0</v>
      </c>
      <c r="IL66" s="63">
        <v>0</v>
      </c>
      <c r="IM66" s="63">
        <v>0</v>
      </c>
      <c r="IN66" s="63">
        <v>0</v>
      </c>
      <c r="IO66" s="63">
        <v>1</v>
      </c>
      <c r="IP66" s="63">
        <v>1</v>
      </c>
      <c r="IQ66" s="63">
        <v>2</v>
      </c>
      <c r="IR66" s="63">
        <v>0</v>
      </c>
      <c r="IS66" s="63">
        <v>0</v>
      </c>
      <c r="IT66" s="63">
        <v>0</v>
      </c>
      <c r="IU66" s="63">
        <v>0</v>
      </c>
      <c r="IV66" s="63">
        <v>0</v>
      </c>
      <c r="IW66" s="63">
        <v>0</v>
      </c>
      <c r="IX66" s="63">
        <v>0</v>
      </c>
      <c r="IY66" s="63">
        <v>3</v>
      </c>
      <c r="IZ66" s="63">
        <v>0</v>
      </c>
      <c r="JA66" s="63">
        <v>1</v>
      </c>
      <c r="JB66" s="63">
        <v>0</v>
      </c>
      <c r="JC66" s="63">
        <v>2</v>
      </c>
      <c r="JD66" s="63">
        <v>0</v>
      </c>
      <c r="JE66" s="63">
        <v>2</v>
      </c>
    </row>
    <row r="67" spans="1:265" ht="14" x14ac:dyDescent="0.15">
      <c r="A67" s="51"/>
      <c r="B67" s="100" t="s">
        <v>113</v>
      </c>
      <c r="C67" s="100" t="s">
        <v>113</v>
      </c>
      <c r="D67" s="54">
        <f>SUM(D59:D66)</f>
        <v>3</v>
      </c>
      <c r="E67" s="54">
        <f t="shared" ref="E67:BP67" si="13">SUM(E59:E66)</f>
        <v>109</v>
      </c>
      <c r="F67" s="54">
        <f t="shared" si="13"/>
        <v>0</v>
      </c>
      <c r="G67" s="54">
        <f t="shared" si="13"/>
        <v>132</v>
      </c>
      <c r="H67" s="54">
        <f t="shared" si="13"/>
        <v>2</v>
      </c>
      <c r="I67" s="54">
        <f t="shared" si="13"/>
        <v>60</v>
      </c>
      <c r="J67" s="54">
        <f t="shared" si="13"/>
        <v>0</v>
      </c>
      <c r="K67" s="54">
        <f t="shared" si="13"/>
        <v>125</v>
      </c>
      <c r="L67" s="54">
        <f t="shared" si="13"/>
        <v>5</v>
      </c>
      <c r="M67" s="54">
        <f t="shared" si="13"/>
        <v>122</v>
      </c>
      <c r="N67" s="54">
        <f t="shared" si="13"/>
        <v>0</v>
      </c>
      <c r="O67" s="54">
        <f t="shared" si="13"/>
        <v>161</v>
      </c>
      <c r="P67" s="54">
        <f t="shared" si="13"/>
        <v>0</v>
      </c>
      <c r="Q67" s="54">
        <f t="shared" si="13"/>
        <v>50</v>
      </c>
      <c r="R67" s="54">
        <f t="shared" si="13"/>
        <v>1</v>
      </c>
      <c r="S67" s="54">
        <f t="shared" si="13"/>
        <v>58</v>
      </c>
      <c r="T67" s="54">
        <f t="shared" si="13"/>
        <v>0</v>
      </c>
      <c r="U67" s="54">
        <f t="shared" si="13"/>
        <v>166</v>
      </c>
      <c r="V67" s="54">
        <f t="shared" si="13"/>
        <v>2</v>
      </c>
      <c r="W67" s="54">
        <f t="shared" si="13"/>
        <v>257</v>
      </c>
      <c r="X67" s="54">
        <f t="shared" si="13"/>
        <v>2</v>
      </c>
      <c r="Y67" s="54">
        <f t="shared" si="13"/>
        <v>272</v>
      </c>
      <c r="Z67" s="54">
        <f t="shared" si="13"/>
        <v>0</v>
      </c>
      <c r="AA67" s="54">
        <f t="shared" si="13"/>
        <v>88</v>
      </c>
      <c r="AB67" s="54">
        <f t="shared" si="13"/>
        <v>2</v>
      </c>
      <c r="AC67" s="54">
        <f t="shared" si="13"/>
        <v>106</v>
      </c>
      <c r="AD67" s="54">
        <f t="shared" si="13"/>
        <v>1</v>
      </c>
      <c r="AE67" s="54">
        <f t="shared" si="13"/>
        <v>25</v>
      </c>
      <c r="AF67" s="54">
        <f t="shared" si="13"/>
        <v>2</v>
      </c>
      <c r="AG67" s="54">
        <f t="shared" si="13"/>
        <v>28</v>
      </c>
      <c r="AH67" s="54">
        <f t="shared" si="13"/>
        <v>0</v>
      </c>
      <c r="AI67" s="54">
        <f t="shared" si="13"/>
        <v>15</v>
      </c>
      <c r="AJ67" s="54">
        <f t="shared" si="13"/>
        <v>0</v>
      </c>
      <c r="AK67" s="54">
        <f t="shared" si="13"/>
        <v>29</v>
      </c>
      <c r="AL67" s="54">
        <f t="shared" si="13"/>
        <v>1</v>
      </c>
      <c r="AM67" s="54">
        <f t="shared" si="13"/>
        <v>29</v>
      </c>
      <c r="AN67" s="54">
        <f t="shared" si="13"/>
        <v>1</v>
      </c>
      <c r="AO67" s="54">
        <f t="shared" si="13"/>
        <v>29</v>
      </c>
      <c r="AP67" s="54">
        <f t="shared" si="13"/>
        <v>0</v>
      </c>
      <c r="AQ67" s="54">
        <f t="shared" si="13"/>
        <v>23</v>
      </c>
      <c r="AR67" s="54">
        <f t="shared" si="13"/>
        <v>0</v>
      </c>
      <c r="AS67" s="54">
        <f t="shared" si="13"/>
        <v>57</v>
      </c>
      <c r="AT67" s="54">
        <f t="shared" si="13"/>
        <v>1</v>
      </c>
      <c r="AU67" s="54">
        <f t="shared" si="13"/>
        <v>24</v>
      </c>
      <c r="AV67" s="54">
        <f t="shared" si="13"/>
        <v>3</v>
      </c>
      <c r="AW67" s="54">
        <f t="shared" si="13"/>
        <v>39</v>
      </c>
      <c r="AX67" s="54">
        <f t="shared" si="13"/>
        <v>3</v>
      </c>
      <c r="AY67" s="54">
        <f t="shared" si="13"/>
        <v>31</v>
      </c>
      <c r="AZ67" s="54">
        <f t="shared" si="13"/>
        <v>0</v>
      </c>
      <c r="BA67" s="54">
        <f t="shared" si="13"/>
        <v>29</v>
      </c>
      <c r="BB67" s="54">
        <f t="shared" si="13"/>
        <v>1</v>
      </c>
      <c r="BC67" s="54">
        <f t="shared" si="13"/>
        <v>16</v>
      </c>
      <c r="BD67" s="54">
        <f t="shared" si="13"/>
        <v>1</v>
      </c>
      <c r="BE67" s="54">
        <f t="shared" si="13"/>
        <v>23</v>
      </c>
      <c r="BF67" s="54">
        <f t="shared" si="13"/>
        <v>0</v>
      </c>
      <c r="BG67" s="54">
        <f t="shared" si="13"/>
        <v>16</v>
      </c>
      <c r="BH67" s="54">
        <f t="shared" si="13"/>
        <v>4</v>
      </c>
      <c r="BI67" s="54">
        <f t="shared" si="13"/>
        <v>29</v>
      </c>
      <c r="BJ67" s="54">
        <f t="shared" si="13"/>
        <v>0</v>
      </c>
      <c r="BK67" s="54">
        <f t="shared" si="13"/>
        <v>18</v>
      </c>
      <c r="BL67" s="54">
        <f t="shared" si="13"/>
        <v>1</v>
      </c>
      <c r="BM67" s="54">
        <f t="shared" si="13"/>
        <v>22</v>
      </c>
      <c r="BN67" s="54">
        <f t="shared" si="13"/>
        <v>1</v>
      </c>
      <c r="BO67" s="54">
        <f t="shared" si="13"/>
        <v>23</v>
      </c>
      <c r="BP67" s="54">
        <f t="shared" si="13"/>
        <v>0</v>
      </c>
      <c r="BQ67" s="54">
        <f t="shared" ref="BQ67:EB67" si="14">SUM(BQ59:BQ66)</f>
        <v>9</v>
      </c>
      <c r="BR67" s="54">
        <f t="shared" si="14"/>
        <v>0</v>
      </c>
      <c r="BS67" s="54">
        <f t="shared" si="14"/>
        <v>21</v>
      </c>
      <c r="BT67" s="54">
        <f t="shared" si="14"/>
        <v>0</v>
      </c>
      <c r="BU67" s="54">
        <f t="shared" si="14"/>
        <v>37</v>
      </c>
      <c r="BV67" s="54">
        <f t="shared" si="14"/>
        <v>0</v>
      </c>
      <c r="BW67" s="54">
        <f t="shared" si="14"/>
        <v>17</v>
      </c>
      <c r="BX67" s="54">
        <f t="shared" si="14"/>
        <v>0</v>
      </c>
      <c r="BY67" s="54">
        <f t="shared" si="14"/>
        <v>17</v>
      </c>
      <c r="BZ67" s="54">
        <f t="shared" si="14"/>
        <v>0</v>
      </c>
      <c r="CA67" s="54">
        <f t="shared" si="14"/>
        <v>11</v>
      </c>
      <c r="CB67" s="54">
        <f t="shared" si="14"/>
        <v>0</v>
      </c>
      <c r="CC67" s="54">
        <f t="shared" si="14"/>
        <v>21</v>
      </c>
      <c r="CD67" s="54">
        <f t="shared" si="14"/>
        <v>3</v>
      </c>
      <c r="CE67" s="54">
        <f t="shared" si="14"/>
        <v>13</v>
      </c>
      <c r="CF67" s="54">
        <f t="shared" si="14"/>
        <v>1</v>
      </c>
      <c r="CG67" s="54">
        <f t="shared" si="14"/>
        <v>9</v>
      </c>
      <c r="CH67" s="54">
        <f t="shared" si="14"/>
        <v>0</v>
      </c>
      <c r="CI67" s="54">
        <f t="shared" si="14"/>
        <v>2</v>
      </c>
      <c r="CJ67" s="54">
        <f t="shared" si="14"/>
        <v>0</v>
      </c>
      <c r="CK67" s="54">
        <f t="shared" si="14"/>
        <v>6</v>
      </c>
      <c r="CL67" s="54">
        <f t="shared" si="14"/>
        <v>0</v>
      </c>
      <c r="CM67" s="54">
        <f t="shared" si="14"/>
        <v>13</v>
      </c>
      <c r="CN67" s="54">
        <f t="shared" si="14"/>
        <v>0</v>
      </c>
      <c r="CO67" s="54">
        <f t="shared" si="14"/>
        <v>8</v>
      </c>
      <c r="CP67" s="54">
        <f t="shared" si="14"/>
        <v>2</v>
      </c>
      <c r="CQ67" s="54">
        <f t="shared" si="14"/>
        <v>12</v>
      </c>
      <c r="CR67" s="54">
        <f t="shared" si="14"/>
        <v>0</v>
      </c>
      <c r="CS67" s="54">
        <f t="shared" si="14"/>
        <v>23</v>
      </c>
      <c r="CT67" s="54">
        <f t="shared" si="14"/>
        <v>0</v>
      </c>
      <c r="CU67" s="54">
        <f t="shared" si="14"/>
        <v>8</v>
      </c>
      <c r="CV67" s="54">
        <f t="shared" si="14"/>
        <v>1</v>
      </c>
      <c r="CW67" s="54">
        <f t="shared" si="14"/>
        <v>19</v>
      </c>
      <c r="CX67" s="54">
        <f t="shared" si="14"/>
        <v>0</v>
      </c>
      <c r="CY67" s="54">
        <f t="shared" si="14"/>
        <v>11</v>
      </c>
      <c r="CZ67" s="54">
        <f t="shared" si="14"/>
        <v>0</v>
      </c>
      <c r="DA67" s="54">
        <f t="shared" si="14"/>
        <v>37</v>
      </c>
      <c r="DB67" s="54">
        <f t="shared" si="14"/>
        <v>0</v>
      </c>
      <c r="DC67" s="54">
        <f t="shared" si="14"/>
        <v>28</v>
      </c>
      <c r="DD67" s="54">
        <f t="shared" si="14"/>
        <v>0</v>
      </c>
      <c r="DE67" s="54">
        <f t="shared" si="14"/>
        <v>17</v>
      </c>
      <c r="DF67" s="54">
        <f t="shared" si="14"/>
        <v>2</v>
      </c>
      <c r="DG67" s="54">
        <f t="shared" si="14"/>
        <v>14</v>
      </c>
      <c r="DH67" s="54">
        <f t="shared" si="14"/>
        <v>0</v>
      </c>
      <c r="DI67" s="54">
        <f t="shared" si="14"/>
        <v>8</v>
      </c>
      <c r="DJ67" s="54">
        <f t="shared" si="14"/>
        <v>3</v>
      </c>
      <c r="DK67" s="54">
        <f t="shared" si="14"/>
        <v>85</v>
      </c>
      <c r="DL67" s="54">
        <f t="shared" si="14"/>
        <v>0</v>
      </c>
      <c r="DM67" s="54">
        <f t="shared" si="14"/>
        <v>83</v>
      </c>
      <c r="DN67" s="54">
        <f t="shared" si="14"/>
        <v>4</v>
      </c>
      <c r="DO67" s="54">
        <f t="shared" si="14"/>
        <v>85</v>
      </c>
      <c r="DP67" s="54">
        <f t="shared" si="14"/>
        <v>3</v>
      </c>
      <c r="DQ67" s="54">
        <f t="shared" si="14"/>
        <v>88</v>
      </c>
      <c r="DR67" s="54">
        <f t="shared" si="14"/>
        <v>3</v>
      </c>
      <c r="DS67" s="54">
        <f t="shared" si="14"/>
        <v>102</v>
      </c>
      <c r="DT67" s="54">
        <f t="shared" si="14"/>
        <v>1</v>
      </c>
      <c r="DU67" s="54">
        <f t="shared" si="14"/>
        <v>106</v>
      </c>
      <c r="DV67" s="54">
        <f t="shared" si="14"/>
        <v>1</v>
      </c>
      <c r="DW67" s="54">
        <f t="shared" si="14"/>
        <v>97</v>
      </c>
      <c r="DX67" s="54">
        <f t="shared" si="14"/>
        <v>2</v>
      </c>
      <c r="DY67" s="54">
        <f t="shared" si="14"/>
        <v>115</v>
      </c>
      <c r="DZ67" s="54">
        <f t="shared" si="14"/>
        <v>1</v>
      </c>
      <c r="EA67" s="54">
        <f t="shared" si="14"/>
        <v>118</v>
      </c>
      <c r="EB67" s="54">
        <f t="shared" si="14"/>
        <v>0</v>
      </c>
      <c r="EC67" s="54">
        <f t="shared" ref="EC67:GN67" si="15">SUM(EC59:EC66)</f>
        <v>89</v>
      </c>
      <c r="ED67" s="54">
        <f t="shared" si="15"/>
        <v>2</v>
      </c>
      <c r="EE67" s="54">
        <f t="shared" si="15"/>
        <v>91</v>
      </c>
      <c r="EF67" s="54">
        <f t="shared" si="15"/>
        <v>0</v>
      </c>
      <c r="EG67" s="89">
        <f t="shared" si="15"/>
        <v>84</v>
      </c>
      <c r="EH67" s="56">
        <f t="shared" si="15"/>
        <v>0</v>
      </c>
      <c r="EI67" s="54">
        <f t="shared" si="15"/>
        <v>79</v>
      </c>
      <c r="EJ67" s="54">
        <f t="shared" si="15"/>
        <v>0</v>
      </c>
      <c r="EK67" s="54">
        <f t="shared" si="15"/>
        <v>94</v>
      </c>
      <c r="EL67" s="54">
        <f t="shared" si="15"/>
        <v>1</v>
      </c>
      <c r="EM67" s="54">
        <f t="shared" si="15"/>
        <v>80</v>
      </c>
      <c r="EN67" s="54">
        <f t="shared" si="15"/>
        <v>2</v>
      </c>
      <c r="EO67" s="54">
        <f t="shared" si="15"/>
        <v>104</v>
      </c>
      <c r="EP67" s="54">
        <f t="shared" si="15"/>
        <v>0</v>
      </c>
      <c r="EQ67" s="54">
        <f t="shared" si="15"/>
        <v>83</v>
      </c>
      <c r="ER67" s="54">
        <f t="shared" si="15"/>
        <v>0</v>
      </c>
      <c r="ES67" s="54">
        <f t="shared" si="15"/>
        <v>121</v>
      </c>
      <c r="ET67" s="54">
        <f t="shared" si="15"/>
        <v>1</v>
      </c>
      <c r="EU67" s="54">
        <f t="shared" si="15"/>
        <v>152</v>
      </c>
      <c r="EV67" s="54">
        <f t="shared" si="15"/>
        <v>0</v>
      </c>
      <c r="EW67" s="54">
        <f t="shared" si="15"/>
        <v>177</v>
      </c>
      <c r="EX67" s="54">
        <f t="shared" si="15"/>
        <v>1</v>
      </c>
      <c r="EY67" s="54">
        <f t="shared" si="15"/>
        <v>49</v>
      </c>
      <c r="EZ67" s="54">
        <f t="shared" si="15"/>
        <v>1</v>
      </c>
      <c r="FA67" s="54">
        <f t="shared" si="15"/>
        <v>67</v>
      </c>
      <c r="FB67" s="54">
        <f t="shared" si="15"/>
        <v>2</v>
      </c>
      <c r="FC67" s="54">
        <f t="shared" si="15"/>
        <v>46</v>
      </c>
      <c r="FD67" s="54">
        <f t="shared" si="15"/>
        <v>1</v>
      </c>
      <c r="FE67" s="54">
        <f t="shared" si="15"/>
        <v>68</v>
      </c>
      <c r="FF67" s="54">
        <f t="shared" si="15"/>
        <v>2</v>
      </c>
      <c r="FG67" s="54">
        <f t="shared" si="15"/>
        <v>80</v>
      </c>
      <c r="FH67" s="54">
        <f t="shared" si="15"/>
        <v>3</v>
      </c>
      <c r="FI67" s="54">
        <f t="shared" si="15"/>
        <v>81</v>
      </c>
      <c r="FJ67" s="54">
        <f t="shared" si="15"/>
        <v>0</v>
      </c>
      <c r="FK67" s="54">
        <f t="shared" si="15"/>
        <v>54</v>
      </c>
      <c r="FL67" s="54">
        <f t="shared" si="15"/>
        <v>72</v>
      </c>
      <c r="FM67" s="54">
        <f t="shared" si="15"/>
        <v>78</v>
      </c>
      <c r="FN67" s="54">
        <f t="shared" si="15"/>
        <v>0</v>
      </c>
      <c r="FO67" s="54">
        <f t="shared" si="15"/>
        <v>0</v>
      </c>
      <c r="FP67" s="54">
        <f t="shared" si="15"/>
        <v>0</v>
      </c>
      <c r="FQ67" s="54">
        <f t="shared" si="15"/>
        <v>0</v>
      </c>
      <c r="FR67" s="54">
        <f t="shared" si="15"/>
        <v>0</v>
      </c>
      <c r="FS67" s="54">
        <f t="shared" si="15"/>
        <v>0</v>
      </c>
      <c r="FT67" s="54">
        <f t="shared" si="15"/>
        <v>6</v>
      </c>
      <c r="FU67" s="54">
        <f t="shared" si="15"/>
        <v>46</v>
      </c>
      <c r="FV67" s="54">
        <f t="shared" si="15"/>
        <v>0</v>
      </c>
      <c r="FW67" s="54">
        <f t="shared" si="15"/>
        <v>0</v>
      </c>
      <c r="FX67" s="54">
        <f t="shared" si="15"/>
        <v>3</v>
      </c>
      <c r="FY67" s="54">
        <f t="shared" si="15"/>
        <v>74</v>
      </c>
      <c r="FZ67" s="54">
        <f t="shared" si="15"/>
        <v>2</v>
      </c>
      <c r="GA67" s="54">
        <f t="shared" si="15"/>
        <v>64</v>
      </c>
      <c r="GB67" s="54">
        <f t="shared" si="15"/>
        <v>2</v>
      </c>
      <c r="GC67" s="54">
        <f t="shared" si="15"/>
        <v>92</v>
      </c>
      <c r="GD67" s="54">
        <f t="shared" si="15"/>
        <v>0</v>
      </c>
      <c r="GE67" s="54">
        <f t="shared" si="15"/>
        <v>47</v>
      </c>
      <c r="GF67" s="54">
        <f t="shared" si="15"/>
        <v>1</v>
      </c>
      <c r="GG67" s="54">
        <f t="shared" si="15"/>
        <v>23</v>
      </c>
      <c r="GH67" s="54">
        <f t="shared" si="15"/>
        <v>0</v>
      </c>
      <c r="GI67" s="54">
        <f t="shared" si="15"/>
        <v>84</v>
      </c>
      <c r="GJ67" s="54">
        <f t="shared" si="15"/>
        <v>0</v>
      </c>
      <c r="GK67" s="54">
        <f t="shared" si="15"/>
        <v>72</v>
      </c>
      <c r="GL67" s="54">
        <f t="shared" si="15"/>
        <v>0</v>
      </c>
      <c r="GM67" s="54">
        <f t="shared" si="15"/>
        <v>99</v>
      </c>
      <c r="GN67" s="54">
        <f t="shared" si="15"/>
        <v>1</v>
      </c>
      <c r="GO67" s="54">
        <f t="shared" ref="GO67:IZ67" si="16">SUM(GO59:GO66)</f>
        <v>97</v>
      </c>
      <c r="GP67" s="54">
        <f t="shared" si="16"/>
        <v>1</v>
      </c>
      <c r="GQ67" s="54">
        <f t="shared" si="16"/>
        <v>87</v>
      </c>
      <c r="GR67" s="54">
        <f t="shared" si="16"/>
        <v>2</v>
      </c>
      <c r="GS67" s="54">
        <f t="shared" si="16"/>
        <v>53</v>
      </c>
      <c r="GT67" s="54">
        <f t="shared" si="16"/>
        <v>3</v>
      </c>
      <c r="GU67" s="54">
        <f t="shared" si="16"/>
        <v>63</v>
      </c>
      <c r="GV67" s="54">
        <f t="shared" si="16"/>
        <v>1</v>
      </c>
      <c r="GW67" s="54">
        <f t="shared" si="16"/>
        <v>76</v>
      </c>
      <c r="GX67" s="54">
        <f t="shared" si="16"/>
        <v>2</v>
      </c>
      <c r="GY67" s="54">
        <f t="shared" si="16"/>
        <v>101</v>
      </c>
      <c r="GZ67" s="54">
        <f t="shared" si="16"/>
        <v>2</v>
      </c>
      <c r="HA67" s="54">
        <f t="shared" si="16"/>
        <v>77</v>
      </c>
      <c r="HB67" s="54">
        <f t="shared" si="16"/>
        <v>0</v>
      </c>
      <c r="HC67" s="54">
        <f t="shared" si="16"/>
        <v>9</v>
      </c>
      <c r="HD67" s="54">
        <f t="shared" si="16"/>
        <v>2</v>
      </c>
      <c r="HE67" s="54">
        <f t="shared" si="16"/>
        <v>4</v>
      </c>
      <c r="HF67" s="54">
        <f t="shared" si="16"/>
        <v>0</v>
      </c>
      <c r="HG67" s="54">
        <f t="shared" si="16"/>
        <v>4</v>
      </c>
      <c r="HH67" s="54">
        <f t="shared" si="16"/>
        <v>0</v>
      </c>
      <c r="HI67" s="54">
        <f t="shared" si="16"/>
        <v>4</v>
      </c>
      <c r="HJ67" s="54">
        <f t="shared" si="16"/>
        <v>0</v>
      </c>
      <c r="HK67" s="54">
        <f t="shared" si="16"/>
        <v>4</v>
      </c>
      <c r="HL67" s="54">
        <f t="shared" si="16"/>
        <v>0</v>
      </c>
      <c r="HM67" s="54">
        <f t="shared" si="16"/>
        <v>2</v>
      </c>
      <c r="HN67" s="54">
        <f t="shared" si="16"/>
        <v>0</v>
      </c>
      <c r="HO67" s="54">
        <f t="shared" si="16"/>
        <v>8</v>
      </c>
      <c r="HP67" s="54">
        <f t="shared" si="16"/>
        <v>0</v>
      </c>
      <c r="HQ67" s="54">
        <f t="shared" si="16"/>
        <v>2</v>
      </c>
      <c r="HR67" s="54">
        <f t="shared" si="16"/>
        <v>1</v>
      </c>
      <c r="HS67" s="54">
        <f t="shared" si="16"/>
        <v>7</v>
      </c>
      <c r="HT67" s="54">
        <f t="shared" si="16"/>
        <v>0</v>
      </c>
      <c r="HU67" s="54">
        <f t="shared" si="16"/>
        <v>2</v>
      </c>
      <c r="HV67" s="54">
        <f t="shared" si="16"/>
        <v>0</v>
      </c>
      <c r="HW67" s="54">
        <f t="shared" si="16"/>
        <v>0</v>
      </c>
      <c r="HX67" s="54">
        <f t="shared" si="16"/>
        <v>0</v>
      </c>
      <c r="HY67" s="54">
        <f t="shared" si="16"/>
        <v>5</v>
      </c>
      <c r="HZ67" s="54">
        <f t="shared" si="16"/>
        <v>1</v>
      </c>
      <c r="IA67" s="54">
        <f t="shared" si="16"/>
        <v>6</v>
      </c>
      <c r="IB67" s="54">
        <f t="shared" si="16"/>
        <v>1</v>
      </c>
      <c r="IC67" s="54">
        <f t="shared" si="16"/>
        <v>7</v>
      </c>
      <c r="ID67" s="54">
        <f t="shared" si="16"/>
        <v>1</v>
      </c>
      <c r="IE67" s="54">
        <f t="shared" si="16"/>
        <v>4</v>
      </c>
      <c r="IF67" s="54">
        <f t="shared" si="16"/>
        <v>0</v>
      </c>
      <c r="IG67" s="54">
        <f t="shared" si="16"/>
        <v>9</v>
      </c>
      <c r="IH67" s="54">
        <f t="shared" si="16"/>
        <v>1</v>
      </c>
      <c r="II67" s="54">
        <f t="shared" si="16"/>
        <v>5</v>
      </c>
      <c r="IJ67" s="54">
        <f t="shared" si="16"/>
        <v>0</v>
      </c>
      <c r="IK67" s="54">
        <f t="shared" si="16"/>
        <v>2</v>
      </c>
      <c r="IL67" s="54">
        <f t="shared" si="16"/>
        <v>1</v>
      </c>
      <c r="IM67" s="54">
        <f t="shared" si="16"/>
        <v>5</v>
      </c>
      <c r="IN67" s="54">
        <f t="shared" si="16"/>
        <v>0</v>
      </c>
      <c r="IO67" s="54">
        <f t="shared" si="16"/>
        <v>3</v>
      </c>
      <c r="IP67" s="54">
        <f t="shared" si="16"/>
        <v>1</v>
      </c>
      <c r="IQ67" s="54">
        <f t="shared" si="16"/>
        <v>3</v>
      </c>
      <c r="IR67" s="54">
        <f t="shared" si="16"/>
        <v>0</v>
      </c>
      <c r="IS67" s="54">
        <f t="shared" si="16"/>
        <v>1</v>
      </c>
      <c r="IT67" s="54">
        <f t="shared" si="16"/>
        <v>0</v>
      </c>
      <c r="IU67" s="54">
        <f t="shared" si="16"/>
        <v>5</v>
      </c>
      <c r="IV67" s="54">
        <f t="shared" si="16"/>
        <v>0</v>
      </c>
      <c r="IW67" s="54">
        <f t="shared" si="16"/>
        <v>3</v>
      </c>
      <c r="IX67" s="54">
        <f t="shared" si="16"/>
        <v>0</v>
      </c>
      <c r="IY67" s="54">
        <f t="shared" si="16"/>
        <v>6</v>
      </c>
      <c r="IZ67" s="54">
        <f t="shared" si="16"/>
        <v>1</v>
      </c>
      <c r="JA67" s="54">
        <f t="shared" ref="JA67:JE67" si="17">SUM(JA59:JA66)</f>
        <v>3</v>
      </c>
      <c r="JB67" s="54">
        <f t="shared" si="17"/>
        <v>0</v>
      </c>
      <c r="JC67" s="54">
        <f t="shared" si="17"/>
        <v>4</v>
      </c>
      <c r="JD67" s="54">
        <f t="shared" si="17"/>
        <v>1</v>
      </c>
      <c r="JE67" s="54">
        <f t="shared" si="17"/>
        <v>11</v>
      </c>
    </row>
    <row r="68" spans="1:265" ht="28" x14ac:dyDescent="0.15">
      <c r="A68" s="101">
        <v>4.0999999999999996</v>
      </c>
      <c r="B68" s="102" t="s">
        <v>114</v>
      </c>
      <c r="C68" s="103" t="s">
        <v>115</v>
      </c>
      <c r="D68" s="73"/>
      <c r="E68" s="73"/>
      <c r="F68" s="68">
        <v>2</v>
      </c>
      <c r="G68" s="68">
        <v>16</v>
      </c>
      <c r="H68" s="68">
        <v>0</v>
      </c>
      <c r="I68" s="68">
        <v>14</v>
      </c>
      <c r="J68" s="68">
        <v>1</v>
      </c>
      <c r="K68" s="68">
        <v>19</v>
      </c>
      <c r="L68" s="68">
        <v>1</v>
      </c>
      <c r="M68" s="68">
        <v>18</v>
      </c>
      <c r="N68" s="68">
        <v>1</v>
      </c>
      <c r="O68" s="68">
        <v>7</v>
      </c>
      <c r="P68" s="68">
        <v>0</v>
      </c>
      <c r="Q68" s="68">
        <v>4</v>
      </c>
      <c r="R68" s="68">
        <v>0</v>
      </c>
      <c r="S68" s="68">
        <v>10</v>
      </c>
      <c r="T68" s="68">
        <v>0</v>
      </c>
      <c r="U68" s="68">
        <v>20</v>
      </c>
      <c r="V68" s="68">
        <v>0</v>
      </c>
      <c r="W68" s="68">
        <v>16</v>
      </c>
      <c r="X68" s="68">
        <v>1</v>
      </c>
      <c r="Y68" s="68">
        <v>12</v>
      </c>
      <c r="Z68" s="68">
        <v>0</v>
      </c>
      <c r="AA68" s="68">
        <v>11</v>
      </c>
      <c r="AB68" s="68">
        <v>0</v>
      </c>
      <c r="AC68" s="68">
        <v>7</v>
      </c>
      <c r="AD68" s="68">
        <v>0</v>
      </c>
      <c r="AE68" s="68">
        <v>16</v>
      </c>
      <c r="AF68" s="68">
        <v>0</v>
      </c>
      <c r="AG68" s="68">
        <v>10</v>
      </c>
      <c r="AH68" s="68">
        <v>0</v>
      </c>
      <c r="AI68" s="68">
        <v>10</v>
      </c>
      <c r="AJ68" s="68">
        <v>0</v>
      </c>
      <c r="AK68" s="68">
        <v>10</v>
      </c>
      <c r="AL68" s="68">
        <v>0</v>
      </c>
      <c r="AM68" s="68">
        <v>8</v>
      </c>
      <c r="AN68" s="68">
        <v>0</v>
      </c>
      <c r="AO68" s="68">
        <v>12</v>
      </c>
      <c r="AP68" s="68">
        <v>0</v>
      </c>
      <c r="AQ68" s="68">
        <v>10</v>
      </c>
      <c r="AR68" s="68">
        <v>0</v>
      </c>
      <c r="AS68" s="68">
        <v>11</v>
      </c>
      <c r="AT68" s="68">
        <v>0</v>
      </c>
      <c r="AU68" s="68">
        <v>2</v>
      </c>
      <c r="AV68" s="68">
        <v>0</v>
      </c>
      <c r="AW68" s="68">
        <v>7</v>
      </c>
      <c r="AX68" s="68">
        <v>0</v>
      </c>
      <c r="AY68" s="68">
        <v>10</v>
      </c>
      <c r="AZ68" s="68">
        <v>1</v>
      </c>
      <c r="BA68" s="68">
        <v>11</v>
      </c>
      <c r="BB68" s="68">
        <v>0</v>
      </c>
      <c r="BC68" s="68">
        <v>21</v>
      </c>
      <c r="BD68" s="68">
        <v>0</v>
      </c>
      <c r="BE68" s="68">
        <v>7</v>
      </c>
      <c r="BF68" s="68">
        <v>0</v>
      </c>
      <c r="BG68" s="68">
        <v>13</v>
      </c>
      <c r="BH68" s="68"/>
      <c r="BI68" s="68"/>
      <c r="BJ68" s="68">
        <v>0</v>
      </c>
      <c r="BK68" s="68">
        <v>12</v>
      </c>
      <c r="BL68" s="68">
        <v>1</v>
      </c>
      <c r="BM68" s="68">
        <v>9</v>
      </c>
      <c r="BN68" s="68">
        <v>0</v>
      </c>
      <c r="BO68" s="68">
        <v>8</v>
      </c>
      <c r="BP68" s="68">
        <v>1</v>
      </c>
      <c r="BQ68" s="68">
        <v>16</v>
      </c>
      <c r="BR68" s="68">
        <v>0</v>
      </c>
      <c r="BS68" s="68">
        <v>9</v>
      </c>
      <c r="BT68" s="68">
        <v>0</v>
      </c>
      <c r="BU68" s="68">
        <v>14</v>
      </c>
      <c r="BV68" s="68">
        <v>0</v>
      </c>
      <c r="BW68" s="68">
        <v>12</v>
      </c>
      <c r="BX68" s="68">
        <v>0</v>
      </c>
      <c r="BY68" s="68">
        <v>13</v>
      </c>
      <c r="BZ68" s="68">
        <v>0</v>
      </c>
      <c r="CA68" s="68">
        <v>8</v>
      </c>
      <c r="CB68" s="68">
        <v>0</v>
      </c>
      <c r="CC68" s="68">
        <v>8</v>
      </c>
      <c r="CD68" s="68">
        <v>0</v>
      </c>
      <c r="CE68" s="68">
        <v>4</v>
      </c>
      <c r="CF68" s="68">
        <v>0</v>
      </c>
      <c r="CG68" s="68">
        <v>15</v>
      </c>
      <c r="CH68" s="68">
        <v>0</v>
      </c>
      <c r="CI68" s="68">
        <v>10</v>
      </c>
      <c r="CJ68" s="68">
        <v>0</v>
      </c>
      <c r="CK68" s="68">
        <v>5</v>
      </c>
      <c r="CL68" s="68">
        <v>1</v>
      </c>
      <c r="CM68" s="63">
        <v>14</v>
      </c>
      <c r="CN68" s="68">
        <v>0</v>
      </c>
      <c r="CO68" s="63">
        <v>14</v>
      </c>
      <c r="CP68" s="68">
        <v>0</v>
      </c>
      <c r="CQ68" s="63">
        <v>7</v>
      </c>
      <c r="CR68" s="68">
        <v>0</v>
      </c>
      <c r="CS68" s="63">
        <v>7</v>
      </c>
      <c r="CT68" s="68">
        <v>2</v>
      </c>
      <c r="CU68" s="63">
        <v>11</v>
      </c>
      <c r="CV68" s="68">
        <v>0</v>
      </c>
      <c r="CW68" s="63">
        <v>12</v>
      </c>
      <c r="CX68" s="68">
        <v>0</v>
      </c>
      <c r="CY68" s="63">
        <v>10</v>
      </c>
      <c r="CZ68" s="68">
        <v>0</v>
      </c>
      <c r="DA68" s="63">
        <v>12</v>
      </c>
      <c r="DB68" s="68">
        <v>0</v>
      </c>
      <c r="DC68" s="63">
        <v>11</v>
      </c>
      <c r="DD68" s="68">
        <v>2</v>
      </c>
      <c r="DE68" s="63">
        <v>8</v>
      </c>
      <c r="DF68" s="68">
        <v>0</v>
      </c>
      <c r="DG68" s="63">
        <v>4</v>
      </c>
      <c r="DH68" s="68">
        <v>0</v>
      </c>
      <c r="DI68" s="63">
        <v>5</v>
      </c>
      <c r="DJ68" s="68">
        <v>0</v>
      </c>
      <c r="DK68" s="63">
        <v>5</v>
      </c>
      <c r="DL68" s="68">
        <v>0</v>
      </c>
      <c r="DM68" s="63">
        <v>11</v>
      </c>
      <c r="DN68" s="68">
        <v>0</v>
      </c>
      <c r="DO68" s="63">
        <v>5</v>
      </c>
      <c r="DP68" s="68">
        <v>0</v>
      </c>
      <c r="DQ68" s="63">
        <v>10</v>
      </c>
      <c r="DR68" s="68">
        <v>0</v>
      </c>
      <c r="DS68" s="63">
        <v>7</v>
      </c>
      <c r="DT68" s="68">
        <v>1</v>
      </c>
      <c r="DU68" s="63">
        <v>11</v>
      </c>
      <c r="DV68" s="68">
        <v>0</v>
      </c>
      <c r="DW68" s="63">
        <v>10</v>
      </c>
      <c r="DX68" s="68">
        <v>0</v>
      </c>
      <c r="DY68" s="63">
        <v>14</v>
      </c>
      <c r="DZ68" s="68">
        <v>0</v>
      </c>
      <c r="EA68" s="63">
        <v>11</v>
      </c>
      <c r="EB68" s="68">
        <v>0</v>
      </c>
      <c r="EC68" s="63">
        <v>11</v>
      </c>
      <c r="ED68" s="68">
        <v>0</v>
      </c>
      <c r="EE68" s="63">
        <v>4</v>
      </c>
      <c r="EF68" s="68">
        <v>0</v>
      </c>
      <c r="EG68" s="70">
        <v>6</v>
      </c>
      <c r="EH68" s="71">
        <v>0</v>
      </c>
      <c r="EI68" s="63">
        <v>10</v>
      </c>
      <c r="EJ68" s="63">
        <v>1</v>
      </c>
      <c r="EK68" s="63">
        <v>13</v>
      </c>
      <c r="EL68" s="63">
        <v>0</v>
      </c>
      <c r="EM68" s="63">
        <v>11</v>
      </c>
      <c r="EN68" s="63">
        <v>0</v>
      </c>
      <c r="EO68" s="63">
        <v>3</v>
      </c>
      <c r="EP68" s="63">
        <v>0</v>
      </c>
      <c r="EQ68" s="63">
        <v>8</v>
      </c>
      <c r="ER68" s="63">
        <v>0</v>
      </c>
      <c r="ES68" s="63">
        <v>12</v>
      </c>
      <c r="ET68" s="63">
        <v>0</v>
      </c>
      <c r="EU68" s="63">
        <v>9</v>
      </c>
      <c r="EV68" s="63">
        <v>0</v>
      </c>
      <c r="EW68" s="63">
        <v>5</v>
      </c>
      <c r="EX68" s="63">
        <v>0</v>
      </c>
      <c r="EY68" s="63">
        <v>14</v>
      </c>
      <c r="EZ68" s="63">
        <v>0</v>
      </c>
      <c r="FA68" s="63">
        <v>6</v>
      </c>
      <c r="FB68" s="63">
        <v>0</v>
      </c>
      <c r="FC68" s="63">
        <v>4</v>
      </c>
      <c r="FD68" s="63">
        <v>0</v>
      </c>
      <c r="FE68" s="63">
        <v>3</v>
      </c>
      <c r="FF68" s="63">
        <v>0</v>
      </c>
      <c r="FG68" s="63">
        <v>6</v>
      </c>
      <c r="FH68" s="63">
        <v>1</v>
      </c>
      <c r="FI68" s="63">
        <v>6</v>
      </c>
      <c r="FJ68" s="63">
        <v>0</v>
      </c>
      <c r="FK68" s="95">
        <v>3</v>
      </c>
      <c r="FL68" s="104"/>
      <c r="FM68" s="63">
        <v>3</v>
      </c>
      <c r="FN68" s="63">
        <v>0</v>
      </c>
      <c r="FO68" s="63">
        <v>2</v>
      </c>
      <c r="FP68" s="63">
        <v>0</v>
      </c>
      <c r="FQ68" s="63">
        <v>6</v>
      </c>
      <c r="FR68" s="63">
        <v>0</v>
      </c>
      <c r="FS68" s="63">
        <v>4</v>
      </c>
      <c r="FT68" s="63">
        <v>0</v>
      </c>
      <c r="FU68" s="63">
        <v>4</v>
      </c>
      <c r="FV68" s="63">
        <v>0</v>
      </c>
      <c r="FW68" s="63">
        <v>7</v>
      </c>
      <c r="FX68" s="63">
        <v>0</v>
      </c>
      <c r="FY68" s="63">
        <v>4</v>
      </c>
      <c r="FZ68" s="63">
        <v>0</v>
      </c>
      <c r="GA68" s="63">
        <v>3</v>
      </c>
      <c r="GB68" s="63">
        <v>0</v>
      </c>
      <c r="GC68" s="63">
        <v>7</v>
      </c>
      <c r="GD68" s="63">
        <v>0</v>
      </c>
      <c r="GE68" s="63">
        <v>4</v>
      </c>
      <c r="GF68" s="63">
        <v>0</v>
      </c>
      <c r="GG68" s="63">
        <v>5</v>
      </c>
      <c r="GH68" s="63">
        <v>0</v>
      </c>
      <c r="GI68" s="63">
        <v>7</v>
      </c>
      <c r="GJ68" s="63">
        <v>0</v>
      </c>
      <c r="GK68" s="63">
        <v>5</v>
      </c>
      <c r="GL68" s="63">
        <v>0</v>
      </c>
      <c r="GM68" s="63">
        <v>7</v>
      </c>
      <c r="GN68" s="63">
        <v>0</v>
      </c>
      <c r="GO68" s="63">
        <v>7</v>
      </c>
      <c r="GP68" s="63">
        <v>1</v>
      </c>
      <c r="GQ68" s="63">
        <v>2</v>
      </c>
      <c r="GR68" s="72"/>
      <c r="GS68" s="72"/>
      <c r="GT68" s="72"/>
      <c r="GU68" s="72"/>
      <c r="GV68" s="72"/>
      <c r="GW68" s="72"/>
      <c r="GX68" s="72"/>
      <c r="GY68" s="72"/>
      <c r="GZ68" s="72"/>
      <c r="HA68" s="72"/>
      <c r="HB68" s="72"/>
      <c r="HC68" s="72"/>
      <c r="HD68" s="72"/>
      <c r="HE68" s="72"/>
      <c r="HF68" s="72"/>
      <c r="HG68" s="72"/>
      <c r="HH68" s="72"/>
      <c r="HI68" s="72"/>
      <c r="HJ68" s="72"/>
      <c r="HK68" s="72"/>
      <c r="HL68" s="72"/>
      <c r="HM68" s="72"/>
      <c r="HN68" s="72"/>
      <c r="HO68" s="72"/>
      <c r="HP68" s="72"/>
      <c r="HQ68" s="72"/>
      <c r="HR68" s="72"/>
      <c r="HS68" s="72"/>
      <c r="HT68" s="72"/>
      <c r="HU68" s="72"/>
      <c r="HV68" s="72"/>
      <c r="HW68" s="72"/>
      <c r="HX68" s="72"/>
      <c r="HY68" s="72"/>
      <c r="HZ68" s="72"/>
      <c r="IA68" s="72"/>
      <c r="IB68" s="72"/>
      <c r="IC68" s="72"/>
      <c r="ID68" s="72"/>
      <c r="IE68" s="72"/>
      <c r="IF68" s="72"/>
      <c r="IG68" s="72"/>
      <c r="IH68" s="72"/>
      <c r="II68" s="72"/>
      <c r="IJ68" s="72"/>
      <c r="IK68" s="72"/>
      <c r="IL68" s="72"/>
      <c r="IM68" s="72"/>
      <c r="IN68" s="72"/>
      <c r="IO68" s="72"/>
      <c r="IP68" s="72"/>
      <c r="IQ68" s="72"/>
      <c r="IR68" s="72"/>
      <c r="IS68" s="72"/>
      <c r="IT68" s="72"/>
      <c r="IU68" s="72"/>
      <c r="IV68" s="72"/>
      <c r="IW68" s="72"/>
      <c r="IX68" s="72"/>
      <c r="IY68" s="72"/>
      <c r="IZ68" s="72"/>
      <c r="JA68" s="72"/>
      <c r="JB68" s="72"/>
      <c r="JC68" s="72"/>
      <c r="JD68" s="72"/>
      <c r="JE68" s="72"/>
    </row>
    <row r="69" spans="1:265" ht="28" hidden="1" x14ac:dyDescent="0.15">
      <c r="A69" s="101">
        <v>4.2</v>
      </c>
      <c r="B69" s="101"/>
      <c r="C69" s="103" t="s">
        <v>116</v>
      </c>
      <c r="D69" s="73"/>
      <c r="E69" s="73"/>
      <c r="F69" s="68">
        <v>1</v>
      </c>
      <c r="G69" s="68">
        <v>24</v>
      </c>
      <c r="H69" s="68">
        <v>2</v>
      </c>
      <c r="I69" s="68">
        <v>16</v>
      </c>
      <c r="J69" s="68">
        <v>2</v>
      </c>
      <c r="K69" s="68">
        <v>36</v>
      </c>
      <c r="L69" s="68">
        <v>0</v>
      </c>
      <c r="M69" s="68">
        <v>25</v>
      </c>
      <c r="N69" s="68">
        <v>0</v>
      </c>
      <c r="O69" s="68">
        <v>30</v>
      </c>
      <c r="P69" s="68">
        <v>0</v>
      </c>
      <c r="Q69" s="68">
        <v>13</v>
      </c>
      <c r="R69" s="68">
        <v>0</v>
      </c>
      <c r="S69" s="68">
        <v>0</v>
      </c>
      <c r="T69" s="68">
        <v>1</v>
      </c>
      <c r="U69" s="68">
        <v>25</v>
      </c>
      <c r="V69" s="68">
        <v>0</v>
      </c>
      <c r="W69" s="68">
        <v>30</v>
      </c>
      <c r="X69" s="68">
        <v>0</v>
      </c>
      <c r="Y69" s="68">
        <v>24</v>
      </c>
      <c r="Z69" s="68">
        <v>0</v>
      </c>
      <c r="AA69" s="68">
        <v>29</v>
      </c>
      <c r="AB69" s="68">
        <v>1</v>
      </c>
      <c r="AC69" s="68">
        <v>25</v>
      </c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5"/>
      <c r="CN69" s="73"/>
      <c r="CO69" s="75"/>
      <c r="CP69" s="73"/>
      <c r="CQ69" s="75"/>
      <c r="CR69" s="73"/>
      <c r="CS69" s="75"/>
      <c r="CT69" s="73"/>
      <c r="CU69" s="75"/>
      <c r="CV69" s="73"/>
      <c r="CW69" s="75"/>
      <c r="CX69" s="73"/>
      <c r="CY69" s="75"/>
      <c r="CZ69" s="73"/>
      <c r="DA69" s="75"/>
      <c r="DB69" s="73"/>
      <c r="DC69" s="75"/>
      <c r="DD69" s="73"/>
      <c r="DE69" s="75"/>
      <c r="DF69" s="73"/>
      <c r="DG69" s="75"/>
      <c r="DH69" s="73"/>
      <c r="DI69" s="75"/>
      <c r="DJ69" s="73"/>
      <c r="DK69" s="75"/>
      <c r="DL69" s="73"/>
      <c r="DM69" s="75"/>
      <c r="DN69" s="73"/>
      <c r="DO69" s="75"/>
      <c r="DP69" s="73"/>
      <c r="DQ69" s="75"/>
      <c r="DR69" s="73"/>
      <c r="DS69" s="75"/>
      <c r="DT69" s="73"/>
      <c r="DU69" s="75"/>
      <c r="DV69" s="73"/>
      <c r="DW69" s="75"/>
      <c r="DX69" s="73"/>
      <c r="DY69" s="75"/>
      <c r="DZ69" s="73"/>
      <c r="EA69" s="75"/>
      <c r="EB69" s="73"/>
      <c r="EC69" s="75"/>
      <c r="ED69" s="73"/>
      <c r="EE69" s="75"/>
      <c r="EF69" s="73"/>
      <c r="EG69" s="76"/>
      <c r="EH69" s="77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  <c r="FJ69" s="75"/>
      <c r="FK69" s="75"/>
      <c r="FL69" s="75"/>
      <c r="FM69" s="75"/>
      <c r="FN69" s="75"/>
      <c r="FO69" s="75"/>
      <c r="FP69" s="75"/>
      <c r="FQ69" s="75"/>
      <c r="FR69" s="75"/>
      <c r="FS69" s="75"/>
      <c r="FT69" s="75"/>
      <c r="FU69" s="75"/>
      <c r="FV69" s="75"/>
      <c r="FW69" s="75"/>
      <c r="FX69" s="75"/>
      <c r="FY69" s="75"/>
      <c r="FZ69" s="75"/>
      <c r="GA69" s="75"/>
      <c r="GB69" s="75"/>
      <c r="GC69" s="75"/>
      <c r="GD69" s="75"/>
      <c r="GE69" s="75"/>
      <c r="GF69" s="75"/>
      <c r="GG69" s="75"/>
      <c r="GH69" s="75"/>
      <c r="GI69" s="75"/>
      <c r="GJ69" s="75"/>
      <c r="GK69" s="75"/>
      <c r="GL69" s="75"/>
      <c r="GM69" s="75"/>
      <c r="GN69" s="75"/>
      <c r="GO69" s="75"/>
      <c r="GP69" s="75"/>
      <c r="GQ69" s="75"/>
      <c r="GR69" s="75"/>
      <c r="GS69" s="75"/>
      <c r="GT69" s="75"/>
      <c r="GU69" s="75"/>
      <c r="GV69" s="75"/>
      <c r="GW69" s="75"/>
      <c r="GX69" s="75"/>
      <c r="GY69" s="75"/>
      <c r="GZ69" s="75"/>
      <c r="HA69" s="75"/>
      <c r="HB69" s="75"/>
      <c r="HC69" s="75"/>
      <c r="HD69" s="75"/>
      <c r="HE69" s="75"/>
      <c r="HF69" s="75"/>
      <c r="HG69" s="75"/>
      <c r="HH69" s="75"/>
      <c r="HI69" s="75"/>
      <c r="HJ69" s="75"/>
      <c r="HK69" s="75"/>
      <c r="HL69" s="75"/>
      <c r="HM69" s="75"/>
      <c r="HN69" s="75"/>
      <c r="HO69" s="75"/>
      <c r="HP69" s="75"/>
      <c r="HQ69" s="75"/>
      <c r="HR69" s="75"/>
      <c r="HS69" s="75"/>
      <c r="HT69" s="75"/>
      <c r="HU69" s="75"/>
      <c r="HV69" s="75"/>
      <c r="HW69" s="75"/>
      <c r="HX69" s="75"/>
      <c r="HY69" s="75"/>
      <c r="HZ69" s="75"/>
      <c r="IA69" s="75"/>
      <c r="IB69" s="75"/>
      <c r="IC69" s="75"/>
      <c r="ID69" s="75"/>
      <c r="IE69" s="75"/>
      <c r="IF69" s="75"/>
      <c r="IG69" s="75"/>
      <c r="IH69" s="75"/>
      <c r="II69" s="75"/>
      <c r="IJ69" s="75"/>
      <c r="IK69" s="75"/>
      <c r="IL69" s="75"/>
      <c r="IM69" s="75"/>
      <c r="IN69" s="75"/>
      <c r="IO69" s="75"/>
      <c r="IP69" s="75"/>
      <c r="IQ69" s="75"/>
      <c r="IR69" s="75"/>
      <c r="IS69" s="75"/>
      <c r="IT69" s="75"/>
      <c r="IU69" s="75"/>
      <c r="IV69" s="75"/>
      <c r="IW69" s="75"/>
      <c r="IX69" s="75"/>
      <c r="IY69" s="75"/>
      <c r="IZ69" s="75"/>
      <c r="JA69" s="75"/>
      <c r="JB69" s="75"/>
      <c r="JC69" s="75"/>
      <c r="JD69" s="75"/>
      <c r="JE69" s="75"/>
    </row>
    <row r="70" spans="1:265" ht="28" x14ac:dyDescent="0.15">
      <c r="A70" s="101">
        <v>4.3</v>
      </c>
      <c r="B70" s="102" t="s">
        <v>117</v>
      </c>
      <c r="C70" s="103" t="s">
        <v>118</v>
      </c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68">
        <v>0</v>
      </c>
      <c r="AE70" s="68">
        <v>3</v>
      </c>
      <c r="AF70" s="68">
        <v>0</v>
      </c>
      <c r="AG70" s="68">
        <v>6</v>
      </c>
      <c r="AH70" s="68">
        <v>0</v>
      </c>
      <c r="AI70" s="68">
        <v>12</v>
      </c>
      <c r="AJ70" s="68">
        <v>0</v>
      </c>
      <c r="AK70" s="68">
        <v>5</v>
      </c>
      <c r="AL70" s="68">
        <v>0</v>
      </c>
      <c r="AM70" s="68">
        <v>3</v>
      </c>
      <c r="AN70" s="68">
        <v>0</v>
      </c>
      <c r="AO70" s="68">
        <v>9</v>
      </c>
      <c r="AP70" s="68">
        <v>1</v>
      </c>
      <c r="AQ70" s="68">
        <v>14</v>
      </c>
      <c r="AR70" s="68">
        <v>1</v>
      </c>
      <c r="AS70" s="68">
        <v>12</v>
      </c>
      <c r="AT70" s="68">
        <v>0</v>
      </c>
      <c r="AU70" s="68">
        <v>20</v>
      </c>
      <c r="AV70" s="68">
        <v>0</v>
      </c>
      <c r="AW70" s="68">
        <v>12</v>
      </c>
      <c r="AX70" s="68">
        <v>0</v>
      </c>
      <c r="AY70" s="68">
        <v>8</v>
      </c>
      <c r="AZ70" s="68">
        <v>2</v>
      </c>
      <c r="BA70" s="68">
        <v>15</v>
      </c>
      <c r="BB70" s="68">
        <v>1</v>
      </c>
      <c r="BC70" s="68">
        <v>12</v>
      </c>
      <c r="BD70" s="68">
        <v>0</v>
      </c>
      <c r="BE70" s="68">
        <v>14</v>
      </c>
      <c r="BF70" s="68">
        <v>0</v>
      </c>
      <c r="BG70" s="68">
        <v>9</v>
      </c>
      <c r="BH70" s="68"/>
      <c r="BI70" s="68"/>
      <c r="BJ70" s="68">
        <v>0</v>
      </c>
      <c r="BK70" s="68">
        <v>22</v>
      </c>
      <c r="BL70" s="68">
        <v>0</v>
      </c>
      <c r="BM70" s="68">
        <v>15</v>
      </c>
      <c r="BN70" s="68">
        <v>0</v>
      </c>
      <c r="BO70" s="68">
        <v>11</v>
      </c>
      <c r="BP70" s="68">
        <v>1</v>
      </c>
      <c r="BQ70" s="68">
        <v>19</v>
      </c>
      <c r="BR70" s="68">
        <v>0</v>
      </c>
      <c r="BS70" s="68">
        <v>0</v>
      </c>
      <c r="BT70" s="68">
        <v>0</v>
      </c>
      <c r="BU70" s="68">
        <v>24</v>
      </c>
      <c r="BV70" s="68">
        <v>1</v>
      </c>
      <c r="BW70" s="68">
        <v>27</v>
      </c>
      <c r="BX70" s="68">
        <v>0</v>
      </c>
      <c r="BY70" s="68">
        <v>14</v>
      </c>
      <c r="BZ70" s="68">
        <v>0</v>
      </c>
      <c r="CA70" s="68">
        <v>6</v>
      </c>
      <c r="CB70" s="68">
        <v>0</v>
      </c>
      <c r="CC70" s="68">
        <v>5</v>
      </c>
      <c r="CD70" s="68">
        <v>0</v>
      </c>
      <c r="CE70" s="68">
        <v>13</v>
      </c>
      <c r="CF70" s="68">
        <v>0</v>
      </c>
      <c r="CG70" s="68">
        <v>12</v>
      </c>
      <c r="CH70" s="68">
        <v>0</v>
      </c>
      <c r="CI70" s="68">
        <v>12</v>
      </c>
      <c r="CJ70" s="68">
        <v>0</v>
      </c>
      <c r="CK70" s="68">
        <v>9</v>
      </c>
      <c r="CL70" s="68">
        <v>0</v>
      </c>
      <c r="CM70" s="63">
        <v>16</v>
      </c>
      <c r="CN70" s="68">
        <v>0</v>
      </c>
      <c r="CO70" s="63">
        <v>13</v>
      </c>
      <c r="CP70" s="68">
        <v>0</v>
      </c>
      <c r="CQ70" s="63">
        <v>10</v>
      </c>
      <c r="CR70" s="68">
        <v>0</v>
      </c>
      <c r="CS70" s="63">
        <v>10</v>
      </c>
      <c r="CT70" s="68">
        <v>0</v>
      </c>
      <c r="CU70" s="63">
        <v>15</v>
      </c>
      <c r="CV70" s="68">
        <v>0</v>
      </c>
      <c r="CW70" s="63">
        <v>12</v>
      </c>
      <c r="CX70" s="68">
        <v>0</v>
      </c>
      <c r="CY70" s="63">
        <v>6</v>
      </c>
      <c r="CZ70" s="68">
        <v>0</v>
      </c>
      <c r="DA70" s="63">
        <v>21</v>
      </c>
      <c r="DB70" s="68">
        <v>0</v>
      </c>
      <c r="DC70" s="63">
        <v>9</v>
      </c>
      <c r="DD70" s="68">
        <v>0</v>
      </c>
      <c r="DE70" s="63">
        <v>9</v>
      </c>
      <c r="DF70" s="68">
        <v>0</v>
      </c>
      <c r="DG70" s="63">
        <v>17</v>
      </c>
      <c r="DH70" s="68">
        <v>0</v>
      </c>
      <c r="DI70" s="63">
        <v>20</v>
      </c>
      <c r="DJ70" s="68">
        <v>0</v>
      </c>
      <c r="DK70" s="63">
        <v>12</v>
      </c>
      <c r="DL70" s="68">
        <v>0</v>
      </c>
      <c r="DM70" s="63">
        <v>11</v>
      </c>
      <c r="DN70" s="68">
        <v>0</v>
      </c>
      <c r="DO70" s="63">
        <v>13</v>
      </c>
      <c r="DP70" s="68">
        <v>0</v>
      </c>
      <c r="DQ70" s="63">
        <v>14</v>
      </c>
      <c r="DR70" s="68">
        <v>0</v>
      </c>
      <c r="DS70" s="63">
        <v>14</v>
      </c>
      <c r="DT70" s="68">
        <v>0</v>
      </c>
      <c r="DU70" s="63">
        <v>11</v>
      </c>
      <c r="DV70" s="68">
        <v>0</v>
      </c>
      <c r="DW70" s="63">
        <v>19</v>
      </c>
      <c r="DX70" s="68">
        <v>0</v>
      </c>
      <c r="DY70" s="63">
        <v>21</v>
      </c>
      <c r="DZ70" s="68">
        <v>0</v>
      </c>
      <c r="EA70" s="63">
        <v>21</v>
      </c>
      <c r="EB70" s="68">
        <v>0</v>
      </c>
      <c r="EC70" s="63">
        <v>16</v>
      </c>
      <c r="ED70" s="68">
        <v>0</v>
      </c>
      <c r="EE70" s="63">
        <v>20</v>
      </c>
      <c r="EF70" s="68">
        <v>0</v>
      </c>
      <c r="EG70" s="70">
        <v>20</v>
      </c>
      <c r="EH70" s="71">
        <v>2</v>
      </c>
      <c r="EI70" s="63">
        <v>19</v>
      </c>
      <c r="EJ70" s="63">
        <v>1</v>
      </c>
      <c r="EK70" s="63">
        <v>14</v>
      </c>
      <c r="EL70" s="63">
        <v>0</v>
      </c>
      <c r="EM70" s="63">
        <v>18</v>
      </c>
      <c r="EN70" s="63">
        <v>0</v>
      </c>
      <c r="EO70" s="63">
        <v>18</v>
      </c>
      <c r="EP70" s="63">
        <v>0</v>
      </c>
      <c r="EQ70" s="63">
        <v>17</v>
      </c>
      <c r="ER70" s="63">
        <v>0</v>
      </c>
      <c r="ES70" s="63">
        <v>21</v>
      </c>
      <c r="ET70" s="63">
        <v>2</v>
      </c>
      <c r="EU70" s="63">
        <v>21</v>
      </c>
      <c r="EV70" s="63">
        <v>0</v>
      </c>
      <c r="EW70" s="63">
        <v>20</v>
      </c>
      <c r="EX70" s="63">
        <v>0</v>
      </c>
      <c r="EY70" s="63">
        <v>5</v>
      </c>
      <c r="EZ70" s="63">
        <v>0</v>
      </c>
      <c r="FA70" s="63">
        <v>2</v>
      </c>
      <c r="FB70" s="63">
        <v>0</v>
      </c>
      <c r="FC70" s="63">
        <v>0</v>
      </c>
      <c r="FD70" s="63">
        <v>0</v>
      </c>
      <c r="FE70" s="63">
        <v>0</v>
      </c>
      <c r="FF70" s="63">
        <v>0</v>
      </c>
      <c r="FG70" s="63">
        <v>0</v>
      </c>
      <c r="FH70" s="63">
        <v>0</v>
      </c>
      <c r="FI70" s="63">
        <v>0</v>
      </c>
      <c r="FJ70" s="63">
        <v>0</v>
      </c>
      <c r="FK70" s="95">
        <v>0</v>
      </c>
      <c r="FL70" s="104"/>
      <c r="FM70" s="63">
        <v>0</v>
      </c>
      <c r="FN70" s="63">
        <v>0</v>
      </c>
      <c r="FO70" s="63">
        <v>5</v>
      </c>
      <c r="FP70" s="63">
        <v>0</v>
      </c>
      <c r="FQ70" s="63">
        <v>2</v>
      </c>
      <c r="FR70" s="63">
        <v>0</v>
      </c>
      <c r="FS70" s="63">
        <v>2</v>
      </c>
      <c r="FT70" s="63">
        <v>0</v>
      </c>
      <c r="FU70" s="63">
        <v>2</v>
      </c>
      <c r="FV70" s="63">
        <v>1</v>
      </c>
      <c r="FW70" s="63">
        <v>6</v>
      </c>
      <c r="FX70" s="63">
        <v>0</v>
      </c>
      <c r="FY70" s="63">
        <v>1</v>
      </c>
      <c r="FZ70" s="63">
        <v>1</v>
      </c>
      <c r="GA70" s="63">
        <v>2</v>
      </c>
      <c r="GB70" s="63">
        <v>0</v>
      </c>
      <c r="GC70" s="63">
        <v>1</v>
      </c>
      <c r="GD70" s="63">
        <v>0</v>
      </c>
      <c r="GE70" s="63">
        <v>4</v>
      </c>
      <c r="GF70" s="63">
        <v>0</v>
      </c>
      <c r="GG70" s="63">
        <v>3</v>
      </c>
      <c r="GH70" s="63">
        <v>0</v>
      </c>
      <c r="GI70" s="63">
        <v>4</v>
      </c>
      <c r="GJ70" s="63">
        <v>0</v>
      </c>
      <c r="GK70" s="63">
        <v>1</v>
      </c>
      <c r="GL70" s="63">
        <v>0</v>
      </c>
      <c r="GM70" s="63">
        <v>3</v>
      </c>
      <c r="GN70" s="63">
        <v>0</v>
      </c>
      <c r="GO70" s="63">
        <v>2</v>
      </c>
      <c r="GP70" s="63">
        <v>0</v>
      </c>
      <c r="GQ70" s="63">
        <v>1</v>
      </c>
      <c r="GR70" s="63">
        <v>0</v>
      </c>
      <c r="GS70" s="63">
        <v>2</v>
      </c>
      <c r="GT70" s="63">
        <v>0</v>
      </c>
      <c r="GU70" s="63">
        <v>2</v>
      </c>
      <c r="GV70" s="63">
        <v>0</v>
      </c>
      <c r="GW70" s="63">
        <v>1</v>
      </c>
      <c r="GX70" s="63">
        <v>0</v>
      </c>
      <c r="GY70" s="63">
        <v>1</v>
      </c>
      <c r="GZ70" s="63">
        <v>0</v>
      </c>
      <c r="HA70" s="63">
        <v>4</v>
      </c>
      <c r="HB70" s="63">
        <v>0</v>
      </c>
      <c r="HC70" s="63">
        <v>1</v>
      </c>
      <c r="HD70" s="63">
        <v>0</v>
      </c>
      <c r="HE70" s="63">
        <v>3</v>
      </c>
      <c r="HF70" s="63">
        <v>0</v>
      </c>
      <c r="HG70" s="63">
        <v>4</v>
      </c>
      <c r="HH70" s="63">
        <v>0</v>
      </c>
      <c r="HI70" s="63">
        <v>4</v>
      </c>
      <c r="HJ70" s="63">
        <v>0</v>
      </c>
      <c r="HK70" s="63">
        <v>4</v>
      </c>
      <c r="HL70" s="63">
        <v>0</v>
      </c>
      <c r="HM70" s="63">
        <v>5</v>
      </c>
      <c r="HN70" s="63">
        <v>0</v>
      </c>
      <c r="HO70" s="63">
        <v>1</v>
      </c>
      <c r="HP70" s="63">
        <v>0</v>
      </c>
      <c r="HQ70" s="63">
        <v>4</v>
      </c>
      <c r="HR70" s="63">
        <v>0</v>
      </c>
      <c r="HS70" s="63">
        <v>4</v>
      </c>
      <c r="HT70" s="63">
        <v>0</v>
      </c>
      <c r="HU70" s="63">
        <v>6</v>
      </c>
      <c r="HV70" s="63">
        <v>0</v>
      </c>
      <c r="HW70" s="63">
        <v>5</v>
      </c>
      <c r="HX70" s="63">
        <v>0</v>
      </c>
      <c r="HY70" s="63">
        <v>4</v>
      </c>
      <c r="HZ70" s="63">
        <v>0</v>
      </c>
      <c r="IA70" s="63">
        <v>6</v>
      </c>
      <c r="IB70" s="63">
        <v>0</v>
      </c>
      <c r="IC70" s="63">
        <v>4</v>
      </c>
      <c r="ID70" s="63">
        <v>0</v>
      </c>
      <c r="IE70" s="63">
        <v>4</v>
      </c>
      <c r="IF70" s="63">
        <v>0</v>
      </c>
      <c r="IG70" s="63">
        <v>7</v>
      </c>
      <c r="IH70" s="63">
        <v>1</v>
      </c>
      <c r="II70" s="63">
        <v>11</v>
      </c>
      <c r="IJ70" s="63">
        <v>0</v>
      </c>
      <c r="IK70" s="63">
        <v>7</v>
      </c>
      <c r="IL70" s="63">
        <v>0</v>
      </c>
      <c r="IM70" s="63">
        <v>7</v>
      </c>
      <c r="IN70" s="63">
        <v>0</v>
      </c>
      <c r="IO70" s="63">
        <v>7</v>
      </c>
      <c r="IP70" s="63">
        <v>0</v>
      </c>
      <c r="IQ70" s="63">
        <v>5</v>
      </c>
      <c r="IR70" s="63">
        <v>0</v>
      </c>
      <c r="IS70" s="63">
        <v>9</v>
      </c>
      <c r="IT70" s="63">
        <v>0</v>
      </c>
      <c r="IU70" s="63">
        <v>11</v>
      </c>
      <c r="IV70" s="63">
        <v>0</v>
      </c>
      <c r="IW70" s="63">
        <v>9</v>
      </c>
      <c r="IX70" s="63">
        <v>0</v>
      </c>
      <c r="IY70" s="63">
        <v>6</v>
      </c>
      <c r="IZ70" s="63">
        <v>0</v>
      </c>
      <c r="JA70" s="63">
        <v>7</v>
      </c>
      <c r="JB70" s="63">
        <v>1</v>
      </c>
      <c r="JC70" s="63">
        <v>9</v>
      </c>
      <c r="JD70" s="63">
        <v>1</v>
      </c>
      <c r="JE70" s="63">
        <v>10</v>
      </c>
    </row>
    <row r="71" spans="1:265" ht="42" x14ac:dyDescent="0.15">
      <c r="A71" s="105">
        <v>4.4000000000000004</v>
      </c>
      <c r="B71" s="106" t="s">
        <v>119</v>
      </c>
      <c r="C71" s="107" t="s">
        <v>120</v>
      </c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68">
        <v>0</v>
      </c>
      <c r="AC71" s="68">
        <v>0</v>
      </c>
      <c r="AD71" s="68">
        <v>0</v>
      </c>
      <c r="AE71" s="68">
        <v>2</v>
      </c>
      <c r="AF71" s="68">
        <v>0</v>
      </c>
      <c r="AG71" s="68">
        <v>1</v>
      </c>
      <c r="AH71" s="68">
        <v>0</v>
      </c>
      <c r="AI71" s="68">
        <v>0</v>
      </c>
      <c r="AJ71" s="68">
        <v>0</v>
      </c>
      <c r="AK71" s="68">
        <v>1</v>
      </c>
      <c r="AL71" s="68">
        <v>0</v>
      </c>
      <c r="AM71" s="68">
        <v>0</v>
      </c>
      <c r="AN71" s="68">
        <v>0</v>
      </c>
      <c r="AO71" s="68">
        <v>0</v>
      </c>
      <c r="AP71" s="68">
        <v>0</v>
      </c>
      <c r="AQ71" s="68">
        <v>0</v>
      </c>
      <c r="AR71" s="68">
        <v>0</v>
      </c>
      <c r="AS71" s="68">
        <v>0</v>
      </c>
      <c r="AT71" s="68">
        <v>0</v>
      </c>
      <c r="AU71" s="68">
        <v>0</v>
      </c>
      <c r="AV71" s="68">
        <v>0</v>
      </c>
      <c r="AW71" s="68">
        <v>0</v>
      </c>
      <c r="AX71" s="68">
        <v>0</v>
      </c>
      <c r="AY71" s="68">
        <v>0</v>
      </c>
      <c r="AZ71" s="68">
        <v>0</v>
      </c>
      <c r="BA71" s="68">
        <v>1</v>
      </c>
      <c r="BB71" s="68">
        <v>0</v>
      </c>
      <c r="BC71" s="68">
        <v>0</v>
      </c>
      <c r="BD71" s="68">
        <v>0</v>
      </c>
      <c r="BE71" s="68">
        <v>0</v>
      </c>
      <c r="BF71" s="68">
        <v>0</v>
      </c>
      <c r="BG71" s="68">
        <v>1</v>
      </c>
      <c r="BH71" s="68"/>
      <c r="BI71" s="68"/>
      <c r="BJ71" s="68">
        <v>0</v>
      </c>
      <c r="BK71" s="68">
        <v>1</v>
      </c>
      <c r="BL71" s="68">
        <v>0</v>
      </c>
      <c r="BM71" s="68">
        <v>0</v>
      </c>
      <c r="BN71" s="68">
        <v>0</v>
      </c>
      <c r="BO71" s="68">
        <v>1</v>
      </c>
      <c r="BP71" s="68">
        <v>0</v>
      </c>
      <c r="BQ71" s="68">
        <v>0</v>
      </c>
      <c r="BR71" s="68">
        <v>0</v>
      </c>
      <c r="BS71" s="68">
        <v>0</v>
      </c>
      <c r="BT71" s="68">
        <v>0</v>
      </c>
      <c r="BU71" s="68">
        <v>1</v>
      </c>
      <c r="BV71" s="68">
        <v>0</v>
      </c>
      <c r="BW71" s="68">
        <v>0</v>
      </c>
      <c r="BX71" s="68">
        <v>0</v>
      </c>
      <c r="BY71" s="68">
        <v>0</v>
      </c>
      <c r="BZ71" s="68">
        <v>0</v>
      </c>
      <c r="CA71" s="68">
        <v>1</v>
      </c>
      <c r="CB71" s="68">
        <v>0</v>
      </c>
      <c r="CC71" s="68">
        <v>0</v>
      </c>
      <c r="CD71" s="68">
        <v>0</v>
      </c>
      <c r="CE71" s="68">
        <v>0</v>
      </c>
      <c r="CF71" s="68">
        <v>0</v>
      </c>
      <c r="CG71" s="68">
        <v>0</v>
      </c>
      <c r="CH71" s="68">
        <v>0</v>
      </c>
      <c r="CI71" s="68">
        <v>0</v>
      </c>
      <c r="CJ71" s="68">
        <v>0</v>
      </c>
      <c r="CK71" s="68">
        <v>0</v>
      </c>
      <c r="CL71" s="68">
        <v>0</v>
      </c>
      <c r="CM71" s="63">
        <v>0</v>
      </c>
      <c r="CN71" s="68">
        <v>0</v>
      </c>
      <c r="CO71" s="63">
        <v>0</v>
      </c>
      <c r="CP71" s="68">
        <v>0</v>
      </c>
      <c r="CQ71" s="63">
        <v>0</v>
      </c>
      <c r="CR71" s="68">
        <v>0</v>
      </c>
      <c r="CS71" s="63">
        <v>0</v>
      </c>
      <c r="CT71" s="68">
        <v>0</v>
      </c>
      <c r="CU71" s="63">
        <v>0</v>
      </c>
      <c r="CV71" s="68">
        <v>0</v>
      </c>
      <c r="CW71" s="63">
        <v>0</v>
      </c>
      <c r="CX71" s="68">
        <v>0</v>
      </c>
      <c r="CY71" s="63">
        <v>0</v>
      </c>
      <c r="CZ71" s="68">
        <v>0</v>
      </c>
      <c r="DA71" s="63">
        <v>0</v>
      </c>
      <c r="DB71" s="68">
        <v>0</v>
      </c>
      <c r="DC71" s="63">
        <v>0</v>
      </c>
      <c r="DD71" s="68">
        <v>0</v>
      </c>
      <c r="DE71" s="63">
        <v>0</v>
      </c>
      <c r="DF71" s="68">
        <v>0</v>
      </c>
      <c r="DG71" s="63">
        <v>0</v>
      </c>
      <c r="DH71" s="68">
        <v>0</v>
      </c>
      <c r="DI71" s="63">
        <v>0</v>
      </c>
      <c r="DJ71" s="68">
        <v>0</v>
      </c>
      <c r="DK71" s="63">
        <v>0</v>
      </c>
      <c r="DL71" s="68">
        <v>0</v>
      </c>
      <c r="DM71" s="63">
        <v>0</v>
      </c>
      <c r="DN71" s="68">
        <v>0</v>
      </c>
      <c r="DO71" s="63">
        <v>0</v>
      </c>
      <c r="DP71" s="68">
        <v>0</v>
      </c>
      <c r="DQ71" s="63">
        <v>0</v>
      </c>
      <c r="DR71" s="68">
        <v>0</v>
      </c>
      <c r="DS71" s="63">
        <v>0</v>
      </c>
      <c r="DT71" s="68">
        <v>0</v>
      </c>
      <c r="DU71" s="63">
        <v>0</v>
      </c>
      <c r="DV71" s="68">
        <v>0</v>
      </c>
      <c r="DW71" s="63">
        <v>0</v>
      </c>
      <c r="DX71" s="68">
        <v>0</v>
      </c>
      <c r="DY71" s="63">
        <v>0</v>
      </c>
      <c r="DZ71" s="68">
        <v>0</v>
      </c>
      <c r="EA71" s="63">
        <v>0</v>
      </c>
      <c r="EB71" s="68">
        <v>0</v>
      </c>
      <c r="EC71" s="63">
        <v>0</v>
      </c>
      <c r="ED71" s="68">
        <v>0</v>
      </c>
      <c r="EE71" s="63">
        <v>0</v>
      </c>
      <c r="EF71" s="68">
        <v>0</v>
      </c>
      <c r="EG71" s="70">
        <v>0</v>
      </c>
      <c r="EH71" s="71">
        <v>0</v>
      </c>
      <c r="EI71" s="63">
        <v>0</v>
      </c>
      <c r="EJ71" s="63">
        <v>0</v>
      </c>
      <c r="EK71" s="63">
        <v>0</v>
      </c>
      <c r="EL71" s="63">
        <v>0</v>
      </c>
      <c r="EM71" s="63">
        <v>0</v>
      </c>
      <c r="EN71" s="63">
        <v>0</v>
      </c>
      <c r="EO71" s="63">
        <v>0</v>
      </c>
      <c r="EP71" s="63">
        <v>0</v>
      </c>
      <c r="EQ71" s="63">
        <v>0</v>
      </c>
      <c r="ER71" s="63">
        <v>0</v>
      </c>
      <c r="ES71" s="63">
        <v>0</v>
      </c>
      <c r="ET71" s="72"/>
      <c r="EU71" s="72"/>
      <c r="EV71" s="72"/>
      <c r="EW71" s="72"/>
      <c r="EX71" s="72"/>
      <c r="EY71" s="72"/>
      <c r="EZ71" s="72"/>
      <c r="FA71" s="72"/>
      <c r="FB71" s="72"/>
      <c r="FC71" s="72"/>
      <c r="FD71" s="72"/>
      <c r="FE71" s="72"/>
      <c r="FF71" s="72"/>
      <c r="FG71" s="72"/>
      <c r="FH71" s="72"/>
      <c r="FI71" s="72"/>
      <c r="FJ71" s="72"/>
      <c r="FK71" s="108"/>
      <c r="FL71" s="72"/>
      <c r="FM71" s="72"/>
      <c r="FN71" s="72"/>
      <c r="FO71" s="72"/>
      <c r="FP71" s="72"/>
      <c r="FQ71" s="72"/>
      <c r="FR71" s="72"/>
      <c r="FS71" s="72"/>
      <c r="FT71" s="72"/>
      <c r="FU71" s="72"/>
      <c r="FV71" s="72"/>
      <c r="FW71" s="72"/>
      <c r="FX71" s="72"/>
      <c r="FY71" s="72"/>
      <c r="FZ71" s="72"/>
      <c r="GA71" s="72"/>
      <c r="GB71" s="72"/>
      <c r="GC71" s="72"/>
      <c r="GD71" s="72"/>
      <c r="GE71" s="72"/>
      <c r="GF71" s="72"/>
      <c r="GG71" s="72"/>
      <c r="GH71" s="72"/>
      <c r="GI71" s="72"/>
      <c r="GJ71" s="72"/>
      <c r="GK71" s="72"/>
      <c r="GL71" s="72"/>
      <c r="GM71" s="72"/>
      <c r="GN71" s="72"/>
      <c r="GO71" s="72"/>
      <c r="GP71" s="72"/>
      <c r="GQ71" s="72"/>
      <c r="GR71" s="72"/>
      <c r="GS71" s="72"/>
      <c r="GT71" s="72"/>
      <c r="GU71" s="72"/>
      <c r="GV71" s="72"/>
      <c r="GW71" s="72"/>
      <c r="GX71" s="72"/>
      <c r="GY71" s="72"/>
      <c r="GZ71" s="72"/>
      <c r="HA71" s="72"/>
      <c r="HB71" s="72"/>
      <c r="HC71" s="72"/>
      <c r="HD71" s="72"/>
      <c r="HE71" s="72"/>
      <c r="HF71" s="72"/>
      <c r="HG71" s="72"/>
      <c r="HH71" s="72"/>
      <c r="HI71" s="72"/>
      <c r="HJ71" s="72"/>
      <c r="HK71" s="72"/>
      <c r="HL71" s="72"/>
      <c r="HM71" s="72"/>
      <c r="HN71" s="72"/>
      <c r="HO71" s="72"/>
      <c r="HP71" s="72"/>
      <c r="HQ71" s="72"/>
      <c r="HR71" s="72"/>
      <c r="HS71" s="72"/>
      <c r="HT71" s="72"/>
      <c r="HU71" s="72"/>
      <c r="HV71" s="72"/>
      <c r="HW71" s="72"/>
      <c r="HX71" s="72"/>
      <c r="HY71" s="72"/>
      <c r="HZ71" s="72"/>
      <c r="IA71" s="72"/>
      <c r="IB71" s="72"/>
      <c r="IC71" s="72"/>
      <c r="ID71" s="72"/>
      <c r="IE71" s="72"/>
      <c r="IF71" s="72"/>
      <c r="IG71" s="72"/>
      <c r="IH71" s="72"/>
      <c r="II71" s="72"/>
      <c r="IJ71" s="72"/>
      <c r="IK71" s="72"/>
      <c r="IL71" s="72"/>
      <c r="IM71" s="72"/>
      <c r="IN71" s="72"/>
      <c r="IO71" s="72"/>
      <c r="IP71" s="72"/>
      <c r="IQ71" s="72"/>
      <c r="IR71" s="72"/>
      <c r="IS71" s="72"/>
      <c r="IT71" s="72"/>
      <c r="IU71" s="72"/>
      <c r="IV71" s="72"/>
      <c r="IW71" s="72"/>
      <c r="IX71" s="72"/>
      <c r="IY71" s="72"/>
      <c r="IZ71" s="72"/>
      <c r="JA71" s="72"/>
      <c r="JB71" s="72"/>
      <c r="JC71" s="72"/>
      <c r="JD71" s="72"/>
      <c r="JE71" s="72"/>
    </row>
    <row r="72" spans="1:265" ht="56" x14ac:dyDescent="0.15">
      <c r="A72" s="105">
        <v>4.5</v>
      </c>
      <c r="B72" s="109" t="s">
        <v>121</v>
      </c>
      <c r="C72" s="110" t="s">
        <v>122</v>
      </c>
      <c r="D72" s="80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68">
        <v>1</v>
      </c>
      <c r="AQ72" s="68">
        <v>13</v>
      </c>
      <c r="AR72" s="111">
        <v>1</v>
      </c>
      <c r="AS72" s="111">
        <v>1</v>
      </c>
      <c r="AT72" s="111">
        <v>0</v>
      </c>
      <c r="AU72" s="111">
        <v>3</v>
      </c>
      <c r="AV72" s="68">
        <v>6</v>
      </c>
      <c r="AW72" s="68">
        <v>13</v>
      </c>
      <c r="AX72" s="111">
        <v>1</v>
      </c>
      <c r="AY72" s="111">
        <v>1</v>
      </c>
      <c r="AZ72" s="68">
        <v>1</v>
      </c>
      <c r="BA72" s="68">
        <v>4</v>
      </c>
      <c r="BB72" s="111">
        <v>8</v>
      </c>
      <c r="BC72" s="111">
        <v>11</v>
      </c>
      <c r="BD72" s="68">
        <v>1</v>
      </c>
      <c r="BE72" s="68">
        <v>3</v>
      </c>
      <c r="BF72" s="111">
        <v>1</v>
      </c>
      <c r="BG72" s="111">
        <v>4</v>
      </c>
      <c r="BH72" s="68"/>
      <c r="BI72" s="68"/>
      <c r="BJ72" s="68">
        <v>14</v>
      </c>
      <c r="BK72" s="111">
        <v>18</v>
      </c>
      <c r="BL72" s="68">
        <v>0</v>
      </c>
      <c r="BM72" s="68">
        <v>4</v>
      </c>
      <c r="BN72" s="68">
        <v>0</v>
      </c>
      <c r="BO72" s="68">
        <v>1</v>
      </c>
      <c r="BP72" s="68">
        <v>3</v>
      </c>
      <c r="BQ72" s="68">
        <v>15</v>
      </c>
      <c r="BR72" s="68">
        <v>5</v>
      </c>
      <c r="BS72" s="68">
        <v>7</v>
      </c>
      <c r="BT72" s="68">
        <v>2</v>
      </c>
      <c r="BU72" s="68">
        <v>4</v>
      </c>
      <c r="BV72" s="68">
        <v>0</v>
      </c>
      <c r="BW72" s="68">
        <v>0</v>
      </c>
      <c r="BX72" s="68">
        <v>7</v>
      </c>
      <c r="BY72" s="68">
        <v>12</v>
      </c>
      <c r="BZ72" s="68">
        <v>4</v>
      </c>
      <c r="CA72" s="68">
        <v>7</v>
      </c>
      <c r="CB72" s="68">
        <v>0</v>
      </c>
      <c r="CC72" s="68">
        <v>4</v>
      </c>
      <c r="CD72" s="68">
        <v>1</v>
      </c>
      <c r="CE72" s="68">
        <v>1</v>
      </c>
      <c r="CF72" s="68">
        <v>6</v>
      </c>
      <c r="CG72" s="68">
        <v>10</v>
      </c>
      <c r="CH72" s="68">
        <v>1</v>
      </c>
      <c r="CI72" s="68">
        <v>5</v>
      </c>
      <c r="CJ72" s="68">
        <v>3</v>
      </c>
      <c r="CK72" s="68">
        <v>3</v>
      </c>
      <c r="CL72" s="68">
        <v>1</v>
      </c>
      <c r="CM72" s="63">
        <v>5</v>
      </c>
      <c r="CN72" s="68">
        <v>5</v>
      </c>
      <c r="CO72" s="63">
        <v>9</v>
      </c>
      <c r="CP72" s="68">
        <v>2</v>
      </c>
      <c r="CQ72" s="63">
        <v>6</v>
      </c>
      <c r="CR72" s="68">
        <v>1</v>
      </c>
      <c r="CS72" s="63">
        <v>2</v>
      </c>
      <c r="CT72" s="68">
        <v>2</v>
      </c>
      <c r="CU72" s="63">
        <v>5</v>
      </c>
      <c r="CV72" s="68">
        <v>5</v>
      </c>
      <c r="CW72" s="63">
        <v>9</v>
      </c>
      <c r="CX72" s="68">
        <v>3</v>
      </c>
      <c r="CY72" s="63">
        <v>4</v>
      </c>
      <c r="CZ72" s="68">
        <v>1</v>
      </c>
      <c r="DA72" s="63">
        <v>13</v>
      </c>
      <c r="DB72" s="68">
        <v>0</v>
      </c>
      <c r="DC72" s="63">
        <v>0</v>
      </c>
      <c r="DD72" s="68">
        <v>3</v>
      </c>
      <c r="DE72" s="63">
        <v>6</v>
      </c>
      <c r="DF72" s="68">
        <v>4</v>
      </c>
      <c r="DG72" s="63">
        <v>8</v>
      </c>
      <c r="DH72" s="68">
        <v>7</v>
      </c>
      <c r="DI72" s="63">
        <v>10</v>
      </c>
      <c r="DJ72" s="68">
        <v>0</v>
      </c>
      <c r="DK72" s="63">
        <v>1</v>
      </c>
      <c r="DL72" s="68">
        <v>0</v>
      </c>
      <c r="DM72" s="63">
        <v>5</v>
      </c>
      <c r="DN72" s="68">
        <v>2</v>
      </c>
      <c r="DO72" s="63">
        <v>6</v>
      </c>
      <c r="DP72" s="68">
        <v>7</v>
      </c>
      <c r="DQ72" s="63">
        <v>10</v>
      </c>
      <c r="DR72" s="68">
        <v>0</v>
      </c>
      <c r="DS72" s="63">
        <v>2</v>
      </c>
      <c r="DT72" s="68">
        <v>1</v>
      </c>
      <c r="DU72" s="63">
        <v>5</v>
      </c>
      <c r="DV72" s="68">
        <v>0</v>
      </c>
      <c r="DW72" s="63">
        <v>5</v>
      </c>
      <c r="DX72" s="68">
        <v>5</v>
      </c>
      <c r="DY72" s="63">
        <v>11</v>
      </c>
      <c r="DZ72" s="68">
        <v>0</v>
      </c>
      <c r="EA72" s="63">
        <v>6</v>
      </c>
      <c r="EB72" s="68">
        <v>1</v>
      </c>
      <c r="EC72" s="63">
        <v>6</v>
      </c>
      <c r="ED72" s="68">
        <v>0</v>
      </c>
      <c r="EE72" s="63">
        <v>3</v>
      </c>
      <c r="EF72" s="68">
        <v>3</v>
      </c>
      <c r="EG72" s="70">
        <v>11</v>
      </c>
      <c r="EH72" s="71">
        <v>1</v>
      </c>
      <c r="EI72" s="63">
        <v>6</v>
      </c>
      <c r="EJ72" s="63">
        <v>4</v>
      </c>
      <c r="EK72" s="63">
        <v>10</v>
      </c>
      <c r="EL72" s="63">
        <v>2</v>
      </c>
      <c r="EM72" s="63">
        <v>8</v>
      </c>
      <c r="EN72" s="63">
        <v>3</v>
      </c>
      <c r="EO72" s="63">
        <v>11</v>
      </c>
      <c r="EP72" s="63">
        <v>2</v>
      </c>
      <c r="EQ72" s="63">
        <v>6</v>
      </c>
      <c r="ER72" s="63">
        <v>2</v>
      </c>
      <c r="ES72" s="63">
        <v>11</v>
      </c>
      <c r="ET72" s="63">
        <v>0</v>
      </c>
      <c r="EU72" s="63">
        <v>11</v>
      </c>
      <c r="EV72" s="63">
        <v>2</v>
      </c>
      <c r="EW72" s="63">
        <v>9</v>
      </c>
      <c r="EX72" s="63">
        <v>2</v>
      </c>
      <c r="EY72" s="63">
        <v>10</v>
      </c>
      <c r="EZ72" s="63">
        <v>2</v>
      </c>
      <c r="FA72" s="63">
        <v>11</v>
      </c>
      <c r="FB72" s="63">
        <v>11</v>
      </c>
      <c r="FC72" s="63">
        <v>17</v>
      </c>
      <c r="FD72" s="63">
        <v>7</v>
      </c>
      <c r="FE72" s="63">
        <v>25</v>
      </c>
      <c r="FF72" s="63">
        <v>2</v>
      </c>
      <c r="FG72" s="63">
        <v>12</v>
      </c>
      <c r="FH72" s="63">
        <v>4</v>
      </c>
      <c r="FI72" s="63">
        <v>19</v>
      </c>
      <c r="FJ72" s="63">
        <v>6</v>
      </c>
      <c r="FK72" s="95">
        <v>15</v>
      </c>
      <c r="FL72" s="104"/>
      <c r="FM72" s="63">
        <v>15</v>
      </c>
      <c r="FN72" s="63">
        <v>2</v>
      </c>
      <c r="FO72" s="63">
        <v>13</v>
      </c>
      <c r="FP72" s="63">
        <v>6</v>
      </c>
      <c r="FQ72" s="63">
        <v>15</v>
      </c>
      <c r="FR72" s="63">
        <v>2</v>
      </c>
      <c r="FS72" s="63">
        <v>7</v>
      </c>
      <c r="FT72" s="63">
        <v>3</v>
      </c>
      <c r="FU72" s="63">
        <v>10</v>
      </c>
      <c r="FV72" s="63">
        <v>3</v>
      </c>
      <c r="FW72" s="63">
        <v>9</v>
      </c>
      <c r="FX72" s="63">
        <v>3</v>
      </c>
      <c r="FY72" s="63">
        <v>8</v>
      </c>
      <c r="FZ72" s="63">
        <v>5</v>
      </c>
      <c r="GA72" s="63">
        <v>10</v>
      </c>
      <c r="GB72" s="63">
        <v>4</v>
      </c>
      <c r="GC72" s="63">
        <v>15</v>
      </c>
      <c r="GD72" s="63">
        <v>4</v>
      </c>
      <c r="GE72" s="63">
        <v>24</v>
      </c>
      <c r="GF72" s="63">
        <v>6</v>
      </c>
      <c r="GG72" s="63">
        <v>21</v>
      </c>
      <c r="GH72" s="63">
        <v>7</v>
      </c>
      <c r="GI72" s="63">
        <v>17</v>
      </c>
      <c r="GJ72" s="63">
        <v>0</v>
      </c>
      <c r="GK72" s="63">
        <v>10</v>
      </c>
      <c r="GL72" s="63">
        <v>5</v>
      </c>
      <c r="GM72" s="63">
        <v>15</v>
      </c>
      <c r="GN72" s="63">
        <v>7</v>
      </c>
      <c r="GO72" s="63">
        <v>20</v>
      </c>
      <c r="GP72" s="63">
        <v>5</v>
      </c>
      <c r="GQ72" s="63">
        <v>17</v>
      </c>
      <c r="GR72" s="63">
        <v>1</v>
      </c>
      <c r="GS72" s="63">
        <v>9</v>
      </c>
      <c r="GT72" s="63">
        <v>3</v>
      </c>
      <c r="GU72" s="63">
        <v>9</v>
      </c>
      <c r="GV72" s="63">
        <v>5</v>
      </c>
      <c r="GW72" s="63">
        <v>12</v>
      </c>
      <c r="GX72" s="63">
        <v>4</v>
      </c>
      <c r="GY72" s="63">
        <v>20</v>
      </c>
      <c r="GZ72" s="63">
        <v>4</v>
      </c>
      <c r="HA72" s="63">
        <v>15</v>
      </c>
      <c r="HB72" s="63">
        <v>4</v>
      </c>
      <c r="HC72" s="63">
        <v>17</v>
      </c>
      <c r="HD72" s="63">
        <v>9</v>
      </c>
      <c r="HE72" s="63">
        <v>26</v>
      </c>
      <c r="HF72" s="63">
        <v>5</v>
      </c>
      <c r="HG72" s="63">
        <v>24</v>
      </c>
      <c r="HH72" s="63">
        <v>4</v>
      </c>
      <c r="HI72" s="63">
        <v>23</v>
      </c>
      <c r="HJ72" s="63">
        <v>5</v>
      </c>
      <c r="HK72" s="63">
        <v>11</v>
      </c>
      <c r="HL72" s="63">
        <v>6</v>
      </c>
      <c r="HM72" s="63">
        <v>18</v>
      </c>
      <c r="HN72" s="63">
        <v>2</v>
      </c>
      <c r="HO72" s="63">
        <v>15</v>
      </c>
      <c r="HP72" s="63">
        <v>4</v>
      </c>
      <c r="HQ72" s="63">
        <v>11</v>
      </c>
      <c r="HR72" s="63">
        <v>1</v>
      </c>
      <c r="HS72" s="63">
        <v>10</v>
      </c>
      <c r="HT72" s="63">
        <v>1</v>
      </c>
      <c r="HU72" s="63">
        <v>6</v>
      </c>
      <c r="HV72" s="63">
        <v>0</v>
      </c>
      <c r="HW72" s="63">
        <v>5</v>
      </c>
      <c r="HX72" s="63">
        <v>0</v>
      </c>
      <c r="HY72" s="63">
        <v>13</v>
      </c>
      <c r="HZ72" s="63">
        <v>1</v>
      </c>
      <c r="IA72" s="63">
        <v>12</v>
      </c>
      <c r="IB72" s="63">
        <v>3</v>
      </c>
      <c r="IC72" s="63">
        <v>13</v>
      </c>
      <c r="ID72" s="63">
        <v>1</v>
      </c>
      <c r="IE72" s="63">
        <v>15</v>
      </c>
      <c r="IF72" s="72"/>
      <c r="IG72" s="72"/>
      <c r="IH72" s="72"/>
      <c r="II72" s="72"/>
      <c r="IJ72" s="72"/>
      <c r="IK72" s="72"/>
      <c r="IL72" s="72"/>
      <c r="IM72" s="72"/>
      <c r="IN72" s="72"/>
      <c r="IO72" s="72"/>
      <c r="IP72" s="72"/>
      <c r="IQ72" s="72"/>
      <c r="IR72" s="72"/>
      <c r="IS72" s="72"/>
      <c r="IT72" s="72"/>
      <c r="IU72" s="72"/>
      <c r="IV72" s="72"/>
      <c r="IW72" s="72"/>
      <c r="IX72" s="72"/>
      <c r="IY72" s="72"/>
      <c r="IZ72" s="72"/>
      <c r="JA72" s="72"/>
      <c r="JB72" s="72"/>
      <c r="JC72" s="72"/>
      <c r="JD72" s="72"/>
      <c r="JE72" s="72"/>
    </row>
    <row r="73" spans="1:265" ht="28" x14ac:dyDescent="0.15">
      <c r="A73" s="105">
        <v>4.5999999999999996</v>
      </c>
      <c r="B73" s="112" t="s">
        <v>123</v>
      </c>
      <c r="C73" s="113" t="s">
        <v>124</v>
      </c>
      <c r="D73" s="80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68">
        <v>0</v>
      </c>
      <c r="CI73" s="68">
        <v>5</v>
      </c>
      <c r="CJ73" s="68">
        <v>0</v>
      </c>
      <c r="CK73" s="68">
        <v>11</v>
      </c>
      <c r="CL73" s="68">
        <v>2</v>
      </c>
      <c r="CM73" s="63">
        <v>8</v>
      </c>
      <c r="CN73" s="68">
        <v>0</v>
      </c>
      <c r="CO73" s="63">
        <v>4</v>
      </c>
      <c r="CP73" s="68">
        <v>1</v>
      </c>
      <c r="CQ73" s="63">
        <v>8</v>
      </c>
      <c r="CR73" s="68">
        <v>2</v>
      </c>
      <c r="CS73" s="63">
        <v>11</v>
      </c>
      <c r="CT73" s="68">
        <v>0</v>
      </c>
      <c r="CU73" s="63">
        <v>3</v>
      </c>
      <c r="CV73" s="68">
        <v>1</v>
      </c>
      <c r="CW73" s="63">
        <v>12</v>
      </c>
      <c r="CX73" s="68">
        <v>1</v>
      </c>
      <c r="CY73" s="63">
        <v>7</v>
      </c>
      <c r="CZ73" s="68">
        <v>0</v>
      </c>
      <c r="DA73" s="63">
        <v>9</v>
      </c>
      <c r="DB73" s="68">
        <v>0</v>
      </c>
      <c r="DC73" s="63">
        <v>5</v>
      </c>
      <c r="DD73" s="68">
        <v>1</v>
      </c>
      <c r="DE73" s="63">
        <v>8</v>
      </c>
      <c r="DF73" s="68">
        <v>1</v>
      </c>
      <c r="DG73" s="63">
        <v>7</v>
      </c>
      <c r="DH73" s="68">
        <v>0</v>
      </c>
      <c r="DI73" s="63">
        <v>4</v>
      </c>
      <c r="DJ73" s="68">
        <v>3</v>
      </c>
      <c r="DK73" s="63">
        <v>19</v>
      </c>
      <c r="DL73" s="68">
        <v>0</v>
      </c>
      <c r="DM73" s="63">
        <v>10</v>
      </c>
      <c r="DN73" s="68">
        <v>1</v>
      </c>
      <c r="DO73" s="63">
        <v>5</v>
      </c>
      <c r="DP73" s="68">
        <v>1</v>
      </c>
      <c r="DQ73" s="63">
        <v>12</v>
      </c>
      <c r="DR73" s="68">
        <v>1</v>
      </c>
      <c r="DS73" s="63">
        <v>17</v>
      </c>
      <c r="DT73" s="68">
        <v>1</v>
      </c>
      <c r="DU73" s="63">
        <v>15</v>
      </c>
      <c r="DV73" s="68">
        <v>0</v>
      </c>
      <c r="DW73" s="63">
        <v>8</v>
      </c>
      <c r="DX73" s="68">
        <v>2</v>
      </c>
      <c r="DY73" s="63">
        <v>6</v>
      </c>
      <c r="DZ73" s="68">
        <v>0</v>
      </c>
      <c r="EA73" s="63">
        <v>11</v>
      </c>
      <c r="EB73" s="68">
        <v>0</v>
      </c>
      <c r="EC73" s="63">
        <v>10</v>
      </c>
      <c r="ED73" s="68">
        <v>0</v>
      </c>
      <c r="EE73" s="63">
        <v>9</v>
      </c>
      <c r="EF73" s="68">
        <v>2</v>
      </c>
      <c r="EG73" s="70">
        <v>16</v>
      </c>
      <c r="EH73" s="71">
        <v>0</v>
      </c>
      <c r="EI73" s="63">
        <v>10</v>
      </c>
      <c r="EJ73" s="63">
        <v>1</v>
      </c>
      <c r="EK73" s="63">
        <v>11</v>
      </c>
      <c r="EL73" s="63">
        <v>2</v>
      </c>
      <c r="EM73" s="63">
        <v>16</v>
      </c>
      <c r="EN73" s="63">
        <v>1</v>
      </c>
      <c r="EO73" s="63">
        <v>10</v>
      </c>
      <c r="EP73" s="63">
        <v>0</v>
      </c>
      <c r="EQ73" s="63">
        <v>13</v>
      </c>
      <c r="ER73" s="63">
        <v>0</v>
      </c>
      <c r="ES73" s="63">
        <v>17</v>
      </c>
      <c r="ET73" s="63">
        <v>0</v>
      </c>
      <c r="EU73" s="63">
        <v>12</v>
      </c>
      <c r="EV73" s="63">
        <v>0</v>
      </c>
      <c r="EW73" s="63">
        <v>9</v>
      </c>
      <c r="EX73" s="63">
        <v>6</v>
      </c>
      <c r="EY73" s="63">
        <v>104</v>
      </c>
      <c r="EZ73" s="63">
        <v>0</v>
      </c>
      <c r="FA73" s="63">
        <v>7</v>
      </c>
      <c r="FB73" s="63">
        <v>0</v>
      </c>
      <c r="FC73" s="63">
        <v>14</v>
      </c>
      <c r="FD73" s="63">
        <v>0</v>
      </c>
      <c r="FE73" s="63">
        <v>10</v>
      </c>
      <c r="FF73" s="63">
        <v>1</v>
      </c>
      <c r="FG73" s="63">
        <v>18</v>
      </c>
      <c r="FH73" s="63">
        <v>0</v>
      </c>
      <c r="FI73" s="63">
        <v>21</v>
      </c>
      <c r="FJ73" s="63">
        <v>0</v>
      </c>
      <c r="FK73" s="95">
        <v>21</v>
      </c>
      <c r="FL73" s="104"/>
      <c r="FM73" s="63">
        <v>21</v>
      </c>
      <c r="FN73" s="72"/>
      <c r="FO73" s="72"/>
      <c r="FP73" s="72"/>
      <c r="FQ73" s="72"/>
      <c r="FR73" s="72"/>
      <c r="FS73" s="72"/>
      <c r="FT73" s="72"/>
      <c r="FU73" s="72"/>
      <c r="FV73" s="72"/>
      <c r="FW73" s="72"/>
      <c r="FX73" s="72"/>
      <c r="FY73" s="72"/>
      <c r="FZ73" s="72"/>
      <c r="GA73" s="72"/>
      <c r="GB73" s="72"/>
      <c r="GC73" s="72"/>
      <c r="GD73" s="72"/>
      <c r="GE73" s="72"/>
      <c r="GF73" s="72"/>
      <c r="GG73" s="72"/>
      <c r="GH73" s="72"/>
      <c r="GI73" s="72"/>
      <c r="GJ73" s="72"/>
      <c r="GK73" s="72"/>
      <c r="GL73" s="72"/>
      <c r="GM73" s="72"/>
      <c r="GN73" s="72"/>
      <c r="GO73" s="72"/>
      <c r="GP73" s="72"/>
      <c r="GQ73" s="72"/>
      <c r="GR73" s="72"/>
      <c r="GS73" s="72"/>
      <c r="GT73" s="72"/>
      <c r="GU73" s="72"/>
      <c r="GV73" s="72"/>
      <c r="GW73" s="72"/>
      <c r="GX73" s="72"/>
      <c r="GY73" s="72"/>
      <c r="GZ73" s="72"/>
      <c r="HA73" s="72"/>
      <c r="HB73" s="72"/>
      <c r="HC73" s="72"/>
      <c r="HD73" s="72"/>
      <c r="HE73" s="72"/>
      <c r="HF73" s="72"/>
      <c r="HG73" s="72"/>
      <c r="HH73" s="72"/>
      <c r="HI73" s="72"/>
      <c r="HJ73" s="72"/>
      <c r="HK73" s="72"/>
      <c r="HL73" s="72"/>
      <c r="HM73" s="72"/>
      <c r="HN73" s="72"/>
      <c r="HO73" s="72"/>
      <c r="HP73" s="72"/>
      <c r="HQ73" s="72"/>
      <c r="HR73" s="72"/>
      <c r="HS73" s="72"/>
      <c r="HT73" s="72"/>
      <c r="HU73" s="72"/>
      <c r="HV73" s="72"/>
      <c r="HW73" s="72"/>
      <c r="HX73" s="72"/>
      <c r="HY73" s="72"/>
      <c r="HZ73" s="72"/>
      <c r="IA73" s="72"/>
      <c r="IB73" s="72"/>
      <c r="IC73" s="72"/>
      <c r="ID73" s="72"/>
      <c r="IE73" s="72"/>
      <c r="IF73" s="72"/>
      <c r="IG73" s="72"/>
      <c r="IH73" s="72"/>
      <c r="II73" s="72"/>
      <c r="IJ73" s="72"/>
      <c r="IK73" s="72"/>
      <c r="IL73" s="72"/>
      <c r="IM73" s="72"/>
      <c r="IN73" s="72"/>
      <c r="IO73" s="72"/>
      <c r="IP73" s="72"/>
      <c r="IQ73" s="72"/>
      <c r="IR73" s="72"/>
      <c r="IS73" s="72"/>
      <c r="IT73" s="72"/>
      <c r="IU73" s="72"/>
      <c r="IV73" s="72"/>
      <c r="IW73" s="72"/>
      <c r="IX73" s="72"/>
      <c r="IY73" s="72"/>
      <c r="IZ73" s="72"/>
      <c r="JA73" s="72"/>
      <c r="JB73" s="72"/>
      <c r="JC73" s="72"/>
      <c r="JD73" s="72"/>
      <c r="JE73" s="72"/>
    </row>
    <row r="74" spans="1:265" ht="14" x14ac:dyDescent="0.15">
      <c r="A74" s="51"/>
      <c r="B74" s="52" t="s">
        <v>125</v>
      </c>
      <c r="C74" s="52" t="s">
        <v>125</v>
      </c>
      <c r="D74" s="89">
        <f t="shared" ref="D74:BO74" si="18">SUM(D68:D73)</f>
        <v>0</v>
      </c>
      <c r="E74" s="89">
        <f t="shared" si="18"/>
        <v>0</v>
      </c>
      <c r="F74" s="89">
        <f t="shared" si="18"/>
        <v>3</v>
      </c>
      <c r="G74" s="89">
        <f t="shared" si="18"/>
        <v>40</v>
      </c>
      <c r="H74" s="89">
        <f t="shared" si="18"/>
        <v>2</v>
      </c>
      <c r="I74" s="89">
        <f t="shared" si="18"/>
        <v>30</v>
      </c>
      <c r="J74" s="89">
        <f t="shared" si="18"/>
        <v>3</v>
      </c>
      <c r="K74" s="89">
        <f t="shared" si="18"/>
        <v>55</v>
      </c>
      <c r="L74" s="89">
        <f t="shared" si="18"/>
        <v>1</v>
      </c>
      <c r="M74" s="89">
        <f t="shared" si="18"/>
        <v>43</v>
      </c>
      <c r="N74" s="89">
        <f t="shared" si="18"/>
        <v>1</v>
      </c>
      <c r="O74" s="89">
        <f t="shared" si="18"/>
        <v>37</v>
      </c>
      <c r="P74" s="89">
        <f t="shared" si="18"/>
        <v>0</v>
      </c>
      <c r="Q74" s="89">
        <f t="shared" si="18"/>
        <v>17</v>
      </c>
      <c r="R74" s="89">
        <f t="shared" si="18"/>
        <v>0</v>
      </c>
      <c r="S74" s="89">
        <f t="shared" si="18"/>
        <v>10</v>
      </c>
      <c r="T74" s="89">
        <f t="shared" si="18"/>
        <v>1</v>
      </c>
      <c r="U74" s="89">
        <f t="shared" si="18"/>
        <v>45</v>
      </c>
      <c r="V74" s="89">
        <f t="shared" si="18"/>
        <v>0</v>
      </c>
      <c r="W74" s="89">
        <f t="shared" si="18"/>
        <v>46</v>
      </c>
      <c r="X74" s="89">
        <f t="shared" si="18"/>
        <v>1</v>
      </c>
      <c r="Y74" s="89">
        <f t="shared" si="18"/>
        <v>36</v>
      </c>
      <c r="Z74" s="89">
        <f t="shared" si="18"/>
        <v>0</v>
      </c>
      <c r="AA74" s="89">
        <f t="shared" si="18"/>
        <v>40</v>
      </c>
      <c r="AB74" s="89">
        <f t="shared" si="18"/>
        <v>1</v>
      </c>
      <c r="AC74" s="89">
        <f t="shared" si="18"/>
        <v>32</v>
      </c>
      <c r="AD74" s="89">
        <f t="shared" si="18"/>
        <v>0</v>
      </c>
      <c r="AE74" s="89">
        <f t="shared" si="18"/>
        <v>21</v>
      </c>
      <c r="AF74" s="89">
        <f t="shared" si="18"/>
        <v>0</v>
      </c>
      <c r="AG74" s="89">
        <f t="shared" si="18"/>
        <v>17</v>
      </c>
      <c r="AH74" s="89">
        <f t="shared" si="18"/>
        <v>0</v>
      </c>
      <c r="AI74" s="89">
        <f t="shared" si="18"/>
        <v>22</v>
      </c>
      <c r="AJ74" s="89">
        <f t="shared" si="18"/>
        <v>0</v>
      </c>
      <c r="AK74" s="89">
        <f t="shared" si="18"/>
        <v>16</v>
      </c>
      <c r="AL74" s="89">
        <f t="shared" si="18"/>
        <v>0</v>
      </c>
      <c r="AM74" s="89">
        <f t="shared" si="18"/>
        <v>11</v>
      </c>
      <c r="AN74" s="89">
        <f t="shared" si="18"/>
        <v>0</v>
      </c>
      <c r="AO74" s="89">
        <f t="shared" si="18"/>
        <v>21</v>
      </c>
      <c r="AP74" s="89">
        <f t="shared" si="18"/>
        <v>2</v>
      </c>
      <c r="AQ74" s="89">
        <f t="shared" si="18"/>
        <v>37</v>
      </c>
      <c r="AR74" s="89">
        <f t="shared" si="18"/>
        <v>2</v>
      </c>
      <c r="AS74" s="89">
        <f t="shared" si="18"/>
        <v>24</v>
      </c>
      <c r="AT74" s="89">
        <f t="shared" si="18"/>
        <v>0</v>
      </c>
      <c r="AU74" s="89">
        <f t="shared" si="18"/>
        <v>25</v>
      </c>
      <c r="AV74" s="89">
        <f t="shared" si="18"/>
        <v>6</v>
      </c>
      <c r="AW74" s="89">
        <f t="shared" si="18"/>
        <v>32</v>
      </c>
      <c r="AX74" s="89">
        <f t="shared" si="18"/>
        <v>1</v>
      </c>
      <c r="AY74" s="89">
        <f t="shared" si="18"/>
        <v>19</v>
      </c>
      <c r="AZ74" s="89">
        <f t="shared" si="18"/>
        <v>4</v>
      </c>
      <c r="BA74" s="89">
        <f t="shared" si="18"/>
        <v>31</v>
      </c>
      <c r="BB74" s="89">
        <f t="shared" si="18"/>
        <v>9</v>
      </c>
      <c r="BC74" s="89">
        <f t="shared" si="18"/>
        <v>44</v>
      </c>
      <c r="BD74" s="89">
        <f t="shared" si="18"/>
        <v>1</v>
      </c>
      <c r="BE74" s="89">
        <f t="shared" si="18"/>
        <v>24</v>
      </c>
      <c r="BF74" s="89">
        <f t="shared" si="18"/>
        <v>1</v>
      </c>
      <c r="BG74" s="89">
        <f t="shared" si="18"/>
        <v>27</v>
      </c>
      <c r="BH74" s="89">
        <f t="shared" si="18"/>
        <v>0</v>
      </c>
      <c r="BI74" s="89">
        <f t="shared" si="18"/>
        <v>0</v>
      </c>
      <c r="BJ74" s="89">
        <f t="shared" si="18"/>
        <v>14</v>
      </c>
      <c r="BK74" s="89">
        <f t="shared" si="18"/>
        <v>53</v>
      </c>
      <c r="BL74" s="89">
        <f t="shared" si="18"/>
        <v>1</v>
      </c>
      <c r="BM74" s="89">
        <f t="shared" si="18"/>
        <v>28</v>
      </c>
      <c r="BN74" s="89">
        <f t="shared" si="18"/>
        <v>0</v>
      </c>
      <c r="BO74" s="89">
        <f t="shared" si="18"/>
        <v>21</v>
      </c>
      <c r="BP74" s="89">
        <f t="shared" ref="BP74:EA74" si="19">SUM(BP68:BP73)</f>
        <v>5</v>
      </c>
      <c r="BQ74" s="89">
        <f t="shared" si="19"/>
        <v>50</v>
      </c>
      <c r="BR74" s="89">
        <f t="shared" si="19"/>
        <v>5</v>
      </c>
      <c r="BS74" s="89">
        <f t="shared" si="19"/>
        <v>16</v>
      </c>
      <c r="BT74" s="89">
        <f t="shared" si="19"/>
        <v>2</v>
      </c>
      <c r="BU74" s="89">
        <f t="shared" si="19"/>
        <v>43</v>
      </c>
      <c r="BV74" s="89">
        <f t="shared" si="19"/>
        <v>1</v>
      </c>
      <c r="BW74" s="89">
        <f t="shared" si="19"/>
        <v>39</v>
      </c>
      <c r="BX74" s="89">
        <f t="shared" si="19"/>
        <v>7</v>
      </c>
      <c r="BY74" s="89">
        <f t="shared" si="19"/>
        <v>39</v>
      </c>
      <c r="BZ74" s="89">
        <f t="shared" si="19"/>
        <v>4</v>
      </c>
      <c r="CA74" s="89">
        <f t="shared" si="19"/>
        <v>22</v>
      </c>
      <c r="CB74" s="89">
        <f t="shared" si="19"/>
        <v>0</v>
      </c>
      <c r="CC74" s="89">
        <f t="shared" si="19"/>
        <v>17</v>
      </c>
      <c r="CD74" s="89">
        <f t="shared" si="19"/>
        <v>1</v>
      </c>
      <c r="CE74" s="89">
        <f t="shared" si="19"/>
        <v>18</v>
      </c>
      <c r="CF74" s="89">
        <f t="shared" si="19"/>
        <v>6</v>
      </c>
      <c r="CG74" s="89">
        <f t="shared" si="19"/>
        <v>37</v>
      </c>
      <c r="CH74" s="89">
        <f t="shared" si="19"/>
        <v>1</v>
      </c>
      <c r="CI74" s="89">
        <f t="shared" si="19"/>
        <v>32</v>
      </c>
      <c r="CJ74" s="89">
        <f t="shared" si="19"/>
        <v>3</v>
      </c>
      <c r="CK74" s="89">
        <f t="shared" si="19"/>
        <v>28</v>
      </c>
      <c r="CL74" s="89">
        <f t="shared" si="19"/>
        <v>4</v>
      </c>
      <c r="CM74" s="89">
        <f t="shared" si="19"/>
        <v>43</v>
      </c>
      <c r="CN74" s="89">
        <f t="shared" si="19"/>
        <v>5</v>
      </c>
      <c r="CO74" s="89">
        <f t="shared" si="19"/>
        <v>40</v>
      </c>
      <c r="CP74" s="89">
        <f t="shared" si="19"/>
        <v>3</v>
      </c>
      <c r="CQ74" s="89">
        <f t="shared" si="19"/>
        <v>31</v>
      </c>
      <c r="CR74" s="89">
        <f t="shared" si="19"/>
        <v>3</v>
      </c>
      <c r="CS74" s="89">
        <f t="shared" si="19"/>
        <v>30</v>
      </c>
      <c r="CT74" s="89">
        <f t="shared" si="19"/>
        <v>4</v>
      </c>
      <c r="CU74" s="89">
        <f t="shared" si="19"/>
        <v>34</v>
      </c>
      <c r="CV74" s="89">
        <f t="shared" si="19"/>
        <v>6</v>
      </c>
      <c r="CW74" s="89">
        <f t="shared" si="19"/>
        <v>45</v>
      </c>
      <c r="CX74" s="89">
        <f t="shared" si="19"/>
        <v>4</v>
      </c>
      <c r="CY74" s="89">
        <f t="shared" si="19"/>
        <v>27</v>
      </c>
      <c r="CZ74" s="89">
        <f t="shared" si="19"/>
        <v>1</v>
      </c>
      <c r="DA74" s="89">
        <f t="shared" si="19"/>
        <v>55</v>
      </c>
      <c r="DB74" s="89">
        <f t="shared" si="19"/>
        <v>0</v>
      </c>
      <c r="DC74" s="89">
        <f t="shared" si="19"/>
        <v>25</v>
      </c>
      <c r="DD74" s="89">
        <f t="shared" si="19"/>
        <v>6</v>
      </c>
      <c r="DE74" s="89">
        <f t="shared" si="19"/>
        <v>31</v>
      </c>
      <c r="DF74" s="89">
        <f t="shared" si="19"/>
        <v>5</v>
      </c>
      <c r="DG74" s="89">
        <f t="shared" si="19"/>
        <v>36</v>
      </c>
      <c r="DH74" s="89">
        <f t="shared" si="19"/>
        <v>7</v>
      </c>
      <c r="DI74" s="89">
        <f t="shared" si="19"/>
        <v>39</v>
      </c>
      <c r="DJ74" s="89">
        <f t="shared" si="19"/>
        <v>3</v>
      </c>
      <c r="DK74" s="89">
        <f t="shared" si="19"/>
        <v>37</v>
      </c>
      <c r="DL74" s="89">
        <f t="shared" si="19"/>
        <v>0</v>
      </c>
      <c r="DM74" s="89">
        <f t="shared" si="19"/>
        <v>37</v>
      </c>
      <c r="DN74" s="89">
        <f t="shared" si="19"/>
        <v>3</v>
      </c>
      <c r="DO74" s="89">
        <f t="shared" si="19"/>
        <v>29</v>
      </c>
      <c r="DP74" s="89">
        <f t="shared" si="19"/>
        <v>8</v>
      </c>
      <c r="DQ74" s="89">
        <f t="shared" si="19"/>
        <v>46</v>
      </c>
      <c r="DR74" s="89">
        <f t="shared" si="19"/>
        <v>1</v>
      </c>
      <c r="DS74" s="89">
        <f t="shared" si="19"/>
        <v>40</v>
      </c>
      <c r="DT74" s="89">
        <f t="shared" si="19"/>
        <v>3</v>
      </c>
      <c r="DU74" s="89">
        <f t="shared" si="19"/>
        <v>42</v>
      </c>
      <c r="DV74" s="89">
        <f t="shared" si="19"/>
        <v>0</v>
      </c>
      <c r="DW74" s="89">
        <f t="shared" si="19"/>
        <v>42</v>
      </c>
      <c r="DX74" s="89">
        <f t="shared" si="19"/>
        <v>7</v>
      </c>
      <c r="DY74" s="89">
        <f t="shared" si="19"/>
        <v>52</v>
      </c>
      <c r="DZ74" s="89">
        <f t="shared" si="19"/>
        <v>0</v>
      </c>
      <c r="EA74" s="89">
        <f t="shared" si="19"/>
        <v>49</v>
      </c>
      <c r="EB74" s="89">
        <f t="shared" ref="EB74:GM74" si="20">SUM(EB68:EB73)</f>
        <v>1</v>
      </c>
      <c r="EC74" s="89">
        <f t="shared" si="20"/>
        <v>43</v>
      </c>
      <c r="ED74" s="89">
        <f t="shared" si="20"/>
        <v>0</v>
      </c>
      <c r="EE74" s="89">
        <f t="shared" si="20"/>
        <v>36</v>
      </c>
      <c r="EF74" s="89">
        <f t="shared" si="20"/>
        <v>5</v>
      </c>
      <c r="EG74" s="89">
        <f t="shared" si="20"/>
        <v>53</v>
      </c>
      <c r="EH74" s="56">
        <f t="shared" si="20"/>
        <v>3</v>
      </c>
      <c r="EI74" s="89">
        <f t="shared" si="20"/>
        <v>45</v>
      </c>
      <c r="EJ74" s="89">
        <f t="shared" si="20"/>
        <v>7</v>
      </c>
      <c r="EK74" s="89">
        <f t="shared" si="20"/>
        <v>48</v>
      </c>
      <c r="EL74" s="89">
        <f t="shared" si="20"/>
        <v>4</v>
      </c>
      <c r="EM74" s="89">
        <f t="shared" si="20"/>
        <v>53</v>
      </c>
      <c r="EN74" s="89">
        <f t="shared" si="20"/>
        <v>4</v>
      </c>
      <c r="EO74" s="89">
        <f t="shared" si="20"/>
        <v>42</v>
      </c>
      <c r="EP74" s="89">
        <f t="shared" si="20"/>
        <v>2</v>
      </c>
      <c r="EQ74" s="89">
        <f t="shared" si="20"/>
        <v>44</v>
      </c>
      <c r="ER74" s="89">
        <f t="shared" si="20"/>
        <v>2</v>
      </c>
      <c r="ES74" s="89">
        <f t="shared" si="20"/>
        <v>61</v>
      </c>
      <c r="ET74" s="89">
        <f t="shared" si="20"/>
        <v>2</v>
      </c>
      <c r="EU74" s="89">
        <f t="shared" si="20"/>
        <v>53</v>
      </c>
      <c r="EV74" s="89">
        <f t="shared" si="20"/>
        <v>2</v>
      </c>
      <c r="EW74" s="89">
        <f t="shared" si="20"/>
        <v>43</v>
      </c>
      <c r="EX74" s="89">
        <f t="shared" si="20"/>
        <v>8</v>
      </c>
      <c r="EY74" s="89">
        <f t="shared" si="20"/>
        <v>133</v>
      </c>
      <c r="EZ74" s="89">
        <f t="shared" si="20"/>
        <v>2</v>
      </c>
      <c r="FA74" s="89">
        <f t="shared" si="20"/>
        <v>26</v>
      </c>
      <c r="FB74" s="89">
        <f t="shared" si="20"/>
        <v>11</v>
      </c>
      <c r="FC74" s="89">
        <f t="shared" si="20"/>
        <v>35</v>
      </c>
      <c r="FD74" s="89">
        <f t="shared" si="20"/>
        <v>7</v>
      </c>
      <c r="FE74" s="89">
        <f t="shared" si="20"/>
        <v>38</v>
      </c>
      <c r="FF74" s="89">
        <f t="shared" si="20"/>
        <v>3</v>
      </c>
      <c r="FG74" s="89">
        <f t="shared" si="20"/>
        <v>36</v>
      </c>
      <c r="FH74" s="89">
        <f t="shared" si="20"/>
        <v>5</v>
      </c>
      <c r="FI74" s="89">
        <f t="shared" si="20"/>
        <v>46</v>
      </c>
      <c r="FJ74" s="89">
        <f t="shared" si="20"/>
        <v>6</v>
      </c>
      <c r="FK74" s="89">
        <f t="shared" si="20"/>
        <v>39</v>
      </c>
      <c r="FL74" s="89">
        <f t="shared" si="20"/>
        <v>0</v>
      </c>
      <c r="FM74" s="89">
        <f t="shared" si="20"/>
        <v>39</v>
      </c>
      <c r="FN74" s="89">
        <f t="shared" si="20"/>
        <v>2</v>
      </c>
      <c r="FO74" s="89">
        <f t="shared" si="20"/>
        <v>20</v>
      </c>
      <c r="FP74" s="89">
        <f t="shared" si="20"/>
        <v>6</v>
      </c>
      <c r="FQ74" s="89">
        <f t="shared" si="20"/>
        <v>23</v>
      </c>
      <c r="FR74" s="89">
        <f t="shared" si="20"/>
        <v>2</v>
      </c>
      <c r="FS74" s="89">
        <f t="shared" si="20"/>
        <v>13</v>
      </c>
      <c r="FT74" s="89">
        <f t="shared" si="20"/>
        <v>3</v>
      </c>
      <c r="FU74" s="89">
        <f t="shared" si="20"/>
        <v>16</v>
      </c>
      <c r="FV74" s="89">
        <f t="shared" si="20"/>
        <v>4</v>
      </c>
      <c r="FW74" s="89">
        <f t="shared" si="20"/>
        <v>22</v>
      </c>
      <c r="FX74" s="89">
        <f t="shared" si="20"/>
        <v>3</v>
      </c>
      <c r="FY74" s="89">
        <f>SUM(FY68:FY73)</f>
        <v>13</v>
      </c>
      <c r="FZ74" s="89">
        <f t="shared" si="20"/>
        <v>6</v>
      </c>
      <c r="GA74" s="89">
        <f t="shared" si="20"/>
        <v>15</v>
      </c>
      <c r="GB74" s="89">
        <f t="shared" si="20"/>
        <v>4</v>
      </c>
      <c r="GC74" s="89">
        <f t="shared" si="20"/>
        <v>23</v>
      </c>
      <c r="GD74" s="89">
        <f t="shared" si="20"/>
        <v>4</v>
      </c>
      <c r="GE74" s="89">
        <f t="shared" si="20"/>
        <v>32</v>
      </c>
      <c r="GF74" s="89">
        <f t="shared" si="20"/>
        <v>6</v>
      </c>
      <c r="GG74" s="89">
        <f t="shared" si="20"/>
        <v>29</v>
      </c>
      <c r="GH74" s="89">
        <f t="shared" si="20"/>
        <v>7</v>
      </c>
      <c r="GI74" s="89">
        <f t="shared" si="20"/>
        <v>28</v>
      </c>
      <c r="GJ74" s="89">
        <f t="shared" si="20"/>
        <v>0</v>
      </c>
      <c r="GK74" s="89">
        <f t="shared" si="20"/>
        <v>16</v>
      </c>
      <c r="GL74" s="89">
        <f t="shared" si="20"/>
        <v>5</v>
      </c>
      <c r="GM74" s="89">
        <f t="shared" si="20"/>
        <v>25</v>
      </c>
      <c r="GN74" s="89">
        <f t="shared" ref="GN74:IZ74" si="21">SUM(GN68:GN73)</f>
        <v>7</v>
      </c>
      <c r="GO74" s="89">
        <f t="shared" si="21"/>
        <v>29</v>
      </c>
      <c r="GP74" s="89">
        <f t="shared" si="21"/>
        <v>6</v>
      </c>
      <c r="GQ74" s="89">
        <f t="shared" si="21"/>
        <v>20</v>
      </c>
      <c r="GR74" s="89">
        <f t="shared" si="21"/>
        <v>1</v>
      </c>
      <c r="GS74" s="89">
        <f t="shared" si="21"/>
        <v>11</v>
      </c>
      <c r="GT74" s="89">
        <f t="shared" si="21"/>
        <v>3</v>
      </c>
      <c r="GU74" s="89">
        <f t="shared" si="21"/>
        <v>11</v>
      </c>
      <c r="GV74" s="89">
        <f t="shared" si="21"/>
        <v>5</v>
      </c>
      <c r="GW74" s="89">
        <f t="shared" si="21"/>
        <v>13</v>
      </c>
      <c r="GX74" s="89">
        <f t="shared" si="21"/>
        <v>4</v>
      </c>
      <c r="GY74" s="89">
        <f t="shared" si="21"/>
        <v>21</v>
      </c>
      <c r="GZ74" s="89">
        <f t="shared" si="21"/>
        <v>4</v>
      </c>
      <c r="HA74" s="89">
        <f t="shared" si="21"/>
        <v>19</v>
      </c>
      <c r="HB74" s="89">
        <f t="shared" si="21"/>
        <v>4</v>
      </c>
      <c r="HC74" s="89">
        <f t="shared" si="21"/>
        <v>18</v>
      </c>
      <c r="HD74" s="89">
        <f t="shared" si="21"/>
        <v>9</v>
      </c>
      <c r="HE74" s="89">
        <f t="shared" si="21"/>
        <v>29</v>
      </c>
      <c r="HF74" s="89">
        <f t="shared" si="21"/>
        <v>5</v>
      </c>
      <c r="HG74" s="89">
        <f t="shared" si="21"/>
        <v>28</v>
      </c>
      <c r="HH74" s="89">
        <f t="shared" si="21"/>
        <v>4</v>
      </c>
      <c r="HI74" s="89">
        <f t="shared" si="21"/>
        <v>27</v>
      </c>
      <c r="HJ74" s="89">
        <f t="shared" si="21"/>
        <v>5</v>
      </c>
      <c r="HK74" s="89">
        <f t="shared" si="21"/>
        <v>15</v>
      </c>
      <c r="HL74" s="89">
        <f t="shared" si="21"/>
        <v>6</v>
      </c>
      <c r="HM74" s="89">
        <f t="shared" si="21"/>
        <v>23</v>
      </c>
      <c r="HN74" s="89">
        <f t="shared" si="21"/>
        <v>2</v>
      </c>
      <c r="HO74" s="89">
        <f t="shared" si="21"/>
        <v>16</v>
      </c>
      <c r="HP74" s="89">
        <f t="shared" si="21"/>
        <v>4</v>
      </c>
      <c r="HQ74" s="89">
        <f t="shared" si="21"/>
        <v>15</v>
      </c>
      <c r="HR74" s="89">
        <f t="shared" si="21"/>
        <v>1</v>
      </c>
      <c r="HS74" s="89">
        <f t="shared" si="21"/>
        <v>14</v>
      </c>
      <c r="HT74" s="89">
        <f t="shared" si="21"/>
        <v>1</v>
      </c>
      <c r="HU74" s="89">
        <f t="shared" si="21"/>
        <v>12</v>
      </c>
      <c r="HV74" s="89">
        <f t="shared" si="21"/>
        <v>0</v>
      </c>
      <c r="HW74" s="89">
        <f t="shared" si="21"/>
        <v>10</v>
      </c>
      <c r="HX74" s="89">
        <f t="shared" si="21"/>
        <v>0</v>
      </c>
      <c r="HY74" s="89">
        <f t="shared" si="21"/>
        <v>17</v>
      </c>
      <c r="HZ74" s="89">
        <f t="shared" si="21"/>
        <v>1</v>
      </c>
      <c r="IA74" s="89">
        <f t="shared" si="21"/>
        <v>18</v>
      </c>
      <c r="IB74" s="89">
        <f t="shared" si="21"/>
        <v>3</v>
      </c>
      <c r="IC74" s="89">
        <f t="shared" si="21"/>
        <v>17</v>
      </c>
      <c r="ID74" s="89">
        <f t="shared" si="21"/>
        <v>1</v>
      </c>
      <c r="IE74" s="89">
        <f t="shared" si="21"/>
        <v>19</v>
      </c>
      <c r="IF74" s="89">
        <f t="shared" si="21"/>
        <v>0</v>
      </c>
      <c r="IG74" s="89">
        <f t="shared" si="21"/>
        <v>7</v>
      </c>
      <c r="IH74" s="89">
        <f t="shared" si="21"/>
        <v>1</v>
      </c>
      <c r="II74" s="89">
        <f t="shared" si="21"/>
        <v>11</v>
      </c>
      <c r="IJ74" s="89">
        <f t="shared" si="21"/>
        <v>0</v>
      </c>
      <c r="IK74" s="89">
        <f t="shared" si="21"/>
        <v>7</v>
      </c>
      <c r="IL74" s="89">
        <f t="shared" si="21"/>
        <v>0</v>
      </c>
      <c r="IM74" s="89">
        <f t="shared" si="21"/>
        <v>7</v>
      </c>
      <c r="IN74" s="89">
        <f t="shared" si="21"/>
        <v>0</v>
      </c>
      <c r="IO74" s="89">
        <f t="shared" si="21"/>
        <v>7</v>
      </c>
      <c r="IP74" s="89">
        <f t="shared" si="21"/>
        <v>0</v>
      </c>
      <c r="IQ74" s="89">
        <f t="shared" si="21"/>
        <v>5</v>
      </c>
      <c r="IR74" s="89">
        <f t="shared" si="21"/>
        <v>0</v>
      </c>
      <c r="IS74" s="89">
        <f t="shared" si="21"/>
        <v>9</v>
      </c>
      <c r="IT74" s="89">
        <f t="shared" si="21"/>
        <v>0</v>
      </c>
      <c r="IU74" s="89">
        <f t="shared" si="21"/>
        <v>11</v>
      </c>
      <c r="IV74" s="89">
        <f t="shared" si="21"/>
        <v>0</v>
      </c>
      <c r="IW74" s="89">
        <f t="shared" si="21"/>
        <v>9</v>
      </c>
      <c r="IX74" s="89">
        <f t="shared" si="21"/>
        <v>0</v>
      </c>
      <c r="IY74" s="89">
        <f t="shared" si="21"/>
        <v>6</v>
      </c>
      <c r="IZ74" s="89">
        <f t="shared" si="21"/>
        <v>0</v>
      </c>
      <c r="JA74" s="89">
        <f t="shared" ref="JA74:JE74" si="22">SUM(JA68:JA73)</f>
        <v>7</v>
      </c>
      <c r="JB74" s="89">
        <f t="shared" si="22"/>
        <v>1</v>
      </c>
      <c r="JC74" s="89">
        <f t="shared" si="22"/>
        <v>9</v>
      </c>
      <c r="JD74" s="89">
        <f t="shared" si="22"/>
        <v>1</v>
      </c>
      <c r="JE74" s="89">
        <f t="shared" si="22"/>
        <v>10</v>
      </c>
    </row>
    <row r="75" spans="1:265" ht="56" x14ac:dyDescent="0.15">
      <c r="A75" s="114" t="s">
        <v>126</v>
      </c>
      <c r="B75" s="114" t="s">
        <v>106</v>
      </c>
      <c r="C75" s="115" t="s">
        <v>107</v>
      </c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80"/>
      <c r="DA75" s="80"/>
      <c r="DB75" s="80"/>
      <c r="DC75" s="80"/>
      <c r="DD75" s="80"/>
      <c r="DE75" s="80"/>
      <c r="DF75" s="80"/>
      <c r="DG75" s="80"/>
      <c r="DH75" s="80"/>
      <c r="DI75" s="80"/>
      <c r="DJ75" s="80"/>
      <c r="DK75" s="80"/>
      <c r="DL75" s="80"/>
      <c r="DM75" s="80"/>
      <c r="DN75" s="80"/>
      <c r="DO75" s="80"/>
      <c r="DP75" s="80"/>
      <c r="DQ75" s="80"/>
      <c r="DR75" s="80"/>
      <c r="DS75" s="80"/>
      <c r="DT75" s="80"/>
      <c r="DU75" s="80"/>
      <c r="DV75" s="80"/>
      <c r="DW75" s="80"/>
      <c r="DX75" s="80"/>
      <c r="DY75" s="80"/>
      <c r="DZ75" s="80"/>
      <c r="EA75" s="80"/>
      <c r="EB75" s="80"/>
      <c r="EC75" s="80"/>
      <c r="ED75" s="80"/>
      <c r="EE75" s="80"/>
      <c r="EF75" s="80"/>
      <c r="EG75" s="116"/>
      <c r="EH75" s="77"/>
      <c r="EI75" s="80"/>
      <c r="EJ75" s="80"/>
      <c r="EK75" s="80"/>
      <c r="EL75" s="80"/>
      <c r="EM75" s="80"/>
      <c r="EN75" s="80"/>
      <c r="EO75" s="80"/>
      <c r="EP75" s="80"/>
      <c r="EQ75" s="80"/>
      <c r="ER75" s="80"/>
      <c r="ES75" s="80"/>
      <c r="ET75" s="80"/>
      <c r="EU75" s="80"/>
      <c r="EV75" s="68">
        <v>0</v>
      </c>
      <c r="EW75" s="68">
        <v>2</v>
      </c>
      <c r="EX75" s="68">
        <v>0</v>
      </c>
      <c r="EY75" s="68">
        <v>3</v>
      </c>
      <c r="EZ75" s="68">
        <v>0</v>
      </c>
      <c r="FA75" s="68">
        <v>3</v>
      </c>
      <c r="FB75" s="80"/>
      <c r="FC75" s="80"/>
      <c r="FD75" s="80"/>
      <c r="FE75" s="80"/>
      <c r="FF75" s="80"/>
      <c r="FG75" s="80"/>
      <c r="FH75" s="80"/>
      <c r="FI75" s="80"/>
      <c r="FJ75" s="80"/>
      <c r="FK75" s="80"/>
      <c r="FL75" s="80"/>
      <c r="FM75" s="80"/>
      <c r="FN75" s="80"/>
      <c r="FO75" s="80"/>
      <c r="FP75" s="80"/>
      <c r="FQ75" s="80"/>
      <c r="FR75" s="80"/>
      <c r="FS75" s="80"/>
      <c r="FT75" s="80"/>
      <c r="FU75" s="80"/>
      <c r="FV75" s="80"/>
      <c r="FW75" s="80"/>
      <c r="FX75" s="80"/>
      <c r="FY75" s="80"/>
      <c r="FZ75" s="80"/>
      <c r="GA75" s="80"/>
      <c r="GB75" s="80"/>
      <c r="GC75" s="80"/>
      <c r="GD75" s="80"/>
      <c r="GE75" s="80"/>
      <c r="GF75" s="80"/>
      <c r="GG75" s="80"/>
      <c r="GH75" s="80"/>
      <c r="GI75" s="80"/>
      <c r="GJ75" s="80"/>
      <c r="GK75" s="80"/>
      <c r="GL75" s="80"/>
      <c r="GM75" s="80"/>
      <c r="GN75" s="80"/>
      <c r="GO75" s="80"/>
      <c r="GP75" s="80"/>
      <c r="GQ75" s="80"/>
      <c r="GR75" s="80"/>
      <c r="GS75" s="80"/>
      <c r="GT75" s="80"/>
      <c r="GU75" s="80"/>
      <c r="GV75" s="80"/>
      <c r="GW75" s="80"/>
      <c r="GX75" s="80"/>
      <c r="GY75" s="80"/>
      <c r="GZ75" s="80"/>
      <c r="HA75" s="80"/>
      <c r="HB75" s="80"/>
      <c r="HC75" s="80"/>
      <c r="HD75" s="80"/>
      <c r="HE75" s="80"/>
      <c r="HF75" s="80"/>
      <c r="HG75" s="80"/>
      <c r="HH75" s="80"/>
      <c r="HI75" s="80"/>
      <c r="HJ75" s="80"/>
      <c r="HK75" s="80"/>
      <c r="HL75" s="80"/>
      <c r="HM75" s="80"/>
      <c r="HN75" s="80"/>
      <c r="HO75" s="80"/>
      <c r="HP75" s="80"/>
      <c r="HQ75" s="80"/>
      <c r="HR75" s="80"/>
      <c r="HS75" s="80"/>
      <c r="HT75" s="80"/>
      <c r="HU75" s="80"/>
      <c r="HV75" s="80"/>
      <c r="HW75" s="80"/>
      <c r="HX75" s="80"/>
      <c r="HY75" s="80"/>
      <c r="HZ75" s="80"/>
      <c r="IA75" s="80"/>
      <c r="IB75" s="80"/>
      <c r="IC75" s="80"/>
      <c r="ID75" s="80"/>
      <c r="IE75" s="80"/>
      <c r="IF75" s="80"/>
      <c r="IG75" s="80"/>
      <c r="IH75" s="80"/>
      <c r="II75" s="80"/>
      <c r="IJ75" s="80"/>
      <c r="IK75" s="80"/>
      <c r="IL75" s="80"/>
      <c r="IM75" s="80"/>
      <c r="IN75" s="80"/>
      <c r="IO75" s="80"/>
      <c r="IP75" s="80"/>
      <c r="IQ75" s="80"/>
      <c r="IR75" s="80"/>
      <c r="IS75" s="80"/>
      <c r="IT75" s="80"/>
      <c r="IU75" s="80"/>
      <c r="IV75" s="80"/>
      <c r="IW75" s="80"/>
      <c r="IX75" s="80"/>
      <c r="IY75" s="80"/>
      <c r="IZ75" s="80"/>
      <c r="JA75" s="80"/>
      <c r="JB75" s="80"/>
      <c r="JC75" s="80"/>
      <c r="JD75" s="80"/>
      <c r="JE75" s="80"/>
    </row>
    <row r="76" spans="1:265" ht="42" x14ac:dyDescent="0.15">
      <c r="A76" s="114" t="s">
        <v>127</v>
      </c>
      <c r="B76" s="114" t="s">
        <v>109</v>
      </c>
      <c r="C76" s="115" t="s">
        <v>110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  <c r="CZ76" s="80"/>
      <c r="DA76" s="80"/>
      <c r="DB76" s="80"/>
      <c r="DC76" s="80"/>
      <c r="DD76" s="80"/>
      <c r="DE76" s="80"/>
      <c r="DF76" s="80"/>
      <c r="DG76" s="80"/>
      <c r="DH76" s="80"/>
      <c r="DI76" s="80"/>
      <c r="DJ76" s="80"/>
      <c r="DK76" s="80"/>
      <c r="DL76" s="80"/>
      <c r="DM76" s="80"/>
      <c r="DN76" s="80"/>
      <c r="DO76" s="80"/>
      <c r="DP76" s="80"/>
      <c r="DQ76" s="80"/>
      <c r="DR76" s="80"/>
      <c r="DS76" s="80"/>
      <c r="DT76" s="80"/>
      <c r="DU76" s="80"/>
      <c r="DV76" s="80"/>
      <c r="DW76" s="80"/>
      <c r="DX76" s="80"/>
      <c r="DY76" s="80"/>
      <c r="DZ76" s="80"/>
      <c r="EA76" s="80"/>
      <c r="EB76" s="80"/>
      <c r="EC76" s="80"/>
      <c r="ED76" s="80"/>
      <c r="EE76" s="80"/>
      <c r="EF76" s="80"/>
      <c r="EG76" s="116"/>
      <c r="EH76" s="117"/>
      <c r="EI76" s="80"/>
      <c r="EJ76" s="80"/>
      <c r="EK76" s="80"/>
      <c r="EL76" s="80"/>
      <c r="EM76" s="80"/>
      <c r="EN76" s="80"/>
      <c r="EO76" s="80"/>
      <c r="EP76" s="80"/>
      <c r="EQ76" s="80"/>
      <c r="ER76" s="80"/>
      <c r="ES76" s="80"/>
      <c r="ET76" s="80"/>
      <c r="EU76" s="80"/>
      <c r="EV76" s="68">
        <v>0</v>
      </c>
      <c r="EW76" s="68">
        <v>6</v>
      </c>
      <c r="EX76" s="68">
        <v>1</v>
      </c>
      <c r="EY76" s="68">
        <v>10</v>
      </c>
      <c r="EZ76" s="68">
        <v>0</v>
      </c>
      <c r="FA76" s="68">
        <v>6</v>
      </c>
      <c r="FB76" s="80"/>
      <c r="FC76" s="80"/>
      <c r="FD76" s="80"/>
      <c r="FE76" s="80"/>
      <c r="FF76" s="80"/>
      <c r="FG76" s="80"/>
      <c r="FH76" s="80"/>
      <c r="FI76" s="80"/>
      <c r="FJ76" s="80"/>
      <c r="FK76" s="80"/>
      <c r="FL76" s="80"/>
      <c r="FM76" s="80"/>
      <c r="FN76" s="80"/>
      <c r="FO76" s="80"/>
      <c r="FP76" s="80"/>
      <c r="FQ76" s="80"/>
      <c r="FR76" s="80"/>
      <c r="FS76" s="80"/>
      <c r="FT76" s="80"/>
      <c r="FU76" s="80"/>
      <c r="FV76" s="80"/>
      <c r="FW76" s="80"/>
      <c r="FX76" s="80"/>
      <c r="FY76" s="80"/>
      <c r="FZ76" s="80"/>
      <c r="GA76" s="80"/>
      <c r="GB76" s="80"/>
      <c r="GC76" s="80"/>
      <c r="GD76" s="80"/>
      <c r="GE76" s="80"/>
      <c r="GF76" s="80"/>
      <c r="GG76" s="80"/>
      <c r="GH76" s="80"/>
      <c r="GI76" s="80"/>
      <c r="GJ76" s="80"/>
      <c r="GK76" s="80"/>
      <c r="GL76" s="80"/>
      <c r="GM76" s="80"/>
      <c r="GN76" s="80"/>
      <c r="GO76" s="80"/>
      <c r="GP76" s="80"/>
      <c r="GQ76" s="80"/>
      <c r="GR76" s="80"/>
      <c r="GS76" s="80"/>
      <c r="GT76" s="80"/>
      <c r="GU76" s="80"/>
      <c r="GV76" s="80"/>
      <c r="GW76" s="80"/>
      <c r="GX76" s="80"/>
      <c r="GY76" s="80"/>
      <c r="GZ76" s="80"/>
      <c r="HA76" s="80"/>
      <c r="HB76" s="80"/>
      <c r="HC76" s="80"/>
      <c r="HD76" s="80"/>
      <c r="HE76" s="80"/>
      <c r="HF76" s="80"/>
      <c r="HG76" s="80"/>
      <c r="HH76" s="80"/>
      <c r="HI76" s="80"/>
      <c r="HJ76" s="80"/>
      <c r="HK76" s="80"/>
      <c r="HL76" s="80"/>
      <c r="HM76" s="80"/>
      <c r="HN76" s="80"/>
      <c r="HO76" s="80"/>
      <c r="HP76" s="80"/>
      <c r="HQ76" s="80"/>
      <c r="HR76" s="80"/>
      <c r="HS76" s="80"/>
      <c r="HT76" s="80"/>
      <c r="HU76" s="80"/>
      <c r="HV76" s="80"/>
      <c r="HW76" s="80"/>
      <c r="HX76" s="80"/>
      <c r="HY76" s="80"/>
      <c r="HZ76" s="80"/>
      <c r="IA76" s="80"/>
      <c r="IB76" s="80"/>
      <c r="IC76" s="80"/>
      <c r="ID76" s="80"/>
      <c r="IE76" s="80"/>
      <c r="IF76" s="80"/>
      <c r="IG76" s="80"/>
      <c r="IH76" s="80"/>
      <c r="II76" s="80"/>
      <c r="IJ76" s="80"/>
      <c r="IK76" s="80"/>
      <c r="IL76" s="80"/>
      <c r="IM76" s="80"/>
      <c r="IN76" s="80"/>
      <c r="IO76" s="80"/>
      <c r="IP76" s="80"/>
      <c r="IQ76" s="80"/>
      <c r="IR76" s="80"/>
      <c r="IS76" s="80"/>
      <c r="IT76" s="80"/>
      <c r="IU76" s="80"/>
      <c r="IV76" s="80"/>
      <c r="IW76" s="80"/>
      <c r="IX76" s="80"/>
      <c r="IY76" s="80"/>
      <c r="IZ76" s="80"/>
      <c r="JA76" s="80"/>
      <c r="JB76" s="80"/>
      <c r="JC76" s="80"/>
      <c r="JD76" s="80"/>
      <c r="JE76" s="80"/>
    </row>
    <row r="77" spans="1:265" ht="42" x14ac:dyDescent="0.15">
      <c r="A77" s="114" t="s">
        <v>128</v>
      </c>
      <c r="B77" s="114" t="s">
        <v>129</v>
      </c>
      <c r="C77" s="115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3"/>
      <c r="DW77" s="73"/>
      <c r="DX77" s="73"/>
      <c r="DY77" s="73"/>
      <c r="DZ77" s="73"/>
      <c r="EA77" s="73"/>
      <c r="EB77" s="73"/>
      <c r="EC77" s="73"/>
      <c r="ED77" s="73"/>
      <c r="EE77" s="73"/>
      <c r="EF77" s="73"/>
      <c r="EG77" s="116"/>
      <c r="EH77" s="117"/>
      <c r="EI77" s="73"/>
      <c r="EJ77" s="73"/>
      <c r="EK77" s="73"/>
      <c r="EL77" s="73"/>
      <c r="EM77" s="73"/>
      <c r="EN77" s="73"/>
      <c r="EO77" s="73"/>
      <c r="EP77" s="73"/>
      <c r="EQ77" s="73"/>
      <c r="ER77" s="73"/>
      <c r="ES77" s="73"/>
      <c r="ET77" s="73"/>
      <c r="EU77" s="73"/>
      <c r="EV77" s="73"/>
      <c r="EW77" s="73"/>
      <c r="EX77" s="73"/>
      <c r="EY77" s="73"/>
      <c r="EZ77" s="73"/>
      <c r="FA77" s="73"/>
      <c r="FB77" s="73"/>
      <c r="FC77" s="73"/>
      <c r="FD77" s="73"/>
      <c r="FE77" s="73"/>
      <c r="FF77" s="73"/>
      <c r="FG77" s="73"/>
      <c r="FH77" s="73"/>
      <c r="FI77" s="73"/>
      <c r="FJ77" s="73"/>
      <c r="FK77" s="73"/>
      <c r="FL77" s="73"/>
      <c r="FM77" s="73"/>
      <c r="FN77" s="73"/>
      <c r="FO77" s="73"/>
      <c r="FP77" s="73"/>
      <c r="FQ77" s="73"/>
      <c r="FR77" s="73"/>
      <c r="FS77" s="73"/>
      <c r="FT77" s="73"/>
      <c r="FU77" s="73"/>
      <c r="FV77" s="73"/>
      <c r="FW77" s="73"/>
      <c r="FX77" s="73"/>
      <c r="FY77" s="73"/>
      <c r="FZ77" s="73"/>
      <c r="GA77" s="73"/>
      <c r="GB77" s="73"/>
      <c r="GC77" s="73"/>
      <c r="GD77" s="73"/>
      <c r="GE77" s="73"/>
      <c r="GF77" s="73"/>
      <c r="GG77" s="73"/>
      <c r="GH77" s="73"/>
      <c r="GI77" s="73"/>
      <c r="GJ77" s="73"/>
      <c r="GK77" s="73"/>
      <c r="GL77" s="73"/>
      <c r="GM77" s="73"/>
      <c r="GN77" s="73"/>
      <c r="GO77" s="73"/>
      <c r="GP77" s="73"/>
      <c r="GQ77" s="73"/>
      <c r="GR77" s="73"/>
      <c r="GS77" s="73"/>
      <c r="GT77" s="73"/>
      <c r="GU77" s="73"/>
      <c r="GV77" s="73"/>
      <c r="GW77" s="73"/>
      <c r="GX77" s="73"/>
      <c r="GY77" s="73"/>
      <c r="GZ77" s="73"/>
      <c r="HA77" s="73"/>
      <c r="HB77" s="73"/>
      <c r="HC77" s="73"/>
      <c r="HD77" s="73"/>
      <c r="HE77" s="73"/>
      <c r="HF77" s="73"/>
      <c r="HG77" s="73"/>
      <c r="HH77" s="73"/>
      <c r="HI77" s="73"/>
      <c r="HJ77" s="73"/>
      <c r="HK77" s="73"/>
      <c r="HL77" s="73"/>
      <c r="HM77" s="73"/>
      <c r="HN77" s="73"/>
      <c r="HO77" s="73"/>
      <c r="HP77" s="73"/>
      <c r="HQ77" s="73"/>
      <c r="HR77" s="73"/>
      <c r="HS77" s="73"/>
      <c r="HT77" s="73"/>
      <c r="HU77" s="73"/>
      <c r="HV77" s="73"/>
      <c r="HW77" s="73"/>
      <c r="HX77" s="73"/>
      <c r="HY77" s="73"/>
      <c r="HZ77" s="73"/>
      <c r="IA77" s="73"/>
      <c r="IB77" s="73"/>
      <c r="IC77" s="73"/>
      <c r="ID77" s="73"/>
      <c r="IE77" s="73"/>
      <c r="IF77" s="73"/>
      <c r="IG77" s="73"/>
      <c r="IH77" s="73"/>
      <c r="II77" s="73"/>
      <c r="IJ77" s="73"/>
      <c r="IK77" s="73"/>
      <c r="IL77" s="73"/>
      <c r="IM77" s="73"/>
      <c r="IN77" s="73"/>
      <c r="IO77" s="73"/>
      <c r="IP77" s="73"/>
      <c r="IQ77" s="73"/>
      <c r="IR77" s="73"/>
      <c r="IS77" s="73"/>
      <c r="IT77" s="73"/>
      <c r="IU77" s="73"/>
      <c r="IV77" s="73"/>
      <c r="IW77" s="73"/>
      <c r="IX77" s="73"/>
      <c r="IY77" s="73"/>
      <c r="IZ77" s="73"/>
      <c r="JA77" s="73"/>
      <c r="JB77" s="73"/>
      <c r="JC77" s="73"/>
      <c r="JD77" s="73"/>
      <c r="JE77" s="73"/>
    </row>
    <row r="78" spans="1:265" ht="42" x14ac:dyDescent="0.15">
      <c r="A78" s="114" t="s">
        <v>130</v>
      </c>
      <c r="B78" s="114" t="s">
        <v>131</v>
      </c>
      <c r="C78" s="115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3"/>
      <c r="CU78" s="73"/>
      <c r="CV78" s="73"/>
      <c r="CW78" s="73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73"/>
      <c r="DI78" s="73"/>
      <c r="DJ78" s="73"/>
      <c r="DK78" s="73"/>
      <c r="DL78" s="73"/>
      <c r="DM78" s="73"/>
      <c r="DN78" s="73"/>
      <c r="DO78" s="73"/>
      <c r="DP78" s="73"/>
      <c r="DQ78" s="73"/>
      <c r="DR78" s="73"/>
      <c r="DS78" s="73"/>
      <c r="DT78" s="73"/>
      <c r="DU78" s="73"/>
      <c r="DV78" s="73"/>
      <c r="DW78" s="73"/>
      <c r="DX78" s="73"/>
      <c r="DY78" s="73"/>
      <c r="DZ78" s="73"/>
      <c r="EA78" s="73"/>
      <c r="EB78" s="73"/>
      <c r="EC78" s="73"/>
      <c r="ED78" s="73"/>
      <c r="EE78" s="73"/>
      <c r="EF78" s="73"/>
      <c r="EG78" s="116"/>
      <c r="EH78" s="117"/>
      <c r="EI78" s="73"/>
      <c r="EJ78" s="73"/>
      <c r="EK78" s="73"/>
      <c r="EL78" s="73"/>
      <c r="EM78" s="73"/>
      <c r="EN78" s="73"/>
      <c r="EO78" s="73"/>
      <c r="EP78" s="73"/>
      <c r="EQ78" s="73"/>
      <c r="ER78" s="73"/>
      <c r="ES78" s="73"/>
      <c r="ET78" s="73"/>
      <c r="EU78" s="73"/>
      <c r="EV78" s="73"/>
      <c r="EW78" s="73"/>
      <c r="EX78" s="73"/>
      <c r="EY78" s="73"/>
      <c r="EZ78" s="73"/>
      <c r="FA78" s="73"/>
      <c r="FB78" s="73"/>
      <c r="FC78" s="73"/>
      <c r="FD78" s="73"/>
      <c r="FE78" s="73"/>
      <c r="FF78" s="73"/>
      <c r="FG78" s="73"/>
      <c r="FH78" s="73"/>
      <c r="FI78" s="73"/>
      <c r="FJ78" s="73"/>
      <c r="FK78" s="73"/>
      <c r="FL78" s="73"/>
      <c r="FM78" s="73"/>
      <c r="FN78" s="73"/>
      <c r="FO78" s="73"/>
      <c r="FP78" s="73"/>
      <c r="FQ78" s="73"/>
      <c r="FR78" s="73"/>
      <c r="FS78" s="73"/>
      <c r="FT78" s="73"/>
      <c r="FU78" s="73"/>
      <c r="FV78" s="73"/>
      <c r="FW78" s="73"/>
      <c r="FX78" s="73"/>
      <c r="FY78" s="73"/>
      <c r="FZ78" s="73"/>
      <c r="GA78" s="73"/>
      <c r="GB78" s="73"/>
      <c r="GC78" s="73"/>
      <c r="GD78" s="73"/>
      <c r="GE78" s="73"/>
      <c r="GF78" s="73"/>
      <c r="GG78" s="73"/>
      <c r="GH78" s="73"/>
      <c r="GI78" s="73"/>
      <c r="GJ78" s="73"/>
      <c r="GK78" s="73"/>
      <c r="GL78" s="73"/>
      <c r="GM78" s="73"/>
      <c r="GN78" s="73"/>
      <c r="GO78" s="73"/>
      <c r="GP78" s="73"/>
      <c r="GQ78" s="73"/>
      <c r="GR78" s="73"/>
      <c r="GS78" s="73"/>
      <c r="GT78" s="73"/>
      <c r="GU78" s="73"/>
      <c r="GV78" s="73"/>
      <c r="GW78" s="73"/>
      <c r="GX78" s="73"/>
      <c r="GY78" s="73"/>
      <c r="GZ78" s="73"/>
      <c r="HA78" s="73"/>
      <c r="HB78" s="73"/>
      <c r="HC78" s="73"/>
      <c r="HD78" s="73"/>
      <c r="HE78" s="73"/>
      <c r="HF78" s="73"/>
      <c r="HG78" s="73"/>
      <c r="HH78" s="73"/>
      <c r="HI78" s="73"/>
      <c r="HJ78" s="73"/>
      <c r="HK78" s="73"/>
      <c r="HL78" s="73"/>
      <c r="HM78" s="73"/>
      <c r="HN78" s="73"/>
      <c r="HO78" s="73"/>
      <c r="HP78" s="73"/>
      <c r="HQ78" s="73"/>
      <c r="HR78" s="73"/>
      <c r="HS78" s="73"/>
      <c r="HT78" s="73"/>
      <c r="HU78" s="73"/>
      <c r="HV78" s="73"/>
      <c r="HW78" s="73"/>
      <c r="HX78" s="73"/>
      <c r="HY78" s="73"/>
      <c r="HZ78" s="73"/>
      <c r="IA78" s="73"/>
      <c r="IB78" s="73"/>
      <c r="IC78" s="73"/>
      <c r="ID78" s="73"/>
      <c r="IE78" s="73"/>
      <c r="IF78" s="73"/>
      <c r="IG78" s="73"/>
      <c r="IH78" s="73"/>
      <c r="II78" s="73"/>
      <c r="IJ78" s="73"/>
      <c r="IK78" s="73"/>
      <c r="IL78" s="73"/>
      <c r="IM78" s="73"/>
      <c r="IN78" s="73"/>
      <c r="IO78" s="73"/>
      <c r="IP78" s="73"/>
      <c r="IQ78" s="73"/>
      <c r="IR78" s="73"/>
      <c r="IS78" s="73"/>
      <c r="IT78" s="73"/>
      <c r="IU78" s="73"/>
      <c r="IV78" s="73"/>
      <c r="IW78" s="73"/>
      <c r="IX78" s="73"/>
      <c r="IY78" s="73"/>
      <c r="IZ78" s="73"/>
      <c r="JA78" s="73"/>
      <c r="JB78" s="73"/>
      <c r="JC78" s="73"/>
      <c r="JD78" s="73"/>
      <c r="JE78" s="73"/>
    </row>
    <row r="79" spans="1:265" ht="42" x14ac:dyDescent="0.15">
      <c r="A79" s="114" t="s">
        <v>132</v>
      </c>
      <c r="B79" s="114" t="s">
        <v>133</v>
      </c>
      <c r="C79" s="115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73"/>
      <c r="DI79" s="73"/>
      <c r="DJ79" s="73"/>
      <c r="DK79" s="73"/>
      <c r="DL79" s="73"/>
      <c r="DM79" s="73"/>
      <c r="DN79" s="73"/>
      <c r="DO79" s="73"/>
      <c r="DP79" s="73"/>
      <c r="DQ79" s="73"/>
      <c r="DR79" s="73"/>
      <c r="DS79" s="73"/>
      <c r="DT79" s="73"/>
      <c r="DU79" s="73"/>
      <c r="DV79" s="73"/>
      <c r="DW79" s="73"/>
      <c r="DX79" s="73"/>
      <c r="DY79" s="73"/>
      <c r="DZ79" s="73"/>
      <c r="EA79" s="73"/>
      <c r="EB79" s="73"/>
      <c r="EC79" s="73"/>
      <c r="ED79" s="73"/>
      <c r="EE79" s="73"/>
      <c r="EF79" s="73"/>
      <c r="EG79" s="116"/>
      <c r="EH79" s="117"/>
      <c r="EI79" s="73"/>
      <c r="EJ79" s="73"/>
      <c r="EK79" s="73"/>
      <c r="EL79" s="73"/>
      <c r="EM79" s="73"/>
      <c r="EN79" s="73"/>
      <c r="EO79" s="73"/>
      <c r="EP79" s="73"/>
      <c r="EQ79" s="73"/>
      <c r="ER79" s="73"/>
      <c r="ES79" s="73"/>
      <c r="ET79" s="73"/>
      <c r="EU79" s="73"/>
      <c r="EV79" s="73"/>
      <c r="EW79" s="73"/>
      <c r="EX79" s="73"/>
      <c r="EY79" s="73"/>
      <c r="EZ79" s="73"/>
      <c r="FA79" s="73"/>
      <c r="FB79" s="73"/>
      <c r="FC79" s="73"/>
      <c r="FD79" s="73"/>
      <c r="FE79" s="73"/>
      <c r="FF79" s="73"/>
      <c r="FG79" s="73"/>
      <c r="FH79" s="73"/>
      <c r="FI79" s="73"/>
      <c r="FJ79" s="73"/>
      <c r="FK79" s="73"/>
      <c r="FL79" s="73"/>
      <c r="FM79" s="73"/>
      <c r="FN79" s="73"/>
      <c r="FO79" s="73"/>
      <c r="FP79" s="73"/>
      <c r="FQ79" s="73"/>
      <c r="FR79" s="73"/>
      <c r="FS79" s="73"/>
      <c r="FT79" s="73"/>
      <c r="FU79" s="73"/>
      <c r="FV79" s="73"/>
      <c r="FW79" s="73"/>
      <c r="FX79" s="73"/>
      <c r="FY79" s="73"/>
      <c r="FZ79" s="73"/>
      <c r="GA79" s="73"/>
      <c r="GB79" s="73"/>
      <c r="GC79" s="73"/>
      <c r="GD79" s="73"/>
      <c r="GE79" s="73"/>
      <c r="GF79" s="73"/>
      <c r="GG79" s="73"/>
      <c r="GH79" s="73"/>
      <c r="GI79" s="73"/>
      <c r="GJ79" s="73"/>
      <c r="GK79" s="73"/>
      <c r="GL79" s="73"/>
      <c r="GM79" s="73"/>
      <c r="GN79" s="73"/>
      <c r="GO79" s="73"/>
      <c r="GP79" s="73"/>
      <c r="GQ79" s="73"/>
      <c r="GR79" s="73"/>
      <c r="GS79" s="73"/>
      <c r="GT79" s="73"/>
      <c r="GU79" s="73"/>
      <c r="GV79" s="73"/>
      <c r="GW79" s="73"/>
      <c r="GX79" s="73"/>
      <c r="GY79" s="73"/>
      <c r="GZ79" s="73"/>
      <c r="HA79" s="73"/>
      <c r="HB79" s="73"/>
      <c r="HC79" s="73"/>
      <c r="HD79" s="73"/>
      <c r="HE79" s="73"/>
      <c r="HF79" s="73"/>
      <c r="HG79" s="73"/>
      <c r="HH79" s="73"/>
      <c r="HI79" s="73"/>
      <c r="HJ79" s="73"/>
      <c r="HK79" s="73"/>
      <c r="HL79" s="73"/>
      <c r="HM79" s="73"/>
      <c r="HN79" s="73"/>
      <c r="HO79" s="73"/>
      <c r="HP79" s="73"/>
      <c r="HQ79" s="73"/>
      <c r="HR79" s="73"/>
      <c r="HS79" s="73"/>
      <c r="HT79" s="73"/>
      <c r="HU79" s="73"/>
      <c r="HV79" s="73"/>
      <c r="HW79" s="73"/>
      <c r="HX79" s="73"/>
      <c r="HY79" s="73"/>
      <c r="HZ79" s="73"/>
      <c r="IA79" s="73"/>
      <c r="IB79" s="73"/>
      <c r="IC79" s="73"/>
      <c r="ID79" s="73"/>
      <c r="IE79" s="73"/>
      <c r="IF79" s="73"/>
      <c r="IG79" s="73"/>
      <c r="IH79" s="73"/>
      <c r="II79" s="73"/>
      <c r="IJ79" s="73"/>
      <c r="IK79" s="73"/>
      <c r="IL79" s="73"/>
      <c r="IM79" s="73"/>
      <c r="IN79" s="73"/>
      <c r="IO79" s="73"/>
      <c r="IP79" s="73"/>
      <c r="IQ79" s="73"/>
      <c r="IR79" s="73"/>
      <c r="IS79" s="73"/>
      <c r="IT79" s="73"/>
      <c r="IU79" s="73"/>
      <c r="IV79" s="73"/>
      <c r="IW79" s="73"/>
      <c r="IX79" s="73"/>
      <c r="IY79" s="73"/>
      <c r="IZ79" s="73"/>
      <c r="JA79" s="73"/>
      <c r="JB79" s="73"/>
      <c r="JC79" s="73"/>
      <c r="JD79" s="73"/>
      <c r="JE79" s="73"/>
    </row>
    <row r="80" spans="1:265" ht="42" x14ac:dyDescent="0.15">
      <c r="A80" s="114" t="s">
        <v>134</v>
      </c>
      <c r="B80" s="114" t="s">
        <v>135</v>
      </c>
      <c r="C80" s="115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3"/>
      <c r="DW80" s="73"/>
      <c r="DX80" s="73"/>
      <c r="DY80" s="73"/>
      <c r="DZ80" s="73"/>
      <c r="EA80" s="73"/>
      <c r="EB80" s="73"/>
      <c r="EC80" s="73"/>
      <c r="ED80" s="73"/>
      <c r="EE80" s="73"/>
      <c r="EF80" s="73"/>
      <c r="EG80" s="116"/>
      <c r="EH80" s="117"/>
      <c r="EI80" s="73"/>
      <c r="EJ80" s="73"/>
      <c r="EK80" s="73"/>
      <c r="EL80" s="73"/>
      <c r="EM80" s="73"/>
      <c r="EN80" s="73"/>
      <c r="EO80" s="73"/>
      <c r="EP80" s="73"/>
      <c r="EQ80" s="73"/>
      <c r="ER80" s="73"/>
      <c r="ES80" s="73"/>
      <c r="ET80" s="73"/>
      <c r="EU80" s="73"/>
      <c r="EV80" s="73"/>
      <c r="EW80" s="73"/>
      <c r="EX80" s="73"/>
      <c r="EY80" s="73"/>
      <c r="EZ80" s="73"/>
      <c r="FA80" s="73"/>
      <c r="FB80" s="73"/>
      <c r="FC80" s="73"/>
      <c r="FD80" s="73"/>
      <c r="FE80" s="73"/>
      <c r="FF80" s="73"/>
      <c r="FG80" s="73"/>
      <c r="FH80" s="73"/>
      <c r="FI80" s="73"/>
      <c r="FJ80" s="73"/>
      <c r="FK80" s="73"/>
      <c r="FL80" s="73"/>
      <c r="FM80" s="73"/>
      <c r="FN80" s="73"/>
      <c r="FO80" s="73"/>
      <c r="FP80" s="73"/>
      <c r="FQ80" s="73"/>
      <c r="FR80" s="68">
        <v>1</v>
      </c>
      <c r="FS80" s="68">
        <v>7</v>
      </c>
      <c r="FT80" s="68">
        <v>0</v>
      </c>
      <c r="FU80" s="68">
        <v>6</v>
      </c>
      <c r="FV80" s="68">
        <v>0</v>
      </c>
      <c r="FW80" s="68">
        <v>4</v>
      </c>
      <c r="FX80" s="68">
        <v>0</v>
      </c>
      <c r="FY80" s="68">
        <v>8</v>
      </c>
      <c r="FZ80" s="68">
        <v>3</v>
      </c>
      <c r="GA80" s="68">
        <v>11</v>
      </c>
      <c r="GB80" s="118">
        <v>0</v>
      </c>
      <c r="GC80" s="68">
        <v>10</v>
      </c>
      <c r="GD80" s="68">
        <v>0</v>
      </c>
      <c r="GE80" s="68">
        <v>9</v>
      </c>
      <c r="GF80" s="68">
        <v>3</v>
      </c>
      <c r="GG80" s="68">
        <v>16</v>
      </c>
      <c r="GH80" s="68">
        <v>4</v>
      </c>
      <c r="GI80" s="68">
        <v>15</v>
      </c>
      <c r="GJ80" s="68">
        <v>1</v>
      </c>
      <c r="GK80" s="68">
        <v>14</v>
      </c>
      <c r="GL80" s="68">
        <v>0</v>
      </c>
      <c r="GM80" s="68">
        <v>16</v>
      </c>
      <c r="GN80" s="68">
        <v>1</v>
      </c>
      <c r="GO80" s="68">
        <v>16</v>
      </c>
      <c r="GP80" s="68">
        <v>1</v>
      </c>
      <c r="GQ80" s="68">
        <v>18</v>
      </c>
      <c r="GR80" s="68">
        <v>0</v>
      </c>
      <c r="GS80" s="68">
        <v>18</v>
      </c>
      <c r="GT80" s="68">
        <v>0</v>
      </c>
      <c r="GU80" s="68">
        <v>13</v>
      </c>
      <c r="GV80" s="68">
        <v>1</v>
      </c>
      <c r="GW80" s="68">
        <v>15</v>
      </c>
      <c r="GX80" s="68">
        <v>3</v>
      </c>
      <c r="GY80" s="68">
        <v>17</v>
      </c>
      <c r="GZ80" s="68">
        <v>0</v>
      </c>
      <c r="HA80" s="68">
        <v>18</v>
      </c>
      <c r="HB80" s="68">
        <v>1</v>
      </c>
      <c r="HC80" s="68">
        <v>11</v>
      </c>
      <c r="HD80" s="28" t="s">
        <v>30</v>
      </c>
      <c r="HE80" s="28" t="s">
        <v>30</v>
      </c>
      <c r="HF80" s="68">
        <v>0</v>
      </c>
      <c r="HG80" s="68">
        <v>0</v>
      </c>
      <c r="HH80" s="68">
        <v>0</v>
      </c>
      <c r="HI80" s="68">
        <v>0</v>
      </c>
      <c r="HJ80" s="68">
        <v>0</v>
      </c>
      <c r="HK80" s="68">
        <v>0</v>
      </c>
      <c r="HL80" s="68">
        <v>0</v>
      </c>
      <c r="HM80" s="68">
        <v>0</v>
      </c>
      <c r="HN80" s="68">
        <v>0</v>
      </c>
      <c r="HO80" s="68">
        <v>0</v>
      </c>
      <c r="HP80" s="68">
        <v>0</v>
      </c>
      <c r="HQ80" s="68">
        <v>0</v>
      </c>
      <c r="HR80" s="68">
        <v>0</v>
      </c>
      <c r="HS80" s="68">
        <v>0</v>
      </c>
      <c r="HT80" s="68">
        <v>0</v>
      </c>
      <c r="HU80" s="68">
        <v>0</v>
      </c>
      <c r="HV80" s="68">
        <v>0</v>
      </c>
      <c r="HW80" s="68">
        <v>0</v>
      </c>
      <c r="HX80" s="68">
        <v>0</v>
      </c>
      <c r="HY80" s="68">
        <v>0</v>
      </c>
      <c r="HZ80" s="68">
        <v>0</v>
      </c>
      <c r="IA80" s="68">
        <v>0</v>
      </c>
      <c r="IB80" s="68">
        <v>0</v>
      </c>
      <c r="IC80" s="68">
        <v>0</v>
      </c>
      <c r="ID80" s="68">
        <v>0</v>
      </c>
      <c r="IE80" s="68">
        <v>0</v>
      </c>
      <c r="IF80" s="68">
        <v>0</v>
      </c>
      <c r="IG80" s="68">
        <v>0</v>
      </c>
      <c r="IH80" s="68">
        <v>0</v>
      </c>
      <c r="II80" s="68">
        <v>0</v>
      </c>
      <c r="IJ80" s="68">
        <v>0</v>
      </c>
      <c r="IK80" s="68">
        <v>0</v>
      </c>
      <c r="IL80" s="68">
        <v>0</v>
      </c>
      <c r="IM80" s="68">
        <v>0</v>
      </c>
      <c r="IN80" s="68">
        <v>0</v>
      </c>
      <c r="IO80" s="68">
        <v>0</v>
      </c>
      <c r="IP80" s="68">
        <v>0</v>
      </c>
      <c r="IQ80" s="68">
        <v>0</v>
      </c>
      <c r="IR80" s="68">
        <v>5</v>
      </c>
      <c r="IS80" s="68">
        <v>26</v>
      </c>
      <c r="IT80" s="68">
        <v>1</v>
      </c>
      <c r="IU80" s="68">
        <v>26</v>
      </c>
      <c r="IV80" s="68">
        <v>3</v>
      </c>
      <c r="IW80" s="68">
        <v>20</v>
      </c>
      <c r="IX80" s="68">
        <v>3</v>
      </c>
      <c r="IY80" s="68">
        <v>23</v>
      </c>
      <c r="IZ80" s="68">
        <v>3</v>
      </c>
      <c r="JA80" s="68">
        <v>34</v>
      </c>
      <c r="JB80" s="68">
        <v>3</v>
      </c>
      <c r="JC80" s="68">
        <v>46</v>
      </c>
      <c r="JD80" s="68">
        <v>1</v>
      </c>
      <c r="JE80" s="68">
        <v>36</v>
      </c>
    </row>
    <row r="81" spans="1:265" ht="42" x14ac:dyDescent="0.15">
      <c r="A81" s="114" t="s">
        <v>136</v>
      </c>
      <c r="B81" s="114" t="s">
        <v>137</v>
      </c>
      <c r="C81" s="115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3"/>
      <c r="DV81" s="73"/>
      <c r="DW81" s="73"/>
      <c r="DX81" s="73"/>
      <c r="DY81" s="73"/>
      <c r="DZ81" s="73"/>
      <c r="EA81" s="73"/>
      <c r="EB81" s="73"/>
      <c r="EC81" s="73"/>
      <c r="ED81" s="73"/>
      <c r="EE81" s="73"/>
      <c r="EF81" s="73"/>
      <c r="EG81" s="116"/>
      <c r="EH81" s="117"/>
      <c r="EI81" s="73"/>
      <c r="EJ81" s="73"/>
      <c r="EK81" s="73"/>
      <c r="EL81" s="73"/>
      <c r="EM81" s="73"/>
      <c r="EN81" s="73"/>
      <c r="EO81" s="73"/>
      <c r="EP81" s="73"/>
      <c r="EQ81" s="73"/>
      <c r="ER81" s="73"/>
      <c r="ES81" s="73"/>
      <c r="ET81" s="73"/>
      <c r="EU81" s="73"/>
      <c r="EV81" s="73"/>
      <c r="EW81" s="73"/>
      <c r="EX81" s="73"/>
      <c r="EY81" s="73"/>
      <c r="EZ81" s="73"/>
      <c r="FA81" s="73"/>
      <c r="FB81" s="73"/>
      <c r="FC81" s="73"/>
      <c r="FD81" s="73"/>
      <c r="FE81" s="73"/>
      <c r="FF81" s="73"/>
      <c r="FG81" s="73"/>
      <c r="FH81" s="73"/>
      <c r="FI81" s="73"/>
      <c r="FJ81" s="73"/>
      <c r="FK81" s="73"/>
      <c r="FL81" s="73"/>
      <c r="FM81" s="73"/>
      <c r="FN81" s="73"/>
      <c r="FO81" s="73"/>
      <c r="FP81" s="73"/>
      <c r="FQ81" s="73"/>
      <c r="FR81" s="68">
        <v>0</v>
      </c>
      <c r="FS81" s="68">
        <v>7</v>
      </c>
      <c r="FT81" s="68">
        <v>0</v>
      </c>
      <c r="FU81" s="68">
        <v>2</v>
      </c>
      <c r="FV81" s="68">
        <v>0</v>
      </c>
      <c r="FW81" s="68">
        <v>3</v>
      </c>
      <c r="FX81" s="68">
        <v>0</v>
      </c>
      <c r="FY81" s="68">
        <v>4</v>
      </c>
      <c r="FZ81" s="68">
        <v>0</v>
      </c>
      <c r="GA81" s="68">
        <v>6</v>
      </c>
      <c r="GB81" s="68">
        <v>0</v>
      </c>
      <c r="GC81" s="68">
        <v>8</v>
      </c>
      <c r="GD81" s="68">
        <v>0</v>
      </c>
      <c r="GE81" s="68">
        <v>7</v>
      </c>
      <c r="GF81" s="68">
        <v>0</v>
      </c>
      <c r="GG81" s="68">
        <v>13</v>
      </c>
      <c r="GH81" s="68">
        <v>0</v>
      </c>
      <c r="GI81" s="68">
        <v>11</v>
      </c>
      <c r="GJ81" s="68">
        <v>0</v>
      </c>
      <c r="GK81" s="68">
        <v>9</v>
      </c>
      <c r="GL81" s="68">
        <v>1</v>
      </c>
      <c r="GM81" s="68">
        <v>9</v>
      </c>
      <c r="GN81" s="68">
        <v>0</v>
      </c>
      <c r="GO81" s="68">
        <v>2</v>
      </c>
      <c r="GP81" s="68">
        <v>1</v>
      </c>
      <c r="GQ81" s="68">
        <v>6</v>
      </c>
      <c r="GR81" s="68">
        <v>0</v>
      </c>
      <c r="GS81" s="68">
        <v>5</v>
      </c>
      <c r="GT81" s="68">
        <v>0</v>
      </c>
      <c r="GU81" s="68">
        <v>6</v>
      </c>
      <c r="GV81" s="68">
        <v>1</v>
      </c>
      <c r="GW81" s="68">
        <v>6</v>
      </c>
      <c r="GX81" s="68">
        <v>1</v>
      </c>
      <c r="GY81" s="68">
        <v>6</v>
      </c>
      <c r="GZ81" s="68">
        <v>1</v>
      </c>
      <c r="HA81" s="68">
        <v>5</v>
      </c>
      <c r="HB81" s="68">
        <v>1</v>
      </c>
      <c r="HC81" s="68">
        <v>8</v>
      </c>
      <c r="HD81" s="28" t="s">
        <v>30</v>
      </c>
      <c r="HE81" s="28" t="s">
        <v>30</v>
      </c>
      <c r="HF81" s="68">
        <v>0</v>
      </c>
      <c r="HG81" s="68">
        <v>3</v>
      </c>
      <c r="HH81" s="68">
        <v>0</v>
      </c>
      <c r="HI81" s="68">
        <v>3</v>
      </c>
      <c r="HJ81" s="68">
        <v>0</v>
      </c>
      <c r="HK81" s="68">
        <v>0</v>
      </c>
      <c r="HL81" s="68">
        <v>0</v>
      </c>
      <c r="HM81" s="68">
        <v>0</v>
      </c>
      <c r="HN81" s="68">
        <v>0</v>
      </c>
      <c r="HO81" s="68">
        <v>1</v>
      </c>
      <c r="HP81" s="68">
        <v>0</v>
      </c>
      <c r="HQ81" s="68">
        <v>0</v>
      </c>
      <c r="HR81" s="68">
        <v>0</v>
      </c>
      <c r="HS81" s="68">
        <v>1</v>
      </c>
      <c r="HT81" s="68">
        <v>0</v>
      </c>
      <c r="HU81" s="68">
        <v>0</v>
      </c>
      <c r="HV81" s="68">
        <v>1</v>
      </c>
      <c r="HW81" s="68">
        <v>2</v>
      </c>
      <c r="HX81" s="68">
        <v>0</v>
      </c>
      <c r="HY81" s="68">
        <v>1</v>
      </c>
      <c r="HZ81" s="68">
        <v>0</v>
      </c>
      <c r="IA81" s="68">
        <v>0</v>
      </c>
      <c r="IB81" s="68">
        <v>0</v>
      </c>
      <c r="IC81" s="68">
        <v>0</v>
      </c>
      <c r="ID81" s="68">
        <v>0</v>
      </c>
      <c r="IE81" s="68">
        <v>3</v>
      </c>
      <c r="IF81" s="68">
        <v>0</v>
      </c>
      <c r="IG81" s="68">
        <v>0</v>
      </c>
      <c r="IH81" s="68">
        <v>0</v>
      </c>
      <c r="II81" s="68">
        <v>0</v>
      </c>
      <c r="IJ81" s="68">
        <v>0</v>
      </c>
      <c r="IK81" s="68">
        <v>0</v>
      </c>
      <c r="IL81" s="68">
        <v>0</v>
      </c>
      <c r="IM81" s="68">
        <v>0</v>
      </c>
      <c r="IN81" s="68">
        <v>1</v>
      </c>
      <c r="IO81" s="68">
        <v>1</v>
      </c>
      <c r="IP81" s="68">
        <v>0</v>
      </c>
      <c r="IQ81" s="68">
        <v>1</v>
      </c>
      <c r="IR81" s="68">
        <v>2</v>
      </c>
      <c r="IS81" s="68">
        <v>21</v>
      </c>
      <c r="IT81" s="68">
        <v>1</v>
      </c>
      <c r="IU81" s="68">
        <v>18</v>
      </c>
      <c r="IV81" s="68">
        <v>2</v>
      </c>
      <c r="IW81" s="68">
        <v>17</v>
      </c>
      <c r="IX81" s="68">
        <v>1</v>
      </c>
      <c r="IY81" s="68">
        <v>13</v>
      </c>
      <c r="IZ81" s="68">
        <v>1</v>
      </c>
      <c r="JA81" s="68">
        <v>23</v>
      </c>
      <c r="JB81" s="68">
        <v>0</v>
      </c>
      <c r="JC81" s="68">
        <v>36</v>
      </c>
      <c r="JD81" s="68">
        <v>1</v>
      </c>
      <c r="JE81" s="68">
        <v>24</v>
      </c>
    </row>
    <row r="82" spans="1:265" ht="42" x14ac:dyDescent="0.15">
      <c r="A82" s="114" t="s">
        <v>138</v>
      </c>
      <c r="B82" s="114" t="s">
        <v>139</v>
      </c>
      <c r="C82" s="115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  <c r="CS82" s="73"/>
      <c r="CT82" s="73"/>
      <c r="CU82" s="73"/>
      <c r="CV82" s="73"/>
      <c r="CW82" s="73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3"/>
      <c r="DW82" s="73"/>
      <c r="DX82" s="73"/>
      <c r="DY82" s="73"/>
      <c r="DZ82" s="73"/>
      <c r="EA82" s="73"/>
      <c r="EB82" s="73"/>
      <c r="EC82" s="73"/>
      <c r="ED82" s="73"/>
      <c r="EE82" s="73"/>
      <c r="EF82" s="73"/>
      <c r="EG82" s="116"/>
      <c r="EH82" s="117"/>
      <c r="EI82" s="73"/>
      <c r="EJ82" s="73"/>
      <c r="EK82" s="73"/>
      <c r="EL82" s="73"/>
      <c r="EM82" s="73"/>
      <c r="EN82" s="73"/>
      <c r="EO82" s="73"/>
      <c r="EP82" s="73"/>
      <c r="EQ82" s="73"/>
      <c r="ER82" s="73"/>
      <c r="ES82" s="73"/>
      <c r="ET82" s="73"/>
      <c r="EU82" s="73"/>
      <c r="EV82" s="73"/>
      <c r="EW82" s="73"/>
      <c r="EX82" s="73"/>
      <c r="EY82" s="73"/>
      <c r="EZ82" s="73"/>
      <c r="FA82" s="73"/>
      <c r="FB82" s="73"/>
      <c r="FC82" s="73"/>
      <c r="FD82" s="73"/>
      <c r="FE82" s="73"/>
      <c r="FF82" s="73"/>
      <c r="FG82" s="73"/>
      <c r="FH82" s="73"/>
      <c r="FI82" s="73"/>
      <c r="FJ82" s="73"/>
      <c r="FK82" s="73"/>
      <c r="FL82" s="73"/>
      <c r="FM82" s="73"/>
      <c r="FN82" s="73"/>
      <c r="FO82" s="73"/>
      <c r="FP82" s="73"/>
      <c r="FQ82" s="73"/>
      <c r="FR82" s="68">
        <v>1</v>
      </c>
      <c r="FS82" s="68">
        <v>35</v>
      </c>
      <c r="FT82" s="68">
        <v>0</v>
      </c>
      <c r="FU82" s="68">
        <v>26</v>
      </c>
      <c r="FV82" s="68">
        <v>0</v>
      </c>
      <c r="FW82" s="68">
        <v>32</v>
      </c>
      <c r="FX82" s="68">
        <v>4</v>
      </c>
      <c r="FY82" s="68">
        <v>37</v>
      </c>
      <c r="FZ82" s="68">
        <v>2</v>
      </c>
      <c r="GA82" s="68">
        <v>28</v>
      </c>
      <c r="GB82" s="68">
        <v>3</v>
      </c>
      <c r="GC82" s="68">
        <v>32</v>
      </c>
      <c r="GD82" s="68">
        <v>5</v>
      </c>
      <c r="GE82" s="68">
        <v>34</v>
      </c>
      <c r="GF82" s="68">
        <v>3</v>
      </c>
      <c r="GG82" s="68">
        <v>30</v>
      </c>
      <c r="GH82" s="68">
        <v>2</v>
      </c>
      <c r="GI82" s="68">
        <v>58</v>
      </c>
      <c r="GJ82" s="68">
        <v>2</v>
      </c>
      <c r="GK82" s="68">
        <v>41</v>
      </c>
      <c r="GL82" s="68">
        <v>1</v>
      </c>
      <c r="GM82" s="68">
        <v>27</v>
      </c>
      <c r="GN82" s="68">
        <v>0</v>
      </c>
      <c r="GO82" s="68">
        <v>29</v>
      </c>
      <c r="GP82" s="68">
        <v>1</v>
      </c>
      <c r="GQ82" s="68">
        <v>37</v>
      </c>
      <c r="GR82" s="68">
        <v>0</v>
      </c>
      <c r="GS82" s="68">
        <v>36</v>
      </c>
      <c r="GT82" s="68">
        <v>0</v>
      </c>
      <c r="GU82" s="68">
        <v>36</v>
      </c>
      <c r="GV82" s="68">
        <v>2</v>
      </c>
      <c r="GW82" s="68">
        <v>33</v>
      </c>
      <c r="GX82" s="68">
        <v>2</v>
      </c>
      <c r="GY82" s="68">
        <v>25</v>
      </c>
      <c r="GZ82" s="68">
        <v>1</v>
      </c>
      <c r="HA82" s="68">
        <v>26</v>
      </c>
      <c r="HB82" s="68">
        <v>3</v>
      </c>
      <c r="HC82" s="68">
        <v>32</v>
      </c>
      <c r="HD82" s="28" t="s">
        <v>30</v>
      </c>
      <c r="HE82" s="28" t="s">
        <v>30</v>
      </c>
      <c r="HF82" s="68">
        <v>0</v>
      </c>
      <c r="HG82" s="68">
        <v>0</v>
      </c>
      <c r="HH82" s="68">
        <v>0</v>
      </c>
      <c r="HI82" s="68">
        <v>0</v>
      </c>
      <c r="HJ82" s="68">
        <v>0</v>
      </c>
      <c r="HK82" s="68">
        <v>1</v>
      </c>
      <c r="HL82" s="68">
        <v>1</v>
      </c>
      <c r="HM82" s="68">
        <v>2</v>
      </c>
      <c r="HN82" s="68">
        <v>0</v>
      </c>
      <c r="HO82" s="68">
        <v>1</v>
      </c>
      <c r="HP82" s="68">
        <v>0</v>
      </c>
      <c r="HQ82" s="68">
        <v>2</v>
      </c>
      <c r="HR82" s="68">
        <v>1</v>
      </c>
      <c r="HS82" s="68">
        <v>2</v>
      </c>
      <c r="HT82" s="68">
        <v>0</v>
      </c>
      <c r="HU82" s="68">
        <v>1</v>
      </c>
      <c r="HV82" s="68">
        <v>0</v>
      </c>
      <c r="HW82" s="68">
        <v>1</v>
      </c>
      <c r="HX82" s="68">
        <v>0</v>
      </c>
      <c r="HY82" s="68">
        <v>0</v>
      </c>
      <c r="HZ82" s="68">
        <v>0</v>
      </c>
      <c r="IA82" s="68">
        <v>0</v>
      </c>
      <c r="IB82" s="68">
        <v>0</v>
      </c>
      <c r="IC82" s="68">
        <v>1</v>
      </c>
      <c r="ID82" s="68">
        <v>0</v>
      </c>
      <c r="IE82" s="68">
        <v>0</v>
      </c>
      <c r="IF82" s="68">
        <v>0</v>
      </c>
      <c r="IG82" s="68">
        <v>1</v>
      </c>
      <c r="IH82" s="68">
        <v>0</v>
      </c>
      <c r="II82" s="68">
        <v>0</v>
      </c>
      <c r="IJ82" s="68">
        <v>0</v>
      </c>
      <c r="IK82" s="68">
        <v>0</v>
      </c>
      <c r="IL82" s="68">
        <v>0</v>
      </c>
      <c r="IM82" s="68">
        <v>0</v>
      </c>
      <c r="IN82" s="68">
        <v>0</v>
      </c>
      <c r="IO82" s="68">
        <v>0</v>
      </c>
      <c r="IP82" s="68">
        <v>0</v>
      </c>
      <c r="IQ82" s="68">
        <v>0</v>
      </c>
      <c r="IR82" s="68">
        <v>5</v>
      </c>
      <c r="IS82" s="68">
        <v>45</v>
      </c>
      <c r="IT82" s="68">
        <v>5</v>
      </c>
      <c r="IU82" s="68">
        <v>54</v>
      </c>
      <c r="IV82" s="68">
        <v>5</v>
      </c>
      <c r="IW82" s="68">
        <v>57</v>
      </c>
      <c r="IX82" s="68">
        <v>5</v>
      </c>
      <c r="IY82" s="68">
        <v>53</v>
      </c>
      <c r="IZ82" s="68">
        <v>9</v>
      </c>
      <c r="JA82" s="68">
        <v>59</v>
      </c>
      <c r="JB82" s="68">
        <v>9</v>
      </c>
      <c r="JC82" s="68">
        <v>70</v>
      </c>
      <c r="JD82" s="68">
        <v>3</v>
      </c>
      <c r="JE82" s="68">
        <v>55</v>
      </c>
    </row>
    <row r="83" spans="1:265" ht="14" x14ac:dyDescent="0.15">
      <c r="A83" s="51"/>
      <c r="B83" s="52" t="s">
        <v>140</v>
      </c>
      <c r="C83" s="52" t="s">
        <v>140</v>
      </c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19"/>
      <c r="CP83" s="119"/>
      <c r="CQ83" s="119"/>
      <c r="CR83" s="119"/>
      <c r="CS83" s="119"/>
      <c r="CT83" s="119"/>
      <c r="CU83" s="119"/>
      <c r="CV83" s="119"/>
      <c r="CW83" s="119"/>
      <c r="CX83" s="119"/>
      <c r="CY83" s="119"/>
      <c r="CZ83" s="119"/>
      <c r="DA83" s="119"/>
      <c r="DB83" s="119"/>
      <c r="DC83" s="119"/>
      <c r="DD83" s="119"/>
      <c r="DE83" s="119"/>
      <c r="DF83" s="119"/>
      <c r="DG83" s="119"/>
      <c r="DH83" s="119"/>
      <c r="DI83" s="119"/>
      <c r="DJ83" s="119"/>
      <c r="DK83" s="119"/>
      <c r="DL83" s="119"/>
      <c r="DM83" s="119"/>
      <c r="DN83" s="119"/>
      <c r="DO83" s="119"/>
      <c r="DP83" s="119"/>
      <c r="DQ83" s="119"/>
      <c r="DR83" s="119"/>
      <c r="DS83" s="119"/>
      <c r="DT83" s="119"/>
      <c r="DU83" s="119"/>
      <c r="DV83" s="119"/>
      <c r="DW83" s="119"/>
      <c r="DX83" s="119"/>
      <c r="DY83" s="119"/>
      <c r="DZ83" s="119"/>
      <c r="EA83" s="119"/>
      <c r="EB83" s="119"/>
      <c r="EC83" s="119"/>
      <c r="ED83" s="119"/>
      <c r="EE83" s="119"/>
      <c r="EF83" s="54"/>
      <c r="EG83" s="120"/>
      <c r="EH83" s="121"/>
      <c r="EI83" s="54"/>
      <c r="EJ83" s="119"/>
      <c r="EK83" s="119"/>
      <c r="EL83" s="119"/>
      <c r="EM83" s="119"/>
      <c r="EN83" s="119"/>
      <c r="EO83" s="119"/>
      <c r="EP83" s="119"/>
      <c r="EQ83" s="119"/>
      <c r="ER83" s="119"/>
      <c r="ES83" s="119">
        <f t="shared" ref="ES83:FQ83" si="23">SUM(ES75:ES76)</f>
        <v>0</v>
      </c>
      <c r="ET83" s="119">
        <f t="shared" si="23"/>
        <v>0</v>
      </c>
      <c r="EU83" s="119">
        <f t="shared" si="23"/>
        <v>0</v>
      </c>
      <c r="EV83" s="119">
        <f t="shared" si="23"/>
        <v>0</v>
      </c>
      <c r="EW83" s="119">
        <f t="shared" si="23"/>
        <v>8</v>
      </c>
      <c r="EX83" s="119">
        <f t="shared" si="23"/>
        <v>1</v>
      </c>
      <c r="EY83" s="119">
        <f t="shared" si="23"/>
        <v>13</v>
      </c>
      <c r="EZ83" s="119">
        <f t="shared" si="23"/>
        <v>0</v>
      </c>
      <c r="FA83" s="119">
        <f t="shared" si="23"/>
        <v>9</v>
      </c>
      <c r="FB83" s="119">
        <f t="shared" si="23"/>
        <v>0</v>
      </c>
      <c r="FC83" s="119">
        <f t="shared" si="23"/>
        <v>0</v>
      </c>
      <c r="FD83" s="119">
        <f t="shared" si="23"/>
        <v>0</v>
      </c>
      <c r="FE83" s="119">
        <f t="shared" si="23"/>
        <v>0</v>
      </c>
      <c r="FF83" s="119">
        <f t="shared" si="23"/>
        <v>0</v>
      </c>
      <c r="FG83" s="119">
        <f t="shared" si="23"/>
        <v>0</v>
      </c>
      <c r="FH83" s="119">
        <f t="shared" si="23"/>
        <v>0</v>
      </c>
      <c r="FI83" s="119">
        <f t="shared" si="23"/>
        <v>0</v>
      </c>
      <c r="FJ83" s="119">
        <f t="shared" si="23"/>
        <v>0</v>
      </c>
      <c r="FK83" s="119">
        <f t="shared" si="23"/>
        <v>0</v>
      </c>
      <c r="FL83" s="119">
        <f t="shared" si="23"/>
        <v>0</v>
      </c>
      <c r="FM83" s="119">
        <f t="shared" si="23"/>
        <v>0</v>
      </c>
      <c r="FN83" s="119">
        <f t="shared" si="23"/>
        <v>0</v>
      </c>
      <c r="FO83" s="119">
        <f t="shared" si="23"/>
        <v>0</v>
      </c>
      <c r="FP83" s="119">
        <f t="shared" si="23"/>
        <v>0</v>
      </c>
      <c r="FQ83" s="119">
        <f t="shared" si="23"/>
        <v>0</v>
      </c>
      <c r="FR83" s="119">
        <f>SUM(FR75:FR82)</f>
        <v>2</v>
      </c>
      <c r="FS83" s="119">
        <f>SUM(FS75:FS82)</f>
        <v>49</v>
      </c>
      <c r="FT83" s="119">
        <f t="shared" ref="FT83:IF83" si="24">SUM(FT75:FT82)</f>
        <v>0</v>
      </c>
      <c r="FU83" s="119">
        <f t="shared" si="24"/>
        <v>34</v>
      </c>
      <c r="FV83" s="119">
        <f t="shared" si="24"/>
        <v>0</v>
      </c>
      <c r="FW83" s="119">
        <f t="shared" si="24"/>
        <v>39</v>
      </c>
      <c r="FX83" s="119">
        <f t="shared" si="24"/>
        <v>4</v>
      </c>
      <c r="FY83" s="119">
        <f t="shared" si="24"/>
        <v>49</v>
      </c>
      <c r="FZ83" s="119">
        <f t="shared" si="24"/>
        <v>5</v>
      </c>
      <c r="GA83" s="119">
        <f t="shared" si="24"/>
        <v>45</v>
      </c>
      <c r="GB83" s="119">
        <f t="shared" si="24"/>
        <v>3</v>
      </c>
      <c r="GC83" s="119">
        <f t="shared" si="24"/>
        <v>50</v>
      </c>
      <c r="GD83" s="119">
        <f t="shared" si="24"/>
        <v>5</v>
      </c>
      <c r="GE83" s="119">
        <f t="shared" si="24"/>
        <v>50</v>
      </c>
      <c r="GF83" s="119">
        <f t="shared" si="24"/>
        <v>6</v>
      </c>
      <c r="GG83" s="119">
        <f t="shared" si="24"/>
        <v>59</v>
      </c>
      <c r="GH83" s="119">
        <f t="shared" si="24"/>
        <v>6</v>
      </c>
      <c r="GI83" s="119">
        <f t="shared" si="24"/>
        <v>84</v>
      </c>
      <c r="GJ83" s="119">
        <f t="shared" si="24"/>
        <v>3</v>
      </c>
      <c r="GK83" s="119">
        <f t="shared" si="24"/>
        <v>64</v>
      </c>
      <c r="GL83" s="119">
        <f t="shared" si="24"/>
        <v>2</v>
      </c>
      <c r="GM83" s="119">
        <f t="shared" si="24"/>
        <v>52</v>
      </c>
      <c r="GN83" s="119">
        <f t="shared" si="24"/>
        <v>1</v>
      </c>
      <c r="GO83" s="119">
        <f t="shared" si="24"/>
        <v>47</v>
      </c>
      <c r="GP83" s="119">
        <f t="shared" si="24"/>
        <v>3</v>
      </c>
      <c r="GQ83" s="119">
        <f t="shared" si="24"/>
        <v>61</v>
      </c>
      <c r="GR83" s="119">
        <f t="shared" si="24"/>
        <v>0</v>
      </c>
      <c r="GS83" s="119">
        <f t="shared" si="24"/>
        <v>59</v>
      </c>
      <c r="GT83" s="119">
        <f t="shared" si="24"/>
        <v>0</v>
      </c>
      <c r="GU83" s="119">
        <f t="shared" si="24"/>
        <v>55</v>
      </c>
      <c r="GV83" s="119">
        <f t="shared" si="24"/>
        <v>4</v>
      </c>
      <c r="GW83" s="119">
        <f t="shared" si="24"/>
        <v>54</v>
      </c>
      <c r="GX83" s="119">
        <f t="shared" si="24"/>
        <v>6</v>
      </c>
      <c r="GY83" s="119">
        <f t="shared" si="24"/>
        <v>48</v>
      </c>
      <c r="GZ83" s="119">
        <f t="shared" si="24"/>
        <v>2</v>
      </c>
      <c r="HA83" s="119">
        <f t="shared" si="24"/>
        <v>49</v>
      </c>
      <c r="HB83" s="119">
        <f t="shared" si="24"/>
        <v>5</v>
      </c>
      <c r="HC83" s="119">
        <f t="shared" si="24"/>
        <v>51</v>
      </c>
      <c r="HD83" s="119">
        <f t="shared" si="24"/>
        <v>0</v>
      </c>
      <c r="HE83" s="119">
        <f t="shared" si="24"/>
        <v>0</v>
      </c>
      <c r="HF83" s="119">
        <f t="shared" si="24"/>
        <v>0</v>
      </c>
      <c r="HG83" s="119">
        <f t="shared" si="24"/>
        <v>3</v>
      </c>
      <c r="HH83" s="119">
        <f t="shared" si="24"/>
        <v>0</v>
      </c>
      <c r="HI83" s="119">
        <f t="shared" si="24"/>
        <v>3</v>
      </c>
      <c r="HJ83" s="119">
        <f t="shared" si="24"/>
        <v>0</v>
      </c>
      <c r="HK83" s="119">
        <f t="shared" si="24"/>
        <v>1</v>
      </c>
      <c r="HL83" s="119">
        <f t="shared" si="24"/>
        <v>1</v>
      </c>
      <c r="HM83" s="119">
        <f t="shared" si="24"/>
        <v>2</v>
      </c>
      <c r="HN83" s="119">
        <f t="shared" si="24"/>
        <v>0</v>
      </c>
      <c r="HO83" s="119">
        <f t="shared" si="24"/>
        <v>2</v>
      </c>
      <c r="HP83" s="119">
        <f t="shared" si="24"/>
        <v>0</v>
      </c>
      <c r="HQ83" s="119">
        <f t="shared" si="24"/>
        <v>2</v>
      </c>
      <c r="HR83" s="119">
        <f t="shared" si="24"/>
        <v>1</v>
      </c>
      <c r="HS83" s="119">
        <f t="shared" si="24"/>
        <v>3</v>
      </c>
      <c r="HT83" s="119">
        <f t="shared" si="24"/>
        <v>0</v>
      </c>
      <c r="HU83" s="119">
        <f t="shared" si="24"/>
        <v>1</v>
      </c>
      <c r="HV83" s="119">
        <f t="shared" si="24"/>
        <v>1</v>
      </c>
      <c r="HW83" s="119">
        <f t="shared" si="24"/>
        <v>3</v>
      </c>
      <c r="HX83" s="119">
        <f t="shared" si="24"/>
        <v>0</v>
      </c>
      <c r="HY83" s="119">
        <f t="shared" si="24"/>
        <v>1</v>
      </c>
      <c r="HZ83" s="119">
        <f t="shared" si="24"/>
        <v>0</v>
      </c>
      <c r="IA83" s="119">
        <f t="shared" si="24"/>
        <v>0</v>
      </c>
      <c r="IB83" s="119">
        <f t="shared" si="24"/>
        <v>0</v>
      </c>
      <c r="IC83" s="119">
        <f t="shared" si="24"/>
        <v>1</v>
      </c>
      <c r="ID83" s="119">
        <f t="shared" si="24"/>
        <v>0</v>
      </c>
      <c r="IE83" s="119">
        <f t="shared" si="24"/>
        <v>3</v>
      </c>
      <c r="IF83" s="119">
        <f t="shared" si="24"/>
        <v>0</v>
      </c>
      <c r="IG83" s="119">
        <f t="shared" ref="IG83:JE83" si="25">SUM(IG75:IG82)</f>
        <v>1</v>
      </c>
      <c r="IH83" s="119">
        <f t="shared" si="25"/>
        <v>0</v>
      </c>
      <c r="II83" s="119">
        <f t="shared" si="25"/>
        <v>0</v>
      </c>
      <c r="IJ83" s="119">
        <f t="shared" si="25"/>
        <v>0</v>
      </c>
      <c r="IK83" s="119">
        <f t="shared" si="25"/>
        <v>0</v>
      </c>
      <c r="IL83" s="119">
        <f t="shared" si="25"/>
        <v>0</v>
      </c>
      <c r="IM83" s="119">
        <f t="shared" si="25"/>
        <v>0</v>
      </c>
      <c r="IN83" s="119">
        <f t="shared" si="25"/>
        <v>1</v>
      </c>
      <c r="IO83" s="119">
        <f t="shared" si="25"/>
        <v>1</v>
      </c>
      <c r="IP83" s="119">
        <f t="shared" si="25"/>
        <v>0</v>
      </c>
      <c r="IQ83" s="119">
        <f t="shared" si="25"/>
        <v>1</v>
      </c>
      <c r="IR83" s="119">
        <f t="shared" si="25"/>
        <v>12</v>
      </c>
      <c r="IS83" s="119">
        <f t="shared" si="25"/>
        <v>92</v>
      </c>
      <c r="IT83" s="119">
        <f t="shared" si="25"/>
        <v>7</v>
      </c>
      <c r="IU83" s="119">
        <f t="shared" si="25"/>
        <v>98</v>
      </c>
      <c r="IV83" s="119">
        <f t="shared" si="25"/>
        <v>10</v>
      </c>
      <c r="IW83" s="119">
        <f t="shared" si="25"/>
        <v>94</v>
      </c>
      <c r="IX83" s="119">
        <f t="shared" si="25"/>
        <v>9</v>
      </c>
      <c r="IY83" s="119">
        <f t="shared" si="25"/>
        <v>89</v>
      </c>
      <c r="IZ83" s="119">
        <f t="shared" si="25"/>
        <v>13</v>
      </c>
      <c r="JA83" s="119">
        <f t="shared" si="25"/>
        <v>116</v>
      </c>
      <c r="JB83" s="119">
        <f t="shared" si="25"/>
        <v>12</v>
      </c>
      <c r="JC83" s="119">
        <f t="shared" si="25"/>
        <v>152</v>
      </c>
      <c r="JD83" s="119">
        <f t="shared" si="25"/>
        <v>5</v>
      </c>
      <c r="JE83" s="119">
        <f t="shared" si="25"/>
        <v>115</v>
      </c>
    </row>
    <row r="84" spans="1:265" ht="28" x14ac:dyDescent="0.15">
      <c r="A84" s="122" t="s">
        <v>141</v>
      </c>
      <c r="B84" s="123" t="s">
        <v>142</v>
      </c>
      <c r="C84" s="124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3"/>
      <c r="CU84" s="73"/>
      <c r="CV84" s="73"/>
      <c r="CW84" s="73"/>
      <c r="CX84" s="73"/>
      <c r="CY84" s="73"/>
      <c r="CZ84" s="73"/>
      <c r="DA84" s="73"/>
      <c r="DB84" s="73"/>
      <c r="DC84" s="73"/>
      <c r="DD84" s="73"/>
      <c r="DE84" s="73"/>
      <c r="DF84" s="73"/>
      <c r="DG84" s="73"/>
      <c r="DH84" s="73"/>
      <c r="DI84" s="73"/>
      <c r="DJ84" s="73"/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3"/>
      <c r="DW84" s="73"/>
      <c r="DX84" s="73"/>
      <c r="DY84" s="73"/>
      <c r="DZ84" s="73"/>
      <c r="EA84" s="73"/>
      <c r="EB84" s="73"/>
      <c r="EC84" s="73"/>
      <c r="ED84" s="73"/>
      <c r="EE84" s="73"/>
      <c r="EF84" s="80"/>
      <c r="EG84" s="116"/>
      <c r="EH84" s="117"/>
      <c r="EI84" s="80"/>
      <c r="EJ84" s="73"/>
      <c r="EK84" s="73"/>
      <c r="EL84" s="73"/>
      <c r="EM84" s="73"/>
      <c r="EN84" s="73"/>
      <c r="EO84" s="73"/>
      <c r="EP84" s="73"/>
      <c r="EQ84" s="73"/>
      <c r="ER84" s="73"/>
      <c r="ES84" s="73"/>
      <c r="ET84" s="73"/>
      <c r="EU84" s="73"/>
      <c r="EV84" s="73"/>
      <c r="EW84" s="73"/>
      <c r="EX84" s="73"/>
      <c r="EY84" s="73"/>
      <c r="EZ84" s="73"/>
      <c r="FA84" s="73"/>
      <c r="FB84" s="73"/>
      <c r="FC84" s="73"/>
      <c r="FD84" s="73"/>
      <c r="FE84" s="73"/>
      <c r="FF84" s="73"/>
      <c r="FG84" s="73"/>
      <c r="FH84" s="73"/>
      <c r="FI84" s="73"/>
      <c r="FJ84" s="73"/>
      <c r="FK84" s="73"/>
      <c r="FL84" s="73"/>
      <c r="FM84" s="73"/>
      <c r="FN84" s="73"/>
      <c r="FO84" s="73"/>
      <c r="FP84" s="73"/>
      <c r="FQ84" s="73"/>
      <c r="FR84" s="73"/>
      <c r="FS84" s="73"/>
      <c r="FT84" s="73"/>
      <c r="FU84" s="73"/>
      <c r="FV84" s="73"/>
      <c r="FW84" s="73"/>
      <c r="FX84" s="73"/>
      <c r="FY84" s="73"/>
      <c r="FZ84" s="73"/>
      <c r="GA84" s="73"/>
      <c r="GB84" s="73"/>
      <c r="GC84" s="73"/>
      <c r="GD84" s="73"/>
      <c r="GE84" s="73"/>
      <c r="GF84" s="73"/>
      <c r="GG84" s="73"/>
      <c r="GH84" s="73"/>
      <c r="GI84" s="73"/>
      <c r="GJ84" s="73"/>
      <c r="GK84" s="73"/>
      <c r="GL84" s="73"/>
      <c r="GM84" s="73"/>
      <c r="GN84" s="68">
        <v>11</v>
      </c>
      <c r="GO84" s="68">
        <v>43</v>
      </c>
      <c r="GP84" s="68">
        <v>19</v>
      </c>
      <c r="GQ84" s="68">
        <v>58</v>
      </c>
      <c r="GR84" s="125">
        <v>18</v>
      </c>
      <c r="GS84" s="125">
        <v>43</v>
      </c>
      <c r="GT84" s="125">
        <v>11</v>
      </c>
      <c r="GU84" s="125">
        <v>27</v>
      </c>
      <c r="GV84" s="125">
        <v>14</v>
      </c>
      <c r="GW84" s="125">
        <v>49</v>
      </c>
      <c r="GX84" s="125">
        <v>9</v>
      </c>
      <c r="GY84" s="125">
        <v>41</v>
      </c>
      <c r="GZ84" s="125">
        <v>10</v>
      </c>
      <c r="HA84" s="125">
        <v>39</v>
      </c>
      <c r="HB84" s="125">
        <v>4</v>
      </c>
      <c r="HC84" s="125">
        <v>12</v>
      </c>
      <c r="HD84" s="73"/>
      <c r="HE84" s="73"/>
      <c r="HF84" s="126"/>
      <c r="HG84" s="126"/>
      <c r="HH84" s="126"/>
      <c r="HI84" s="126"/>
      <c r="HJ84" s="126"/>
      <c r="HK84" s="126"/>
      <c r="HL84" s="126"/>
      <c r="HM84" s="126"/>
      <c r="HN84" s="126"/>
      <c r="HO84" s="126"/>
      <c r="HP84" s="126"/>
      <c r="HQ84" s="126"/>
      <c r="HR84" s="126"/>
      <c r="HS84" s="126"/>
      <c r="HT84" s="126"/>
      <c r="HU84" s="126"/>
      <c r="HV84" s="126"/>
      <c r="HW84" s="126"/>
      <c r="HX84" s="126"/>
      <c r="HY84" s="126"/>
      <c r="HZ84" s="126"/>
      <c r="IA84" s="126"/>
      <c r="IB84" s="126"/>
      <c r="IC84" s="126"/>
      <c r="ID84" s="126"/>
      <c r="IE84" s="126"/>
      <c r="IF84" s="126"/>
      <c r="IG84" s="126"/>
      <c r="IH84" s="126"/>
      <c r="II84" s="126"/>
      <c r="IJ84" s="126"/>
      <c r="IK84" s="126"/>
      <c r="IL84" s="126"/>
      <c r="IM84" s="126"/>
      <c r="IN84" s="126"/>
      <c r="IO84" s="126"/>
      <c r="IP84" s="126"/>
      <c r="IQ84" s="126"/>
      <c r="IR84" s="126"/>
      <c r="IS84" s="126"/>
      <c r="IT84" s="126"/>
      <c r="IU84" s="126"/>
      <c r="IV84" s="126"/>
      <c r="IW84" s="126"/>
      <c r="IX84" s="126"/>
      <c r="IY84" s="126"/>
      <c r="IZ84" s="126"/>
      <c r="JA84" s="126"/>
      <c r="JB84" s="126"/>
      <c r="JC84" s="126"/>
      <c r="JD84" s="126"/>
      <c r="JE84" s="126"/>
    </row>
    <row r="85" spans="1:265" ht="25.5" customHeight="1" x14ac:dyDescent="0.15">
      <c r="A85" s="122" t="s">
        <v>143</v>
      </c>
      <c r="B85" s="123" t="s">
        <v>144</v>
      </c>
      <c r="C85" s="124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3"/>
      <c r="EB85" s="73"/>
      <c r="EC85" s="73"/>
      <c r="ED85" s="73"/>
      <c r="EE85" s="73"/>
      <c r="EF85" s="73"/>
      <c r="EG85" s="116"/>
      <c r="EH85" s="117"/>
      <c r="EI85" s="73"/>
      <c r="EJ85" s="73"/>
      <c r="EK85" s="73"/>
      <c r="EL85" s="73"/>
      <c r="EM85" s="73"/>
      <c r="EN85" s="73"/>
      <c r="EO85" s="73"/>
      <c r="EP85" s="73"/>
      <c r="EQ85" s="73"/>
      <c r="ER85" s="73"/>
      <c r="ES85" s="73"/>
      <c r="ET85" s="73"/>
      <c r="EU85" s="73"/>
      <c r="EV85" s="73"/>
      <c r="EW85" s="73"/>
      <c r="EX85" s="73"/>
      <c r="EY85" s="73"/>
      <c r="EZ85" s="73"/>
      <c r="FA85" s="73"/>
      <c r="FB85" s="73"/>
      <c r="FC85" s="73"/>
      <c r="FD85" s="73"/>
      <c r="FE85" s="73"/>
      <c r="FF85" s="73"/>
      <c r="FG85" s="73"/>
      <c r="FH85" s="73"/>
      <c r="FI85" s="73"/>
      <c r="FJ85" s="73"/>
      <c r="FK85" s="73"/>
      <c r="FL85" s="73"/>
      <c r="FM85" s="73"/>
      <c r="FN85" s="73"/>
      <c r="FO85" s="73"/>
      <c r="FP85" s="73"/>
      <c r="FQ85" s="73"/>
      <c r="FR85" s="73"/>
      <c r="FS85" s="73"/>
      <c r="FT85" s="73"/>
      <c r="FU85" s="73"/>
      <c r="FV85" s="73"/>
      <c r="FW85" s="73"/>
      <c r="FX85" s="73"/>
      <c r="FY85" s="73"/>
      <c r="FZ85" s="73"/>
      <c r="GA85" s="73"/>
      <c r="GB85" s="73"/>
      <c r="GC85" s="73"/>
      <c r="GD85" s="73"/>
      <c r="GE85" s="73"/>
      <c r="GF85" s="73"/>
      <c r="GG85" s="73"/>
      <c r="GH85" s="73"/>
      <c r="GI85" s="73"/>
      <c r="GJ85" s="73"/>
      <c r="GK85" s="73"/>
      <c r="GL85" s="73"/>
      <c r="GM85" s="73"/>
      <c r="GN85" s="68">
        <v>6</v>
      </c>
      <c r="GO85" s="68">
        <v>28</v>
      </c>
      <c r="GP85" s="68">
        <v>22</v>
      </c>
      <c r="GQ85" s="68">
        <v>108</v>
      </c>
      <c r="GR85" s="125">
        <v>24</v>
      </c>
      <c r="GS85" s="125">
        <v>88</v>
      </c>
      <c r="GT85" s="125">
        <v>21</v>
      </c>
      <c r="GU85" s="125">
        <v>72</v>
      </c>
      <c r="GV85" s="125">
        <v>11</v>
      </c>
      <c r="GW85" s="125">
        <v>58</v>
      </c>
      <c r="GX85" s="125">
        <v>18</v>
      </c>
      <c r="GY85" s="125">
        <v>86</v>
      </c>
      <c r="GZ85" s="125">
        <v>11</v>
      </c>
      <c r="HA85" s="125">
        <v>56</v>
      </c>
      <c r="HB85" s="125">
        <v>4</v>
      </c>
      <c r="HC85" s="125">
        <v>16</v>
      </c>
      <c r="HD85" s="73"/>
      <c r="HE85" s="73"/>
      <c r="HF85" s="126"/>
      <c r="HG85" s="126"/>
      <c r="HH85" s="126"/>
      <c r="HI85" s="126"/>
      <c r="HJ85" s="126"/>
      <c r="HK85" s="126"/>
      <c r="HL85" s="126"/>
      <c r="HM85" s="126"/>
      <c r="HN85" s="126"/>
      <c r="HO85" s="126"/>
      <c r="HP85" s="126"/>
      <c r="HQ85" s="126"/>
      <c r="HR85" s="126"/>
      <c r="HS85" s="126"/>
      <c r="HT85" s="126"/>
      <c r="HU85" s="126"/>
      <c r="HV85" s="126"/>
      <c r="HW85" s="126"/>
      <c r="HX85" s="126"/>
      <c r="HY85" s="126"/>
      <c r="HZ85" s="126"/>
      <c r="IA85" s="126"/>
      <c r="IB85" s="126"/>
      <c r="IC85" s="126"/>
      <c r="ID85" s="126"/>
      <c r="IE85" s="126"/>
      <c r="IF85" s="126"/>
      <c r="IG85" s="126"/>
      <c r="IH85" s="126"/>
      <c r="II85" s="126"/>
      <c r="IJ85" s="126"/>
      <c r="IK85" s="126"/>
      <c r="IL85" s="126"/>
      <c r="IM85" s="126"/>
      <c r="IN85" s="126"/>
      <c r="IO85" s="126"/>
      <c r="IP85" s="126"/>
      <c r="IQ85" s="126"/>
      <c r="IR85" s="126"/>
      <c r="IS85" s="126"/>
      <c r="IT85" s="126"/>
      <c r="IU85" s="126"/>
      <c r="IV85" s="126"/>
      <c r="IW85" s="126"/>
      <c r="IX85" s="126"/>
      <c r="IY85" s="126"/>
      <c r="IZ85" s="126"/>
      <c r="JA85" s="126"/>
      <c r="JB85" s="126"/>
      <c r="JC85" s="126"/>
      <c r="JD85" s="126"/>
      <c r="JE85" s="126"/>
    </row>
    <row r="86" spans="1:265" ht="28" x14ac:dyDescent="0.15">
      <c r="A86" s="122" t="s">
        <v>145</v>
      </c>
      <c r="B86" s="123" t="s">
        <v>146</v>
      </c>
      <c r="C86" s="124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116"/>
      <c r="EH86" s="117"/>
      <c r="EI86" s="73"/>
      <c r="EJ86" s="73"/>
      <c r="EK86" s="73"/>
      <c r="EL86" s="73"/>
      <c r="EM86" s="73"/>
      <c r="EN86" s="73"/>
      <c r="EO86" s="73"/>
      <c r="EP86" s="73"/>
      <c r="EQ86" s="73"/>
      <c r="ER86" s="73"/>
      <c r="ES86" s="73"/>
      <c r="ET86" s="73"/>
      <c r="EU86" s="73"/>
      <c r="EV86" s="73"/>
      <c r="EW86" s="73"/>
      <c r="EX86" s="73"/>
      <c r="EY86" s="73"/>
      <c r="EZ86" s="73"/>
      <c r="FA86" s="73"/>
      <c r="FB86" s="73"/>
      <c r="FC86" s="73"/>
      <c r="FD86" s="73"/>
      <c r="FE86" s="73"/>
      <c r="FF86" s="73"/>
      <c r="FG86" s="73"/>
      <c r="FH86" s="73"/>
      <c r="FI86" s="73"/>
      <c r="FJ86" s="73"/>
      <c r="FK86" s="73"/>
      <c r="FL86" s="73"/>
      <c r="FM86" s="73"/>
      <c r="FN86" s="73"/>
      <c r="FO86" s="73"/>
      <c r="FP86" s="73"/>
      <c r="FQ86" s="73"/>
      <c r="FR86" s="73"/>
      <c r="FS86" s="73"/>
      <c r="FT86" s="73"/>
      <c r="FU86" s="73"/>
      <c r="FV86" s="73"/>
      <c r="FW86" s="73"/>
      <c r="FX86" s="73"/>
      <c r="FY86" s="73"/>
      <c r="FZ86" s="73"/>
      <c r="GA86" s="73"/>
      <c r="GB86" s="73"/>
      <c r="GC86" s="73"/>
      <c r="GD86" s="73"/>
      <c r="GE86" s="73"/>
      <c r="GF86" s="73"/>
      <c r="GG86" s="73"/>
      <c r="GH86" s="73"/>
      <c r="GI86" s="73"/>
      <c r="GJ86" s="73"/>
      <c r="GK86" s="73"/>
      <c r="GL86" s="73"/>
      <c r="GM86" s="73"/>
      <c r="GN86" s="68">
        <v>0</v>
      </c>
      <c r="GO86" s="68">
        <v>5</v>
      </c>
      <c r="GP86" s="68">
        <v>2</v>
      </c>
      <c r="GQ86" s="68">
        <v>9</v>
      </c>
      <c r="GR86" s="125">
        <v>1</v>
      </c>
      <c r="GS86" s="125">
        <v>13</v>
      </c>
      <c r="GT86" s="125">
        <v>1</v>
      </c>
      <c r="GU86" s="125">
        <v>11</v>
      </c>
      <c r="GV86" s="125">
        <v>0</v>
      </c>
      <c r="GW86" s="125">
        <v>17</v>
      </c>
      <c r="GX86" s="125">
        <v>2</v>
      </c>
      <c r="GY86" s="125">
        <v>15</v>
      </c>
      <c r="GZ86" s="125">
        <v>0</v>
      </c>
      <c r="HA86" s="125">
        <v>1</v>
      </c>
      <c r="HB86" s="125">
        <v>2</v>
      </c>
      <c r="HC86" s="125">
        <v>3</v>
      </c>
      <c r="HD86" s="73"/>
      <c r="HE86" s="73"/>
      <c r="HF86" s="126"/>
      <c r="HG86" s="126"/>
      <c r="HH86" s="126"/>
      <c r="HI86" s="126"/>
      <c r="HJ86" s="126"/>
      <c r="HK86" s="126"/>
      <c r="HL86" s="126"/>
      <c r="HM86" s="126"/>
      <c r="HN86" s="126"/>
      <c r="HO86" s="126"/>
      <c r="HP86" s="126"/>
      <c r="HQ86" s="126"/>
      <c r="HR86" s="126"/>
      <c r="HS86" s="126"/>
      <c r="HT86" s="126"/>
      <c r="HU86" s="126"/>
      <c r="HV86" s="126"/>
      <c r="HW86" s="126"/>
      <c r="HX86" s="126"/>
      <c r="HY86" s="126"/>
      <c r="HZ86" s="126"/>
      <c r="IA86" s="126"/>
      <c r="IB86" s="126"/>
      <c r="IC86" s="126"/>
      <c r="ID86" s="126"/>
      <c r="IE86" s="126"/>
      <c r="IF86" s="126"/>
      <c r="IG86" s="126"/>
      <c r="IH86" s="126"/>
      <c r="II86" s="126"/>
      <c r="IJ86" s="126"/>
      <c r="IK86" s="126"/>
      <c r="IL86" s="126"/>
      <c r="IM86" s="126"/>
      <c r="IN86" s="126"/>
      <c r="IO86" s="126"/>
      <c r="IP86" s="126"/>
      <c r="IQ86" s="126"/>
      <c r="IR86" s="126"/>
      <c r="IS86" s="126"/>
      <c r="IT86" s="126"/>
      <c r="IU86" s="126"/>
      <c r="IV86" s="126"/>
      <c r="IW86" s="126"/>
      <c r="IX86" s="126"/>
      <c r="IY86" s="126"/>
      <c r="IZ86" s="126"/>
      <c r="JA86" s="126"/>
      <c r="JB86" s="126"/>
      <c r="JC86" s="126"/>
      <c r="JD86" s="126"/>
      <c r="JE86" s="126"/>
    </row>
    <row r="87" spans="1:265" ht="25.5" customHeight="1" x14ac:dyDescent="0.15">
      <c r="A87" s="122" t="s">
        <v>147</v>
      </c>
      <c r="B87" s="123" t="s">
        <v>148</v>
      </c>
      <c r="C87" s="124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116"/>
      <c r="EH87" s="117"/>
      <c r="EI87" s="73"/>
      <c r="EJ87" s="73"/>
      <c r="EK87" s="73"/>
      <c r="EL87" s="73"/>
      <c r="EM87" s="73"/>
      <c r="EN87" s="73"/>
      <c r="EO87" s="73"/>
      <c r="EP87" s="73"/>
      <c r="EQ87" s="73"/>
      <c r="ER87" s="73"/>
      <c r="ES87" s="73"/>
      <c r="ET87" s="73"/>
      <c r="EU87" s="73"/>
      <c r="EV87" s="73"/>
      <c r="EW87" s="73"/>
      <c r="EX87" s="73"/>
      <c r="EY87" s="73"/>
      <c r="EZ87" s="73"/>
      <c r="FA87" s="73"/>
      <c r="FB87" s="73"/>
      <c r="FC87" s="73"/>
      <c r="FD87" s="73"/>
      <c r="FE87" s="73"/>
      <c r="FF87" s="73"/>
      <c r="FG87" s="73"/>
      <c r="FH87" s="73"/>
      <c r="FI87" s="73"/>
      <c r="FJ87" s="73"/>
      <c r="FK87" s="73"/>
      <c r="FL87" s="73"/>
      <c r="FM87" s="73"/>
      <c r="FN87" s="73"/>
      <c r="FO87" s="73"/>
      <c r="FP87" s="73"/>
      <c r="FQ87" s="73"/>
      <c r="FR87" s="73"/>
      <c r="FS87" s="73"/>
      <c r="FT87" s="73"/>
      <c r="FU87" s="73"/>
      <c r="FV87" s="73"/>
      <c r="FW87" s="73"/>
      <c r="FX87" s="73"/>
      <c r="FY87" s="73"/>
      <c r="FZ87" s="73"/>
      <c r="GA87" s="73"/>
      <c r="GB87" s="73"/>
      <c r="GC87" s="73"/>
      <c r="GD87" s="73"/>
      <c r="GE87" s="73"/>
      <c r="GF87" s="73"/>
      <c r="GG87" s="73"/>
      <c r="GH87" s="73"/>
      <c r="GI87" s="73"/>
      <c r="GJ87" s="73"/>
      <c r="GK87" s="73"/>
      <c r="GL87" s="73"/>
      <c r="GM87" s="73"/>
      <c r="GN87" s="68">
        <v>36</v>
      </c>
      <c r="GO87" s="68">
        <v>204</v>
      </c>
      <c r="GP87" s="68">
        <v>10</v>
      </c>
      <c r="GQ87" s="68">
        <v>66</v>
      </c>
      <c r="GR87" s="125">
        <v>4</v>
      </c>
      <c r="GS87" s="125">
        <v>45</v>
      </c>
      <c r="GT87" s="125">
        <v>10</v>
      </c>
      <c r="GU87" s="125">
        <v>54</v>
      </c>
      <c r="GV87" s="125">
        <v>13</v>
      </c>
      <c r="GW87" s="125">
        <v>86</v>
      </c>
      <c r="GX87" s="125">
        <v>9</v>
      </c>
      <c r="GY87" s="125">
        <v>91</v>
      </c>
      <c r="GZ87" s="125">
        <v>12</v>
      </c>
      <c r="HA87" s="125">
        <v>63</v>
      </c>
      <c r="HB87" s="125">
        <v>6</v>
      </c>
      <c r="HC87" s="125">
        <v>33</v>
      </c>
      <c r="HD87" s="73"/>
      <c r="HE87" s="73"/>
      <c r="HF87" s="126"/>
      <c r="HG87" s="126"/>
      <c r="HH87" s="126"/>
      <c r="HI87" s="126"/>
      <c r="HJ87" s="126"/>
      <c r="HK87" s="126"/>
      <c r="HL87" s="126"/>
      <c r="HM87" s="126"/>
      <c r="HN87" s="126"/>
      <c r="HO87" s="126"/>
      <c r="HP87" s="126"/>
      <c r="HQ87" s="126"/>
      <c r="HR87" s="126"/>
      <c r="HS87" s="126"/>
      <c r="HT87" s="126"/>
      <c r="HU87" s="126"/>
      <c r="HV87" s="126"/>
      <c r="HW87" s="126"/>
      <c r="HX87" s="126"/>
      <c r="HY87" s="126"/>
      <c r="HZ87" s="126"/>
      <c r="IA87" s="126"/>
      <c r="IB87" s="126"/>
      <c r="IC87" s="126"/>
      <c r="ID87" s="126"/>
      <c r="IE87" s="126"/>
      <c r="IF87" s="126"/>
      <c r="IG87" s="126"/>
      <c r="IH87" s="126"/>
      <c r="II87" s="126"/>
      <c r="IJ87" s="126"/>
      <c r="IK87" s="126"/>
      <c r="IL87" s="126"/>
      <c r="IM87" s="126"/>
      <c r="IN87" s="126"/>
      <c r="IO87" s="126"/>
      <c r="IP87" s="126"/>
      <c r="IQ87" s="126"/>
      <c r="IR87" s="126"/>
      <c r="IS87" s="126"/>
      <c r="IT87" s="126"/>
      <c r="IU87" s="126"/>
      <c r="IV87" s="126"/>
      <c r="IW87" s="126"/>
      <c r="IX87" s="126"/>
      <c r="IY87" s="126"/>
      <c r="IZ87" s="126"/>
      <c r="JA87" s="126"/>
      <c r="JB87" s="126"/>
      <c r="JC87" s="126"/>
      <c r="JD87" s="126"/>
      <c r="JE87" s="126"/>
    </row>
    <row r="88" spans="1:265" ht="28" x14ac:dyDescent="0.15">
      <c r="A88" s="122" t="s">
        <v>149</v>
      </c>
      <c r="B88" s="123" t="s">
        <v>150</v>
      </c>
      <c r="C88" s="124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116"/>
      <c r="EH88" s="117"/>
      <c r="EI88" s="73"/>
      <c r="EJ88" s="73"/>
      <c r="EK88" s="73"/>
      <c r="EL88" s="73"/>
      <c r="EM88" s="73"/>
      <c r="EN88" s="73"/>
      <c r="EO88" s="73"/>
      <c r="EP88" s="73"/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/>
      <c r="FO88" s="73"/>
      <c r="FP88" s="73"/>
      <c r="FQ88" s="73"/>
      <c r="FR88" s="73"/>
      <c r="FS88" s="73"/>
      <c r="FT88" s="73"/>
      <c r="FU88" s="73"/>
      <c r="FV88" s="73"/>
      <c r="FW88" s="73"/>
      <c r="FX88" s="73"/>
      <c r="FY88" s="73"/>
      <c r="FZ88" s="73"/>
      <c r="GA88" s="73"/>
      <c r="GB88" s="73"/>
      <c r="GC88" s="73"/>
      <c r="GD88" s="73"/>
      <c r="GE88" s="73"/>
      <c r="GF88" s="73"/>
      <c r="GG88" s="73"/>
      <c r="GH88" s="73"/>
      <c r="GI88" s="73"/>
      <c r="GJ88" s="73"/>
      <c r="GK88" s="73"/>
      <c r="GL88" s="73"/>
      <c r="GM88" s="73"/>
      <c r="GN88" s="68">
        <v>0</v>
      </c>
      <c r="GO88" s="68">
        <v>4</v>
      </c>
      <c r="GP88" s="68">
        <v>1</v>
      </c>
      <c r="GQ88" s="68">
        <v>11</v>
      </c>
      <c r="GR88" s="125">
        <v>4</v>
      </c>
      <c r="GS88" s="125">
        <v>24</v>
      </c>
      <c r="GT88" s="125">
        <v>1</v>
      </c>
      <c r="GU88" s="125">
        <v>19</v>
      </c>
      <c r="GV88" s="125">
        <v>1</v>
      </c>
      <c r="GW88" s="125">
        <v>13</v>
      </c>
      <c r="GX88" s="125">
        <v>1</v>
      </c>
      <c r="GY88" s="127">
        <v>22</v>
      </c>
      <c r="GZ88" s="125">
        <v>0</v>
      </c>
      <c r="HA88" s="125">
        <v>11</v>
      </c>
      <c r="HB88" s="125">
        <v>1</v>
      </c>
      <c r="HC88" s="125">
        <v>9</v>
      </c>
      <c r="HD88" s="73"/>
      <c r="HE88" s="73"/>
      <c r="HF88" s="126"/>
      <c r="HG88" s="126"/>
      <c r="HH88" s="126"/>
      <c r="HI88" s="126"/>
      <c r="HJ88" s="126"/>
      <c r="HK88" s="126"/>
      <c r="HL88" s="126"/>
      <c r="HM88" s="126"/>
      <c r="HN88" s="126"/>
      <c r="HO88" s="126"/>
      <c r="HP88" s="126"/>
      <c r="HQ88" s="126"/>
      <c r="HR88" s="126"/>
      <c r="HS88" s="126"/>
      <c r="HT88" s="126"/>
      <c r="HU88" s="126"/>
      <c r="HV88" s="126"/>
      <c r="HW88" s="126"/>
      <c r="HX88" s="126"/>
      <c r="HY88" s="126"/>
      <c r="HZ88" s="126"/>
      <c r="IA88" s="126"/>
      <c r="IB88" s="126"/>
      <c r="IC88" s="126"/>
      <c r="ID88" s="126"/>
      <c r="IE88" s="126"/>
      <c r="IF88" s="126"/>
      <c r="IG88" s="126"/>
      <c r="IH88" s="126"/>
      <c r="II88" s="126"/>
      <c r="IJ88" s="126"/>
      <c r="IK88" s="126"/>
      <c r="IL88" s="126"/>
      <c r="IM88" s="126"/>
      <c r="IN88" s="126"/>
      <c r="IO88" s="126"/>
      <c r="IP88" s="126"/>
      <c r="IQ88" s="126"/>
      <c r="IR88" s="126"/>
      <c r="IS88" s="126"/>
      <c r="IT88" s="126"/>
      <c r="IU88" s="126"/>
      <c r="IV88" s="126"/>
      <c r="IW88" s="126"/>
      <c r="IX88" s="126"/>
      <c r="IY88" s="126"/>
      <c r="IZ88" s="126"/>
      <c r="JA88" s="126"/>
      <c r="JB88" s="126"/>
      <c r="JC88" s="126"/>
      <c r="JD88" s="126"/>
      <c r="JE88" s="126"/>
    </row>
    <row r="89" spans="1:265" ht="14" x14ac:dyDescent="0.15">
      <c r="A89" s="128"/>
      <c r="B89" s="129" t="s">
        <v>151</v>
      </c>
      <c r="C89" s="129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  <c r="CJ89" s="128"/>
      <c r="CK89" s="128"/>
      <c r="CL89" s="128"/>
      <c r="CM89" s="128"/>
      <c r="CN89" s="128"/>
      <c r="CO89" s="128"/>
      <c r="CP89" s="128"/>
      <c r="CQ89" s="128"/>
      <c r="CR89" s="128"/>
      <c r="CS89" s="128"/>
      <c r="CT89" s="128"/>
      <c r="CU89" s="128"/>
      <c r="CV89" s="128"/>
      <c r="CW89" s="128"/>
      <c r="CX89" s="128"/>
      <c r="CY89" s="128"/>
      <c r="CZ89" s="128"/>
      <c r="DA89" s="128"/>
      <c r="DB89" s="128"/>
      <c r="DC89" s="128"/>
      <c r="DD89" s="128"/>
      <c r="DE89" s="128"/>
      <c r="DF89" s="128"/>
      <c r="DG89" s="128"/>
      <c r="DH89" s="128"/>
      <c r="DI89" s="128"/>
      <c r="DJ89" s="128"/>
      <c r="DK89" s="128"/>
      <c r="DL89" s="128"/>
      <c r="DM89" s="128"/>
      <c r="DN89" s="128"/>
      <c r="DO89" s="128"/>
      <c r="DP89" s="128"/>
      <c r="DQ89" s="128"/>
      <c r="DR89" s="128"/>
      <c r="DS89" s="128"/>
      <c r="DT89" s="128"/>
      <c r="DU89" s="128"/>
      <c r="DV89" s="128"/>
      <c r="DW89" s="128"/>
      <c r="DX89" s="128"/>
      <c r="DY89" s="128"/>
      <c r="DZ89" s="128"/>
      <c r="EA89" s="128"/>
      <c r="EB89" s="128"/>
      <c r="EC89" s="128"/>
      <c r="ED89" s="128"/>
      <c r="EE89" s="128"/>
      <c r="EF89" s="128"/>
      <c r="EG89" s="128"/>
      <c r="EH89" s="128"/>
      <c r="EI89" s="128"/>
      <c r="EJ89" s="128"/>
      <c r="EK89" s="128"/>
      <c r="EL89" s="128"/>
      <c r="EM89" s="128"/>
      <c r="EN89" s="128"/>
      <c r="EO89" s="128"/>
      <c r="EP89" s="128"/>
      <c r="EQ89" s="128"/>
      <c r="ER89" s="128"/>
      <c r="ES89" s="128"/>
      <c r="ET89" s="128"/>
      <c r="EU89" s="128"/>
      <c r="EV89" s="128"/>
      <c r="EW89" s="128"/>
      <c r="EX89" s="128"/>
      <c r="EY89" s="128"/>
      <c r="EZ89" s="128"/>
      <c r="FA89" s="128"/>
      <c r="FB89" s="128"/>
      <c r="FC89" s="128"/>
      <c r="FD89" s="128"/>
      <c r="FE89" s="128"/>
      <c r="FF89" s="128"/>
      <c r="FG89" s="128"/>
      <c r="FH89" s="128"/>
      <c r="FI89" s="128"/>
      <c r="FJ89" s="128"/>
      <c r="FK89" s="128"/>
      <c r="FL89" s="128"/>
      <c r="FM89" s="128"/>
      <c r="FN89" s="128"/>
      <c r="FO89" s="128"/>
      <c r="FP89" s="128"/>
      <c r="FQ89" s="128"/>
      <c r="FR89" s="128"/>
      <c r="FS89" s="128"/>
      <c r="FT89" s="128"/>
      <c r="FU89" s="128"/>
      <c r="FV89" s="128"/>
      <c r="FW89" s="128"/>
      <c r="FX89" s="128"/>
      <c r="FY89" s="128"/>
      <c r="FZ89" s="128"/>
      <c r="GA89" s="128"/>
      <c r="GB89" s="128"/>
      <c r="GC89" s="128"/>
      <c r="GD89" s="128"/>
      <c r="GE89" s="128"/>
      <c r="GF89" s="128"/>
      <c r="GG89" s="128"/>
      <c r="GH89" s="128"/>
      <c r="GI89" s="128"/>
      <c r="GJ89" s="128"/>
      <c r="GK89" s="128"/>
      <c r="GL89" s="128"/>
      <c r="GM89" s="128"/>
      <c r="GN89" s="119">
        <f>SUM(GN84:GN88)</f>
        <v>53</v>
      </c>
      <c r="GO89" s="119">
        <f>SUM(GO84:GO88)</f>
        <v>284</v>
      </c>
      <c r="GP89" s="119">
        <f>SUM(GP84:GP88)</f>
        <v>54</v>
      </c>
      <c r="GQ89" s="119">
        <f t="shared" ref="GQ89:JB89" si="26">SUM(GQ84:GQ88)</f>
        <v>252</v>
      </c>
      <c r="GR89" s="119">
        <f t="shared" si="26"/>
        <v>51</v>
      </c>
      <c r="GS89" s="119">
        <f t="shared" si="26"/>
        <v>213</v>
      </c>
      <c r="GT89" s="119">
        <f t="shared" si="26"/>
        <v>44</v>
      </c>
      <c r="GU89" s="119">
        <f t="shared" si="26"/>
        <v>183</v>
      </c>
      <c r="GV89" s="119">
        <f t="shared" si="26"/>
        <v>39</v>
      </c>
      <c r="GW89" s="119">
        <f t="shared" si="26"/>
        <v>223</v>
      </c>
      <c r="GX89" s="119">
        <f t="shared" si="26"/>
        <v>39</v>
      </c>
      <c r="GY89" s="119">
        <f t="shared" si="26"/>
        <v>255</v>
      </c>
      <c r="GZ89" s="119">
        <f t="shared" si="26"/>
        <v>33</v>
      </c>
      <c r="HA89" s="119">
        <f t="shared" si="26"/>
        <v>170</v>
      </c>
      <c r="HB89" s="119">
        <f t="shared" si="26"/>
        <v>17</v>
      </c>
      <c r="HC89" s="119">
        <f t="shared" si="26"/>
        <v>73</v>
      </c>
      <c r="HD89" s="119">
        <f t="shared" si="26"/>
        <v>0</v>
      </c>
      <c r="HE89" s="119">
        <f t="shared" si="26"/>
        <v>0</v>
      </c>
      <c r="HF89" s="119">
        <f t="shared" si="26"/>
        <v>0</v>
      </c>
      <c r="HG89" s="119">
        <f t="shared" si="26"/>
        <v>0</v>
      </c>
      <c r="HH89" s="119">
        <f t="shared" si="26"/>
        <v>0</v>
      </c>
      <c r="HI89" s="119">
        <f t="shared" si="26"/>
        <v>0</v>
      </c>
      <c r="HJ89" s="119">
        <f t="shared" si="26"/>
        <v>0</v>
      </c>
      <c r="HK89" s="119">
        <f t="shared" si="26"/>
        <v>0</v>
      </c>
      <c r="HL89" s="119">
        <f t="shared" si="26"/>
        <v>0</v>
      </c>
      <c r="HM89" s="119">
        <f t="shared" si="26"/>
        <v>0</v>
      </c>
      <c r="HN89" s="119">
        <f t="shared" si="26"/>
        <v>0</v>
      </c>
      <c r="HO89" s="119">
        <f t="shared" si="26"/>
        <v>0</v>
      </c>
      <c r="HP89" s="119">
        <f t="shared" si="26"/>
        <v>0</v>
      </c>
      <c r="HQ89" s="119">
        <f t="shared" si="26"/>
        <v>0</v>
      </c>
      <c r="HR89" s="119">
        <f t="shared" si="26"/>
        <v>0</v>
      </c>
      <c r="HS89" s="119">
        <f t="shared" si="26"/>
        <v>0</v>
      </c>
      <c r="HT89" s="119">
        <f t="shared" si="26"/>
        <v>0</v>
      </c>
      <c r="HU89" s="119">
        <f t="shared" si="26"/>
        <v>0</v>
      </c>
      <c r="HV89" s="119">
        <f t="shared" si="26"/>
        <v>0</v>
      </c>
      <c r="HW89" s="119">
        <f t="shared" si="26"/>
        <v>0</v>
      </c>
      <c r="HX89" s="119">
        <f t="shared" si="26"/>
        <v>0</v>
      </c>
      <c r="HY89" s="119">
        <f t="shared" si="26"/>
        <v>0</v>
      </c>
      <c r="HZ89" s="119">
        <f t="shared" si="26"/>
        <v>0</v>
      </c>
      <c r="IA89" s="119">
        <f t="shared" si="26"/>
        <v>0</v>
      </c>
      <c r="IB89" s="119">
        <f t="shared" si="26"/>
        <v>0</v>
      </c>
      <c r="IC89" s="119">
        <f t="shared" si="26"/>
        <v>0</v>
      </c>
      <c r="ID89" s="119">
        <f t="shared" si="26"/>
        <v>0</v>
      </c>
      <c r="IE89" s="119">
        <f t="shared" si="26"/>
        <v>0</v>
      </c>
      <c r="IF89" s="119">
        <f t="shared" si="26"/>
        <v>0</v>
      </c>
      <c r="IG89" s="119">
        <f t="shared" si="26"/>
        <v>0</v>
      </c>
      <c r="IH89" s="119">
        <f t="shared" si="26"/>
        <v>0</v>
      </c>
      <c r="II89" s="119">
        <f t="shared" si="26"/>
        <v>0</v>
      </c>
      <c r="IJ89" s="119">
        <f t="shared" si="26"/>
        <v>0</v>
      </c>
      <c r="IK89" s="119">
        <f t="shared" si="26"/>
        <v>0</v>
      </c>
      <c r="IL89" s="119">
        <f t="shared" si="26"/>
        <v>0</v>
      </c>
      <c r="IM89" s="119">
        <f t="shared" si="26"/>
        <v>0</v>
      </c>
      <c r="IN89" s="119">
        <f t="shared" si="26"/>
        <v>0</v>
      </c>
      <c r="IO89" s="119">
        <f t="shared" si="26"/>
        <v>0</v>
      </c>
      <c r="IP89" s="119">
        <f t="shared" si="26"/>
        <v>0</v>
      </c>
      <c r="IQ89" s="119">
        <f t="shared" si="26"/>
        <v>0</v>
      </c>
      <c r="IR89" s="119">
        <f t="shared" si="26"/>
        <v>0</v>
      </c>
      <c r="IS89" s="119">
        <f t="shared" si="26"/>
        <v>0</v>
      </c>
      <c r="IT89" s="119">
        <f t="shared" si="26"/>
        <v>0</v>
      </c>
      <c r="IU89" s="119">
        <f t="shared" si="26"/>
        <v>0</v>
      </c>
      <c r="IV89" s="119">
        <f t="shared" si="26"/>
        <v>0</v>
      </c>
      <c r="IW89" s="119">
        <f t="shared" si="26"/>
        <v>0</v>
      </c>
      <c r="IX89" s="119">
        <f t="shared" si="26"/>
        <v>0</v>
      </c>
      <c r="IY89" s="119">
        <f t="shared" si="26"/>
        <v>0</v>
      </c>
      <c r="IZ89" s="119">
        <f t="shared" si="26"/>
        <v>0</v>
      </c>
      <c r="JA89" s="119">
        <f t="shared" si="26"/>
        <v>0</v>
      </c>
      <c r="JB89" s="119">
        <f t="shared" si="26"/>
        <v>0</v>
      </c>
      <c r="JC89" s="119">
        <f t="shared" ref="JC89:JE89" si="27">SUM(JC84:JC88)</f>
        <v>0</v>
      </c>
      <c r="JD89" s="119">
        <f t="shared" si="27"/>
        <v>0</v>
      </c>
      <c r="JE89" s="119">
        <f t="shared" si="27"/>
        <v>0</v>
      </c>
    </row>
    <row r="90" spans="1:265" ht="25.5" customHeight="1" x14ac:dyDescent="0.15">
      <c r="A90" s="130" t="s">
        <v>152</v>
      </c>
      <c r="B90" s="131" t="s">
        <v>142</v>
      </c>
      <c r="C90" s="132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80"/>
      <c r="EG90" s="116"/>
      <c r="EH90" s="117"/>
      <c r="EI90" s="80"/>
      <c r="EJ90" s="73"/>
      <c r="EK90" s="73"/>
      <c r="EL90" s="73"/>
      <c r="EM90" s="73"/>
      <c r="EN90" s="73"/>
      <c r="EO90" s="73"/>
      <c r="EP90" s="73"/>
      <c r="EQ90" s="73"/>
      <c r="ER90" s="73"/>
      <c r="ES90" s="73"/>
      <c r="ET90" s="73"/>
      <c r="EU90" s="73"/>
      <c r="EV90" s="73"/>
      <c r="EW90" s="73"/>
      <c r="EX90" s="73"/>
      <c r="EY90" s="73"/>
      <c r="EZ90" s="73"/>
      <c r="FA90" s="73"/>
      <c r="FB90" s="73"/>
      <c r="FC90" s="73"/>
      <c r="FD90" s="73"/>
      <c r="FE90" s="73"/>
      <c r="FF90" s="73"/>
      <c r="FG90" s="73"/>
      <c r="FH90" s="73"/>
      <c r="FI90" s="73"/>
      <c r="FJ90" s="73"/>
      <c r="FK90" s="73"/>
      <c r="FL90" s="73"/>
      <c r="FM90" s="73"/>
      <c r="FN90" s="73"/>
      <c r="FO90" s="73"/>
      <c r="FP90" s="73"/>
      <c r="FQ90" s="73"/>
      <c r="FR90" s="73"/>
      <c r="FS90" s="73"/>
      <c r="FT90" s="73"/>
      <c r="FU90" s="73"/>
      <c r="FV90" s="73"/>
      <c r="FW90" s="73"/>
      <c r="FX90" s="73"/>
      <c r="FY90" s="73"/>
      <c r="FZ90" s="73"/>
      <c r="GA90" s="73"/>
      <c r="GB90" s="73"/>
      <c r="GC90" s="73"/>
      <c r="GD90" s="73"/>
      <c r="GE90" s="73"/>
      <c r="GF90" s="73"/>
      <c r="GG90" s="73"/>
      <c r="GH90" s="73"/>
      <c r="GI90" s="73"/>
      <c r="GJ90" s="73"/>
      <c r="GK90" s="73"/>
      <c r="GL90" s="73"/>
      <c r="GM90" s="73"/>
      <c r="GN90" s="73"/>
      <c r="GO90" s="73"/>
      <c r="GP90" s="73"/>
      <c r="GQ90" s="73"/>
      <c r="GR90" s="73"/>
      <c r="GS90" s="73"/>
      <c r="GT90" s="73"/>
      <c r="GU90" s="73"/>
      <c r="GV90" s="73"/>
      <c r="GW90" s="73"/>
      <c r="GX90" s="73"/>
      <c r="GY90" s="73"/>
      <c r="GZ90" s="73"/>
      <c r="HA90" s="73"/>
      <c r="HB90" s="125">
        <v>3</v>
      </c>
      <c r="HC90" s="125">
        <v>28</v>
      </c>
      <c r="HD90" s="125">
        <v>0</v>
      </c>
      <c r="HE90" s="125">
        <v>8</v>
      </c>
      <c r="HF90" s="125">
        <v>3</v>
      </c>
      <c r="HG90" s="125">
        <v>10</v>
      </c>
      <c r="HH90" s="125">
        <v>0</v>
      </c>
      <c r="HI90" s="125">
        <v>11</v>
      </c>
      <c r="HJ90" s="125">
        <v>0</v>
      </c>
      <c r="HK90" s="125">
        <v>9</v>
      </c>
      <c r="HL90" s="125">
        <v>1</v>
      </c>
      <c r="HM90" s="125">
        <v>6</v>
      </c>
      <c r="HN90" s="125">
        <v>1</v>
      </c>
      <c r="HO90" s="125">
        <v>8</v>
      </c>
      <c r="HP90" s="125">
        <v>0</v>
      </c>
      <c r="HQ90" s="125">
        <v>6</v>
      </c>
      <c r="HR90" s="125">
        <v>0</v>
      </c>
      <c r="HS90" s="125">
        <v>4</v>
      </c>
      <c r="HT90" s="125">
        <v>0</v>
      </c>
      <c r="HU90" s="125">
        <v>3</v>
      </c>
      <c r="HV90" s="125">
        <v>0</v>
      </c>
      <c r="HW90" s="125">
        <v>2</v>
      </c>
      <c r="HX90" s="125">
        <v>0</v>
      </c>
      <c r="HY90" s="125">
        <v>2</v>
      </c>
      <c r="HZ90" s="125">
        <v>0</v>
      </c>
      <c r="IA90" s="125">
        <v>5</v>
      </c>
      <c r="IB90" s="125">
        <v>0</v>
      </c>
      <c r="IC90" s="125">
        <v>4</v>
      </c>
      <c r="ID90" s="125">
        <v>0</v>
      </c>
      <c r="IE90" s="125">
        <v>4</v>
      </c>
      <c r="IF90" s="125">
        <v>0</v>
      </c>
      <c r="IG90" s="125">
        <v>7</v>
      </c>
      <c r="IH90" s="125">
        <v>0</v>
      </c>
      <c r="II90" s="125">
        <v>1</v>
      </c>
      <c r="IJ90" s="125">
        <v>0</v>
      </c>
      <c r="IK90" s="125">
        <v>4</v>
      </c>
      <c r="IL90" s="125">
        <v>0</v>
      </c>
      <c r="IM90" s="125">
        <v>8</v>
      </c>
      <c r="IN90" s="125">
        <v>0</v>
      </c>
      <c r="IO90" s="125">
        <v>3</v>
      </c>
      <c r="IP90" s="125">
        <v>0</v>
      </c>
      <c r="IQ90" s="125">
        <v>7</v>
      </c>
      <c r="IR90" s="125">
        <v>0</v>
      </c>
      <c r="IS90" s="125">
        <v>5</v>
      </c>
      <c r="IT90" s="125">
        <v>0</v>
      </c>
      <c r="IU90" s="125">
        <v>2</v>
      </c>
      <c r="IV90" s="125">
        <v>0</v>
      </c>
      <c r="IW90" s="125">
        <v>0</v>
      </c>
      <c r="IX90" s="125">
        <v>0</v>
      </c>
      <c r="IY90" s="125">
        <v>24</v>
      </c>
      <c r="IZ90" s="125">
        <v>2</v>
      </c>
      <c r="JA90" s="125">
        <v>11</v>
      </c>
      <c r="JB90" s="125">
        <v>0</v>
      </c>
      <c r="JC90" s="125">
        <v>16</v>
      </c>
      <c r="JD90" s="125">
        <v>2</v>
      </c>
      <c r="JE90" s="125">
        <v>15</v>
      </c>
    </row>
    <row r="91" spans="1:265" ht="25.5" customHeight="1" x14ac:dyDescent="0.15">
      <c r="A91" s="130" t="s">
        <v>153</v>
      </c>
      <c r="B91" s="131" t="s">
        <v>144</v>
      </c>
      <c r="C91" s="132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116"/>
      <c r="EH91" s="117"/>
      <c r="EI91" s="73"/>
      <c r="EJ91" s="73"/>
      <c r="EK91" s="73"/>
      <c r="EL91" s="73"/>
      <c r="EM91" s="73"/>
      <c r="EN91" s="73"/>
      <c r="EO91" s="73"/>
      <c r="EP91" s="73"/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  <c r="FK91" s="73"/>
      <c r="FL91" s="73"/>
      <c r="FM91" s="73"/>
      <c r="FN91" s="73"/>
      <c r="FO91" s="73"/>
      <c r="FP91" s="73"/>
      <c r="FQ91" s="73"/>
      <c r="FR91" s="73"/>
      <c r="FS91" s="73"/>
      <c r="FT91" s="73"/>
      <c r="FU91" s="73"/>
      <c r="FV91" s="73"/>
      <c r="FW91" s="73"/>
      <c r="FX91" s="73"/>
      <c r="FY91" s="73"/>
      <c r="FZ91" s="73"/>
      <c r="GA91" s="73"/>
      <c r="GB91" s="73"/>
      <c r="GC91" s="73"/>
      <c r="GD91" s="73"/>
      <c r="GE91" s="73"/>
      <c r="GF91" s="73"/>
      <c r="GG91" s="73"/>
      <c r="GH91" s="73"/>
      <c r="GI91" s="73"/>
      <c r="GJ91" s="73"/>
      <c r="GK91" s="73"/>
      <c r="GL91" s="73"/>
      <c r="GM91" s="73"/>
      <c r="GN91" s="73"/>
      <c r="GO91" s="73"/>
      <c r="GP91" s="73"/>
      <c r="GQ91" s="73"/>
      <c r="GR91" s="73"/>
      <c r="GS91" s="73"/>
      <c r="GT91" s="73"/>
      <c r="GU91" s="73"/>
      <c r="GV91" s="73"/>
      <c r="GW91" s="73"/>
      <c r="GX91" s="73"/>
      <c r="GY91" s="73"/>
      <c r="GZ91" s="73"/>
      <c r="HA91" s="73"/>
      <c r="HB91" s="125">
        <v>0</v>
      </c>
      <c r="HC91" s="125">
        <v>56</v>
      </c>
      <c r="HD91" s="125">
        <v>0</v>
      </c>
      <c r="HE91" s="125">
        <v>20</v>
      </c>
      <c r="HF91" s="125">
        <v>1</v>
      </c>
      <c r="HG91" s="125">
        <v>29</v>
      </c>
      <c r="HH91" s="125">
        <v>1</v>
      </c>
      <c r="HI91" s="125">
        <v>10</v>
      </c>
      <c r="HJ91" s="125">
        <v>0</v>
      </c>
      <c r="HK91" s="125">
        <v>7</v>
      </c>
      <c r="HL91" s="125">
        <v>0</v>
      </c>
      <c r="HM91" s="125">
        <v>2</v>
      </c>
      <c r="HN91" s="125">
        <v>0</v>
      </c>
      <c r="HO91" s="125">
        <v>2</v>
      </c>
      <c r="HP91" s="125">
        <v>0</v>
      </c>
      <c r="HQ91" s="125">
        <v>5</v>
      </c>
      <c r="HR91" s="125">
        <v>0</v>
      </c>
      <c r="HS91" s="125">
        <v>1</v>
      </c>
      <c r="HT91" s="125">
        <v>0</v>
      </c>
      <c r="HU91" s="125">
        <v>1</v>
      </c>
      <c r="HV91" s="125">
        <v>0</v>
      </c>
      <c r="HW91" s="125">
        <v>2</v>
      </c>
      <c r="HX91" s="125">
        <v>0</v>
      </c>
      <c r="HY91" s="125">
        <v>0</v>
      </c>
      <c r="HZ91" s="125">
        <v>0</v>
      </c>
      <c r="IA91" s="125">
        <v>1</v>
      </c>
      <c r="IB91" s="125">
        <v>0</v>
      </c>
      <c r="IC91" s="125">
        <v>0</v>
      </c>
      <c r="ID91" s="125">
        <v>0</v>
      </c>
      <c r="IE91" s="125">
        <v>1</v>
      </c>
      <c r="IF91" s="125">
        <v>0</v>
      </c>
      <c r="IG91" s="125">
        <v>3</v>
      </c>
      <c r="IH91" s="125">
        <v>0</v>
      </c>
      <c r="II91" s="125">
        <v>2</v>
      </c>
      <c r="IJ91" s="125">
        <v>0</v>
      </c>
      <c r="IK91" s="125">
        <v>4</v>
      </c>
      <c r="IL91" s="125">
        <v>0</v>
      </c>
      <c r="IM91" s="125">
        <v>1</v>
      </c>
      <c r="IN91" s="125">
        <v>0</v>
      </c>
      <c r="IO91" s="125">
        <v>3</v>
      </c>
      <c r="IP91" s="125">
        <v>0</v>
      </c>
      <c r="IQ91" s="125">
        <v>1</v>
      </c>
      <c r="IR91" s="125">
        <v>0</v>
      </c>
      <c r="IS91" s="125">
        <v>0</v>
      </c>
      <c r="IT91" s="125">
        <v>0</v>
      </c>
      <c r="IU91" s="125">
        <v>0</v>
      </c>
      <c r="IV91" s="125">
        <v>0</v>
      </c>
      <c r="IW91" s="125">
        <v>0</v>
      </c>
      <c r="IX91" s="125">
        <v>0</v>
      </c>
      <c r="IY91" s="125">
        <v>13</v>
      </c>
      <c r="IZ91" s="125">
        <v>0</v>
      </c>
      <c r="JA91" s="125">
        <v>2</v>
      </c>
      <c r="JB91" s="125">
        <v>0</v>
      </c>
      <c r="JC91" s="125">
        <v>8</v>
      </c>
      <c r="JD91" s="125">
        <v>0</v>
      </c>
      <c r="JE91" s="125">
        <v>5</v>
      </c>
    </row>
    <row r="92" spans="1:265" ht="25.5" customHeight="1" x14ac:dyDescent="0.15">
      <c r="A92" s="130" t="s">
        <v>154</v>
      </c>
      <c r="B92" s="131" t="s">
        <v>146</v>
      </c>
      <c r="C92" s="132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116"/>
      <c r="EH92" s="117"/>
      <c r="EI92" s="73"/>
      <c r="EJ92" s="73"/>
      <c r="EK92" s="73"/>
      <c r="EL92" s="73"/>
      <c r="EM92" s="73"/>
      <c r="EN92" s="73"/>
      <c r="EO92" s="73"/>
      <c r="EP92" s="73"/>
      <c r="EQ92" s="73"/>
      <c r="ER92" s="73"/>
      <c r="ES92" s="73"/>
      <c r="ET92" s="73"/>
      <c r="EU92" s="73"/>
      <c r="EV92" s="73"/>
      <c r="EW92" s="73"/>
      <c r="EX92" s="73"/>
      <c r="EY92" s="73"/>
      <c r="EZ92" s="73"/>
      <c r="FA92" s="73"/>
      <c r="FB92" s="73"/>
      <c r="FC92" s="73"/>
      <c r="FD92" s="73"/>
      <c r="FE92" s="73"/>
      <c r="FF92" s="73"/>
      <c r="FG92" s="73"/>
      <c r="FH92" s="73"/>
      <c r="FI92" s="73"/>
      <c r="FJ92" s="73"/>
      <c r="FK92" s="73"/>
      <c r="FL92" s="73"/>
      <c r="FM92" s="73"/>
      <c r="FN92" s="73"/>
      <c r="FO92" s="73"/>
      <c r="FP92" s="73"/>
      <c r="FQ92" s="73"/>
      <c r="FR92" s="73"/>
      <c r="FS92" s="73"/>
      <c r="FT92" s="73"/>
      <c r="FU92" s="73"/>
      <c r="FV92" s="73"/>
      <c r="FW92" s="73"/>
      <c r="FX92" s="73"/>
      <c r="FY92" s="73"/>
      <c r="FZ92" s="73"/>
      <c r="GA92" s="73"/>
      <c r="GB92" s="73"/>
      <c r="GC92" s="73"/>
      <c r="GD92" s="73"/>
      <c r="GE92" s="73"/>
      <c r="GF92" s="73"/>
      <c r="GG92" s="73"/>
      <c r="GH92" s="73"/>
      <c r="GI92" s="73"/>
      <c r="GJ92" s="73"/>
      <c r="GK92" s="73"/>
      <c r="GL92" s="73"/>
      <c r="GM92" s="73"/>
      <c r="GN92" s="73"/>
      <c r="GO92" s="73"/>
      <c r="GP92" s="73"/>
      <c r="GQ92" s="73"/>
      <c r="GR92" s="73"/>
      <c r="GS92" s="73"/>
      <c r="GT92" s="73"/>
      <c r="GU92" s="73"/>
      <c r="GV92" s="73"/>
      <c r="GW92" s="73"/>
      <c r="GX92" s="73"/>
      <c r="GY92" s="73"/>
      <c r="GZ92" s="73"/>
      <c r="HA92" s="73"/>
      <c r="HB92" s="125">
        <v>0</v>
      </c>
      <c r="HC92" s="125">
        <v>6</v>
      </c>
      <c r="HD92" s="125">
        <v>0</v>
      </c>
      <c r="HE92" s="125">
        <v>1</v>
      </c>
      <c r="HF92" s="125">
        <v>0</v>
      </c>
      <c r="HG92" s="125">
        <v>2</v>
      </c>
      <c r="HH92" s="125">
        <v>0</v>
      </c>
      <c r="HI92" s="125">
        <v>0</v>
      </c>
      <c r="HJ92" s="125">
        <v>0</v>
      </c>
      <c r="HK92" s="125">
        <v>0</v>
      </c>
      <c r="HL92" s="125">
        <v>0</v>
      </c>
      <c r="HM92" s="125">
        <v>1</v>
      </c>
      <c r="HN92" s="125">
        <v>0</v>
      </c>
      <c r="HO92" s="125">
        <v>1</v>
      </c>
      <c r="HP92" s="125">
        <v>0</v>
      </c>
      <c r="HQ92" s="125">
        <v>1</v>
      </c>
      <c r="HR92" s="125">
        <v>0</v>
      </c>
      <c r="HS92" s="125">
        <v>2</v>
      </c>
      <c r="HT92" s="125">
        <v>0</v>
      </c>
      <c r="HU92" s="125">
        <v>0</v>
      </c>
      <c r="HV92" s="125">
        <v>0</v>
      </c>
      <c r="HW92" s="125">
        <v>0</v>
      </c>
      <c r="HX92" s="125">
        <v>0</v>
      </c>
      <c r="HY92" s="125">
        <v>1</v>
      </c>
      <c r="HZ92" s="125">
        <v>0</v>
      </c>
      <c r="IA92" s="125">
        <v>0</v>
      </c>
      <c r="IB92" s="125">
        <v>0</v>
      </c>
      <c r="IC92" s="125">
        <v>1</v>
      </c>
      <c r="ID92" s="125">
        <v>0</v>
      </c>
      <c r="IE92" s="125">
        <v>1</v>
      </c>
      <c r="IF92" s="125">
        <v>0</v>
      </c>
      <c r="IG92" s="125">
        <v>1</v>
      </c>
      <c r="IH92" s="125">
        <v>0</v>
      </c>
      <c r="II92" s="125">
        <v>0</v>
      </c>
      <c r="IJ92" s="125">
        <v>0</v>
      </c>
      <c r="IK92" s="125">
        <v>0</v>
      </c>
      <c r="IL92" s="125">
        <v>0</v>
      </c>
      <c r="IM92" s="125">
        <v>0</v>
      </c>
      <c r="IN92" s="125">
        <v>0</v>
      </c>
      <c r="IO92" s="125">
        <v>0</v>
      </c>
      <c r="IP92" s="125">
        <v>0</v>
      </c>
      <c r="IQ92" s="125">
        <v>1</v>
      </c>
      <c r="IR92" s="125">
        <v>0</v>
      </c>
      <c r="IS92" s="125">
        <v>1</v>
      </c>
      <c r="IT92" s="125">
        <v>0</v>
      </c>
      <c r="IU92" s="125">
        <v>0</v>
      </c>
      <c r="IV92" s="125">
        <v>0</v>
      </c>
      <c r="IW92" s="125">
        <v>0</v>
      </c>
      <c r="IX92" s="125">
        <v>0</v>
      </c>
      <c r="IY92" s="125">
        <v>1</v>
      </c>
      <c r="IZ92" s="125">
        <v>0</v>
      </c>
      <c r="JA92" s="125">
        <v>0</v>
      </c>
      <c r="JB92" s="125">
        <v>0</v>
      </c>
      <c r="JC92" s="125">
        <v>0</v>
      </c>
      <c r="JD92" s="125">
        <v>0</v>
      </c>
      <c r="JE92" s="125">
        <v>0</v>
      </c>
    </row>
    <row r="93" spans="1:265" ht="25.5" customHeight="1" x14ac:dyDescent="0.15">
      <c r="A93" s="130" t="s">
        <v>155</v>
      </c>
      <c r="B93" s="131" t="s">
        <v>148</v>
      </c>
      <c r="C93" s="132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116"/>
      <c r="EH93" s="117"/>
      <c r="EI93" s="73"/>
      <c r="EJ93" s="73"/>
      <c r="EK93" s="73"/>
      <c r="EL93" s="73"/>
      <c r="EM93" s="73"/>
      <c r="EN93" s="73"/>
      <c r="EO93" s="73"/>
      <c r="EP93" s="73"/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  <c r="FK93" s="73"/>
      <c r="FL93" s="73"/>
      <c r="FM93" s="73"/>
      <c r="FN93" s="73"/>
      <c r="FO93" s="73"/>
      <c r="FP93" s="73"/>
      <c r="FQ93" s="73"/>
      <c r="FR93" s="73"/>
      <c r="FS93" s="73"/>
      <c r="FT93" s="73"/>
      <c r="FU93" s="73"/>
      <c r="FV93" s="73"/>
      <c r="FW93" s="73"/>
      <c r="FX93" s="73"/>
      <c r="FY93" s="73"/>
      <c r="FZ93" s="73"/>
      <c r="GA93" s="73"/>
      <c r="GB93" s="73"/>
      <c r="GC93" s="73"/>
      <c r="GD93" s="73"/>
      <c r="GE93" s="73"/>
      <c r="GF93" s="73"/>
      <c r="GG93" s="73"/>
      <c r="GH93" s="73"/>
      <c r="GI93" s="73"/>
      <c r="GJ93" s="73"/>
      <c r="GK93" s="73"/>
      <c r="GL93" s="73"/>
      <c r="GM93" s="73"/>
      <c r="GN93" s="73"/>
      <c r="GO93" s="73"/>
      <c r="GP93" s="73"/>
      <c r="GQ93" s="73"/>
      <c r="GR93" s="73"/>
      <c r="GS93" s="73"/>
      <c r="GT93" s="73"/>
      <c r="GU93" s="73"/>
      <c r="GV93" s="73"/>
      <c r="GW93" s="73"/>
      <c r="GX93" s="73"/>
      <c r="GY93" s="73"/>
      <c r="GZ93" s="73"/>
      <c r="HA93" s="73"/>
      <c r="HB93" s="125">
        <v>0</v>
      </c>
      <c r="HC93" s="125">
        <v>52</v>
      </c>
      <c r="HD93" s="125">
        <v>2</v>
      </c>
      <c r="HE93" s="125">
        <v>13</v>
      </c>
      <c r="HF93" s="125">
        <v>4</v>
      </c>
      <c r="HG93" s="125">
        <v>54</v>
      </c>
      <c r="HH93" s="125">
        <v>3</v>
      </c>
      <c r="HI93" s="125">
        <v>41</v>
      </c>
      <c r="HJ93" s="125">
        <v>1</v>
      </c>
      <c r="HK93" s="125">
        <v>28</v>
      </c>
      <c r="HL93" s="125">
        <v>0</v>
      </c>
      <c r="HM93" s="125">
        <v>73</v>
      </c>
      <c r="HN93" s="125">
        <v>2</v>
      </c>
      <c r="HO93" s="125">
        <v>43</v>
      </c>
      <c r="HP93" s="125">
        <v>0</v>
      </c>
      <c r="HQ93" s="125">
        <v>45</v>
      </c>
      <c r="HR93" s="125">
        <v>0</v>
      </c>
      <c r="HS93" s="125">
        <v>53</v>
      </c>
      <c r="HT93" s="125">
        <v>1</v>
      </c>
      <c r="HU93" s="125">
        <v>37</v>
      </c>
      <c r="HV93" s="125">
        <v>2</v>
      </c>
      <c r="HW93" s="125">
        <v>45</v>
      </c>
      <c r="HX93" s="125">
        <v>4</v>
      </c>
      <c r="HY93" s="125">
        <v>50</v>
      </c>
      <c r="HZ93" s="125">
        <v>0</v>
      </c>
      <c r="IA93" s="125">
        <v>53</v>
      </c>
      <c r="IB93" s="125">
        <v>0</v>
      </c>
      <c r="IC93" s="125">
        <v>45</v>
      </c>
      <c r="ID93" s="125">
        <v>0</v>
      </c>
      <c r="IE93" s="125">
        <v>63</v>
      </c>
      <c r="IF93" s="125">
        <v>0</v>
      </c>
      <c r="IG93" s="125">
        <v>65</v>
      </c>
      <c r="IH93" s="125">
        <v>0</v>
      </c>
      <c r="II93" s="125">
        <v>42</v>
      </c>
      <c r="IJ93" s="125">
        <v>0</v>
      </c>
      <c r="IK93" s="125">
        <v>46</v>
      </c>
      <c r="IL93" s="125">
        <v>0</v>
      </c>
      <c r="IM93" s="125">
        <v>71</v>
      </c>
      <c r="IN93" s="125">
        <v>0</v>
      </c>
      <c r="IO93" s="125">
        <v>60</v>
      </c>
      <c r="IP93" s="125">
        <v>0</v>
      </c>
      <c r="IQ93" s="125">
        <v>74</v>
      </c>
      <c r="IR93" s="125">
        <v>0</v>
      </c>
      <c r="IS93" s="125">
        <v>63</v>
      </c>
      <c r="IT93" s="125">
        <v>0</v>
      </c>
      <c r="IU93" s="125">
        <v>13</v>
      </c>
      <c r="IV93" s="125">
        <v>0</v>
      </c>
      <c r="IW93" s="125">
        <v>0</v>
      </c>
      <c r="IX93" s="125">
        <v>3</v>
      </c>
      <c r="IY93" s="125">
        <v>406</v>
      </c>
      <c r="IZ93" s="125">
        <v>3</v>
      </c>
      <c r="JA93" s="125">
        <v>202</v>
      </c>
      <c r="JB93" s="125">
        <v>0</v>
      </c>
      <c r="JC93" s="125">
        <v>134</v>
      </c>
      <c r="JD93" s="125">
        <v>8</v>
      </c>
      <c r="JE93" s="125">
        <v>249</v>
      </c>
    </row>
    <row r="94" spans="1:265" ht="25.5" customHeight="1" x14ac:dyDescent="0.15">
      <c r="A94" s="130" t="s">
        <v>156</v>
      </c>
      <c r="B94" s="131" t="s">
        <v>150</v>
      </c>
      <c r="C94" s="132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116"/>
      <c r="EH94" s="117"/>
      <c r="EI94" s="73"/>
      <c r="EJ94" s="73"/>
      <c r="EK94" s="73"/>
      <c r="EL94" s="73"/>
      <c r="EM94" s="73"/>
      <c r="EN94" s="73"/>
      <c r="EO94" s="73"/>
      <c r="EP94" s="73"/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  <c r="FK94" s="73"/>
      <c r="FL94" s="73"/>
      <c r="FM94" s="73"/>
      <c r="FN94" s="73"/>
      <c r="FO94" s="73"/>
      <c r="FP94" s="73"/>
      <c r="FQ94" s="73"/>
      <c r="FR94" s="73"/>
      <c r="FS94" s="73"/>
      <c r="FT94" s="73"/>
      <c r="FU94" s="73"/>
      <c r="FV94" s="73"/>
      <c r="FW94" s="73"/>
      <c r="FX94" s="73"/>
      <c r="FY94" s="73"/>
      <c r="FZ94" s="73"/>
      <c r="GA94" s="73"/>
      <c r="GB94" s="73"/>
      <c r="GC94" s="73"/>
      <c r="GD94" s="73"/>
      <c r="GE94" s="73"/>
      <c r="GF94" s="73"/>
      <c r="GG94" s="73"/>
      <c r="GH94" s="73"/>
      <c r="GI94" s="73"/>
      <c r="GJ94" s="73"/>
      <c r="GK94" s="73"/>
      <c r="GL94" s="73"/>
      <c r="GM94" s="73"/>
      <c r="GN94" s="73"/>
      <c r="GO94" s="73"/>
      <c r="GP94" s="73"/>
      <c r="GQ94" s="73"/>
      <c r="GR94" s="73"/>
      <c r="GS94" s="73"/>
      <c r="GT94" s="73"/>
      <c r="GU94" s="73"/>
      <c r="GV94" s="73"/>
      <c r="GW94" s="73"/>
      <c r="GX94" s="73"/>
      <c r="GY94" s="73"/>
      <c r="GZ94" s="73"/>
      <c r="HA94" s="73"/>
      <c r="HB94" s="125">
        <v>0</v>
      </c>
      <c r="HC94" s="125">
        <v>8</v>
      </c>
      <c r="HD94" s="125">
        <v>0</v>
      </c>
      <c r="HE94" s="125">
        <v>2</v>
      </c>
      <c r="HF94" s="125">
        <v>0</v>
      </c>
      <c r="HG94" s="125">
        <v>5</v>
      </c>
      <c r="HH94" s="125">
        <v>0</v>
      </c>
      <c r="HI94" s="125">
        <v>1</v>
      </c>
      <c r="HJ94" s="125">
        <v>0</v>
      </c>
      <c r="HK94" s="125">
        <v>3</v>
      </c>
      <c r="HL94" s="125">
        <v>0</v>
      </c>
      <c r="HM94" s="125">
        <v>1</v>
      </c>
      <c r="HN94" s="125">
        <v>0</v>
      </c>
      <c r="HO94" s="125">
        <v>3</v>
      </c>
      <c r="HP94" s="125">
        <v>0</v>
      </c>
      <c r="HQ94" s="125">
        <v>2</v>
      </c>
      <c r="HR94" s="125">
        <v>0</v>
      </c>
      <c r="HS94" s="125">
        <v>1</v>
      </c>
      <c r="HT94" s="125">
        <v>0</v>
      </c>
      <c r="HU94" s="125">
        <v>0</v>
      </c>
      <c r="HV94" s="125">
        <v>0</v>
      </c>
      <c r="HW94" s="125">
        <v>1</v>
      </c>
      <c r="HX94" s="125">
        <v>0</v>
      </c>
      <c r="HY94" s="125">
        <v>1</v>
      </c>
      <c r="HZ94" s="125">
        <v>0</v>
      </c>
      <c r="IA94" s="125">
        <v>5</v>
      </c>
      <c r="IB94" s="125">
        <v>0</v>
      </c>
      <c r="IC94" s="125">
        <v>2</v>
      </c>
      <c r="ID94" s="125">
        <v>0</v>
      </c>
      <c r="IE94" s="125">
        <v>0</v>
      </c>
      <c r="IF94" s="125">
        <v>0</v>
      </c>
      <c r="IG94" s="125">
        <v>4</v>
      </c>
      <c r="IH94" s="125">
        <v>0</v>
      </c>
      <c r="II94" s="125">
        <v>2</v>
      </c>
      <c r="IJ94" s="125">
        <v>0</v>
      </c>
      <c r="IK94" s="125">
        <v>2</v>
      </c>
      <c r="IL94" s="125">
        <v>0</v>
      </c>
      <c r="IM94" s="125">
        <v>1</v>
      </c>
      <c r="IN94" s="125">
        <v>0</v>
      </c>
      <c r="IO94" s="125">
        <v>1</v>
      </c>
      <c r="IP94" s="125">
        <v>0</v>
      </c>
      <c r="IQ94" s="125">
        <v>1</v>
      </c>
      <c r="IR94" s="125">
        <v>0</v>
      </c>
      <c r="IS94" s="125">
        <v>3</v>
      </c>
      <c r="IT94" s="125">
        <v>0</v>
      </c>
      <c r="IU94" s="125">
        <v>4</v>
      </c>
      <c r="IV94" s="125">
        <v>0</v>
      </c>
      <c r="IW94" s="125">
        <v>0</v>
      </c>
      <c r="IX94" s="125">
        <v>0</v>
      </c>
      <c r="IY94" s="125">
        <v>75</v>
      </c>
      <c r="IZ94" s="125">
        <v>0</v>
      </c>
      <c r="JA94" s="125">
        <v>16</v>
      </c>
      <c r="JB94" s="125">
        <v>0</v>
      </c>
      <c r="JC94" s="125">
        <v>8</v>
      </c>
      <c r="JD94" s="125">
        <v>0</v>
      </c>
      <c r="JE94" s="125">
        <v>27</v>
      </c>
    </row>
    <row r="95" spans="1:265" ht="14" x14ac:dyDescent="0.15">
      <c r="A95" s="128"/>
      <c r="B95" s="129" t="s">
        <v>157</v>
      </c>
      <c r="C95" s="129"/>
      <c r="D95" s="128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3"/>
      <c r="BY95" s="133"/>
      <c r="BZ95" s="133"/>
      <c r="CA95" s="133"/>
      <c r="CB95" s="133"/>
      <c r="CC95" s="133"/>
      <c r="CD95" s="133"/>
      <c r="CE95" s="133"/>
      <c r="CF95" s="133"/>
      <c r="CG95" s="133"/>
      <c r="CH95" s="133"/>
      <c r="CI95" s="133"/>
      <c r="CJ95" s="133"/>
      <c r="CK95" s="133"/>
      <c r="CL95" s="133"/>
      <c r="CM95" s="133"/>
      <c r="CN95" s="133"/>
      <c r="CO95" s="133"/>
      <c r="CP95" s="133"/>
      <c r="CQ95" s="133"/>
      <c r="CR95" s="133"/>
      <c r="CS95" s="133"/>
      <c r="CT95" s="133"/>
      <c r="CU95" s="133"/>
      <c r="CV95" s="133"/>
      <c r="CW95" s="133"/>
      <c r="CX95" s="133"/>
      <c r="CY95" s="133"/>
      <c r="CZ95" s="133"/>
      <c r="DA95" s="133"/>
      <c r="DB95" s="133"/>
      <c r="DC95" s="133"/>
      <c r="DD95" s="133"/>
      <c r="DE95" s="133"/>
      <c r="DF95" s="133"/>
      <c r="DG95" s="133"/>
      <c r="DH95" s="133"/>
      <c r="DI95" s="133"/>
      <c r="DJ95" s="133"/>
      <c r="DK95" s="133"/>
      <c r="DL95" s="133"/>
      <c r="DM95" s="133"/>
      <c r="DN95" s="133"/>
      <c r="DO95" s="133"/>
      <c r="DP95" s="133"/>
      <c r="DQ95" s="133"/>
      <c r="DR95" s="133"/>
      <c r="DS95" s="133"/>
      <c r="DT95" s="133"/>
      <c r="DU95" s="133"/>
      <c r="DV95" s="133"/>
      <c r="DW95" s="133"/>
      <c r="DX95" s="133"/>
      <c r="DY95" s="133"/>
      <c r="DZ95" s="133"/>
      <c r="EA95" s="133"/>
      <c r="EB95" s="133"/>
      <c r="EC95" s="133"/>
      <c r="ED95" s="133"/>
      <c r="EE95" s="133"/>
      <c r="EF95" s="133"/>
      <c r="EG95" s="134"/>
      <c r="EH95" s="135"/>
      <c r="EI95" s="133"/>
      <c r="EJ95" s="133"/>
      <c r="EK95" s="133"/>
      <c r="EL95" s="133"/>
      <c r="EM95" s="133"/>
      <c r="EN95" s="133"/>
      <c r="EO95" s="133"/>
      <c r="EP95" s="133"/>
      <c r="EQ95" s="133"/>
      <c r="ER95" s="133"/>
      <c r="ES95" s="133"/>
      <c r="ET95" s="133"/>
      <c r="EU95" s="133"/>
      <c r="EV95" s="133"/>
      <c r="EW95" s="133"/>
      <c r="EX95" s="133"/>
      <c r="EY95" s="133"/>
      <c r="EZ95" s="133"/>
      <c r="FA95" s="133"/>
      <c r="FB95" s="133"/>
      <c r="FC95" s="133"/>
      <c r="FD95" s="133"/>
      <c r="FE95" s="133"/>
      <c r="FF95" s="133"/>
      <c r="FG95" s="133"/>
      <c r="FH95" s="133"/>
      <c r="FI95" s="133"/>
      <c r="FJ95" s="133"/>
      <c r="FK95" s="133"/>
      <c r="FL95" s="133"/>
      <c r="FM95" s="133"/>
      <c r="FN95" s="133"/>
      <c r="FO95" s="133"/>
      <c r="FP95" s="133"/>
      <c r="FQ95" s="133"/>
      <c r="FR95" s="133"/>
      <c r="FS95" s="133"/>
      <c r="FT95" s="133"/>
      <c r="FU95" s="133"/>
      <c r="FV95" s="133"/>
      <c r="FW95" s="133"/>
      <c r="FX95" s="133"/>
      <c r="FY95" s="133"/>
      <c r="FZ95" s="133"/>
      <c r="GA95" s="133"/>
      <c r="GB95" s="133"/>
      <c r="GC95" s="133"/>
      <c r="GD95" s="133"/>
      <c r="GE95" s="133"/>
      <c r="GF95" s="133"/>
      <c r="GG95" s="133"/>
      <c r="GH95" s="133"/>
      <c r="GI95" s="133"/>
      <c r="GJ95" s="133"/>
      <c r="GK95" s="133"/>
      <c r="GL95" s="133"/>
      <c r="GM95" s="133"/>
      <c r="GN95" s="119"/>
      <c r="GO95" s="119"/>
      <c r="GP95" s="119"/>
      <c r="GQ95" s="119"/>
      <c r="GR95" s="119"/>
      <c r="GS95" s="119"/>
      <c r="GT95" s="119"/>
      <c r="GU95" s="119"/>
      <c r="GV95" s="119"/>
      <c r="GW95" s="119"/>
      <c r="GX95" s="119"/>
      <c r="GY95" s="119"/>
      <c r="GZ95" s="119"/>
      <c r="HA95" s="119"/>
      <c r="HB95" s="119">
        <f t="shared" ref="HB95:HR95" si="28">SUM(HB90:HB94)</f>
        <v>3</v>
      </c>
      <c r="HC95" s="119">
        <f t="shared" si="28"/>
        <v>150</v>
      </c>
      <c r="HD95" s="119">
        <f t="shared" si="28"/>
        <v>2</v>
      </c>
      <c r="HE95" s="119">
        <f t="shared" si="28"/>
        <v>44</v>
      </c>
      <c r="HF95" s="119">
        <f t="shared" si="28"/>
        <v>8</v>
      </c>
      <c r="HG95" s="119">
        <f t="shared" si="28"/>
        <v>100</v>
      </c>
      <c r="HH95" s="119">
        <f t="shared" si="28"/>
        <v>4</v>
      </c>
      <c r="HI95" s="119">
        <f t="shared" si="28"/>
        <v>63</v>
      </c>
      <c r="HJ95" s="119">
        <f t="shared" si="28"/>
        <v>1</v>
      </c>
      <c r="HK95" s="119">
        <f t="shared" si="28"/>
        <v>47</v>
      </c>
      <c r="HL95" s="119">
        <f t="shared" si="28"/>
        <v>1</v>
      </c>
      <c r="HM95" s="119">
        <f t="shared" si="28"/>
        <v>83</v>
      </c>
      <c r="HN95" s="119">
        <f t="shared" si="28"/>
        <v>3</v>
      </c>
      <c r="HO95" s="119">
        <f t="shared" si="28"/>
        <v>57</v>
      </c>
      <c r="HP95" s="119">
        <f t="shared" si="28"/>
        <v>0</v>
      </c>
      <c r="HQ95" s="119">
        <f t="shared" si="28"/>
        <v>59</v>
      </c>
      <c r="HR95" s="119">
        <f t="shared" si="28"/>
        <v>0</v>
      </c>
      <c r="HS95" s="119">
        <f>SUM(HS90:HS94)</f>
        <v>61</v>
      </c>
      <c r="HT95" s="119">
        <f t="shared" ref="HT95:HV95" si="29">SUM(HT90:HT94)</f>
        <v>1</v>
      </c>
      <c r="HU95" s="119">
        <f t="shared" si="29"/>
        <v>41</v>
      </c>
      <c r="HV95" s="119">
        <f t="shared" si="29"/>
        <v>2</v>
      </c>
      <c r="HW95" s="119">
        <f>SUM(HW90:HW94)</f>
        <v>50</v>
      </c>
      <c r="HX95" s="119">
        <f t="shared" ref="HX95:JE95" si="30">SUM(HX90:HX94)</f>
        <v>4</v>
      </c>
      <c r="HY95" s="119">
        <f t="shared" si="30"/>
        <v>54</v>
      </c>
      <c r="HZ95" s="119">
        <f t="shared" si="30"/>
        <v>0</v>
      </c>
      <c r="IA95" s="119">
        <f t="shared" si="30"/>
        <v>64</v>
      </c>
      <c r="IB95" s="119">
        <f t="shared" si="30"/>
        <v>0</v>
      </c>
      <c r="IC95" s="119">
        <f t="shared" si="30"/>
        <v>52</v>
      </c>
      <c r="ID95" s="119">
        <f t="shared" si="30"/>
        <v>0</v>
      </c>
      <c r="IE95" s="119">
        <f t="shared" si="30"/>
        <v>69</v>
      </c>
      <c r="IF95" s="119">
        <f t="shared" si="30"/>
        <v>0</v>
      </c>
      <c r="IG95" s="119">
        <f t="shared" si="30"/>
        <v>80</v>
      </c>
      <c r="IH95" s="119">
        <f t="shared" si="30"/>
        <v>0</v>
      </c>
      <c r="II95" s="119">
        <f t="shared" si="30"/>
        <v>47</v>
      </c>
      <c r="IJ95" s="119">
        <f t="shared" si="30"/>
        <v>0</v>
      </c>
      <c r="IK95" s="119">
        <f t="shared" si="30"/>
        <v>56</v>
      </c>
      <c r="IL95" s="119">
        <f t="shared" si="30"/>
        <v>0</v>
      </c>
      <c r="IM95" s="119">
        <f t="shared" si="30"/>
        <v>81</v>
      </c>
      <c r="IN95" s="119">
        <f t="shared" si="30"/>
        <v>0</v>
      </c>
      <c r="IO95" s="119">
        <f t="shared" si="30"/>
        <v>67</v>
      </c>
      <c r="IP95" s="119">
        <f t="shared" si="30"/>
        <v>0</v>
      </c>
      <c r="IQ95" s="119">
        <f t="shared" si="30"/>
        <v>84</v>
      </c>
      <c r="IR95" s="119">
        <f t="shared" si="30"/>
        <v>0</v>
      </c>
      <c r="IS95" s="119">
        <f t="shared" si="30"/>
        <v>72</v>
      </c>
      <c r="IT95" s="119">
        <f t="shared" si="30"/>
        <v>0</v>
      </c>
      <c r="IU95" s="119">
        <f t="shared" si="30"/>
        <v>19</v>
      </c>
      <c r="IV95" s="119">
        <f t="shared" si="30"/>
        <v>0</v>
      </c>
      <c r="IW95" s="119">
        <f t="shared" si="30"/>
        <v>0</v>
      </c>
      <c r="IX95" s="119">
        <f t="shared" si="30"/>
        <v>3</v>
      </c>
      <c r="IY95" s="119">
        <f t="shared" si="30"/>
        <v>519</v>
      </c>
      <c r="IZ95" s="119">
        <f t="shared" si="30"/>
        <v>5</v>
      </c>
      <c r="JA95" s="119">
        <f t="shared" si="30"/>
        <v>231</v>
      </c>
      <c r="JB95" s="119">
        <f t="shared" si="30"/>
        <v>0</v>
      </c>
      <c r="JC95" s="119">
        <f t="shared" si="30"/>
        <v>166</v>
      </c>
      <c r="JD95" s="119">
        <f t="shared" si="30"/>
        <v>10</v>
      </c>
      <c r="JE95" s="119">
        <f t="shared" si="30"/>
        <v>296</v>
      </c>
    </row>
    <row r="96" spans="1:265" ht="25.5" customHeight="1" x14ac:dyDescent="0.15">
      <c r="A96" s="104" t="s">
        <v>158</v>
      </c>
      <c r="B96" s="136" t="s">
        <v>159</v>
      </c>
      <c r="C96" s="137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80"/>
      <c r="EG96" s="116"/>
      <c r="EH96" s="117"/>
      <c r="EI96" s="80"/>
      <c r="EJ96" s="73"/>
      <c r="EK96" s="73"/>
      <c r="EL96" s="73"/>
      <c r="EM96" s="73"/>
      <c r="EN96" s="73"/>
      <c r="EO96" s="73"/>
      <c r="EP96" s="73"/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  <c r="FK96" s="73"/>
      <c r="FL96" s="73"/>
      <c r="FM96" s="73"/>
      <c r="FN96" s="73"/>
      <c r="FO96" s="73"/>
      <c r="FP96" s="73"/>
      <c r="FQ96" s="73"/>
      <c r="FR96" s="73"/>
      <c r="FS96" s="73"/>
      <c r="FT96" s="73"/>
      <c r="FU96" s="73"/>
      <c r="FV96" s="73"/>
      <c r="FW96" s="73"/>
      <c r="FX96" s="73"/>
      <c r="FY96" s="73"/>
      <c r="FZ96" s="73"/>
      <c r="GA96" s="73"/>
      <c r="GB96" s="73"/>
      <c r="GC96" s="73"/>
      <c r="GD96" s="73"/>
      <c r="GE96" s="73"/>
      <c r="GF96" s="73"/>
      <c r="GG96" s="73"/>
      <c r="GH96" s="73"/>
      <c r="GI96" s="73"/>
      <c r="GJ96" s="73"/>
      <c r="GK96" s="73"/>
      <c r="GL96" s="73"/>
      <c r="GM96" s="73"/>
      <c r="GN96" s="73"/>
      <c r="GO96" s="73"/>
      <c r="GP96" s="73"/>
      <c r="GQ96" s="73"/>
      <c r="GR96" s="73"/>
      <c r="GS96" s="73"/>
      <c r="GT96" s="73"/>
      <c r="GU96" s="73"/>
      <c r="GV96" s="73"/>
      <c r="GW96" s="73"/>
      <c r="GX96" s="73"/>
      <c r="GY96" s="73"/>
      <c r="GZ96" s="73"/>
      <c r="HA96" s="73"/>
      <c r="HB96" s="73"/>
      <c r="HC96" s="73"/>
      <c r="HD96" s="73"/>
      <c r="HE96" s="73"/>
      <c r="HF96" s="73"/>
      <c r="HG96" s="73"/>
      <c r="HH96" s="125">
        <v>11</v>
      </c>
      <c r="HI96" s="125">
        <v>58</v>
      </c>
      <c r="HJ96" s="125">
        <v>15</v>
      </c>
      <c r="HK96" s="125">
        <v>33</v>
      </c>
      <c r="HL96" s="125">
        <v>3</v>
      </c>
      <c r="HM96" s="125">
        <v>10</v>
      </c>
      <c r="HN96" s="125">
        <v>7</v>
      </c>
      <c r="HO96" s="125">
        <v>18</v>
      </c>
      <c r="HP96" s="125">
        <v>23</v>
      </c>
      <c r="HQ96" s="125">
        <v>56</v>
      </c>
      <c r="HR96" s="125">
        <v>8</v>
      </c>
      <c r="HS96" s="125">
        <v>17</v>
      </c>
      <c r="HT96" s="125">
        <v>16</v>
      </c>
      <c r="HU96" s="125">
        <v>31</v>
      </c>
      <c r="HV96" s="125">
        <v>22</v>
      </c>
      <c r="HW96" s="125">
        <v>48</v>
      </c>
      <c r="HX96" s="125">
        <v>2</v>
      </c>
      <c r="HY96" s="125">
        <v>31</v>
      </c>
      <c r="HZ96" s="125">
        <v>12</v>
      </c>
      <c r="IA96" s="125">
        <v>19</v>
      </c>
      <c r="IB96" s="125">
        <v>5</v>
      </c>
      <c r="IC96" s="125">
        <v>13</v>
      </c>
      <c r="ID96" s="125">
        <v>20</v>
      </c>
      <c r="IE96" s="125">
        <v>33</v>
      </c>
      <c r="IF96" s="125">
        <v>10</v>
      </c>
      <c r="IG96" s="125">
        <v>27</v>
      </c>
      <c r="IH96" s="125">
        <v>10</v>
      </c>
      <c r="II96" s="125">
        <v>24</v>
      </c>
      <c r="IJ96" s="125">
        <v>13</v>
      </c>
      <c r="IK96" s="125">
        <v>26</v>
      </c>
      <c r="IL96" s="125">
        <v>3</v>
      </c>
      <c r="IM96" s="125">
        <v>7</v>
      </c>
      <c r="IN96" s="125">
        <v>3</v>
      </c>
      <c r="IO96" s="125">
        <v>29</v>
      </c>
      <c r="IP96" s="125">
        <v>9</v>
      </c>
      <c r="IQ96" s="125">
        <v>18</v>
      </c>
      <c r="IR96" s="125">
        <v>9</v>
      </c>
      <c r="IS96" s="125">
        <v>13</v>
      </c>
      <c r="IT96" s="125">
        <v>21</v>
      </c>
      <c r="IU96" s="125">
        <v>28</v>
      </c>
      <c r="IV96" s="125">
        <v>10</v>
      </c>
      <c r="IW96" s="125">
        <v>23</v>
      </c>
      <c r="IX96" s="125">
        <v>12</v>
      </c>
      <c r="IY96" s="125">
        <v>22</v>
      </c>
      <c r="IZ96" s="125">
        <v>5</v>
      </c>
      <c r="JA96" s="125">
        <v>10</v>
      </c>
      <c r="JB96" s="125">
        <v>22</v>
      </c>
      <c r="JC96" s="125">
        <v>31</v>
      </c>
      <c r="JD96" s="125">
        <v>3</v>
      </c>
      <c r="JE96" s="125">
        <v>10</v>
      </c>
    </row>
    <row r="97" spans="1:265" ht="25.5" customHeight="1" x14ac:dyDescent="0.15">
      <c r="A97" s="104" t="s">
        <v>160</v>
      </c>
      <c r="B97" s="136" t="s">
        <v>161</v>
      </c>
      <c r="C97" s="137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116"/>
      <c r="EH97" s="117"/>
      <c r="EI97" s="73"/>
      <c r="EJ97" s="73"/>
      <c r="EK97" s="73"/>
      <c r="EL97" s="73"/>
      <c r="EM97" s="73"/>
      <c r="EN97" s="73"/>
      <c r="EO97" s="73"/>
      <c r="EP97" s="73"/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  <c r="FK97" s="73"/>
      <c r="FL97" s="73"/>
      <c r="FM97" s="73"/>
      <c r="FN97" s="73"/>
      <c r="FO97" s="73"/>
      <c r="FP97" s="73"/>
      <c r="FQ97" s="73"/>
      <c r="FR97" s="73"/>
      <c r="FS97" s="73"/>
      <c r="FT97" s="73"/>
      <c r="FU97" s="73"/>
      <c r="FV97" s="73"/>
      <c r="FW97" s="73"/>
      <c r="FX97" s="73"/>
      <c r="FY97" s="73"/>
      <c r="FZ97" s="73"/>
      <c r="GA97" s="73"/>
      <c r="GB97" s="73"/>
      <c r="GC97" s="73"/>
      <c r="GD97" s="73"/>
      <c r="GE97" s="73"/>
      <c r="GF97" s="73"/>
      <c r="GG97" s="73"/>
      <c r="GH97" s="73"/>
      <c r="GI97" s="73"/>
      <c r="GJ97" s="73"/>
      <c r="GK97" s="73"/>
      <c r="GL97" s="73"/>
      <c r="GM97" s="73"/>
      <c r="GN97" s="73"/>
      <c r="GO97" s="73"/>
      <c r="GP97" s="73"/>
      <c r="GQ97" s="73"/>
      <c r="GR97" s="73"/>
      <c r="GS97" s="73"/>
      <c r="GT97" s="73"/>
      <c r="GU97" s="73"/>
      <c r="GV97" s="73"/>
      <c r="GW97" s="73"/>
      <c r="GX97" s="73"/>
      <c r="GY97" s="73"/>
      <c r="GZ97" s="73"/>
      <c r="HA97" s="73"/>
      <c r="HB97" s="73"/>
      <c r="HC97" s="73"/>
      <c r="HD97" s="73"/>
      <c r="HE97" s="73"/>
      <c r="HF97" s="73"/>
      <c r="HG97" s="73"/>
      <c r="HH97" s="125">
        <v>0</v>
      </c>
      <c r="HI97" s="125">
        <v>1</v>
      </c>
      <c r="HJ97" s="125">
        <v>2</v>
      </c>
      <c r="HK97" s="125">
        <v>6</v>
      </c>
      <c r="HL97" s="125">
        <v>1</v>
      </c>
      <c r="HM97" s="125">
        <v>4</v>
      </c>
      <c r="HN97" s="125">
        <v>4</v>
      </c>
      <c r="HO97" s="125">
        <v>4</v>
      </c>
      <c r="HP97" s="125">
        <v>1</v>
      </c>
      <c r="HQ97" s="125">
        <v>1</v>
      </c>
      <c r="HR97" s="125">
        <v>2</v>
      </c>
      <c r="HS97" s="125">
        <v>12</v>
      </c>
      <c r="HT97" s="125">
        <v>2</v>
      </c>
      <c r="HU97" s="125">
        <v>2</v>
      </c>
      <c r="HV97" s="125">
        <v>1</v>
      </c>
      <c r="HW97" s="125">
        <v>1</v>
      </c>
      <c r="HX97" s="125">
        <v>1</v>
      </c>
      <c r="HY97" s="125">
        <v>1</v>
      </c>
      <c r="HZ97" s="125">
        <v>5</v>
      </c>
      <c r="IA97" s="125">
        <v>7</v>
      </c>
      <c r="IB97" s="125">
        <v>8</v>
      </c>
      <c r="IC97" s="125">
        <v>8</v>
      </c>
      <c r="ID97" s="125">
        <v>1</v>
      </c>
      <c r="IE97" s="125">
        <v>3</v>
      </c>
      <c r="IF97" s="125">
        <v>5</v>
      </c>
      <c r="IG97" s="125">
        <v>13</v>
      </c>
      <c r="IH97" s="125">
        <v>10</v>
      </c>
      <c r="II97" s="125">
        <v>14</v>
      </c>
      <c r="IJ97" s="125">
        <v>10</v>
      </c>
      <c r="IK97" s="125">
        <v>17</v>
      </c>
      <c r="IL97" s="125">
        <v>0</v>
      </c>
      <c r="IM97" s="125">
        <v>0</v>
      </c>
      <c r="IN97" s="125">
        <v>1</v>
      </c>
      <c r="IO97" s="125">
        <v>8</v>
      </c>
      <c r="IP97" s="125">
        <v>4</v>
      </c>
      <c r="IQ97" s="125">
        <v>8</v>
      </c>
      <c r="IR97" s="125">
        <v>2</v>
      </c>
      <c r="IS97" s="125">
        <v>7</v>
      </c>
      <c r="IT97" s="125">
        <v>1</v>
      </c>
      <c r="IU97" s="125">
        <v>4</v>
      </c>
      <c r="IV97" s="125">
        <v>2</v>
      </c>
      <c r="IW97" s="125">
        <v>6</v>
      </c>
      <c r="IX97" s="125">
        <v>1</v>
      </c>
      <c r="IY97" s="125">
        <v>1</v>
      </c>
      <c r="IZ97" s="125">
        <v>1</v>
      </c>
      <c r="JA97" s="125">
        <v>1</v>
      </c>
      <c r="JB97" s="125">
        <v>1</v>
      </c>
      <c r="JC97" s="125">
        <v>2</v>
      </c>
      <c r="JD97" s="125">
        <v>2</v>
      </c>
      <c r="JE97" s="125">
        <v>2</v>
      </c>
    </row>
    <row r="98" spans="1:265" ht="25.5" customHeight="1" x14ac:dyDescent="0.15">
      <c r="A98" s="104" t="s">
        <v>162</v>
      </c>
      <c r="B98" s="136" t="s">
        <v>163</v>
      </c>
      <c r="C98" s="137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  <c r="EF98" s="73"/>
      <c r="EG98" s="116"/>
      <c r="EH98" s="117"/>
      <c r="EI98" s="73"/>
      <c r="EJ98" s="73"/>
      <c r="EK98" s="73"/>
      <c r="EL98" s="73"/>
      <c r="EM98" s="73"/>
      <c r="EN98" s="73"/>
      <c r="EO98" s="73"/>
      <c r="EP98" s="73"/>
      <c r="EQ98" s="73"/>
      <c r="ER98" s="73"/>
      <c r="ES98" s="73"/>
      <c r="ET98" s="73"/>
      <c r="EU98" s="73"/>
      <c r="EV98" s="73"/>
      <c r="EW98" s="73"/>
      <c r="EX98" s="73"/>
      <c r="EY98" s="73"/>
      <c r="EZ98" s="73"/>
      <c r="FA98" s="73"/>
      <c r="FB98" s="73"/>
      <c r="FC98" s="73"/>
      <c r="FD98" s="73"/>
      <c r="FE98" s="73"/>
      <c r="FF98" s="73"/>
      <c r="FG98" s="73"/>
      <c r="FH98" s="73"/>
      <c r="FI98" s="73"/>
      <c r="FJ98" s="73"/>
      <c r="FK98" s="73"/>
      <c r="FL98" s="73"/>
      <c r="FM98" s="73"/>
      <c r="FN98" s="73"/>
      <c r="FO98" s="73"/>
      <c r="FP98" s="73"/>
      <c r="FQ98" s="73"/>
      <c r="FR98" s="73"/>
      <c r="FS98" s="73"/>
      <c r="FT98" s="73"/>
      <c r="FU98" s="73"/>
      <c r="FV98" s="73"/>
      <c r="FW98" s="73"/>
      <c r="FX98" s="73"/>
      <c r="FY98" s="73"/>
      <c r="FZ98" s="73"/>
      <c r="GA98" s="73"/>
      <c r="GB98" s="73"/>
      <c r="GC98" s="73"/>
      <c r="GD98" s="73"/>
      <c r="GE98" s="73"/>
      <c r="GF98" s="73"/>
      <c r="GG98" s="73"/>
      <c r="GH98" s="73"/>
      <c r="GI98" s="73"/>
      <c r="GJ98" s="73"/>
      <c r="GK98" s="73"/>
      <c r="GL98" s="73"/>
      <c r="GM98" s="73"/>
      <c r="GN98" s="73"/>
      <c r="GO98" s="73"/>
      <c r="GP98" s="73"/>
      <c r="GQ98" s="73"/>
      <c r="GR98" s="73"/>
      <c r="GS98" s="73"/>
      <c r="GT98" s="73"/>
      <c r="GU98" s="73"/>
      <c r="GV98" s="73"/>
      <c r="GW98" s="73"/>
      <c r="GX98" s="73"/>
      <c r="GY98" s="73"/>
      <c r="GZ98" s="73"/>
      <c r="HA98" s="73"/>
      <c r="HB98" s="73"/>
      <c r="HC98" s="73"/>
      <c r="HD98" s="73"/>
      <c r="HE98" s="73"/>
      <c r="HF98" s="73"/>
      <c r="HG98" s="73"/>
      <c r="HH98" s="125">
        <v>1</v>
      </c>
      <c r="HI98" s="125">
        <v>1</v>
      </c>
      <c r="HJ98" s="125">
        <v>0</v>
      </c>
      <c r="HK98" s="125">
        <v>1</v>
      </c>
      <c r="HL98" s="125">
        <v>0</v>
      </c>
      <c r="HM98" s="125">
        <v>1</v>
      </c>
      <c r="HN98" s="125">
        <v>0</v>
      </c>
      <c r="HO98" s="125">
        <v>0</v>
      </c>
      <c r="HP98" s="125">
        <v>7</v>
      </c>
      <c r="HQ98" s="125">
        <v>46</v>
      </c>
      <c r="HR98" s="125">
        <v>0</v>
      </c>
      <c r="HS98" s="125">
        <v>2</v>
      </c>
      <c r="HT98" s="125">
        <v>5</v>
      </c>
      <c r="HU98" s="125">
        <v>15</v>
      </c>
      <c r="HV98" s="125">
        <v>2</v>
      </c>
      <c r="HW98" s="125">
        <v>8</v>
      </c>
      <c r="HX98" s="125">
        <v>0</v>
      </c>
      <c r="HY98" s="125">
        <v>0</v>
      </c>
      <c r="HZ98" s="125">
        <v>1</v>
      </c>
      <c r="IA98" s="125">
        <v>2</v>
      </c>
      <c r="IB98" s="125">
        <v>2</v>
      </c>
      <c r="IC98" s="125">
        <v>3</v>
      </c>
      <c r="ID98" s="125">
        <v>6</v>
      </c>
      <c r="IE98" s="125">
        <v>37</v>
      </c>
      <c r="IF98" s="125">
        <v>0</v>
      </c>
      <c r="IG98" s="125">
        <v>10</v>
      </c>
      <c r="IH98" s="125">
        <v>2</v>
      </c>
      <c r="II98" s="125">
        <v>10</v>
      </c>
      <c r="IJ98" s="125">
        <v>5</v>
      </c>
      <c r="IK98" s="125">
        <v>10</v>
      </c>
      <c r="IL98" s="125">
        <v>1</v>
      </c>
      <c r="IM98" s="125">
        <v>6</v>
      </c>
      <c r="IN98" s="125">
        <v>0</v>
      </c>
      <c r="IO98" s="125">
        <v>5</v>
      </c>
      <c r="IP98" s="125">
        <v>2</v>
      </c>
      <c r="IQ98" s="125">
        <v>5</v>
      </c>
      <c r="IR98" s="125">
        <v>2</v>
      </c>
      <c r="IS98" s="125">
        <v>22</v>
      </c>
      <c r="IT98" s="125">
        <v>2</v>
      </c>
      <c r="IU98" s="125">
        <v>10</v>
      </c>
      <c r="IV98" s="125">
        <v>2</v>
      </c>
      <c r="IW98" s="125">
        <v>7</v>
      </c>
      <c r="IX98" s="125">
        <v>4</v>
      </c>
      <c r="IY98" s="125">
        <v>6</v>
      </c>
      <c r="IZ98" s="125">
        <v>2</v>
      </c>
      <c r="JA98" s="125">
        <v>5</v>
      </c>
      <c r="JB98" s="125">
        <v>1</v>
      </c>
      <c r="JC98" s="125">
        <v>8</v>
      </c>
      <c r="JD98" s="125">
        <v>0</v>
      </c>
      <c r="JE98" s="125">
        <v>10</v>
      </c>
    </row>
    <row r="99" spans="1:265" ht="25.5" hidden="1" customHeight="1" x14ac:dyDescent="0.15">
      <c r="A99" s="104" t="s">
        <v>164</v>
      </c>
      <c r="B99" s="136"/>
      <c r="C99" s="137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3"/>
      <c r="DV99" s="73"/>
      <c r="DW99" s="73"/>
      <c r="DX99" s="73"/>
      <c r="DY99" s="73"/>
      <c r="DZ99" s="73"/>
      <c r="EA99" s="73"/>
      <c r="EB99" s="73"/>
      <c r="EC99" s="73"/>
      <c r="ED99" s="73"/>
      <c r="EE99" s="73"/>
      <c r="EF99" s="73"/>
      <c r="EG99" s="116"/>
      <c r="EH99" s="117"/>
      <c r="EI99" s="73"/>
      <c r="EJ99" s="73"/>
      <c r="EK99" s="73"/>
      <c r="EL99" s="73"/>
      <c r="EM99" s="73"/>
      <c r="EN99" s="73"/>
      <c r="EO99" s="73"/>
      <c r="EP99" s="73"/>
      <c r="EQ99" s="73"/>
      <c r="ER99" s="73"/>
      <c r="ES99" s="73"/>
      <c r="ET99" s="73"/>
      <c r="EU99" s="73"/>
      <c r="EV99" s="73"/>
      <c r="EW99" s="73"/>
      <c r="EX99" s="73"/>
      <c r="EY99" s="73"/>
      <c r="EZ99" s="73"/>
      <c r="FA99" s="73"/>
      <c r="FB99" s="73"/>
      <c r="FC99" s="73"/>
      <c r="FD99" s="73"/>
      <c r="FE99" s="73"/>
      <c r="FF99" s="73"/>
      <c r="FG99" s="73"/>
      <c r="FH99" s="73"/>
      <c r="FI99" s="73"/>
      <c r="FJ99" s="73"/>
      <c r="FK99" s="73"/>
      <c r="FL99" s="73"/>
      <c r="FM99" s="73"/>
      <c r="FN99" s="73"/>
      <c r="FO99" s="73"/>
      <c r="FP99" s="73"/>
      <c r="FQ99" s="73"/>
      <c r="FR99" s="73"/>
      <c r="FS99" s="73"/>
      <c r="FT99" s="73"/>
      <c r="FU99" s="73"/>
      <c r="FV99" s="73"/>
      <c r="FW99" s="73"/>
      <c r="FX99" s="73"/>
      <c r="FY99" s="73"/>
      <c r="FZ99" s="73"/>
      <c r="GA99" s="73"/>
      <c r="GB99" s="73"/>
      <c r="GC99" s="73"/>
      <c r="GD99" s="73"/>
      <c r="GE99" s="73"/>
      <c r="GF99" s="73"/>
      <c r="GG99" s="73"/>
      <c r="GH99" s="73"/>
      <c r="GI99" s="73"/>
      <c r="GJ99" s="73"/>
      <c r="GK99" s="73"/>
      <c r="GL99" s="73"/>
      <c r="GM99" s="73"/>
      <c r="GN99" s="73"/>
      <c r="GO99" s="73"/>
      <c r="GP99" s="73"/>
      <c r="GQ99" s="73"/>
      <c r="GR99" s="73"/>
      <c r="GS99" s="73"/>
      <c r="GT99" s="73"/>
      <c r="GU99" s="73"/>
      <c r="GV99" s="73"/>
      <c r="GW99" s="73"/>
      <c r="GX99" s="73"/>
      <c r="GY99" s="73"/>
      <c r="GZ99" s="73"/>
      <c r="HA99" s="73"/>
      <c r="HB99" s="73"/>
      <c r="HC99" s="73"/>
      <c r="HD99" s="73"/>
      <c r="HE99" s="73"/>
      <c r="HF99" s="73"/>
      <c r="HG99" s="73"/>
      <c r="HH99" s="138"/>
      <c r="HI99" s="138"/>
      <c r="HJ99" s="138"/>
      <c r="HK99" s="138"/>
      <c r="HL99" s="138"/>
      <c r="HM99" s="138"/>
      <c r="HN99" s="138"/>
      <c r="HO99" s="138"/>
      <c r="HP99" s="138"/>
      <c r="HQ99" s="138"/>
      <c r="HR99" s="138"/>
      <c r="HS99" s="138"/>
      <c r="HT99" s="138"/>
      <c r="HU99" s="138"/>
      <c r="HV99" s="138"/>
      <c r="HW99" s="138"/>
      <c r="HX99" s="138"/>
      <c r="HY99" s="138"/>
      <c r="HZ99" s="138"/>
      <c r="IA99" s="138"/>
      <c r="IB99" s="138"/>
      <c r="IC99" s="138"/>
      <c r="ID99" s="138"/>
      <c r="IE99" s="138"/>
      <c r="IF99" s="138"/>
      <c r="IG99" s="138"/>
      <c r="IH99" s="138"/>
      <c r="II99" s="138"/>
      <c r="IJ99" s="138"/>
      <c r="IK99" s="138"/>
      <c r="IL99" s="138"/>
      <c r="IM99" s="138"/>
      <c r="IN99" s="138"/>
      <c r="IO99" s="138"/>
      <c r="IP99" s="138"/>
      <c r="IQ99" s="138"/>
      <c r="IR99" s="138"/>
      <c r="IS99" s="138"/>
      <c r="IT99" s="138"/>
      <c r="IU99" s="138"/>
      <c r="IV99" s="138"/>
      <c r="IW99" s="138"/>
      <c r="IX99" s="138"/>
      <c r="IY99" s="138"/>
      <c r="IZ99" s="138"/>
      <c r="JA99" s="138"/>
      <c r="JB99" s="138"/>
      <c r="JC99" s="138"/>
      <c r="JD99" s="138"/>
      <c r="JE99" s="138"/>
    </row>
    <row r="100" spans="1:265" ht="14" x14ac:dyDescent="0.15">
      <c r="A100" s="128"/>
      <c r="B100" s="129" t="s">
        <v>165</v>
      </c>
      <c r="C100" s="129"/>
      <c r="D100" s="128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3"/>
      <c r="BY100" s="133"/>
      <c r="BZ100" s="133"/>
      <c r="CA100" s="133"/>
      <c r="CB100" s="133"/>
      <c r="CC100" s="133"/>
      <c r="CD100" s="133"/>
      <c r="CE100" s="133"/>
      <c r="CF100" s="133"/>
      <c r="CG100" s="133"/>
      <c r="CH100" s="133"/>
      <c r="CI100" s="133"/>
      <c r="CJ100" s="133"/>
      <c r="CK100" s="133"/>
      <c r="CL100" s="133"/>
      <c r="CM100" s="133"/>
      <c r="CN100" s="133"/>
      <c r="CO100" s="133"/>
      <c r="CP100" s="133"/>
      <c r="CQ100" s="133"/>
      <c r="CR100" s="133"/>
      <c r="CS100" s="133"/>
      <c r="CT100" s="133"/>
      <c r="CU100" s="133"/>
      <c r="CV100" s="133"/>
      <c r="CW100" s="133"/>
      <c r="CX100" s="133"/>
      <c r="CY100" s="133"/>
      <c r="CZ100" s="133"/>
      <c r="DA100" s="133"/>
      <c r="DB100" s="133"/>
      <c r="DC100" s="133"/>
      <c r="DD100" s="133"/>
      <c r="DE100" s="133"/>
      <c r="DF100" s="133"/>
      <c r="DG100" s="133"/>
      <c r="DH100" s="133"/>
      <c r="DI100" s="133"/>
      <c r="DJ100" s="133"/>
      <c r="DK100" s="133"/>
      <c r="DL100" s="133"/>
      <c r="DM100" s="133"/>
      <c r="DN100" s="133"/>
      <c r="DO100" s="133"/>
      <c r="DP100" s="133"/>
      <c r="DQ100" s="133"/>
      <c r="DR100" s="133"/>
      <c r="DS100" s="133"/>
      <c r="DT100" s="133"/>
      <c r="DU100" s="133"/>
      <c r="DV100" s="133"/>
      <c r="DW100" s="133"/>
      <c r="DX100" s="133"/>
      <c r="DY100" s="133"/>
      <c r="DZ100" s="133"/>
      <c r="EA100" s="133"/>
      <c r="EB100" s="133"/>
      <c r="EC100" s="133"/>
      <c r="ED100" s="133"/>
      <c r="EE100" s="133"/>
      <c r="EF100" s="133"/>
      <c r="EG100" s="134"/>
      <c r="EH100" s="135"/>
      <c r="EI100" s="133"/>
      <c r="EJ100" s="133"/>
      <c r="EK100" s="133"/>
      <c r="EL100" s="133"/>
      <c r="EM100" s="133"/>
      <c r="EN100" s="133"/>
      <c r="EO100" s="133"/>
      <c r="EP100" s="133"/>
      <c r="EQ100" s="133"/>
      <c r="ER100" s="133"/>
      <c r="ES100" s="133"/>
      <c r="ET100" s="133"/>
      <c r="EU100" s="133"/>
      <c r="EV100" s="133"/>
      <c r="EW100" s="133"/>
      <c r="EX100" s="133"/>
      <c r="EY100" s="133"/>
      <c r="EZ100" s="133"/>
      <c r="FA100" s="133"/>
      <c r="FB100" s="133"/>
      <c r="FC100" s="133"/>
      <c r="FD100" s="133"/>
      <c r="FE100" s="133"/>
      <c r="FF100" s="133"/>
      <c r="FG100" s="133"/>
      <c r="FH100" s="133"/>
      <c r="FI100" s="133"/>
      <c r="FJ100" s="133"/>
      <c r="FK100" s="133"/>
      <c r="FL100" s="133"/>
      <c r="FM100" s="133"/>
      <c r="FN100" s="133"/>
      <c r="FO100" s="133"/>
      <c r="FP100" s="133"/>
      <c r="FQ100" s="133"/>
      <c r="FR100" s="133"/>
      <c r="FS100" s="133"/>
      <c r="FT100" s="133"/>
      <c r="FU100" s="133"/>
      <c r="FV100" s="133"/>
      <c r="FW100" s="133"/>
      <c r="FX100" s="133"/>
      <c r="FY100" s="133"/>
      <c r="FZ100" s="133"/>
      <c r="GA100" s="133"/>
      <c r="GB100" s="133"/>
      <c r="GC100" s="133"/>
      <c r="GD100" s="133"/>
      <c r="GE100" s="133"/>
      <c r="GF100" s="133"/>
      <c r="GG100" s="133"/>
      <c r="GH100" s="133"/>
      <c r="GI100" s="133"/>
      <c r="GJ100" s="133"/>
      <c r="GK100" s="133"/>
      <c r="GL100" s="133"/>
      <c r="GM100" s="133"/>
      <c r="GN100" s="119"/>
      <c r="GO100" s="119"/>
      <c r="GP100" s="119"/>
      <c r="GQ100" s="119"/>
      <c r="GR100" s="119"/>
      <c r="GS100" s="119"/>
      <c r="GT100" s="119"/>
      <c r="GU100" s="119"/>
      <c r="GV100" s="119"/>
      <c r="GW100" s="119"/>
      <c r="GX100" s="119"/>
      <c r="GY100" s="119"/>
      <c r="GZ100" s="119"/>
      <c r="HA100" s="119"/>
      <c r="HB100" s="119"/>
      <c r="HC100" s="119"/>
      <c r="HD100" s="119"/>
      <c r="HE100" s="119"/>
      <c r="HF100" s="119"/>
      <c r="HG100" s="119"/>
      <c r="HH100" s="119">
        <f>SUM(HH96:HH99)</f>
        <v>12</v>
      </c>
      <c r="HI100" s="119">
        <f>SUM(HI96:HI99)</f>
        <v>60</v>
      </c>
      <c r="HJ100" s="119">
        <f t="shared" ref="HJ100:JE100" si="31">SUM(HJ96:HJ99)</f>
        <v>17</v>
      </c>
      <c r="HK100" s="119">
        <f t="shared" si="31"/>
        <v>40</v>
      </c>
      <c r="HL100" s="119">
        <f t="shared" si="31"/>
        <v>4</v>
      </c>
      <c r="HM100" s="119">
        <f t="shared" si="31"/>
        <v>15</v>
      </c>
      <c r="HN100" s="119">
        <f t="shared" si="31"/>
        <v>11</v>
      </c>
      <c r="HO100" s="119">
        <f t="shared" si="31"/>
        <v>22</v>
      </c>
      <c r="HP100" s="119">
        <f t="shared" si="31"/>
        <v>31</v>
      </c>
      <c r="HQ100" s="119">
        <f t="shared" si="31"/>
        <v>103</v>
      </c>
      <c r="HR100" s="119">
        <f t="shared" si="31"/>
        <v>10</v>
      </c>
      <c r="HS100" s="119">
        <f t="shared" si="31"/>
        <v>31</v>
      </c>
      <c r="HT100" s="119">
        <f t="shared" si="31"/>
        <v>23</v>
      </c>
      <c r="HU100" s="119">
        <f>SUM(HU96:HU99)</f>
        <v>48</v>
      </c>
      <c r="HV100" s="119">
        <f t="shared" si="31"/>
        <v>25</v>
      </c>
      <c r="HW100" s="119">
        <f t="shared" si="31"/>
        <v>57</v>
      </c>
      <c r="HX100" s="119">
        <f t="shared" si="31"/>
        <v>3</v>
      </c>
      <c r="HY100" s="119">
        <f t="shared" si="31"/>
        <v>32</v>
      </c>
      <c r="HZ100" s="119">
        <f t="shared" si="31"/>
        <v>18</v>
      </c>
      <c r="IA100" s="119">
        <f t="shared" si="31"/>
        <v>28</v>
      </c>
      <c r="IB100" s="119">
        <f t="shared" si="31"/>
        <v>15</v>
      </c>
      <c r="IC100" s="119">
        <f t="shared" si="31"/>
        <v>24</v>
      </c>
      <c r="ID100" s="119">
        <f t="shared" si="31"/>
        <v>27</v>
      </c>
      <c r="IE100" s="119">
        <f t="shared" si="31"/>
        <v>73</v>
      </c>
      <c r="IF100" s="119">
        <f t="shared" si="31"/>
        <v>15</v>
      </c>
      <c r="IG100" s="119">
        <f t="shared" si="31"/>
        <v>50</v>
      </c>
      <c r="IH100" s="119">
        <f t="shared" si="31"/>
        <v>22</v>
      </c>
      <c r="II100" s="119">
        <f t="shared" si="31"/>
        <v>48</v>
      </c>
      <c r="IJ100" s="119">
        <f t="shared" si="31"/>
        <v>28</v>
      </c>
      <c r="IK100" s="119">
        <f t="shared" si="31"/>
        <v>53</v>
      </c>
      <c r="IL100" s="119">
        <f t="shared" si="31"/>
        <v>4</v>
      </c>
      <c r="IM100" s="119">
        <f t="shared" si="31"/>
        <v>13</v>
      </c>
      <c r="IN100" s="119">
        <f t="shared" si="31"/>
        <v>4</v>
      </c>
      <c r="IO100" s="119">
        <f t="shared" si="31"/>
        <v>42</v>
      </c>
      <c r="IP100" s="119">
        <f t="shared" si="31"/>
        <v>15</v>
      </c>
      <c r="IQ100" s="119">
        <f t="shared" si="31"/>
        <v>31</v>
      </c>
      <c r="IR100" s="119">
        <f t="shared" si="31"/>
        <v>13</v>
      </c>
      <c r="IS100" s="119">
        <f t="shared" si="31"/>
        <v>42</v>
      </c>
      <c r="IT100" s="119">
        <f t="shared" si="31"/>
        <v>24</v>
      </c>
      <c r="IU100" s="119">
        <f t="shared" si="31"/>
        <v>42</v>
      </c>
      <c r="IV100" s="119">
        <f t="shared" si="31"/>
        <v>14</v>
      </c>
      <c r="IW100" s="119">
        <f t="shared" si="31"/>
        <v>36</v>
      </c>
      <c r="IX100" s="119">
        <f t="shared" si="31"/>
        <v>17</v>
      </c>
      <c r="IY100" s="119">
        <f t="shared" si="31"/>
        <v>29</v>
      </c>
      <c r="IZ100" s="119">
        <f t="shared" si="31"/>
        <v>8</v>
      </c>
      <c r="JA100" s="119">
        <f t="shared" si="31"/>
        <v>16</v>
      </c>
      <c r="JB100" s="119">
        <f t="shared" si="31"/>
        <v>24</v>
      </c>
      <c r="JC100" s="119">
        <f t="shared" si="31"/>
        <v>41</v>
      </c>
      <c r="JD100" s="119">
        <f t="shared" si="31"/>
        <v>5</v>
      </c>
      <c r="JE100" s="119">
        <f t="shared" si="31"/>
        <v>22</v>
      </c>
    </row>
    <row r="101" spans="1:265" ht="70" x14ac:dyDescent="0.15">
      <c r="A101" s="139">
        <v>5.0999999999999996</v>
      </c>
      <c r="B101" s="140" t="s">
        <v>166</v>
      </c>
      <c r="C101" s="141" t="s">
        <v>167</v>
      </c>
      <c r="D101" s="69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5">
        <v>0</v>
      </c>
      <c r="BE101" s="125">
        <v>7</v>
      </c>
      <c r="BF101" s="125">
        <v>0</v>
      </c>
      <c r="BG101" s="125">
        <v>7</v>
      </c>
      <c r="BH101" s="125">
        <v>0</v>
      </c>
      <c r="BI101" s="125">
        <v>12</v>
      </c>
      <c r="BJ101" s="125">
        <v>0</v>
      </c>
      <c r="BK101" s="125">
        <v>3</v>
      </c>
      <c r="BL101" s="125">
        <v>0</v>
      </c>
      <c r="BM101" s="125">
        <v>3</v>
      </c>
      <c r="BN101" s="125">
        <v>0</v>
      </c>
      <c r="BO101" s="125">
        <v>4</v>
      </c>
      <c r="BP101" s="125">
        <v>0</v>
      </c>
      <c r="BQ101" s="125">
        <v>4</v>
      </c>
      <c r="BR101" s="125">
        <v>0</v>
      </c>
      <c r="BS101" s="125">
        <v>1</v>
      </c>
      <c r="BT101" s="125">
        <v>0</v>
      </c>
      <c r="BU101" s="125">
        <v>2</v>
      </c>
      <c r="BV101" s="125">
        <v>0</v>
      </c>
      <c r="BW101" s="125">
        <v>3</v>
      </c>
      <c r="BX101" s="125">
        <v>0</v>
      </c>
      <c r="BY101" s="125">
        <v>3</v>
      </c>
      <c r="BZ101" s="125">
        <v>1</v>
      </c>
      <c r="CA101" s="125">
        <v>2</v>
      </c>
      <c r="CB101" s="125">
        <v>0</v>
      </c>
      <c r="CC101" s="125">
        <v>2</v>
      </c>
      <c r="CD101" s="125">
        <v>1</v>
      </c>
      <c r="CE101" s="125">
        <v>2</v>
      </c>
      <c r="CF101" s="125">
        <v>0</v>
      </c>
      <c r="CG101" s="125">
        <v>1</v>
      </c>
      <c r="CH101" s="125">
        <v>0</v>
      </c>
      <c r="CI101" s="125">
        <v>3</v>
      </c>
      <c r="CJ101" s="125">
        <v>0</v>
      </c>
      <c r="CK101" s="125">
        <v>3</v>
      </c>
      <c r="CL101" s="125">
        <v>0</v>
      </c>
      <c r="CM101" s="127">
        <v>3</v>
      </c>
      <c r="CN101" s="125">
        <v>1</v>
      </c>
      <c r="CO101" s="127">
        <v>3</v>
      </c>
      <c r="CP101" s="125">
        <v>0</v>
      </c>
      <c r="CQ101" s="127">
        <v>3</v>
      </c>
      <c r="CR101" s="125">
        <v>0</v>
      </c>
      <c r="CS101" s="127">
        <v>3</v>
      </c>
      <c r="CT101" s="125">
        <v>1</v>
      </c>
      <c r="CU101" s="127">
        <v>3</v>
      </c>
      <c r="CV101" s="125">
        <v>0</v>
      </c>
      <c r="CW101" s="127">
        <v>1</v>
      </c>
      <c r="CX101" s="125">
        <v>0</v>
      </c>
      <c r="CY101" s="127">
        <v>2</v>
      </c>
      <c r="CZ101" s="125">
        <v>1</v>
      </c>
      <c r="DA101" s="127">
        <v>2</v>
      </c>
      <c r="DB101" s="125">
        <v>0</v>
      </c>
      <c r="DC101" s="127">
        <v>1</v>
      </c>
      <c r="DD101" s="125">
        <v>0</v>
      </c>
      <c r="DE101" s="127">
        <v>1</v>
      </c>
      <c r="DF101" s="125">
        <v>0</v>
      </c>
      <c r="DG101" s="127">
        <v>1</v>
      </c>
      <c r="DH101" s="125">
        <v>0</v>
      </c>
      <c r="DI101" s="127">
        <v>0</v>
      </c>
      <c r="DJ101" s="125">
        <v>0</v>
      </c>
      <c r="DK101" s="127">
        <v>1</v>
      </c>
      <c r="DL101" s="125">
        <v>0</v>
      </c>
      <c r="DM101" s="127">
        <v>3</v>
      </c>
      <c r="DN101" s="125">
        <v>0</v>
      </c>
      <c r="DO101" s="127">
        <v>2</v>
      </c>
      <c r="DP101" s="125">
        <v>0</v>
      </c>
      <c r="DQ101" s="127">
        <v>1</v>
      </c>
      <c r="DR101" s="125">
        <v>0</v>
      </c>
      <c r="DS101" s="127">
        <v>2</v>
      </c>
      <c r="DT101" s="125">
        <v>0</v>
      </c>
      <c r="DU101" s="127">
        <v>2</v>
      </c>
      <c r="DV101" s="125">
        <v>0</v>
      </c>
      <c r="DW101" s="127">
        <v>1</v>
      </c>
      <c r="DX101" s="125">
        <v>0</v>
      </c>
      <c r="DY101" s="127">
        <v>3</v>
      </c>
      <c r="DZ101" s="125">
        <v>0</v>
      </c>
      <c r="EA101" s="127">
        <v>2</v>
      </c>
      <c r="EB101" s="125">
        <v>0</v>
      </c>
      <c r="EC101" s="127">
        <v>1</v>
      </c>
      <c r="ED101" s="125">
        <v>0</v>
      </c>
      <c r="EE101" s="127">
        <v>2</v>
      </c>
      <c r="EF101" s="125">
        <v>0</v>
      </c>
      <c r="EG101" s="143">
        <v>1</v>
      </c>
      <c r="EH101" s="144">
        <v>0</v>
      </c>
      <c r="EI101" s="127">
        <v>1</v>
      </c>
      <c r="EJ101" s="127">
        <v>0</v>
      </c>
      <c r="EK101" s="127">
        <v>1</v>
      </c>
      <c r="EL101" s="138"/>
      <c r="EM101" s="138"/>
      <c r="EN101" s="138"/>
      <c r="EO101" s="138"/>
      <c r="EP101" s="138"/>
      <c r="EQ101" s="138"/>
      <c r="ER101" s="138"/>
      <c r="ES101" s="138"/>
      <c r="ET101" s="138"/>
      <c r="EU101" s="138"/>
      <c r="EV101" s="138"/>
      <c r="EW101" s="138"/>
      <c r="EX101" s="138"/>
      <c r="EY101" s="138"/>
      <c r="EZ101" s="138"/>
      <c r="FA101" s="138"/>
      <c r="FB101" s="138"/>
      <c r="FC101" s="138"/>
      <c r="FD101" s="138"/>
      <c r="FE101" s="138"/>
      <c r="FF101" s="138"/>
      <c r="FG101" s="138"/>
      <c r="FH101" s="138"/>
      <c r="FI101" s="138"/>
      <c r="FJ101" s="138"/>
      <c r="FK101" s="138"/>
      <c r="FL101" s="138"/>
      <c r="FM101" s="138"/>
      <c r="FN101" s="138"/>
      <c r="FO101" s="138"/>
      <c r="FP101" s="138"/>
      <c r="FQ101" s="138"/>
      <c r="FR101" s="138"/>
      <c r="FS101" s="138"/>
      <c r="FT101" s="138"/>
      <c r="FU101" s="138"/>
      <c r="FV101" s="138"/>
      <c r="FW101" s="138"/>
      <c r="FX101" s="138"/>
      <c r="FY101" s="138"/>
      <c r="FZ101" s="138"/>
      <c r="GA101" s="138"/>
      <c r="GB101" s="138"/>
      <c r="GC101" s="138"/>
      <c r="GD101" s="138"/>
      <c r="GE101" s="138"/>
      <c r="GF101" s="138"/>
      <c r="GG101" s="138"/>
      <c r="GH101" s="138"/>
      <c r="GI101" s="138"/>
      <c r="GJ101" s="138"/>
      <c r="GK101" s="138"/>
      <c r="GL101" s="138"/>
      <c r="GM101" s="138"/>
      <c r="GN101" s="138"/>
      <c r="GO101" s="138"/>
      <c r="GP101" s="138"/>
      <c r="GQ101" s="138"/>
      <c r="GR101" s="138"/>
      <c r="GS101" s="138"/>
      <c r="GT101" s="138"/>
      <c r="GU101" s="138"/>
      <c r="GV101" s="138"/>
      <c r="GW101" s="138"/>
      <c r="GX101" s="138"/>
      <c r="GY101" s="138"/>
      <c r="GZ101" s="138"/>
      <c r="HA101" s="138"/>
      <c r="HB101" s="138"/>
      <c r="HC101" s="138"/>
      <c r="HD101" s="138"/>
      <c r="HE101" s="138"/>
      <c r="HF101" s="138"/>
      <c r="HG101" s="138"/>
      <c r="HH101" s="138"/>
      <c r="HI101" s="138"/>
      <c r="HJ101" s="138"/>
      <c r="HK101" s="138"/>
      <c r="HL101" s="138"/>
      <c r="HM101" s="138"/>
      <c r="HN101" s="138"/>
      <c r="HO101" s="138"/>
      <c r="HP101" s="138"/>
      <c r="HQ101" s="138"/>
      <c r="HR101" s="138"/>
      <c r="HS101" s="138"/>
      <c r="HT101" s="138"/>
      <c r="HU101" s="138"/>
      <c r="HV101" s="138"/>
      <c r="HW101" s="138"/>
      <c r="HX101" s="138"/>
      <c r="HY101" s="138"/>
      <c r="HZ101" s="138"/>
      <c r="IA101" s="138"/>
      <c r="IB101" s="138"/>
      <c r="IC101" s="138"/>
      <c r="ID101" s="138"/>
      <c r="IE101" s="138"/>
      <c r="IF101" s="138"/>
      <c r="IG101" s="138"/>
      <c r="IH101" s="138"/>
      <c r="II101" s="138"/>
      <c r="IJ101" s="138"/>
      <c r="IK101" s="138"/>
      <c r="IL101" s="138"/>
      <c r="IM101" s="138"/>
      <c r="IN101" s="138"/>
      <c r="IO101" s="138"/>
      <c r="IP101" s="138"/>
      <c r="IQ101" s="138"/>
      <c r="IR101" s="138"/>
      <c r="IS101" s="138"/>
      <c r="IT101" s="138"/>
      <c r="IU101" s="138"/>
      <c r="IV101" s="138"/>
      <c r="IW101" s="138"/>
      <c r="IX101" s="138"/>
      <c r="IY101" s="138"/>
      <c r="IZ101" s="138"/>
      <c r="JA101" s="138"/>
      <c r="JB101" s="138"/>
      <c r="JC101" s="138"/>
      <c r="JD101" s="138"/>
      <c r="JE101" s="138"/>
    </row>
    <row r="102" spans="1:265" ht="42" x14ac:dyDescent="0.15">
      <c r="A102" s="139">
        <v>5.2</v>
      </c>
      <c r="B102" s="140" t="s">
        <v>168</v>
      </c>
      <c r="C102" s="141" t="s">
        <v>169</v>
      </c>
      <c r="D102" s="69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5">
        <v>0</v>
      </c>
      <c r="BE102" s="125">
        <v>3</v>
      </c>
      <c r="BF102" s="125">
        <v>0</v>
      </c>
      <c r="BG102" s="125">
        <v>0</v>
      </c>
      <c r="BH102" s="125">
        <v>0</v>
      </c>
      <c r="BI102" s="125">
        <v>0</v>
      </c>
      <c r="BJ102" s="125">
        <v>0</v>
      </c>
      <c r="BK102" s="125">
        <v>0</v>
      </c>
      <c r="BL102" s="125">
        <v>0</v>
      </c>
      <c r="BM102" s="125">
        <v>0</v>
      </c>
      <c r="BN102" s="125">
        <v>0</v>
      </c>
      <c r="BO102" s="125">
        <v>1</v>
      </c>
      <c r="BP102" s="125">
        <v>0</v>
      </c>
      <c r="BQ102" s="125">
        <v>0</v>
      </c>
      <c r="BR102" s="125">
        <v>0</v>
      </c>
      <c r="BS102" s="125">
        <v>3</v>
      </c>
      <c r="BT102" s="125">
        <v>0</v>
      </c>
      <c r="BU102" s="125">
        <v>0</v>
      </c>
      <c r="BV102" s="125">
        <v>0</v>
      </c>
      <c r="BW102" s="125">
        <v>0</v>
      </c>
      <c r="BX102" s="125">
        <v>0</v>
      </c>
      <c r="BY102" s="125">
        <v>7</v>
      </c>
      <c r="BZ102" s="125">
        <v>1</v>
      </c>
      <c r="CA102" s="125">
        <v>1</v>
      </c>
      <c r="CB102" s="125">
        <v>0</v>
      </c>
      <c r="CC102" s="125">
        <v>0</v>
      </c>
      <c r="CD102" s="125">
        <v>0</v>
      </c>
      <c r="CE102" s="125">
        <v>0</v>
      </c>
      <c r="CF102" s="125">
        <v>0</v>
      </c>
      <c r="CG102" s="125">
        <v>0</v>
      </c>
      <c r="CH102" s="125">
        <v>0</v>
      </c>
      <c r="CI102" s="125">
        <v>0</v>
      </c>
      <c r="CJ102" s="125">
        <v>1</v>
      </c>
      <c r="CK102" s="125">
        <v>1</v>
      </c>
      <c r="CL102" s="125">
        <v>0</v>
      </c>
      <c r="CM102" s="127">
        <v>0</v>
      </c>
      <c r="CN102" s="125">
        <v>0</v>
      </c>
      <c r="CO102" s="127">
        <v>0</v>
      </c>
      <c r="CP102" s="125">
        <v>0</v>
      </c>
      <c r="CQ102" s="127">
        <v>3</v>
      </c>
      <c r="CR102" s="125">
        <v>0</v>
      </c>
      <c r="CS102" s="127">
        <v>1</v>
      </c>
      <c r="CT102" s="125">
        <v>0</v>
      </c>
      <c r="CU102" s="127">
        <v>0</v>
      </c>
      <c r="CV102" s="125">
        <v>0</v>
      </c>
      <c r="CW102" s="127">
        <v>4</v>
      </c>
      <c r="CX102" s="125">
        <v>0</v>
      </c>
      <c r="CY102" s="127">
        <v>0</v>
      </c>
      <c r="CZ102" s="125">
        <v>0</v>
      </c>
      <c r="DA102" s="127">
        <v>0</v>
      </c>
      <c r="DB102" s="125">
        <v>0</v>
      </c>
      <c r="DC102" s="127">
        <v>1</v>
      </c>
      <c r="DD102" s="125">
        <v>0</v>
      </c>
      <c r="DE102" s="127">
        <v>0</v>
      </c>
      <c r="DF102" s="125">
        <v>0</v>
      </c>
      <c r="DG102" s="127">
        <v>0</v>
      </c>
      <c r="DH102" s="125">
        <v>0</v>
      </c>
      <c r="DI102" s="127">
        <v>1</v>
      </c>
      <c r="DJ102" s="125">
        <v>0</v>
      </c>
      <c r="DK102" s="127">
        <v>1</v>
      </c>
      <c r="DL102" s="125">
        <v>0</v>
      </c>
      <c r="DM102" s="127">
        <v>1</v>
      </c>
      <c r="DN102" s="125">
        <v>1</v>
      </c>
      <c r="DO102" s="127">
        <v>3</v>
      </c>
      <c r="DP102" s="125">
        <v>0</v>
      </c>
      <c r="DQ102" s="127">
        <v>0</v>
      </c>
      <c r="DR102" s="125">
        <v>0</v>
      </c>
      <c r="DS102" s="127">
        <v>1</v>
      </c>
      <c r="DT102" s="125">
        <v>0</v>
      </c>
      <c r="DU102" s="127">
        <v>8</v>
      </c>
      <c r="DV102" s="125">
        <v>0</v>
      </c>
      <c r="DW102" s="127">
        <v>0</v>
      </c>
      <c r="DX102" s="125">
        <v>0</v>
      </c>
      <c r="DY102" s="127">
        <v>1</v>
      </c>
      <c r="DZ102" s="125">
        <v>0</v>
      </c>
      <c r="EA102" s="127">
        <v>2</v>
      </c>
      <c r="EB102" s="125">
        <v>0</v>
      </c>
      <c r="EC102" s="127">
        <v>1</v>
      </c>
      <c r="ED102" s="125">
        <v>0</v>
      </c>
      <c r="EE102" s="127">
        <v>1</v>
      </c>
      <c r="EF102" s="125">
        <v>0</v>
      </c>
      <c r="EG102" s="143">
        <v>1</v>
      </c>
      <c r="EH102" s="144">
        <v>0</v>
      </c>
      <c r="EI102" s="127">
        <v>1</v>
      </c>
      <c r="EJ102" s="127">
        <v>0</v>
      </c>
      <c r="EK102" s="127">
        <v>1</v>
      </c>
      <c r="EL102" s="138"/>
      <c r="EM102" s="138"/>
      <c r="EN102" s="138"/>
      <c r="EO102" s="138"/>
      <c r="EP102" s="138"/>
      <c r="EQ102" s="138"/>
      <c r="ER102" s="138"/>
      <c r="ES102" s="138"/>
      <c r="ET102" s="138"/>
      <c r="EU102" s="138"/>
      <c r="EV102" s="138"/>
      <c r="EW102" s="138"/>
      <c r="EX102" s="138"/>
      <c r="EY102" s="138"/>
      <c r="EZ102" s="138"/>
      <c r="FA102" s="138"/>
      <c r="FB102" s="138"/>
      <c r="FC102" s="138"/>
      <c r="FD102" s="138"/>
      <c r="FE102" s="138"/>
      <c r="FF102" s="138"/>
      <c r="FG102" s="138"/>
      <c r="FH102" s="138"/>
      <c r="FI102" s="138"/>
      <c r="FJ102" s="138"/>
      <c r="FK102" s="138"/>
      <c r="FL102" s="138"/>
      <c r="FM102" s="138"/>
      <c r="FN102" s="138"/>
      <c r="FO102" s="138"/>
      <c r="FP102" s="138"/>
      <c r="FQ102" s="138"/>
      <c r="FR102" s="138"/>
      <c r="FS102" s="138"/>
      <c r="FT102" s="138"/>
      <c r="FU102" s="138"/>
      <c r="FV102" s="138"/>
      <c r="FW102" s="138"/>
      <c r="FX102" s="138"/>
      <c r="FY102" s="138"/>
      <c r="FZ102" s="138"/>
      <c r="GA102" s="138"/>
      <c r="GB102" s="138"/>
      <c r="GC102" s="138"/>
      <c r="GD102" s="138"/>
      <c r="GE102" s="138"/>
      <c r="GF102" s="138"/>
      <c r="GG102" s="138"/>
      <c r="GH102" s="138"/>
      <c r="GI102" s="138"/>
      <c r="GJ102" s="138"/>
      <c r="GK102" s="138"/>
      <c r="GL102" s="138"/>
      <c r="GM102" s="138"/>
      <c r="GN102" s="138"/>
      <c r="GO102" s="138"/>
      <c r="GP102" s="138"/>
      <c r="GQ102" s="138"/>
      <c r="GR102" s="138"/>
      <c r="GS102" s="138"/>
      <c r="GT102" s="138"/>
      <c r="GU102" s="138"/>
      <c r="GV102" s="138"/>
      <c r="GW102" s="138"/>
      <c r="GX102" s="138"/>
      <c r="GY102" s="138"/>
      <c r="GZ102" s="138"/>
      <c r="HA102" s="138"/>
      <c r="HB102" s="138"/>
      <c r="HC102" s="138"/>
      <c r="HD102" s="138"/>
      <c r="HE102" s="138"/>
      <c r="HF102" s="138"/>
      <c r="HG102" s="138"/>
      <c r="HH102" s="138"/>
      <c r="HI102" s="138"/>
      <c r="HJ102" s="138"/>
      <c r="HK102" s="138"/>
      <c r="HL102" s="138"/>
      <c r="HM102" s="138"/>
      <c r="HN102" s="138"/>
      <c r="HO102" s="138"/>
      <c r="HP102" s="138"/>
      <c r="HQ102" s="138"/>
      <c r="HR102" s="138"/>
      <c r="HS102" s="138"/>
      <c r="HT102" s="138"/>
      <c r="HU102" s="138"/>
      <c r="HV102" s="138"/>
      <c r="HW102" s="138"/>
      <c r="HX102" s="138"/>
      <c r="HY102" s="138"/>
      <c r="HZ102" s="138"/>
      <c r="IA102" s="138"/>
      <c r="IB102" s="138"/>
      <c r="IC102" s="138"/>
      <c r="ID102" s="138"/>
      <c r="IE102" s="138"/>
      <c r="IF102" s="138"/>
      <c r="IG102" s="138"/>
      <c r="IH102" s="138"/>
      <c r="II102" s="138"/>
      <c r="IJ102" s="138"/>
      <c r="IK102" s="138"/>
      <c r="IL102" s="138"/>
      <c r="IM102" s="138"/>
      <c r="IN102" s="138"/>
      <c r="IO102" s="138"/>
      <c r="IP102" s="138"/>
      <c r="IQ102" s="138"/>
      <c r="IR102" s="138"/>
      <c r="IS102" s="138"/>
      <c r="IT102" s="138"/>
      <c r="IU102" s="138"/>
      <c r="IV102" s="138"/>
      <c r="IW102" s="138"/>
      <c r="IX102" s="138"/>
      <c r="IY102" s="138"/>
      <c r="IZ102" s="138"/>
      <c r="JA102" s="138"/>
      <c r="JB102" s="138"/>
      <c r="JC102" s="138"/>
      <c r="JD102" s="138"/>
      <c r="JE102" s="138"/>
    </row>
    <row r="103" spans="1:265" ht="42" x14ac:dyDescent="0.15">
      <c r="A103" s="139">
        <v>5.3</v>
      </c>
      <c r="B103" s="139" t="s">
        <v>170</v>
      </c>
      <c r="C103" s="141" t="s">
        <v>171</v>
      </c>
      <c r="D103" s="69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5">
        <v>0</v>
      </c>
      <c r="BE103" s="125">
        <v>0</v>
      </c>
      <c r="BF103" s="125">
        <v>0</v>
      </c>
      <c r="BG103" s="125">
        <v>0</v>
      </c>
      <c r="BH103" s="125">
        <v>0</v>
      </c>
      <c r="BI103" s="125">
        <v>0</v>
      </c>
      <c r="BJ103" s="125">
        <v>0</v>
      </c>
      <c r="BK103" s="125">
        <v>0</v>
      </c>
      <c r="BL103" s="125">
        <v>0</v>
      </c>
      <c r="BM103" s="125">
        <v>0</v>
      </c>
      <c r="BN103" s="125">
        <v>0</v>
      </c>
      <c r="BO103" s="125">
        <v>1</v>
      </c>
      <c r="BP103" s="125">
        <v>0</v>
      </c>
      <c r="BQ103" s="125">
        <v>1</v>
      </c>
      <c r="BR103" s="125">
        <v>0</v>
      </c>
      <c r="BS103" s="125">
        <v>0</v>
      </c>
      <c r="BT103" s="125">
        <v>0</v>
      </c>
      <c r="BU103" s="125">
        <v>0</v>
      </c>
      <c r="BV103" s="125">
        <v>0</v>
      </c>
      <c r="BW103" s="125">
        <v>0</v>
      </c>
      <c r="BX103" s="125">
        <v>0</v>
      </c>
      <c r="BY103" s="125">
        <v>0</v>
      </c>
      <c r="BZ103" s="125">
        <v>1</v>
      </c>
      <c r="CA103" s="125">
        <v>8</v>
      </c>
      <c r="CB103" s="125">
        <v>0</v>
      </c>
      <c r="CC103" s="125">
        <v>1</v>
      </c>
      <c r="CD103" s="125">
        <v>0</v>
      </c>
      <c r="CE103" s="125">
        <v>2</v>
      </c>
      <c r="CF103" s="125">
        <v>0</v>
      </c>
      <c r="CG103" s="125">
        <v>0</v>
      </c>
      <c r="CH103" s="125">
        <v>0</v>
      </c>
      <c r="CI103" s="125">
        <v>0</v>
      </c>
      <c r="CJ103" s="125">
        <v>1</v>
      </c>
      <c r="CK103" s="125">
        <v>1</v>
      </c>
      <c r="CL103" s="125">
        <v>0</v>
      </c>
      <c r="CM103" s="127">
        <v>0</v>
      </c>
      <c r="CN103" s="125">
        <v>0</v>
      </c>
      <c r="CO103" s="127">
        <v>0</v>
      </c>
      <c r="CP103" s="125">
        <v>0</v>
      </c>
      <c r="CQ103" s="127">
        <v>9</v>
      </c>
      <c r="CR103" s="125">
        <v>0</v>
      </c>
      <c r="CS103" s="127">
        <v>0</v>
      </c>
      <c r="CT103" s="125">
        <v>0</v>
      </c>
      <c r="CU103" s="127">
        <v>0</v>
      </c>
      <c r="CV103" s="125">
        <v>0</v>
      </c>
      <c r="CW103" s="127">
        <v>0</v>
      </c>
      <c r="CX103" s="125">
        <v>0</v>
      </c>
      <c r="CY103" s="127">
        <v>0</v>
      </c>
      <c r="CZ103" s="125">
        <v>0</v>
      </c>
      <c r="DA103" s="127">
        <v>0</v>
      </c>
      <c r="DB103" s="125">
        <v>0</v>
      </c>
      <c r="DC103" s="127">
        <v>1</v>
      </c>
      <c r="DD103" s="142"/>
      <c r="DE103" s="138"/>
      <c r="DF103" s="142"/>
      <c r="DG103" s="138"/>
      <c r="DH103" s="142"/>
      <c r="DI103" s="138"/>
      <c r="DJ103" s="142"/>
      <c r="DK103" s="138"/>
      <c r="DL103" s="142"/>
      <c r="DM103" s="138"/>
      <c r="DN103" s="142"/>
      <c r="DO103" s="138"/>
      <c r="DP103" s="142"/>
      <c r="DQ103" s="138"/>
      <c r="DR103" s="142"/>
      <c r="DS103" s="138"/>
      <c r="DT103" s="142"/>
      <c r="DU103" s="138"/>
      <c r="DV103" s="142"/>
      <c r="DW103" s="138"/>
      <c r="DX103" s="142"/>
      <c r="DY103" s="138"/>
      <c r="DZ103" s="142"/>
      <c r="EA103" s="138"/>
      <c r="EB103" s="142"/>
      <c r="EC103" s="138"/>
      <c r="ED103" s="142"/>
      <c r="EE103" s="138"/>
      <c r="EF103" s="142"/>
      <c r="EG103" s="145"/>
      <c r="EH103" s="146"/>
      <c r="EI103" s="138"/>
      <c r="EJ103" s="138"/>
      <c r="EK103" s="138"/>
      <c r="EL103" s="138"/>
      <c r="EM103" s="138"/>
      <c r="EN103" s="138"/>
      <c r="EO103" s="138"/>
      <c r="EP103" s="138"/>
      <c r="EQ103" s="138"/>
      <c r="ER103" s="138"/>
      <c r="ES103" s="138"/>
      <c r="ET103" s="138"/>
      <c r="EU103" s="138"/>
      <c r="EV103" s="138"/>
      <c r="EW103" s="138"/>
      <c r="EX103" s="138"/>
      <c r="EY103" s="138"/>
      <c r="EZ103" s="138"/>
      <c r="FA103" s="138"/>
      <c r="FB103" s="138"/>
      <c r="FC103" s="138"/>
      <c r="FD103" s="138"/>
      <c r="FE103" s="138"/>
      <c r="FF103" s="138"/>
      <c r="FG103" s="138"/>
      <c r="FH103" s="138"/>
      <c r="FI103" s="138"/>
      <c r="FJ103" s="138"/>
      <c r="FK103" s="138"/>
      <c r="FL103" s="138"/>
      <c r="FM103" s="138"/>
      <c r="FN103" s="138"/>
      <c r="FO103" s="138"/>
      <c r="FP103" s="138"/>
      <c r="FQ103" s="138"/>
      <c r="FR103" s="138"/>
      <c r="FS103" s="138"/>
      <c r="FT103" s="138"/>
      <c r="FU103" s="138"/>
      <c r="FV103" s="138"/>
      <c r="FW103" s="138"/>
      <c r="FX103" s="138"/>
      <c r="FY103" s="138"/>
      <c r="FZ103" s="138"/>
      <c r="GA103" s="138"/>
      <c r="GB103" s="138"/>
      <c r="GC103" s="138"/>
      <c r="GD103" s="138"/>
      <c r="GE103" s="138"/>
      <c r="GF103" s="138"/>
      <c r="GG103" s="138"/>
      <c r="GH103" s="138"/>
      <c r="GI103" s="138"/>
      <c r="GJ103" s="138"/>
      <c r="GK103" s="138"/>
      <c r="GL103" s="138"/>
      <c r="GM103" s="138"/>
      <c r="GN103" s="138"/>
      <c r="GO103" s="138"/>
      <c r="GP103" s="138"/>
      <c r="GQ103" s="138"/>
      <c r="GR103" s="138"/>
      <c r="GS103" s="138"/>
      <c r="GT103" s="138"/>
      <c r="GU103" s="138"/>
      <c r="GV103" s="138"/>
      <c r="GW103" s="138"/>
      <c r="GX103" s="138"/>
      <c r="GY103" s="138"/>
      <c r="GZ103" s="138"/>
      <c r="HA103" s="138"/>
      <c r="HB103" s="138"/>
      <c r="HC103" s="138"/>
      <c r="HD103" s="138"/>
      <c r="HE103" s="138"/>
      <c r="HF103" s="138"/>
      <c r="HG103" s="138"/>
      <c r="HH103" s="138"/>
      <c r="HI103" s="138"/>
      <c r="HJ103" s="138"/>
      <c r="HK103" s="138"/>
      <c r="HL103" s="138"/>
      <c r="HM103" s="138"/>
      <c r="HN103" s="138"/>
      <c r="HO103" s="138"/>
      <c r="HP103" s="138"/>
      <c r="HQ103" s="138"/>
      <c r="HR103" s="138"/>
      <c r="HS103" s="138"/>
      <c r="HT103" s="138"/>
      <c r="HU103" s="138"/>
      <c r="HV103" s="138"/>
      <c r="HW103" s="138"/>
      <c r="HX103" s="138"/>
      <c r="HY103" s="138"/>
      <c r="HZ103" s="138"/>
      <c r="IA103" s="138"/>
      <c r="IB103" s="138"/>
      <c r="IC103" s="138"/>
      <c r="ID103" s="138"/>
      <c r="IE103" s="138"/>
      <c r="IF103" s="138"/>
      <c r="IG103" s="138"/>
      <c r="IH103" s="138"/>
      <c r="II103" s="138"/>
      <c r="IJ103" s="138"/>
      <c r="IK103" s="138"/>
      <c r="IL103" s="138"/>
      <c r="IM103" s="138"/>
      <c r="IN103" s="138"/>
      <c r="IO103" s="138"/>
      <c r="IP103" s="138"/>
      <c r="IQ103" s="138"/>
      <c r="IR103" s="138"/>
      <c r="IS103" s="138"/>
      <c r="IT103" s="138"/>
      <c r="IU103" s="138"/>
      <c r="IV103" s="138"/>
      <c r="IW103" s="138"/>
      <c r="IX103" s="138"/>
      <c r="IY103" s="138"/>
      <c r="IZ103" s="138"/>
      <c r="JA103" s="138"/>
      <c r="JB103" s="138"/>
      <c r="JC103" s="138"/>
      <c r="JD103" s="138"/>
      <c r="JE103" s="138"/>
    </row>
    <row r="104" spans="1:265" ht="42" x14ac:dyDescent="0.15">
      <c r="A104" s="139">
        <v>5.4</v>
      </c>
      <c r="B104" s="139" t="s">
        <v>172</v>
      </c>
      <c r="C104" s="141" t="s">
        <v>173</v>
      </c>
      <c r="D104" s="69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5">
        <v>0</v>
      </c>
      <c r="BE104" s="125">
        <v>20</v>
      </c>
      <c r="BF104" s="125">
        <v>0</v>
      </c>
      <c r="BG104" s="125">
        <v>0</v>
      </c>
      <c r="BH104" s="125">
        <v>0</v>
      </c>
      <c r="BI104" s="125">
        <v>0</v>
      </c>
      <c r="BJ104" s="125">
        <v>0</v>
      </c>
      <c r="BK104" s="125">
        <v>0</v>
      </c>
      <c r="BL104" s="125">
        <v>0</v>
      </c>
      <c r="BM104" s="125">
        <v>0</v>
      </c>
      <c r="BN104" s="125">
        <v>0</v>
      </c>
      <c r="BO104" s="125">
        <v>1</v>
      </c>
      <c r="BP104" s="125">
        <v>0</v>
      </c>
      <c r="BQ104" s="125">
        <v>1</v>
      </c>
      <c r="BR104" s="125">
        <v>0</v>
      </c>
      <c r="BS104" s="125">
        <v>0</v>
      </c>
      <c r="BT104" s="125">
        <v>0</v>
      </c>
      <c r="BU104" s="125">
        <v>0</v>
      </c>
      <c r="BV104" s="125">
        <v>0</v>
      </c>
      <c r="BW104" s="125">
        <v>0</v>
      </c>
      <c r="BX104" s="125">
        <v>0</v>
      </c>
      <c r="BY104" s="125">
        <v>0</v>
      </c>
      <c r="BZ104" s="125">
        <v>1</v>
      </c>
      <c r="CA104" s="125">
        <v>6</v>
      </c>
      <c r="CB104" s="125">
        <v>0</v>
      </c>
      <c r="CC104" s="125">
        <v>29</v>
      </c>
      <c r="CD104" s="125">
        <v>0</v>
      </c>
      <c r="CE104" s="125">
        <v>10</v>
      </c>
      <c r="CF104" s="125">
        <v>0</v>
      </c>
      <c r="CG104" s="125">
        <v>3</v>
      </c>
      <c r="CH104" s="125">
        <v>0</v>
      </c>
      <c r="CI104" s="125">
        <v>9</v>
      </c>
      <c r="CJ104" s="125">
        <v>1</v>
      </c>
      <c r="CK104" s="125">
        <v>1</v>
      </c>
      <c r="CL104" s="125">
        <v>0</v>
      </c>
      <c r="CM104" s="127">
        <v>0</v>
      </c>
      <c r="CN104" s="125">
        <v>0</v>
      </c>
      <c r="CO104" s="127">
        <v>0</v>
      </c>
      <c r="CP104" s="125">
        <v>0</v>
      </c>
      <c r="CQ104" s="127">
        <v>2</v>
      </c>
      <c r="CR104" s="125">
        <v>0</v>
      </c>
      <c r="CS104" s="127">
        <v>0</v>
      </c>
      <c r="CT104" s="125">
        <v>0</v>
      </c>
      <c r="CU104" s="127">
        <v>0</v>
      </c>
      <c r="CV104" s="125">
        <v>0</v>
      </c>
      <c r="CW104" s="127">
        <v>0</v>
      </c>
      <c r="CX104" s="125">
        <v>0</v>
      </c>
      <c r="CY104" s="127">
        <v>3</v>
      </c>
      <c r="CZ104" s="125">
        <v>0</v>
      </c>
      <c r="DA104" s="127">
        <v>1</v>
      </c>
      <c r="DB104" s="125">
        <v>0</v>
      </c>
      <c r="DC104" s="127">
        <v>30</v>
      </c>
      <c r="DD104" s="142"/>
      <c r="DE104" s="138"/>
      <c r="DF104" s="142"/>
      <c r="DG104" s="138"/>
      <c r="DH104" s="142"/>
      <c r="DI104" s="138"/>
      <c r="DJ104" s="142"/>
      <c r="DK104" s="138"/>
      <c r="DL104" s="142"/>
      <c r="DM104" s="138"/>
      <c r="DN104" s="142"/>
      <c r="DO104" s="138"/>
      <c r="DP104" s="142"/>
      <c r="DQ104" s="138"/>
      <c r="DR104" s="142"/>
      <c r="DS104" s="138"/>
      <c r="DT104" s="142"/>
      <c r="DU104" s="138"/>
      <c r="DV104" s="142"/>
      <c r="DW104" s="138"/>
      <c r="DX104" s="142"/>
      <c r="DY104" s="138"/>
      <c r="DZ104" s="142"/>
      <c r="EA104" s="138"/>
      <c r="EB104" s="142"/>
      <c r="EC104" s="138"/>
      <c r="ED104" s="142"/>
      <c r="EE104" s="138"/>
      <c r="EF104" s="142"/>
      <c r="EG104" s="145"/>
      <c r="EH104" s="146"/>
      <c r="EI104" s="138"/>
      <c r="EJ104" s="138"/>
      <c r="EK104" s="138"/>
      <c r="EL104" s="138"/>
      <c r="EM104" s="138"/>
      <c r="EN104" s="138"/>
      <c r="EO104" s="138"/>
      <c r="EP104" s="138"/>
      <c r="EQ104" s="138"/>
      <c r="ER104" s="138"/>
      <c r="ES104" s="138"/>
      <c r="ET104" s="138"/>
      <c r="EU104" s="138"/>
      <c r="EV104" s="138"/>
      <c r="EW104" s="138"/>
      <c r="EX104" s="138"/>
      <c r="EY104" s="138"/>
      <c r="EZ104" s="138"/>
      <c r="FA104" s="138"/>
      <c r="FB104" s="138"/>
      <c r="FC104" s="138"/>
      <c r="FD104" s="138"/>
      <c r="FE104" s="138"/>
      <c r="FF104" s="138"/>
      <c r="FG104" s="138"/>
      <c r="FH104" s="138"/>
      <c r="FI104" s="138"/>
      <c r="FJ104" s="138"/>
      <c r="FK104" s="138"/>
      <c r="FL104" s="138"/>
      <c r="FM104" s="138"/>
      <c r="FN104" s="138"/>
      <c r="FO104" s="138"/>
      <c r="FP104" s="138"/>
      <c r="FQ104" s="138"/>
      <c r="FR104" s="138"/>
      <c r="FS104" s="138"/>
      <c r="FT104" s="138"/>
      <c r="FU104" s="138"/>
      <c r="FV104" s="138"/>
      <c r="FW104" s="138"/>
      <c r="FX104" s="138"/>
      <c r="FY104" s="138"/>
      <c r="FZ104" s="138"/>
      <c r="GA104" s="138"/>
      <c r="GB104" s="138"/>
      <c r="GC104" s="138"/>
      <c r="GD104" s="138"/>
      <c r="GE104" s="138"/>
      <c r="GF104" s="138"/>
      <c r="GG104" s="138"/>
      <c r="GH104" s="138"/>
      <c r="GI104" s="138"/>
      <c r="GJ104" s="138"/>
      <c r="GK104" s="138"/>
      <c r="GL104" s="138"/>
      <c r="GM104" s="138"/>
      <c r="GN104" s="138"/>
      <c r="GO104" s="138"/>
      <c r="GP104" s="138"/>
      <c r="GQ104" s="138"/>
      <c r="GR104" s="138"/>
      <c r="GS104" s="138"/>
      <c r="GT104" s="138"/>
      <c r="GU104" s="138"/>
      <c r="GV104" s="138"/>
      <c r="GW104" s="138"/>
      <c r="GX104" s="138"/>
      <c r="GY104" s="138"/>
      <c r="GZ104" s="138"/>
      <c r="HA104" s="138"/>
      <c r="HB104" s="138"/>
      <c r="HC104" s="138"/>
      <c r="HD104" s="138"/>
      <c r="HE104" s="138"/>
      <c r="HF104" s="138"/>
      <c r="HG104" s="138"/>
      <c r="HH104" s="138"/>
      <c r="HI104" s="138"/>
      <c r="HJ104" s="138"/>
      <c r="HK104" s="138"/>
      <c r="HL104" s="138"/>
      <c r="HM104" s="138"/>
      <c r="HN104" s="138"/>
      <c r="HO104" s="138"/>
      <c r="HP104" s="138"/>
      <c r="HQ104" s="138"/>
      <c r="HR104" s="138"/>
      <c r="HS104" s="138"/>
      <c r="HT104" s="138"/>
      <c r="HU104" s="138"/>
      <c r="HV104" s="138"/>
      <c r="HW104" s="138"/>
      <c r="HX104" s="138"/>
      <c r="HY104" s="138"/>
      <c r="HZ104" s="138"/>
      <c r="IA104" s="138"/>
      <c r="IB104" s="138"/>
      <c r="IC104" s="138"/>
      <c r="ID104" s="138"/>
      <c r="IE104" s="138"/>
      <c r="IF104" s="138"/>
      <c r="IG104" s="138"/>
      <c r="IH104" s="138"/>
      <c r="II104" s="138"/>
      <c r="IJ104" s="138"/>
      <c r="IK104" s="138"/>
      <c r="IL104" s="138"/>
      <c r="IM104" s="138"/>
      <c r="IN104" s="138"/>
      <c r="IO104" s="138"/>
      <c r="IP104" s="138"/>
      <c r="IQ104" s="138"/>
      <c r="IR104" s="138"/>
      <c r="IS104" s="138"/>
      <c r="IT104" s="138"/>
      <c r="IU104" s="138"/>
      <c r="IV104" s="138"/>
      <c r="IW104" s="138"/>
      <c r="IX104" s="138"/>
      <c r="IY104" s="138"/>
      <c r="IZ104" s="138"/>
      <c r="JA104" s="138"/>
      <c r="JB104" s="138"/>
      <c r="JC104" s="138"/>
      <c r="JD104" s="138"/>
      <c r="JE104" s="138"/>
    </row>
    <row r="105" spans="1:265" ht="14" x14ac:dyDescent="0.15">
      <c r="A105" s="54"/>
      <c r="B105" s="100" t="s">
        <v>174</v>
      </c>
      <c r="C105" s="100" t="s">
        <v>174</v>
      </c>
      <c r="D105" s="119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>
        <f t="shared" ref="BD105:DO105" si="32">SUM(BD101:BD104)</f>
        <v>0</v>
      </c>
      <c r="BE105" s="147">
        <f t="shared" si="32"/>
        <v>30</v>
      </c>
      <c r="BF105" s="147">
        <f t="shared" si="32"/>
        <v>0</v>
      </c>
      <c r="BG105" s="147">
        <f t="shared" si="32"/>
        <v>7</v>
      </c>
      <c r="BH105" s="147">
        <f t="shared" si="32"/>
        <v>0</v>
      </c>
      <c r="BI105" s="147">
        <f t="shared" si="32"/>
        <v>12</v>
      </c>
      <c r="BJ105" s="147">
        <f t="shared" si="32"/>
        <v>0</v>
      </c>
      <c r="BK105" s="147">
        <f t="shared" si="32"/>
        <v>3</v>
      </c>
      <c r="BL105" s="147">
        <f t="shared" si="32"/>
        <v>0</v>
      </c>
      <c r="BM105" s="147">
        <f t="shared" si="32"/>
        <v>3</v>
      </c>
      <c r="BN105" s="147">
        <f t="shared" si="32"/>
        <v>0</v>
      </c>
      <c r="BO105" s="147">
        <f t="shared" si="32"/>
        <v>7</v>
      </c>
      <c r="BP105" s="147">
        <f t="shared" si="32"/>
        <v>0</v>
      </c>
      <c r="BQ105" s="147">
        <f t="shared" si="32"/>
        <v>6</v>
      </c>
      <c r="BR105" s="147">
        <f t="shared" si="32"/>
        <v>0</v>
      </c>
      <c r="BS105" s="147">
        <f t="shared" si="32"/>
        <v>4</v>
      </c>
      <c r="BT105" s="147">
        <f t="shared" si="32"/>
        <v>0</v>
      </c>
      <c r="BU105" s="147">
        <f t="shared" si="32"/>
        <v>2</v>
      </c>
      <c r="BV105" s="147">
        <f t="shared" si="32"/>
        <v>0</v>
      </c>
      <c r="BW105" s="147">
        <f t="shared" si="32"/>
        <v>3</v>
      </c>
      <c r="BX105" s="147">
        <f t="shared" si="32"/>
        <v>0</v>
      </c>
      <c r="BY105" s="147">
        <f t="shared" si="32"/>
        <v>10</v>
      </c>
      <c r="BZ105" s="147">
        <f t="shared" si="32"/>
        <v>4</v>
      </c>
      <c r="CA105" s="147">
        <f t="shared" si="32"/>
        <v>17</v>
      </c>
      <c r="CB105" s="147">
        <f t="shared" si="32"/>
        <v>0</v>
      </c>
      <c r="CC105" s="147">
        <f t="shared" si="32"/>
        <v>32</v>
      </c>
      <c r="CD105" s="147">
        <f t="shared" si="32"/>
        <v>1</v>
      </c>
      <c r="CE105" s="147">
        <f t="shared" si="32"/>
        <v>14</v>
      </c>
      <c r="CF105" s="147">
        <f t="shared" si="32"/>
        <v>0</v>
      </c>
      <c r="CG105" s="147">
        <f t="shared" si="32"/>
        <v>4</v>
      </c>
      <c r="CH105" s="147">
        <f t="shared" si="32"/>
        <v>0</v>
      </c>
      <c r="CI105" s="147">
        <f t="shared" si="32"/>
        <v>12</v>
      </c>
      <c r="CJ105" s="147">
        <f t="shared" si="32"/>
        <v>3</v>
      </c>
      <c r="CK105" s="147">
        <f t="shared" si="32"/>
        <v>6</v>
      </c>
      <c r="CL105" s="147">
        <f t="shared" si="32"/>
        <v>0</v>
      </c>
      <c r="CM105" s="147">
        <f t="shared" si="32"/>
        <v>3</v>
      </c>
      <c r="CN105" s="147">
        <f t="shared" si="32"/>
        <v>1</v>
      </c>
      <c r="CO105" s="147">
        <f t="shared" si="32"/>
        <v>3</v>
      </c>
      <c r="CP105" s="147">
        <f t="shared" si="32"/>
        <v>0</v>
      </c>
      <c r="CQ105" s="147">
        <f t="shared" si="32"/>
        <v>17</v>
      </c>
      <c r="CR105" s="147">
        <f t="shared" si="32"/>
        <v>0</v>
      </c>
      <c r="CS105" s="147">
        <f t="shared" si="32"/>
        <v>4</v>
      </c>
      <c r="CT105" s="147">
        <f t="shared" si="32"/>
        <v>1</v>
      </c>
      <c r="CU105" s="147">
        <f t="shared" si="32"/>
        <v>3</v>
      </c>
      <c r="CV105" s="147">
        <f t="shared" si="32"/>
        <v>0</v>
      </c>
      <c r="CW105" s="147">
        <f t="shared" si="32"/>
        <v>5</v>
      </c>
      <c r="CX105" s="147">
        <f t="shared" si="32"/>
        <v>0</v>
      </c>
      <c r="CY105" s="147">
        <f t="shared" si="32"/>
        <v>5</v>
      </c>
      <c r="CZ105" s="147">
        <f t="shared" si="32"/>
        <v>1</v>
      </c>
      <c r="DA105" s="147">
        <f t="shared" si="32"/>
        <v>3</v>
      </c>
      <c r="DB105" s="147">
        <f t="shared" si="32"/>
        <v>0</v>
      </c>
      <c r="DC105" s="147">
        <f t="shared" si="32"/>
        <v>33</v>
      </c>
      <c r="DD105" s="147">
        <f t="shared" si="32"/>
        <v>0</v>
      </c>
      <c r="DE105" s="147">
        <f t="shared" si="32"/>
        <v>1</v>
      </c>
      <c r="DF105" s="147">
        <f t="shared" si="32"/>
        <v>0</v>
      </c>
      <c r="DG105" s="147">
        <f t="shared" si="32"/>
        <v>1</v>
      </c>
      <c r="DH105" s="147">
        <f t="shared" si="32"/>
        <v>0</v>
      </c>
      <c r="DI105" s="147">
        <f t="shared" si="32"/>
        <v>1</v>
      </c>
      <c r="DJ105" s="147">
        <f t="shared" si="32"/>
        <v>0</v>
      </c>
      <c r="DK105" s="147">
        <f t="shared" si="32"/>
        <v>2</v>
      </c>
      <c r="DL105" s="147">
        <f t="shared" si="32"/>
        <v>0</v>
      </c>
      <c r="DM105" s="147">
        <f t="shared" si="32"/>
        <v>4</v>
      </c>
      <c r="DN105" s="147">
        <f t="shared" si="32"/>
        <v>1</v>
      </c>
      <c r="DO105" s="147">
        <f t="shared" si="32"/>
        <v>5</v>
      </c>
      <c r="DP105" s="147">
        <f t="shared" ref="DP105:GA105" si="33">SUM(DP101:DP104)</f>
        <v>0</v>
      </c>
      <c r="DQ105" s="147">
        <f t="shared" si="33"/>
        <v>1</v>
      </c>
      <c r="DR105" s="147">
        <f t="shared" si="33"/>
        <v>0</v>
      </c>
      <c r="DS105" s="147">
        <f t="shared" si="33"/>
        <v>3</v>
      </c>
      <c r="DT105" s="147">
        <f t="shared" si="33"/>
        <v>0</v>
      </c>
      <c r="DU105" s="147">
        <f t="shared" si="33"/>
        <v>10</v>
      </c>
      <c r="DV105" s="147">
        <f t="shared" si="33"/>
        <v>0</v>
      </c>
      <c r="DW105" s="147">
        <f t="shared" si="33"/>
        <v>1</v>
      </c>
      <c r="DX105" s="147">
        <f t="shared" si="33"/>
        <v>0</v>
      </c>
      <c r="DY105" s="147">
        <f t="shared" si="33"/>
        <v>4</v>
      </c>
      <c r="DZ105" s="147">
        <f t="shared" si="33"/>
        <v>0</v>
      </c>
      <c r="EA105" s="147">
        <f t="shared" si="33"/>
        <v>4</v>
      </c>
      <c r="EB105" s="147">
        <f t="shared" si="33"/>
        <v>0</v>
      </c>
      <c r="EC105" s="147">
        <f t="shared" si="33"/>
        <v>2</v>
      </c>
      <c r="ED105" s="147">
        <f t="shared" si="33"/>
        <v>0</v>
      </c>
      <c r="EE105" s="147">
        <f t="shared" si="33"/>
        <v>3</v>
      </c>
      <c r="EF105" s="147">
        <f t="shared" si="33"/>
        <v>0</v>
      </c>
      <c r="EG105" s="148">
        <f t="shared" si="33"/>
        <v>2</v>
      </c>
      <c r="EH105" s="149">
        <f t="shared" si="33"/>
        <v>0</v>
      </c>
      <c r="EI105" s="147">
        <f t="shared" si="33"/>
        <v>2</v>
      </c>
      <c r="EJ105" s="147">
        <f t="shared" si="33"/>
        <v>0</v>
      </c>
      <c r="EK105" s="147">
        <f t="shared" si="33"/>
        <v>2</v>
      </c>
      <c r="EL105" s="147">
        <f t="shared" si="33"/>
        <v>0</v>
      </c>
      <c r="EM105" s="147">
        <f t="shared" si="33"/>
        <v>0</v>
      </c>
      <c r="EN105" s="147">
        <f t="shared" si="33"/>
        <v>0</v>
      </c>
      <c r="EO105" s="147">
        <f t="shared" si="33"/>
        <v>0</v>
      </c>
      <c r="EP105" s="147">
        <f t="shared" si="33"/>
        <v>0</v>
      </c>
      <c r="EQ105" s="147">
        <f t="shared" si="33"/>
        <v>0</v>
      </c>
      <c r="ER105" s="147">
        <f t="shared" si="33"/>
        <v>0</v>
      </c>
      <c r="ES105" s="147">
        <f t="shared" si="33"/>
        <v>0</v>
      </c>
      <c r="ET105" s="147">
        <f t="shared" si="33"/>
        <v>0</v>
      </c>
      <c r="EU105" s="147">
        <f t="shared" si="33"/>
        <v>0</v>
      </c>
      <c r="EV105" s="147">
        <f t="shared" si="33"/>
        <v>0</v>
      </c>
      <c r="EW105" s="147">
        <f t="shared" si="33"/>
        <v>0</v>
      </c>
      <c r="EX105" s="147">
        <f t="shared" si="33"/>
        <v>0</v>
      </c>
      <c r="EY105" s="147">
        <f t="shared" si="33"/>
        <v>0</v>
      </c>
      <c r="EZ105" s="147">
        <f t="shared" si="33"/>
        <v>0</v>
      </c>
      <c r="FA105" s="147">
        <f t="shared" si="33"/>
        <v>0</v>
      </c>
      <c r="FB105" s="147">
        <f t="shared" si="33"/>
        <v>0</v>
      </c>
      <c r="FC105" s="147">
        <f t="shared" si="33"/>
        <v>0</v>
      </c>
      <c r="FD105" s="147">
        <f t="shared" si="33"/>
        <v>0</v>
      </c>
      <c r="FE105" s="147">
        <f t="shared" si="33"/>
        <v>0</v>
      </c>
      <c r="FF105" s="147">
        <f t="shared" si="33"/>
        <v>0</v>
      </c>
      <c r="FG105" s="147">
        <f t="shared" si="33"/>
        <v>0</v>
      </c>
      <c r="FH105" s="147">
        <f t="shared" si="33"/>
        <v>0</v>
      </c>
      <c r="FI105" s="147">
        <f t="shared" si="33"/>
        <v>0</v>
      </c>
      <c r="FJ105" s="147">
        <f t="shared" si="33"/>
        <v>0</v>
      </c>
      <c r="FK105" s="147">
        <f t="shared" si="33"/>
        <v>0</v>
      </c>
      <c r="FL105" s="147">
        <f t="shared" si="33"/>
        <v>0</v>
      </c>
      <c r="FM105" s="147">
        <f t="shared" si="33"/>
        <v>0</v>
      </c>
      <c r="FN105" s="147">
        <f t="shared" si="33"/>
        <v>0</v>
      </c>
      <c r="FO105" s="147">
        <f t="shared" si="33"/>
        <v>0</v>
      </c>
      <c r="FP105" s="147">
        <f t="shared" si="33"/>
        <v>0</v>
      </c>
      <c r="FQ105" s="147">
        <f t="shared" si="33"/>
        <v>0</v>
      </c>
      <c r="FR105" s="147">
        <f t="shared" si="33"/>
        <v>0</v>
      </c>
      <c r="FS105" s="147">
        <f t="shared" si="33"/>
        <v>0</v>
      </c>
      <c r="FT105" s="147">
        <f t="shared" si="33"/>
        <v>0</v>
      </c>
      <c r="FU105" s="147">
        <f t="shared" si="33"/>
        <v>0</v>
      </c>
      <c r="FV105" s="147">
        <f t="shared" si="33"/>
        <v>0</v>
      </c>
      <c r="FW105" s="147">
        <f t="shared" si="33"/>
        <v>0</v>
      </c>
      <c r="FX105" s="147">
        <f t="shared" si="33"/>
        <v>0</v>
      </c>
      <c r="FY105" s="147">
        <f t="shared" si="33"/>
        <v>0</v>
      </c>
      <c r="FZ105" s="147">
        <f t="shared" si="33"/>
        <v>0</v>
      </c>
      <c r="GA105" s="147">
        <f t="shared" si="33"/>
        <v>0</v>
      </c>
      <c r="GB105" s="147">
        <f t="shared" ref="GB105:IN105" si="34">SUM(GB101:GB104)</f>
        <v>0</v>
      </c>
      <c r="GC105" s="147">
        <f t="shared" si="34"/>
        <v>0</v>
      </c>
      <c r="GD105" s="147">
        <f t="shared" si="34"/>
        <v>0</v>
      </c>
      <c r="GE105" s="147">
        <f t="shared" si="34"/>
        <v>0</v>
      </c>
      <c r="GF105" s="147">
        <f t="shared" si="34"/>
        <v>0</v>
      </c>
      <c r="GG105" s="147">
        <f t="shared" si="34"/>
        <v>0</v>
      </c>
      <c r="GH105" s="147">
        <f t="shared" si="34"/>
        <v>0</v>
      </c>
      <c r="GI105" s="147">
        <f t="shared" si="34"/>
        <v>0</v>
      </c>
      <c r="GJ105" s="147">
        <f t="shared" si="34"/>
        <v>0</v>
      </c>
      <c r="GK105" s="147">
        <f t="shared" si="34"/>
        <v>0</v>
      </c>
      <c r="GL105" s="147">
        <f t="shared" si="34"/>
        <v>0</v>
      </c>
      <c r="GM105" s="147">
        <f t="shared" si="34"/>
        <v>0</v>
      </c>
      <c r="GN105" s="147">
        <f t="shared" si="34"/>
        <v>0</v>
      </c>
      <c r="GO105" s="147">
        <f t="shared" si="34"/>
        <v>0</v>
      </c>
      <c r="GP105" s="147">
        <f t="shared" si="34"/>
        <v>0</v>
      </c>
      <c r="GQ105" s="147">
        <f t="shared" si="34"/>
        <v>0</v>
      </c>
      <c r="GR105" s="147">
        <f t="shared" si="34"/>
        <v>0</v>
      </c>
      <c r="GS105" s="147">
        <f t="shared" si="34"/>
        <v>0</v>
      </c>
      <c r="GT105" s="147">
        <f t="shared" si="34"/>
        <v>0</v>
      </c>
      <c r="GU105" s="147">
        <f t="shared" si="34"/>
        <v>0</v>
      </c>
      <c r="GV105" s="147">
        <f t="shared" si="34"/>
        <v>0</v>
      </c>
      <c r="GW105" s="147">
        <f t="shared" si="34"/>
        <v>0</v>
      </c>
      <c r="GX105" s="147">
        <f t="shared" si="34"/>
        <v>0</v>
      </c>
      <c r="GY105" s="147">
        <f t="shared" si="34"/>
        <v>0</v>
      </c>
      <c r="GZ105" s="147">
        <f t="shared" si="34"/>
        <v>0</v>
      </c>
      <c r="HA105" s="147">
        <f t="shared" si="34"/>
        <v>0</v>
      </c>
      <c r="HB105" s="147">
        <f t="shared" si="34"/>
        <v>0</v>
      </c>
      <c r="HC105" s="147">
        <f t="shared" si="34"/>
        <v>0</v>
      </c>
      <c r="HD105" s="147">
        <f t="shared" si="34"/>
        <v>0</v>
      </c>
      <c r="HE105" s="147">
        <f t="shared" si="34"/>
        <v>0</v>
      </c>
      <c r="HF105" s="147">
        <f t="shared" si="34"/>
        <v>0</v>
      </c>
      <c r="HG105" s="147">
        <f t="shared" si="34"/>
        <v>0</v>
      </c>
      <c r="HH105" s="147">
        <f t="shared" si="34"/>
        <v>0</v>
      </c>
      <c r="HI105" s="147">
        <f t="shared" si="34"/>
        <v>0</v>
      </c>
      <c r="HJ105" s="147">
        <f t="shared" si="34"/>
        <v>0</v>
      </c>
      <c r="HK105" s="147">
        <f t="shared" si="34"/>
        <v>0</v>
      </c>
      <c r="HL105" s="147">
        <f t="shared" si="34"/>
        <v>0</v>
      </c>
      <c r="HM105" s="147">
        <f t="shared" si="34"/>
        <v>0</v>
      </c>
      <c r="HN105" s="147">
        <f t="shared" si="34"/>
        <v>0</v>
      </c>
      <c r="HO105" s="147">
        <f t="shared" si="34"/>
        <v>0</v>
      </c>
      <c r="HP105" s="147">
        <f t="shared" si="34"/>
        <v>0</v>
      </c>
      <c r="HQ105" s="147">
        <f t="shared" si="34"/>
        <v>0</v>
      </c>
      <c r="HR105" s="147">
        <f t="shared" si="34"/>
        <v>0</v>
      </c>
      <c r="HS105" s="147">
        <f t="shared" si="34"/>
        <v>0</v>
      </c>
      <c r="HT105" s="147">
        <f t="shared" si="34"/>
        <v>0</v>
      </c>
      <c r="HU105" s="147">
        <f t="shared" si="34"/>
        <v>0</v>
      </c>
      <c r="HV105" s="147">
        <f t="shared" si="34"/>
        <v>0</v>
      </c>
      <c r="HW105" s="147">
        <f t="shared" si="34"/>
        <v>0</v>
      </c>
      <c r="HX105" s="147">
        <f t="shared" si="34"/>
        <v>0</v>
      </c>
      <c r="HY105" s="147">
        <f t="shared" si="34"/>
        <v>0</v>
      </c>
      <c r="HZ105" s="147">
        <f t="shared" si="34"/>
        <v>0</v>
      </c>
      <c r="IA105" s="147">
        <f t="shared" si="34"/>
        <v>0</v>
      </c>
      <c r="IB105" s="147">
        <f t="shared" si="34"/>
        <v>0</v>
      </c>
      <c r="IC105" s="147">
        <f t="shared" si="34"/>
        <v>0</v>
      </c>
      <c r="ID105" s="147">
        <f t="shared" si="34"/>
        <v>0</v>
      </c>
      <c r="IE105" s="147">
        <f t="shared" si="34"/>
        <v>0</v>
      </c>
      <c r="IF105" s="147">
        <f t="shared" si="34"/>
        <v>0</v>
      </c>
      <c r="IG105" s="147">
        <f t="shared" si="34"/>
        <v>0</v>
      </c>
      <c r="IH105" s="147">
        <f t="shared" si="34"/>
        <v>0</v>
      </c>
      <c r="II105" s="147">
        <f t="shared" si="34"/>
        <v>0</v>
      </c>
      <c r="IJ105" s="147">
        <f t="shared" si="34"/>
        <v>0</v>
      </c>
      <c r="IK105" s="147">
        <f t="shared" si="34"/>
        <v>0</v>
      </c>
      <c r="IL105" s="147">
        <f t="shared" si="34"/>
        <v>0</v>
      </c>
      <c r="IM105" s="147">
        <f t="shared" si="34"/>
        <v>0</v>
      </c>
      <c r="IN105" s="147">
        <f t="shared" si="34"/>
        <v>0</v>
      </c>
      <c r="IO105" s="147">
        <f t="shared" ref="IO105:JE105" si="35">SUM(IO101:IO104)</f>
        <v>0</v>
      </c>
      <c r="IP105" s="147">
        <f t="shared" si="35"/>
        <v>0</v>
      </c>
      <c r="IQ105" s="147">
        <f t="shared" si="35"/>
        <v>0</v>
      </c>
      <c r="IR105" s="147">
        <f t="shared" si="35"/>
        <v>0</v>
      </c>
      <c r="IS105" s="147">
        <f t="shared" si="35"/>
        <v>0</v>
      </c>
      <c r="IT105" s="147">
        <f t="shared" si="35"/>
        <v>0</v>
      </c>
      <c r="IU105" s="147">
        <f t="shared" si="35"/>
        <v>0</v>
      </c>
      <c r="IV105" s="147">
        <f t="shared" si="35"/>
        <v>0</v>
      </c>
      <c r="IW105" s="147">
        <f t="shared" si="35"/>
        <v>0</v>
      </c>
      <c r="IX105" s="147">
        <f t="shared" si="35"/>
        <v>0</v>
      </c>
      <c r="IY105" s="147">
        <f t="shared" si="35"/>
        <v>0</v>
      </c>
      <c r="IZ105" s="147">
        <f t="shared" si="35"/>
        <v>0</v>
      </c>
      <c r="JA105" s="147">
        <f t="shared" si="35"/>
        <v>0</v>
      </c>
      <c r="JB105" s="147">
        <f t="shared" si="35"/>
        <v>0</v>
      </c>
      <c r="JC105" s="147">
        <f t="shared" si="35"/>
        <v>0</v>
      </c>
      <c r="JD105" s="147">
        <f t="shared" si="35"/>
        <v>0</v>
      </c>
      <c r="JE105" s="147">
        <f t="shared" si="35"/>
        <v>0</v>
      </c>
    </row>
    <row r="106" spans="1:265" ht="28" x14ac:dyDescent="0.15">
      <c r="A106" s="150">
        <v>6.1</v>
      </c>
      <c r="B106" s="151" t="s">
        <v>175</v>
      </c>
      <c r="C106" s="151" t="s">
        <v>176</v>
      </c>
      <c r="D106" s="69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6"/>
      <c r="BJ106" s="126"/>
      <c r="BK106" s="126"/>
      <c r="BL106" s="126"/>
      <c r="BM106" s="126"/>
      <c r="BN106" s="126"/>
      <c r="BO106" s="126"/>
      <c r="BP106" s="125">
        <v>0</v>
      </c>
      <c r="BQ106" s="125">
        <v>1</v>
      </c>
      <c r="BR106" s="125">
        <v>0</v>
      </c>
      <c r="BS106" s="125">
        <v>4</v>
      </c>
      <c r="BT106" s="125">
        <v>0</v>
      </c>
      <c r="BU106" s="125">
        <v>3</v>
      </c>
      <c r="BV106" s="125">
        <v>0</v>
      </c>
      <c r="BW106" s="125">
        <v>6</v>
      </c>
      <c r="BX106" s="125">
        <v>0</v>
      </c>
      <c r="BY106" s="125">
        <v>2</v>
      </c>
      <c r="BZ106" s="125">
        <v>0</v>
      </c>
      <c r="CA106" s="125">
        <v>5</v>
      </c>
      <c r="CB106" s="125">
        <v>0</v>
      </c>
      <c r="CC106" s="125">
        <v>4</v>
      </c>
      <c r="CD106" s="125">
        <v>0</v>
      </c>
      <c r="CE106" s="125">
        <v>5</v>
      </c>
      <c r="CF106" s="125">
        <v>0</v>
      </c>
      <c r="CG106" s="125">
        <v>1</v>
      </c>
      <c r="CH106" s="125">
        <v>0</v>
      </c>
      <c r="CI106" s="125">
        <v>7</v>
      </c>
      <c r="CJ106" s="125">
        <v>0</v>
      </c>
      <c r="CK106" s="125">
        <v>6</v>
      </c>
      <c r="CL106" s="125">
        <v>0</v>
      </c>
      <c r="CM106" s="127">
        <v>6</v>
      </c>
      <c r="CN106" s="125">
        <v>0</v>
      </c>
      <c r="CO106" s="127">
        <v>11</v>
      </c>
      <c r="CP106" s="125">
        <v>0</v>
      </c>
      <c r="CQ106" s="127">
        <v>10</v>
      </c>
      <c r="CR106" s="125">
        <v>0</v>
      </c>
      <c r="CS106" s="127">
        <v>11</v>
      </c>
      <c r="CT106" s="125">
        <v>0</v>
      </c>
      <c r="CU106" s="127">
        <v>10</v>
      </c>
      <c r="CV106" s="125">
        <v>0</v>
      </c>
      <c r="CW106" s="127">
        <v>5</v>
      </c>
      <c r="CX106" s="125">
        <v>0</v>
      </c>
      <c r="CY106" s="127">
        <v>7</v>
      </c>
      <c r="CZ106" s="125">
        <v>0</v>
      </c>
      <c r="DA106" s="127">
        <v>3</v>
      </c>
      <c r="DB106" s="125">
        <v>0</v>
      </c>
      <c r="DC106" s="127">
        <v>9</v>
      </c>
      <c r="DD106" s="125">
        <v>0</v>
      </c>
      <c r="DE106" s="127">
        <v>6</v>
      </c>
      <c r="DF106" s="125">
        <v>0</v>
      </c>
      <c r="DG106" s="127">
        <v>9</v>
      </c>
      <c r="DH106" s="125">
        <v>0</v>
      </c>
      <c r="DI106" s="127">
        <v>8</v>
      </c>
      <c r="DJ106" s="125">
        <v>0</v>
      </c>
      <c r="DK106" s="127">
        <v>7</v>
      </c>
      <c r="DL106" s="125">
        <v>0</v>
      </c>
      <c r="DM106" s="127">
        <v>10</v>
      </c>
      <c r="DN106" s="125">
        <v>0</v>
      </c>
      <c r="DO106" s="127">
        <v>4</v>
      </c>
      <c r="DP106" s="125">
        <v>0</v>
      </c>
      <c r="DQ106" s="127">
        <v>3</v>
      </c>
      <c r="DR106" s="125">
        <v>0</v>
      </c>
      <c r="DS106" s="127">
        <v>7</v>
      </c>
      <c r="DT106" s="125">
        <v>0</v>
      </c>
      <c r="DU106" s="127">
        <v>6</v>
      </c>
      <c r="DV106" s="125">
        <v>0</v>
      </c>
      <c r="DW106" s="127">
        <v>4</v>
      </c>
      <c r="DX106" s="125">
        <v>0</v>
      </c>
      <c r="DY106" s="127">
        <v>8</v>
      </c>
      <c r="DZ106" s="125">
        <v>0</v>
      </c>
      <c r="EA106" s="127">
        <v>13</v>
      </c>
      <c r="EB106" s="125">
        <v>0</v>
      </c>
      <c r="EC106" s="127">
        <v>2</v>
      </c>
      <c r="ED106" s="125">
        <v>0</v>
      </c>
      <c r="EE106" s="127">
        <v>8</v>
      </c>
      <c r="EF106" s="125">
        <v>0</v>
      </c>
      <c r="EG106" s="143">
        <v>4</v>
      </c>
      <c r="EH106" s="144">
        <v>0</v>
      </c>
      <c r="EI106" s="127">
        <v>6</v>
      </c>
      <c r="EJ106" s="127">
        <v>0</v>
      </c>
      <c r="EK106" s="127">
        <v>3</v>
      </c>
      <c r="EL106" s="127">
        <v>0</v>
      </c>
      <c r="EM106" s="127">
        <v>5</v>
      </c>
      <c r="EN106" s="127">
        <v>0</v>
      </c>
      <c r="EO106" s="127">
        <v>3</v>
      </c>
      <c r="EP106" s="127">
        <v>0</v>
      </c>
      <c r="EQ106" s="127">
        <v>5</v>
      </c>
      <c r="ER106" s="127">
        <v>0</v>
      </c>
      <c r="ES106" s="127">
        <v>3</v>
      </c>
      <c r="ET106" s="138"/>
      <c r="EU106" s="138"/>
      <c r="EV106" s="138"/>
      <c r="EW106" s="138"/>
      <c r="EX106" s="138"/>
      <c r="EY106" s="138"/>
      <c r="EZ106" s="138"/>
      <c r="FA106" s="138"/>
      <c r="FB106" s="138"/>
      <c r="FC106" s="138"/>
      <c r="FD106" s="138"/>
      <c r="FE106" s="138"/>
      <c r="FF106" s="138"/>
      <c r="FG106" s="138"/>
      <c r="FH106" s="138"/>
      <c r="FI106" s="138"/>
      <c r="FJ106" s="138"/>
      <c r="FK106" s="138"/>
      <c r="FL106" s="138"/>
      <c r="FM106" s="138"/>
      <c r="FN106" s="138"/>
      <c r="FO106" s="138"/>
      <c r="FP106" s="138"/>
      <c r="FQ106" s="138"/>
      <c r="FR106" s="138"/>
      <c r="FS106" s="138"/>
      <c r="FT106" s="138"/>
      <c r="FU106" s="138"/>
      <c r="FV106" s="138"/>
      <c r="FW106" s="138"/>
      <c r="FX106" s="138"/>
      <c r="FY106" s="138"/>
      <c r="FZ106" s="138"/>
      <c r="GA106" s="138"/>
      <c r="GB106" s="138"/>
      <c r="GC106" s="138"/>
      <c r="GD106" s="138"/>
      <c r="GE106" s="138"/>
      <c r="GF106" s="138"/>
      <c r="GG106" s="138"/>
      <c r="GH106" s="138"/>
      <c r="GI106" s="138"/>
      <c r="GJ106" s="138"/>
      <c r="GK106" s="138"/>
      <c r="GL106" s="138"/>
      <c r="GM106" s="138"/>
      <c r="GN106" s="138"/>
      <c r="GO106" s="138"/>
      <c r="GP106" s="138"/>
      <c r="GQ106" s="138"/>
      <c r="GR106" s="138"/>
      <c r="GS106" s="138"/>
      <c r="GT106" s="138"/>
      <c r="GU106" s="138"/>
      <c r="GV106" s="138"/>
      <c r="GW106" s="138"/>
      <c r="GX106" s="138"/>
      <c r="GY106" s="138"/>
      <c r="GZ106" s="138"/>
      <c r="HA106" s="138"/>
      <c r="HB106" s="138"/>
      <c r="HC106" s="138"/>
      <c r="HD106" s="138"/>
      <c r="HE106" s="138"/>
      <c r="HF106" s="138"/>
      <c r="HG106" s="138"/>
      <c r="HH106" s="138"/>
      <c r="HI106" s="138"/>
      <c r="HJ106" s="138"/>
      <c r="HK106" s="138"/>
      <c r="HL106" s="138"/>
      <c r="HM106" s="138"/>
      <c r="HN106" s="138"/>
      <c r="HO106" s="138"/>
      <c r="HP106" s="138"/>
      <c r="HQ106" s="138"/>
      <c r="HR106" s="138"/>
      <c r="HS106" s="138"/>
      <c r="HT106" s="138"/>
      <c r="HU106" s="138"/>
      <c r="HV106" s="138"/>
      <c r="HW106" s="138"/>
      <c r="HX106" s="138"/>
      <c r="HY106" s="138"/>
      <c r="HZ106" s="138"/>
      <c r="IA106" s="138"/>
      <c r="IB106" s="138"/>
      <c r="IC106" s="138"/>
      <c r="ID106" s="138"/>
      <c r="IE106" s="138"/>
      <c r="IF106" s="138"/>
      <c r="IG106" s="138"/>
      <c r="IH106" s="138"/>
      <c r="II106" s="138"/>
      <c r="IJ106" s="138"/>
      <c r="IK106" s="138"/>
      <c r="IL106" s="138"/>
      <c r="IM106" s="138"/>
      <c r="IN106" s="138"/>
      <c r="IO106" s="138"/>
      <c r="IP106" s="138"/>
      <c r="IQ106" s="138"/>
      <c r="IR106" s="138"/>
      <c r="IS106" s="138"/>
      <c r="IT106" s="138"/>
      <c r="IU106" s="138"/>
      <c r="IV106" s="138"/>
      <c r="IW106" s="138"/>
      <c r="IX106" s="138"/>
      <c r="IY106" s="138"/>
      <c r="IZ106" s="138"/>
      <c r="JA106" s="138"/>
      <c r="JB106" s="138"/>
      <c r="JC106" s="138"/>
      <c r="JD106" s="138"/>
      <c r="JE106" s="138"/>
    </row>
    <row r="107" spans="1:265" ht="28" x14ac:dyDescent="0.15">
      <c r="A107" s="150">
        <v>6.2</v>
      </c>
      <c r="B107" s="151" t="s">
        <v>177</v>
      </c>
      <c r="C107" s="151" t="s">
        <v>178</v>
      </c>
      <c r="D107" s="69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  <c r="BP107" s="125">
        <v>0</v>
      </c>
      <c r="BQ107" s="125">
        <v>9</v>
      </c>
      <c r="BR107" s="125">
        <v>0</v>
      </c>
      <c r="BS107" s="125">
        <v>10</v>
      </c>
      <c r="BT107" s="125">
        <v>0</v>
      </c>
      <c r="BU107" s="125">
        <v>8</v>
      </c>
      <c r="BV107" s="125">
        <v>0</v>
      </c>
      <c r="BW107" s="125">
        <v>14</v>
      </c>
      <c r="BX107" s="125">
        <v>0</v>
      </c>
      <c r="BY107" s="125">
        <v>8</v>
      </c>
      <c r="BZ107" s="125">
        <v>0</v>
      </c>
      <c r="CA107" s="125">
        <v>14</v>
      </c>
      <c r="CB107" s="125">
        <v>0</v>
      </c>
      <c r="CC107" s="125">
        <v>5</v>
      </c>
      <c r="CD107" s="125">
        <v>0</v>
      </c>
      <c r="CE107" s="125">
        <v>9</v>
      </c>
      <c r="CF107" s="125">
        <v>0</v>
      </c>
      <c r="CG107" s="125">
        <v>7</v>
      </c>
      <c r="CH107" s="125">
        <v>0</v>
      </c>
      <c r="CI107" s="125">
        <v>8</v>
      </c>
      <c r="CJ107" s="125">
        <v>0</v>
      </c>
      <c r="CK107" s="125">
        <v>6</v>
      </c>
      <c r="CL107" s="125">
        <v>0</v>
      </c>
      <c r="CM107" s="127">
        <v>7</v>
      </c>
      <c r="CN107" s="125">
        <v>0</v>
      </c>
      <c r="CO107" s="127">
        <v>11</v>
      </c>
      <c r="CP107" s="125">
        <v>0</v>
      </c>
      <c r="CQ107" s="127">
        <v>3</v>
      </c>
      <c r="CR107" s="125">
        <v>0</v>
      </c>
      <c r="CS107" s="127">
        <v>7</v>
      </c>
      <c r="CT107" s="125">
        <v>0</v>
      </c>
      <c r="CU107" s="127">
        <v>8</v>
      </c>
      <c r="CV107" s="125">
        <v>0</v>
      </c>
      <c r="CW107" s="127">
        <v>3</v>
      </c>
      <c r="CX107" s="125">
        <v>0</v>
      </c>
      <c r="CY107" s="127">
        <v>1</v>
      </c>
      <c r="CZ107" s="125">
        <v>0</v>
      </c>
      <c r="DA107" s="127">
        <v>9</v>
      </c>
      <c r="DB107" s="125">
        <v>1</v>
      </c>
      <c r="DC107" s="127">
        <v>9</v>
      </c>
      <c r="DD107" s="125">
        <v>0</v>
      </c>
      <c r="DE107" s="127">
        <v>11</v>
      </c>
      <c r="DF107" s="125">
        <v>0</v>
      </c>
      <c r="DG107" s="127">
        <v>7</v>
      </c>
      <c r="DH107" s="125">
        <v>0</v>
      </c>
      <c r="DI107" s="127">
        <v>5</v>
      </c>
      <c r="DJ107" s="125">
        <v>0</v>
      </c>
      <c r="DK107" s="127">
        <v>14</v>
      </c>
      <c r="DL107" s="125">
        <v>0</v>
      </c>
      <c r="DM107" s="127">
        <v>4</v>
      </c>
      <c r="DN107" s="125">
        <v>0</v>
      </c>
      <c r="DO107" s="127">
        <v>2</v>
      </c>
      <c r="DP107" s="125">
        <v>0</v>
      </c>
      <c r="DQ107" s="127">
        <v>5</v>
      </c>
      <c r="DR107" s="125">
        <v>0</v>
      </c>
      <c r="DS107" s="127">
        <v>6</v>
      </c>
      <c r="DT107" s="125">
        <v>0</v>
      </c>
      <c r="DU107" s="127">
        <v>2</v>
      </c>
      <c r="DV107" s="125">
        <v>0</v>
      </c>
      <c r="DW107" s="127">
        <v>11</v>
      </c>
      <c r="DX107" s="125">
        <v>0</v>
      </c>
      <c r="DY107" s="127">
        <v>9</v>
      </c>
      <c r="DZ107" s="125">
        <v>0</v>
      </c>
      <c r="EA107" s="127">
        <v>30</v>
      </c>
      <c r="EB107" s="125">
        <v>0</v>
      </c>
      <c r="EC107" s="127">
        <v>6</v>
      </c>
      <c r="ED107" s="125">
        <v>0</v>
      </c>
      <c r="EE107" s="127">
        <v>8</v>
      </c>
      <c r="EF107" s="125">
        <v>0</v>
      </c>
      <c r="EG107" s="143">
        <v>4</v>
      </c>
      <c r="EH107" s="144">
        <v>0</v>
      </c>
      <c r="EI107" s="127">
        <v>10</v>
      </c>
      <c r="EJ107" s="127">
        <v>0</v>
      </c>
      <c r="EK107" s="127">
        <v>11</v>
      </c>
      <c r="EL107" s="127">
        <v>0</v>
      </c>
      <c r="EM107" s="127">
        <v>20</v>
      </c>
      <c r="EN107" s="127">
        <v>0</v>
      </c>
      <c r="EO107" s="127">
        <v>7</v>
      </c>
      <c r="EP107" s="127">
        <v>0</v>
      </c>
      <c r="EQ107" s="127">
        <v>4</v>
      </c>
      <c r="ER107" s="127">
        <v>0</v>
      </c>
      <c r="ES107" s="127">
        <v>1</v>
      </c>
      <c r="ET107" s="127">
        <v>0</v>
      </c>
      <c r="EU107" s="127">
        <v>7</v>
      </c>
      <c r="EV107" s="127">
        <v>0</v>
      </c>
      <c r="EW107" s="127">
        <v>4</v>
      </c>
      <c r="EX107" s="127">
        <v>0</v>
      </c>
      <c r="EY107" s="127">
        <v>7</v>
      </c>
      <c r="EZ107" s="127">
        <v>0</v>
      </c>
      <c r="FA107" s="127">
        <v>4</v>
      </c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  <c r="FS107" s="28"/>
      <c r="FT107" s="28"/>
      <c r="FU107" s="28"/>
      <c r="FV107" s="28"/>
      <c r="FW107" s="28"/>
      <c r="FX107" s="28"/>
      <c r="FY107" s="28"/>
      <c r="FZ107" s="28"/>
      <c r="GA107" s="28"/>
      <c r="GB107" s="28"/>
      <c r="GC107" s="28"/>
      <c r="GD107" s="28"/>
      <c r="GE107" s="28"/>
      <c r="GF107" s="28"/>
      <c r="GG107" s="28"/>
      <c r="GH107" s="28"/>
      <c r="GI107" s="28"/>
      <c r="GJ107" s="28"/>
      <c r="GK107" s="28"/>
      <c r="GL107" s="28"/>
      <c r="GM107" s="28"/>
      <c r="GN107" s="28"/>
      <c r="GO107" s="28"/>
      <c r="GP107" s="28"/>
      <c r="GQ107" s="28"/>
      <c r="GR107" s="28"/>
      <c r="GS107" s="28"/>
      <c r="GT107" s="28"/>
      <c r="GU107" s="28"/>
      <c r="GV107" s="28"/>
      <c r="GW107" s="28"/>
      <c r="GX107" s="28"/>
      <c r="GY107" s="28"/>
      <c r="GZ107" s="28"/>
      <c r="HA107" s="28"/>
      <c r="HB107" s="28"/>
      <c r="HC107" s="28"/>
      <c r="HD107" s="28"/>
      <c r="HE107" s="28"/>
      <c r="HF107" s="28"/>
      <c r="HG107" s="28"/>
      <c r="HH107" s="28"/>
      <c r="HI107" s="28"/>
      <c r="HJ107" s="28"/>
      <c r="HK107" s="28"/>
      <c r="HL107" s="28"/>
      <c r="HM107" s="28"/>
      <c r="HN107" s="28"/>
      <c r="HO107" s="28"/>
      <c r="HP107" s="28"/>
      <c r="HQ107" s="28"/>
      <c r="HR107" s="28"/>
      <c r="HS107" s="28"/>
      <c r="HT107" s="28"/>
      <c r="HU107" s="28"/>
      <c r="HV107" s="28"/>
      <c r="HW107" s="28"/>
      <c r="HX107" s="28"/>
      <c r="HY107" s="28"/>
      <c r="HZ107" s="28"/>
      <c r="IA107" s="28"/>
      <c r="IB107" s="28"/>
      <c r="IC107" s="28"/>
      <c r="ID107" s="28"/>
      <c r="IE107" s="28"/>
      <c r="IF107" s="28"/>
      <c r="IG107" s="28"/>
      <c r="IH107" s="28"/>
      <c r="II107" s="28"/>
      <c r="IJ107" s="28"/>
      <c r="IK107" s="28"/>
      <c r="IL107" s="28"/>
      <c r="IM107" s="28"/>
      <c r="IN107" s="28"/>
      <c r="IO107" s="28"/>
      <c r="IP107" s="28"/>
      <c r="IQ107" s="28"/>
      <c r="IR107" s="28"/>
      <c r="IS107" s="28"/>
      <c r="IT107" s="28"/>
      <c r="IU107" s="28"/>
      <c r="IV107" s="28"/>
      <c r="IW107" s="28"/>
      <c r="IX107" s="28"/>
      <c r="IY107" s="28"/>
      <c r="IZ107" s="28"/>
      <c r="JA107" s="28"/>
      <c r="JB107" s="28"/>
      <c r="JC107" s="28"/>
      <c r="JD107" s="28"/>
      <c r="JE107" s="28"/>
    </row>
    <row r="108" spans="1:265" ht="28" x14ac:dyDescent="0.15">
      <c r="A108" s="150">
        <v>6.3</v>
      </c>
      <c r="B108" s="151" t="s">
        <v>179</v>
      </c>
      <c r="C108" s="151" t="s">
        <v>180</v>
      </c>
      <c r="D108" s="69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6"/>
      <c r="BJ108" s="126"/>
      <c r="BK108" s="126"/>
      <c r="BL108" s="126"/>
      <c r="BM108" s="126"/>
      <c r="BN108" s="126"/>
      <c r="BO108" s="126"/>
      <c r="BP108" s="125">
        <v>0</v>
      </c>
      <c r="BQ108" s="125">
        <v>0</v>
      </c>
      <c r="BR108" s="125">
        <v>0</v>
      </c>
      <c r="BS108" s="125">
        <v>1</v>
      </c>
      <c r="BT108" s="125">
        <v>0</v>
      </c>
      <c r="BU108" s="125">
        <v>2</v>
      </c>
      <c r="BV108" s="125">
        <v>0</v>
      </c>
      <c r="BW108" s="125">
        <v>1</v>
      </c>
      <c r="BX108" s="125">
        <v>0</v>
      </c>
      <c r="BY108" s="125">
        <v>0</v>
      </c>
      <c r="BZ108" s="125">
        <v>0</v>
      </c>
      <c r="CA108" s="125">
        <v>1</v>
      </c>
      <c r="CB108" s="125">
        <v>0</v>
      </c>
      <c r="CC108" s="125">
        <v>0</v>
      </c>
      <c r="CD108" s="125">
        <v>0</v>
      </c>
      <c r="CE108" s="125">
        <v>2</v>
      </c>
      <c r="CF108" s="125">
        <v>0</v>
      </c>
      <c r="CG108" s="125">
        <v>5</v>
      </c>
      <c r="CH108" s="125">
        <v>0</v>
      </c>
      <c r="CI108" s="125">
        <v>0</v>
      </c>
      <c r="CJ108" s="125">
        <v>0</v>
      </c>
      <c r="CK108" s="125">
        <v>3</v>
      </c>
      <c r="CL108" s="125">
        <v>1</v>
      </c>
      <c r="CM108" s="127">
        <v>3</v>
      </c>
      <c r="CN108" s="125">
        <v>0</v>
      </c>
      <c r="CO108" s="127">
        <v>0</v>
      </c>
      <c r="CP108" s="125">
        <v>0</v>
      </c>
      <c r="CQ108" s="127">
        <v>4</v>
      </c>
      <c r="CR108" s="125">
        <v>0</v>
      </c>
      <c r="CS108" s="127">
        <v>2</v>
      </c>
      <c r="CT108" s="125">
        <v>0</v>
      </c>
      <c r="CU108" s="127">
        <v>1</v>
      </c>
      <c r="CV108" s="125">
        <v>0</v>
      </c>
      <c r="CW108" s="127">
        <v>0</v>
      </c>
      <c r="CX108" s="125">
        <v>0</v>
      </c>
      <c r="CY108" s="127">
        <v>3</v>
      </c>
      <c r="CZ108" s="125">
        <v>0</v>
      </c>
      <c r="DA108" s="127">
        <v>2</v>
      </c>
      <c r="DB108" s="125">
        <v>0</v>
      </c>
      <c r="DC108" s="127">
        <v>1</v>
      </c>
      <c r="DD108" s="125">
        <v>0</v>
      </c>
      <c r="DE108" s="127">
        <v>4</v>
      </c>
      <c r="DF108" s="125">
        <v>0</v>
      </c>
      <c r="DG108" s="127">
        <v>2</v>
      </c>
      <c r="DH108" s="125">
        <v>0</v>
      </c>
      <c r="DI108" s="127">
        <v>2</v>
      </c>
      <c r="DJ108" s="125">
        <v>0</v>
      </c>
      <c r="DK108" s="127">
        <v>0</v>
      </c>
      <c r="DL108" s="125">
        <v>0</v>
      </c>
      <c r="DM108" s="127">
        <v>1</v>
      </c>
      <c r="DN108" s="125">
        <v>0</v>
      </c>
      <c r="DO108" s="127">
        <v>1</v>
      </c>
      <c r="DP108" s="125">
        <v>0</v>
      </c>
      <c r="DQ108" s="127">
        <v>4</v>
      </c>
      <c r="DR108" s="125">
        <v>0</v>
      </c>
      <c r="DS108" s="127">
        <v>4</v>
      </c>
      <c r="DT108" s="125">
        <v>0</v>
      </c>
      <c r="DU108" s="127">
        <v>6</v>
      </c>
      <c r="DV108" s="125">
        <v>0</v>
      </c>
      <c r="DW108" s="127">
        <v>2</v>
      </c>
      <c r="DX108" s="125">
        <v>0</v>
      </c>
      <c r="DY108" s="127">
        <v>7</v>
      </c>
      <c r="DZ108" s="125">
        <v>0</v>
      </c>
      <c r="EA108" s="127">
        <v>6</v>
      </c>
      <c r="EB108" s="125">
        <v>0</v>
      </c>
      <c r="EC108" s="127">
        <v>4</v>
      </c>
      <c r="ED108" s="125">
        <v>0</v>
      </c>
      <c r="EE108" s="127">
        <v>4</v>
      </c>
      <c r="EF108" s="125">
        <v>0</v>
      </c>
      <c r="EG108" s="143">
        <v>2</v>
      </c>
      <c r="EH108" s="144">
        <v>0</v>
      </c>
      <c r="EI108" s="127">
        <v>2</v>
      </c>
      <c r="EJ108" s="127">
        <v>0</v>
      </c>
      <c r="EK108" s="127">
        <v>3</v>
      </c>
      <c r="EL108" s="127">
        <v>0</v>
      </c>
      <c r="EM108" s="127">
        <v>2</v>
      </c>
      <c r="EN108" s="127">
        <v>0</v>
      </c>
      <c r="EO108" s="127">
        <v>3</v>
      </c>
      <c r="EP108" s="127">
        <v>0</v>
      </c>
      <c r="EQ108" s="127">
        <v>0</v>
      </c>
      <c r="ER108" s="127">
        <v>0</v>
      </c>
      <c r="ES108" s="127">
        <v>1</v>
      </c>
      <c r="ET108" s="28" t="s">
        <v>30</v>
      </c>
      <c r="EU108" s="28" t="s">
        <v>30</v>
      </c>
      <c r="EV108" s="28" t="s">
        <v>30</v>
      </c>
      <c r="EW108" s="28" t="s">
        <v>30</v>
      </c>
      <c r="EX108" s="28" t="s">
        <v>30</v>
      </c>
      <c r="EY108" s="28" t="s">
        <v>30</v>
      </c>
      <c r="EZ108" s="28" t="s">
        <v>30</v>
      </c>
      <c r="FA108" s="28" t="s">
        <v>30</v>
      </c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  <c r="GF108" s="28"/>
      <c r="GG108" s="28"/>
      <c r="GH108" s="28"/>
      <c r="GI108" s="28"/>
      <c r="GJ108" s="28"/>
      <c r="GK108" s="28"/>
      <c r="GL108" s="28"/>
      <c r="GM108" s="28"/>
      <c r="GN108" s="28"/>
      <c r="GO108" s="28"/>
      <c r="GP108" s="28"/>
      <c r="GQ108" s="28"/>
      <c r="GR108" s="28"/>
      <c r="GS108" s="28"/>
      <c r="GT108" s="28"/>
      <c r="GU108" s="28"/>
      <c r="GV108" s="28"/>
      <c r="GW108" s="28"/>
      <c r="GX108" s="28"/>
      <c r="GY108" s="28"/>
      <c r="GZ108" s="28"/>
      <c r="HA108" s="28"/>
      <c r="HB108" s="28"/>
      <c r="HC108" s="28"/>
      <c r="HD108" s="28"/>
      <c r="HE108" s="28"/>
      <c r="HF108" s="28"/>
      <c r="HG108" s="28"/>
      <c r="HH108" s="28"/>
      <c r="HI108" s="28"/>
      <c r="HJ108" s="28"/>
      <c r="HK108" s="28"/>
      <c r="HL108" s="28"/>
      <c r="HM108" s="28"/>
      <c r="HN108" s="28"/>
      <c r="HO108" s="28"/>
      <c r="HP108" s="28"/>
      <c r="HQ108" s="28"/>
      <c r="HR108" s="28"/>
      <c r="HS108" s="28"/>
      <c r="HT108" s="28"/>
      <c r="HU108" s="28"/>
      <c r="HV108" s="28"/>
      <c r="HW108" s="28"/>
      <c r="HX108" s="28"/>
      <c r="HY108" s="28"/>
      <c r="HZ108" s="28"/>
      <c r="IA108" s="28"/>
      <c r="IB108" s="28"/>
      <c r="IC108" s="28"/>
      <c r="ID108" s="28"/>
      <c r="IE108" s="28"/>
      <c r="IF108" s="28"/>
      <c r="IG108" s="28"/>
      <c r="IH108" s="28"/>
      <c r="II108" s="28"/>
      <c r="IJ108" s="28"/>
      <c r="IK108" s="28"/>
      <c r="IL108" s="28"/>
      <c r="IM108" s="28"/>
      <c r="IN108" s="28"/>
      <c r="IO108" s="28"/>
      <c r="IP108" s="28"/>
      <c r="IQ108" s="28"/>
      <c r="IR108" s="28"/>
      <c r="IS108" s="28"/>
      <c r="IT108" s="28"/>
      <c r="IU108" s="28"/>
      <c r="IV108" s="28"/>
      <c r="IW108" s="28"/>
      <c r="IX108" s="28"/>
      <c r="IY108" s="28"/>
      <c r="IZ108" s="28"/>
      <c r="JA108" s="28"/>
      <c r="JB108" s="28"/>
      <c r="JC108" s="28"/>
      <c r="JD108" s="28"/>
      <c r="JE108" s="28"/>
    </row>
    <row r="109" spans="1:265" ht="28" x14ac:dyDescent="0.15">
      <c r="A109" s="150">
        <v>6.4</v>
      </c>
      <c r="B109" s="151" t="s">
        <v>181</v>
      </c>
      <c r="C109" s="151" t="s">
        <v>182</v>
      </c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5">
        <v>1</v>
      </c>
      <c r="BQ109" s="125">
        <v>1</v>
      </c>
      <c r="BR109" s="125">
        <v>0</v>
      </c>
      <c r="BS109" s="125">
        <v>0</v>
      </c>
      <c r="BT109" s="125">
        <v>0</v>
      </c>
      <c r="BU109" s="125">
        <v>0</v>
      </c>
      <c r="BV109" s="125">
        <v>0</v>
      </c>
      <c r="BW109" s="125">
        <v>0</v>
      </c>
      <c r="BX109" s="125">
        <v>0</v>
      </c>
      <c r="BY109" s="125">
        <v>0</v>
      </c>
      <c r="BZ109" s="125">
        <v>0</v>
      </c>
      <c r="CA109" s="125">
        <v>0</v>
      </c>
      <c r="CB109" s="125">
        <v>0</v>
      </c>
      <c r="CC109" s="125">
        <v>0</v>
      </c>
      <c r="CD109" s="125">
        <v>0</v>
      </c>
      <c r="CE109" s="125">
        <v>0</v>
      </c>
      <c r="CF109" s="125">
        <v>0</v>
      </c>
      <c r="CG109" s="125">
        <v>0</v>
      </c>
      <c r="CH109" s="125">
        <v>0</v>
      </c>
      <c r="CI109" s="125">
        <v>0</v>
      </c>
      <c r="CJ109" s="125">
        <v>0</v>
      </c>
      <c r="CK109" s="125">
        <v>0</v>
      </c>
      <c r="CL109" s="125">
        <v>0</v>
      </c>
      <c r="CM109" s="127">
        <v>0</v>
      </c>
      <c r="CN109" s="125">
        <v>0</v>
      </c>
      <c r="CO109" s="127">
        <v>0</v>
      </c>
      <c r="CP109" s="125">
        <v>0</v>
      </c>
      <c r="CQ109" s="127">
        <v>0</v>
      </c>
      <c r="CR109" s="125">
        <v>0</v>
      </c>
      <c r="CS109" s="127">
        <v>0</v>
      </c>
      <c r="CT109" s="125">
        <v>0</v>
      </c>
      <c r="CU109" s="127">
        <v>0</v>
      </c>
      <c r="CV109" s="125">
        <v>0</v>
      </c>
      <c r="CW109" s="127">
        <v>0</v>
      </c>
      <c r="CX109" s="125">
        <v>0</v>
      </c>
      <c r="CY109" s="127">
        <v>1</v>
      </c>
      <c r="CZ109" s="125">
        <v>0</v>
      </c>
      <c r="DA109" s="127">
        <v>0</v>
      </c>
      <c r="DB109" s="125">
        <v>0</v>
      </c>
      <c r="DC109" s="127">
        <v>0</v>
      </c>
      <c r="DD109" s="125">
        <v>0</v>
      </c>
      <c r="DE109" s="127">
        <v>0</v>
      </c>
      <c r="DF109" s="125">
        <v>0</v>
      </c>
      <c r="DG109" s="127">
        <v>0</v>
      </c>
      <c r="DH109" s="125">
        <v>0</v>
      </c>
      <c r="DI109" s="127">
        <v>0</v>
      </c>
      <c r="DJ109" s="125">
        <v>1</v>
      </c>
      <c r="DK109" s="127">
        <v>1</v>
      </c>
      <c r="DL109" s="125">
        <v>0</v>
      </c>
      <c r="DM109" s="127">
        <v>0</v>
      </c>
      <c r="DN109" s="125">
        <v>0</v>
      </c>
      <c r="DO109" s="127">
        <v>0</v>
      </c>
      <c r="DP109" s="125">
        <v>0</v>
      </c>
      <c r="DQ109" s="127">
        <v>0</v>
      </c>
      <c r="DR109" s="125">
        <v>0</v>
      </c>
      <c r="DS109" s="127">
        <v>0</v>
      </c>
      <c r="DT109" s="125">
        <v>0</v>
      </c>
      <c r="DU109" s="127">
        <v>0</v>
      </c>
      <c r="DV109" s="125">
        <v>0</v>
      </c>
      <c r="DW109" s="127">
        <v>0</v>
      </c>
      <c r="DX109" s="125">
        <v>0</v>
      </c>
      <c r="DY109" s="127">
        <v>0</v>
      </c>
      <c r="DZ109" s="125">
        <v>0</v>
      </c>
      <c r="EA109" s="127">
        <v>0</v>
      </c>
      <c r="EB109" s="125">
        <v>0</v>
      </c>
      <c r="EC109" s="127">
        <v>0</v>
      </c>
      <c r="ED109" s="125">
        <v>0</v>
      </c>
      <c r="EE109" s="127">
        <v>0</v>
      </c>
      <c r="EF109" s="125">
        <v>0</v>
      </c>
      <c r="EG109" s="143">
        <v>0</v>
      </c>
      <c r="EH109" s="144">
        <v>0</v>
      </c>
      <c r="EI109" s="127">
        <v>2</v>
      </c>
      <c r="EJ109" s="127">
        <v>0</v>
      </c>
      <c r="EK109" s="127">
        <v>0</v>
      </c>
      <c r="EL109" s="127">
        <v>0</v>
      </c>
      <c r="EM109" s="127">
        <v>1</v>
      </c>
      <c r="EN109" s="127">
        <v>0</v>
      </c>
      <c r="EO109" s="127">
        <v>0</v>
      </c>
      <c r="EP109" s="127">
        <v>0</v>
      </c>
      <c r="EQ109" s="127">
        <v>0</v>
      </c>
      <c r="ER109" s="127">
        <v>0</v>
      </c>
      <c r="ES109" s="127">
        <v>0</v>
      </c>
      <c r="ET109" s="138"/>
      <c r="EU109" s="138"/>
      <c r="EV109" s="138"/>
      <c r="EW109" s="138"/>
      <c r="EX109" s="138"/>
      <c r="EY109" s="138"/>
      <c r="EZ109" s="138"/>
      <c r="FA109" s="138"/>
      <c r="FB109" s="138"/>
      <c r="FC109" s="138"/>
      <c r="FD109" s="138"/>
      <c r="FE109" s="138"/>
      <c r="FF109" s="138"/>
      <c r="FG109" s="138"/>
      <c r="FH109" s="138"/>
      <c r="FI109" s="138"/>
      <c r="FJ109" s="138"/>
      <c r="FK109" s="138"/>
      <c r="FL109" s="138"/>
      <c r="FM109" s="138"/>
      <c r="FN109" s="138"/>
      <c r="FO109" s="138"/>
      <c r="FP109" s="138"/>
      <c r="FQ109" s="138"/>
      <c r="FR109" s="138"/>
      <c r="FS109" s="138"/>
      <c r="FT109" s="138"/>
      <c r="FU109" s="138"/>
      <c r="FV109" s="138"/>
      <c r="FW109" s="138"/>
      <c r="FX109" s="138"/>
      <c r="FY109" s="138"/>
      <c r="FZ109" s="138"/>
      <c r="GA109" s="138"/>
      <c r="GB109" s="138"/>
      <c r="GC109" s="138"/>
      <c r="GD109" s="138"/>
      <c r="GE109" s="138"/>
      <c r="GF109" s="138"/>
      <c r="GG109" s="138"/>
      <c r="GH109" s="138"/>
      <c r="GI109" s="138"/>
      <c r="GJ109" s="138"/>
      <c r="GK109" s="138"/>
      <c r="GL109" s="138"/>
      <c r="GM109" s="138"/>
      <c r="GN109" s="138"/>
      <c r="GO109" s="138"/>
      <c r="GP109" s="138"/>
      <c r="GQ109" s="138"/>
      <c r="GR109" s="138"/>
      <c r="GS109" s="138"/>
      <c r="GT109" s="138"/>
      <c r="GU109" s="138"/>
      <c r="GV109" s="138"/>
      <c r="GW109" s="138"/>
      <c r="GX109" s="138"/>
      <c r="GY109" s="138"/>
      <c r="GZ109" s="138"/>
      <c r="HA109" s="138"/>
      <c r="HB109" s="138"/>
      <c r="HC109" s="138"/>
      <c r="HD109" s="138"/>
      <c r="HE109" s="138"/>
      <c r="HF109" s="138"/>
      <c r="HG109" s="138"/>
      <c r="HH109" s="138"/>
      <c r="HI109" s="138"/>
      <c r="HJ109" s="138"/>
      <c r="HK109" s="138"/>
      <c r="HL109" s="138"/>
      <c r="HM109" s="138"/>
      <c r="HN109" s="138"/>
      <c r="HO109" s="138"/>
      <c r="HP109" s="138"/>
      <c r="HQ109" s="138"/>
      <c r="HR109" s="138"/>
      <c r="HS109" s="138"/>
      <c r="HT109" s="138"/>
      <c r="HU109" s="138"/>
      <c r="HV109" s="138"/>
      <c r="HW109" s="138"/>
      <c r="HX109" s="138"/>
      <c r="HY109" s="138"/>
      <c r="HZ109" s="138"/>
      <c r="IA109" s="138"/>
      <c r="IB109" s="138"/>
      <c r="IC109" s="138"/>
      <c r="ID109" s="138"/>
      <c r="IE109" s="138"/>
      <c r="IF109" s="138"/>
      <c r="IG109" s="138"/>
      <c r="IH109" s="138"/>
      <c r="II109" s="138"/>
      <c r="IJ109" s="138"/>
      <c r="IK109" s="138"/>
      <c r="IL109" s="138"/>
      <c r="IM109" s="138"/>
      <c r="IN109" s="138"/>
      <c r="IO109" s="138"/>
      <c r="IP109" s="138"/>
      <c r="IQ109" s="138"/>
      <c r="IR109" s="138"/>
      <c r="IS109" s="138"/>
      <c r="IT109" s="138"/>
      <c r="IU109" s="138"/>
      <c r="IV109" s="138"/>
      <c r="IW109" s="138"/>
      <c r="IX109" s="138"/>
      <c r="IY109" s="138"/>
      <c r="IZ109" s="138"/>
      <c r="JA109" s="138"/>
      <c r="JB109" s="138"/>
      <c r="JC109" s="138"/>
      <c r="JD109" s="138"/>
      <c r="JE109" s="138"/>
    </row>
    <row r="110" spans="1:265" ht="28" x14ac:dyDescent="0.15">
      <c r="A110" s="150">
        <v>6.5</v>
      </c>
      <c r="B110" s="151" t="s">
        <v>183</v>
      </c>
      <c r="C110" s="151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26"/>
      <c r="BR110" s="126"/>
      <c r="BS110" s="126"/>
      <c r="BT110" s="126"/>
      <c r="BU110" s="126"/>
      <c r="BV110" s="126"/>
      <c r="BW110" s="126"/>
      <c r="BX110" s="126"/>
      <c r="BY110" s="126"/>
      <c r="BZ110" s="126"/>
      <c r="CA110" s="126"/>
      <c r="CB110" s="126"/>
      <c r="CC110" s="126"/>
      <c r="CD110" s="126"/>
      <c r="CE110" s="126"/>
      <c r="CF110" s="126"/>
      <c r="CG110" s="126"/>
      <c r="CH110" s="126"/>
      <c r="CI110" s="126"/>
      <c r="CJ110" s="126"/>
      <c r="CK110" s="126"/>
      <c r="CL110" s="126"/>
      <c r="CM110" s="126"/>
      <c r="CN110" s="126"/>
      <c r="CO110" s="126"/>
      <c r="CP110" s="126"/>
      <c r="CQ110" s="126"/>
      <c r="CR110" s="126"/>
      <c r="CS110" s="126"/>
      <c r="CT110" s="126"/>
      <c r="CU110" s="126"/>
      <c r="CV110" s="126"/>
      <c r="CW110" s="126"/>
      <c r="CX110" s="126"/>
      <c r="CY110" s="126"/>
      <c r="CZ110" s="126"/>
      <c r="DA110" s="126"/>
      <c r="DB110" s="126"/>
      <c r="DC110" s="126"/>
      <c r="DD110" s="126"/>
      <c r="DE110" s="126"/>
      <c r="DF110" s="126"/>
      <c r="DG110" s="126"/>
      <c r="DH110" s="126"/>
      <c r="DI110" s="126"/>
      <c r="DJ110" s="126"/>
      <c r="DK110" s="126"/>
      <c r="DL110" s="126"/>
      <c r="DM110" s="126"/>
      <c r="DN110" s="126"/>
      <c r="DO110" s="126"/>
      <c r="DP110" s="126"/>
      <c r="DQ110" s="126"/>
      <c r="DR110" s="126"/>
      <c r="DS110" s="126"/>
      <c r="DT110" s="126"/>
      <c r="DU110" s="126"/>
      <c r="DV110" s="126"/>
      <c r="DW110" s="126"/>
      <c r="DX110" s="126"/>
      <c r="DY110" s="126"/>
      <c r="DZ110" s="126"/>
      <c r="EA110" s="126"/>
      <c r="EB110" s="126"/>
      <c r="EC110" s="126"/>
      <c r="ED110" s="126"/>
      <c r="EE110" s="126"/>
      <c r="EF110" s="126"/>
      <c r="EG110" s="145"/>
      <c r="EH110" s="146"/>
      <c r="EI110" s="126"/>
      <c r="EJ110" s="126"/>
      <c r="EK110" s="126"/>
      <c r="EL110" s="126"/>
      <c r="EM110" s="126"/>
      <c r="EN110" s="126"/>
      <c r="EO110" s="126"/>
      <c r="EP110" s="126"/>
      <c r="EQ110" s="126"/>
      <c r="ER110" s="126"/>
      <c r="ES110" s="126"/>
      <c r="ET110" s="138"/>
      <c r="EU110" s="138"/>
      <c r="EV110" s="138"/>
      <c r="EW110" s="138"/>
      <c r="EX110" s="138"/>
      <c r="EY110" s="138"/>
      <c r="EZ110" s="138"/>
      <c r="FA110" s="138"/>
      <c r="FB110" s="138"/>
      <c r="FC110" s="138"/>
      <c r="FD110" s="138"/>
      <c r="FE110" s="138"/>
      <c r="FF110" s="138"/>
      <c r="FG110" s="138"/>
      <c r="FH110" s="138"/>
      <c r="FI110" s="138"/>
      <c r="FJ110" s="138"/>
      <c r="FK110" s="138"/>
      <c r="FL110" s="138"/>
      <c r="FM110" s="138"/>
      <c r="FN110" s="138"/>
      <c r="FO110" s="138"/>
      <c r="FP110" s="127">
        <v>1</v>
      </c>
      <c r="FQ110" s="127">
        <v>5</v>
      </c>
      <c r="FR110" s="127">
        <v>0</v>
      </c>
      <c r="FS110" s="127">
        <v>2</v>
      </c>
      <c r="FT110" s="127">
        <v>0</v>
      </c>
      <c r="FU110" s="127">
        <v>0</v>
      </c>
      <c r="FV110" s="127">
        <v>0</v>
      </c>
      <c r="FW110" s="127">
        <v>0</v>
      </c>
      <c r="FX110" s="127">
        <v>0</v>
      </c>
      <c r="FY110" s="127">
        <v>0</v>
      </c>
      <c r="FZ110" s="127">
        <v>0</v>
      </c>
      <c r="GA110" s="127">
        <v>2</v>
      </c>
      <c r="GB110" s="127">
        <v>0</v>
      </c>
      <c r="GC110" s="127">
        <v>0</v>
      </c>
      <c r="GD110" s="127">
        <v>0</v>
      </c>
      <c r="GE110" s="127">
        <v>2</v>
      </c>
      <c r="GF110" s="127">
        <v>0</v>
      </c>
      <c r="GG110" s="127">
        <v>0</v>
      </c>
      <c r="GH110" s="127">
        <v>0</v>
      </c>
      <c r="GI110" s="127">
        <v>0</v>
      </c>
      <c r="GJ110" s="127">
        <v>0</v>
      </c>
      <c r="GK110" s="127">
        <v>1</v>
      </c>
      <c r="GL110" s="127">
        <v>0</v>
      </c>
      <c r="GM110" s="127">
        <v>0</v>
      </c>
      <c r="GN110" s="127">
        <v>0</v>
      </c>
      <c r="GO110" s="127">
        <v>0</v>
      </c>
      <c r="GP110" s="127">
        <v>0</v>
      </c>
      <c r="GQ110" s="127">
        <v>0</v>
      </c>
      <c r="GR110" s="127">
        <v>0</v>
      </c>
      <c r="GS110" s="127">
        <v>1</v>
      </c>
      <c r="GT110" s="127">
        <v>0</v>
      </c>
      <c r="GU110" s="127">
        <v>1</v>
      </c>
      <c r="GV110" s="127">
        <v>0</v>
      </c>
      <c r="GW110" s="127">
        <v>0</v>
      </c>
      <c r="GX110" s="127">
        <v>0</v>
      </c>
      <c r="GY110" s="127">
        <v>3</v>
      </c>
      <c r="GZ110" s="127">
        <v>0</v>
      </c>
      <c r="HA110" s="127">
        <v>0</v>
      </c>
      <c r="HB110" s="127">
        <v>0</v>
      </c>
      <c r="HC110" s="127">
        <v>0</v>
      </c>
      <c r="HD110" s="127">
        <v>0</v>
      </c>
      <c r="HE110" s="127">
        <v>2</v>
      </c>
      <c r="HF110" s="127">
        <v>0</v>
      </c>
      <c r="HG110" s="127">
        <v>0</v>
      </c>
      <c r="HH110" s="127">
        <v>0</v>
      </c>
      <c r="HI110" s="127">
        <v>1</v>
      </c>
      <c r="HJ110" s="127">
        <v>0</v>
      </c>
      <c r="HK110" s="127">
        <v>1</v>
      </c>
      <c r="HL110" s="127">
        <v>0</v>
      </c>
      <c r="HM110" s="127">
        <v>1</v>
      </c>
      <c r="HN110" s="127">
        <v>0</v>
      </c>
      <c r="HO110" s="127">
        <v>1</v>
      </c>
      <c r="HP110" s="127">
        <v>0</v>
      </c>
      <c r="HQ110" s="127">
        <v>0</v>
      </c>
      <c r="HR110" s="127">
        <v>0</v>
      </c>
      <c r="HS110" s="127">
        <v>1</v>
      </c>
      <c r="HT110" s="127">
        <v>0</v>
      </c>
      <c r="HU110" s="127">
        <v>1</v>
      </c>
      <c r="HV110" s="127">
        <v>0</v>
      </c>
      <c r="HW110" s="127">
        <v>0</v>
      </c>
      <c r="HX110" s="127">
        <v>0</v>
      </c>
      <c r="HY110" s="127">
        <v>1</v>
      </c>
      <c r="HZ110" s="127">
        <v>0</v>
      </c>
      <c r="IA110" s="127">
        <v>1</v>
      </c>
      <c r="IB110" s="127">
        <v>0</v>
      </c>
      <c r="IC110" s="127">
        <v>0</v>
      </c>
      <c r="ID110" s="127">
        <v>0</v>
      </c>
      <c r="IE110" s="127">
        <v>0</v>
      </c>
      <c r="IF110" s="127">
        <v>0</v>
      </c>
      <c r="IG110" s="127">
        <v>1</v>
      </c>
      <c r="IH110" s="127">
        <v>0</v>
      </c>
      <c r="II110" s="127">
        <v>1</v>
      </c>
      <c r="IJ110" s="127">
        <v>0</v>
      </c>
      <c r="IK110" s="127">
        <v>0</v>
      </c>
      <c r="IL110" s="127">
        <v>0</v>
      </c>
      <c r="IM110" s="127">
        <v>2</v>
      </c>
      <c r="IN110" s="127">
        <v>0</v>
      </c>
      <c r="IO110" s="127">
        <v>0</v>
      </c>
      <c r="IP110" s="127">
        <v>0</v>
      </c>
      <c r="IQ110" s="127">
        <v>0</v>
      </c>
      <c r="IR110" s="127">
        <v>0</v>
      </c>
      <c r="IS110" s="127">
        <v>0</v>
      </c>
      <c r="IT110" s="127">
        <v>0</v>
      </c>
      <c r="IU110" s="127">
        <v>2</v>
      </c>
      <c r="IV110" s="127">
        <v>0</v>
      </c>
      <c r="IW110" s="127">
        <v>1</v>
      </c>
      <c r="IX110" s="127">
        <v>0</v>
      </c>
      <c r="IY110" s="127">
        <v>1</v>
      </c>
      <c r="IZ110" s="127">
        <v>0</v>
      </c>
      <c r="JA110" s="127">
        <v>1</v>
      </c>
      <c r="JB110" s="127">
        <v>0</v>
      </c>
      <c r="JC110" s="127">
        <v>1</v>
      </c>
      <c r="JD110" s="127">
        <v>0</v>
      </c>
      <c r="JE110" s="127">
        <v>1</v>
      </c>
    </row>
    <row r="111" spans="1:265" ht="42" x14ac:dyDescent="0.15">
      <c r="A111" s="150">
        <v>6.6</v>
      </c>
      <c r="B111" s="151" t="s">
        <v>184</v>
      </c>
      <c r="C111" s="151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  <c r="CJ111" s="126"/>
      <c r="CK111" s="126"/>
      <c r="CL111" s="126"/>
      <c r="CM111" s="126"/>
      <c r="CN111" s="126"/>
      <c r="CO111" s="126"/>
      <c r="CP111" s="126"/>
      <c r="CQ111" s="126"/>
      <c r="CR111" s="126"/>
      <c r="CS111" s="126"/>
      <c r="CT111" s="126"/>
      <c r="CU111" s="126"/>
      <c r="CV111" s="126"/>
      <c r="CW111" s="126"/>
      <c r="CX111" s="126"/>
      <c r="CY111" s="126"/>
      <c r="CZ111" s="126"/>
      <c r="DA111" s="126"/>
      <c r="DB111" s="126"/>
      <c r="DC111" s="126"/>
      <c r="DD111" s="126"/>
      <c r="DE111" s="126"/>
      <c r="DF111" s="126"/>
      <c r="DG111" s="126"/>
      <c r="DH111" s="126"/>
      <c r="DI111" s="126"/>
      <c r="DJ111" s="126"/>
      <c r="DK111" s="126"/>
      <c r="DL111" s="126"/>
      <c r="DM111" s="126"/>
      <c r="DN111" s="126"/>
      <c r="DO111" s="126"/>
      <c r="DP111" s="126"/>
      <c r="DQ111" s="126"/>
      <c r="DR111" s="126"/>
      <c r="DS111" s="126"/>
      <c r="DT111" s="126"/>
      <c r="DU111" s="126"/>
      <c r="DV111" s="126"/>
      <c r="DW111" s="126"/>
      <c r="DX111" s="126"/>
      <c r="DY111" s="126"/>
      <c r="DZ111" s="126"/>
      <c r="EA111" s="126"/>
      <c r="EB111" s="126"/>
      <c r="EC111" s="126"/>
      <c r="ED111" s="126"/>
      <c r="EE111" s="126"/>
      <c r="EF111" s="126"/>
      <c r="EG111" s="145"/>
      <c r="EH111" s="146"/>
      <c r="EI111" s="126"/>
      <c r="EJ111" s="126"/>
      <c r="EK111" s="126"/>
      <c r="EL111" s="126"/>
      <c r="EM111" s="126"/>
      <c r="EN111" s="126"/>
      <c r="EO111" s="126"/>
      <c r="EP111" s="126"/>
      <c r="EQ111" s="126"/>
      <c r="ER111" s="126"/>
      <c r="ES111" s="126"/>
      <c r="ET111" s="138"/>
      <c r="EU111" s="138"/>
      <c r="EV111" s="138"/>
      <c r="EW111" s="138"/>
      <c r="EX111" s="138"/>
      <c r="EY111" s="138"/>
      <c r="EZ111" s="138"/>
      <c r="FA111" s="138"/>
      <c r="FB111" s="138"/>
      <c r="FC111" s="138"/>
      <c r="FD111" s="138"/>
      <c r="FE111" s="138"/>
      <c r="FF111" s="138"/>
      <c r="FG111" s="138"/>
      <c r="FH111" s="138"/>
      <c r="FI111" s="138"/>
      <c r="FJ111" s="138"/>
      <c r="FK111" s="138"/>
      <c r="FL111" s="138"/>
      <c r="FM111" s="138"/>
      <c r="FN111" s="138"/>
      <c r="FO111" s="138"/>
      <c r="FP111" s="127">
        <v>0</v>
      </c>
      <c r="FQ111" s="127">
        <v>51</v>
      </c>
      <c r="FR111" s="127">
        <v>0</v>
      </c>
      <c r="FS111" s="127">
        <v>7</v>
      </c>
      <c r="FT111" s="127">
        <v>3</v>
      </c>
      <c r="FU111" s="127">
        <v>12</v>
      </c>
      <c r="FV111" s="127">
        <v>5</v>
      </c>
      <c r="FW111" s="127">
        <v>14</v>
      </c>
      <c r="FX111" s="127">
        <v>1</v>
      </c>
      <c r="FY111" s="127">
        <v>4</v>
      </c>
      <c r="FZ111" s="127">
        <v>0</v>
      </c>
      <c r="GA111" s="127">
        <v>7</v>
      </c>
      <c r="GB111" s="127">
        <v>1</v>
      </c>
      <c r="GC111" s="127">
        <v>5</v>
      </c>
      <c r="GD111" s="127">
        <v>0</v>
      </c>
      <c r="GE111" s="127">
        <v>6</v>
      </c>
      <c r="GF111" s="127">
        <v>3</v>
      </c>
      <c r="GG111" s="127">
        <v>8</v>
      </c>
      <c r="GH111" s="127">
        <v>1</v>
      </c>
      <c r="GI111" s="127">
        <v>7</v>
      </c>
      <c r="GJ111" s="127">
        <v>0</v>
      </c>
      <c r="GK111" s="127">
        <v>9</v>
      </c>
      <c r="GL111" s="127">
        <v>0</v>
      </c>
      <c r="GM111" s="127">
        <v>4</v>
      </c>
      <c r="GN111" s="127">
        <v>1</v>
      </c>
      <c r="GO111" s="127">
        <v>3</v>
      </c>
      <c r="GP111" s="127">
        <v>0</v>
      </c>
      <c r="GQ111" s="127">
        <v>20</v>
      </c>
      <c r="GR111" s="127">
        <v>0</v>
      </c>
      <c r="GS111" s="127">
        <v>4</v>
      </c>
      <c r="GT111" s="127">
        <v>0</v>
      </c>
      <c r="GU111" s="127">
        <v>4</v>
      </c>
      <c r="GV111" s="127">
        <v>0</v>
      </c>
      <c r="GW111" s="127">
        <v>5</v>
      </c>
      <c r="GX111" s="127">
        <v>1</v>
      </c>
      <c r="GY111" s="127">
        <v>7</v>
      </c>
      <c r="GZ111" s="127">
        <v>1</v>
      </c>
      <c r="HA111" s="127">
        <v>9</v>
      </c>
      <c r="HB111" s="127">
        <v>0</v>
      </c>
      <c r="HC111" s="127">
        <v>3</v>
      </c>
      <c r="HD111" s="127">
        <v>1</v>
      </c>
      <c r="HE111" s="127">
        <v>10</v>
      </c>
      <c r="HF111" s="127">
        <v>0</v>
      </c>
      <c r="HG111" s="127">
        <v>2</v>
      </c>
      <c r="HH111" s="127">
        <v>0</v>
      </c>
      <c r="HI111" s="127">
        <v>9</v>
      </c>
      <c r="HJ111" s="127">
        <v>0</v>
      </c>
      <c r="HK111" s="127">
        <v>6</v>
      </c>
      <c r="HL111" s="127">
        <v>0</v>
      </c>
      <c r="HM111" s="127">
        <v>3</v>
      </c>
      <c r="HN111" s="127">
        <v>0</v>
      </c>
      <c r="HO111" s="127">
        <v>7</v>
      </c>
      <c r="HP111" s="127">
        <v>0</v>
      </c>
      <c r="HQ111" s="127">
        <v>8</v>
      </c>
      <c r="HR111" s="127">
        <v>0</v>
      </c>
      <c r="HS111" s="127">
        <v>7</v>
      </c>
      <c r="HT111" s="127">
        <v>1</v>
      </c>
      <c r="HU111" s="127">
        <v>7</v>
      </c>
      <c r="HV111" s="127">
        <v>1</v>
      </c>
      <c r="HW111" s="127">
        <v>5</v>
      </c>
      <c r="HX111" s="127">
        <v>0</v>
      </c>
      <c r="HY111" s="127">
        <v>8</v>
      </c>
      <c r="HZ111" s="127">
        <v>0</v>
      </c>
      <c r="IA111" s="127">
        <v>7</v>
      </c>
      <c r="IB111" s="127">
        <v>2</v>
      </c>
      <c r="IC111" s="127">
        <v>15</v>
      </c>
      <c r="ID111" s="127">
        <v>0</v>
      </c>
      <c r="IE111" s="127">
        <v>5</v>
      </c>
      <c r="IF111" s="127">
        <v>0</v>
      </c>
      <c r="IG111" s="127">
        <v>5</v>
      </c>
      <c r="IH111" s="127">
        <v>0</v>
      </c>
      <c r="II111" s="127">
        <v>6</v>
      </c>
      <c r="IJ111" s="127">
        <v>0</v>
      </c>
      <c r="IK111" s="127">
        <v>9</v>
      </c>
      <c r="IL111" s="127">
        <v>1</v>
      </c>
      <c r="IM111" s="127">
        <v>7</v>
      </c>
      <c r="IN111" s="127">
        <v>1</v>
      </c>
      <c r="IO111" s="127">
        <v>7</v>
      </c>
      <c r="IP111" s="127">
        <v>1</v>
      </c>
      <c r="IQ111" s="127">
        <v>15</v>
      </c>
      <c r="IR111" s="127">
        <v>1</v>
      </c>
      <c r="IS111" s="127">
        <v>10</v>
      </c>
      <c r="IT111" s="127">
        <v>2</v>
      </c>
      <c r="IU111" s="127">
        <v>10</v>
      </c>
      <c r="IV111" s="127">
        <v>0</v>
      </c>
      <c r="IW111" s="127">
        <v>7</v>
      </c>
      <c r="IX111" s="127">
        <v>1</v>
      </c>
      <c r="IY111" s="127">
        <v>12</v>
      </c>
      <c r="IZ111" s="127">
        <v>0</v>
      </c>
      <c r="JA111" s="127">
        <v>11</v>
      </c>
      <c r="JB111" s="127">
        <v>0</v>
      </c>
      <c r="JC111" s="127">
        <v>6</v>
      </c>
      <c r="JD111" s="127">
        <v>1</v>
      </c>
      <c r="JE111" s="127">
        <v>10</v>
      </c>
    </row>
    <row r="112" spans="1:265" ht="14" x14ac:dyDescent="0.15">
      <c r="A112" s="54"/>
      <c r="B112" s="100" t="s">
        <v>185</v>
      </c>
      <c r="C112" s="100" t="s">
        <v>185</v>
      </c>
      <c r="D112" s="119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  <c r="BI112" s="147"/>
      <c r="BJ112" s="147"/>
      <c r="BK112" s="147"/>
      <c r="BL112" s="147"/>
      <c r="BM112" s="147"/>
      <c r="BN112" s="147">
        <f t="shared" ref="BN112:DY112" si="36">SUM(BN106:BN109)</f>
        <v>0</v>
      </c>
      <c r="BO112" s="147">
        <f t="shared" si="36"/>
        <v>0</v>
      </c>
      <c r="BP112" s="147">
        <f t="shared" si="36"/>
        <v>1</v>
      </c>
      <c r="BQ112" s="147">
        <f t="shared" si="36"/>
        <v>11</v>
      </c>
      <c r="BR112" s="147">
        <f t="shared" si="36"/>
        <v>0</v>
      </c>
      <c r="BS112" s="147">
        <f t="shared" si="36"/>
        <v>15</v>
      </c>
      <c r="BT112" s="147">
        <f t="shared" si="36"/>
        <v>0</v>
      </c>
      <c r="BU112" s="147">
        <f t="shared" si="36"/>
        <v>13</v>
      </c>
      <c r="BV112" s="147">
        <f t="shared" si="36"/>
        <v>0</v>
      </c>
      <c r="BW112" s="147">
        <f t="shared" si="36"/>
        <v>21</v>
      </c>
      <c r="BX112" s="147">
        <f t="shared" si="36"/>
        <v>0</v>
      </c>
      <c r="BY112" s="147">
        <f t="shared" si="36"/>
        <v>10</v>
      </c>
      <c r="BZ112" s="147">
        <f t="shared" si="36"/>
        <v>0</v>
      </c>
      <c r="CA112" s="147">
        <f t="shared" si="36"/>
        <v>20</v>
      </c>
      <c r="CB112" s="147">
        <f t="shared" si="36"/>
        <v>0</v>
      </c>
      <c r="CC112" s="147">
        <f t="shared" si="36"/>
        <v>9</v>
      </c>
      <c r="CD112" s="147">
        <f t="shared" si="36"/>
        <v>0</v>
      </c>
      <c r="CE112" s="147">
        <f t="shared" si="36"/>
        <v>16</v>
      </c>
      <c r="CF112" s="147">
        <f t="shared" si="36"/>
        <v>0</v>
      </c>
      <c r="CG112" s="147">
        <f t="shared" si="36"/>
        <v>13</v>
      </c>
      <c r="CH112" s="147">
        <f t="shared" si="36"/>
        <v>0</v>
      </c>
      <c r="CI112" s="147">
        <f t="shared" si="36"/>
        <v>15</v>
      </c>
      <c r="CJ112" s="147">
        <f t="shared" si="36"/>
        <v>0</v>
      </c>
      <c r="CK112" s="147">
        <f t="shared" si="36"/>
        <v>15</v>
      </c>
      <c r="CL112" s="147">
        <f t="shared" si="36"/>
        <v>1</v>
      </c>
      <c r="CM112" s="147">
        <f t="shared" si="36"/>
        <v>16</v>
      </c>
      <c r="CN112" s="147">
        <f t="shared" si="36"/>
        <v>0</v>
      </c>
      <c r="CO112" s="147">
        <f t="shared" si="36"/>
        <v>22</v>
      </c>
      <c r="CP112" s="147">
        <f t="shared" si="36"/>
        <v>0</v>
      </c>
      <c r="CQ112" s="147">
        <f t="shared" si="36"/>
        <v>17</v>
      </c>
      <c r="CR112" s="147">
        <f t="shared" si="36"/>
        <v>0</v>
      </c>
      <c r="CS112" s="147">
        <f t="shared" si="36"/>
        <v>20</v>
      </c>
      <c r="CT112" s="147">
        <f t="shared" si="36"/>
        <v>0</v>
      </c>
      <c r="CU112" s="147">
        <f t="shared" si="36"/>
        <v>19</v>
      </c>
      <c r="CV112" s="147">
        <f t="shared" si="36"/>
        <v>0</v>
      </c>
      <c r="CW112" s="147">
        <f t="shared" si="36"/>
        <v>8</v>
      </c>
      <c r="CX112" s="147">
        <f t="shared" si="36"/>
        <v>0</v>
      </c>
      <c r="CY112" s="147">
        <f t="shared" si="36"/>
        <v>12</v>
      </c>
      <c r="CZ112" s="147">
        <f t="shared" si="36"/>
        <v>0</v>
      </c>
      <c r="DA112" s="147">
        <f t="shared" si="36"/>
        <v>14</v>
      </c>
      <c r="DB112" s="147">
        <f t="shared" si="36"/>
        <v>1</v>
      </c>
      <c r="DC112" s="147">
        <f t="shared" si="36"/>
        <v>19</v>
      </c>
      <c r="DD112" s="147">
        <f t="shared" si="36"/>
        <v>0</v>
      </c>
      <c r="DE112" s="147">
        <f t="shared" si="36"/>
        <v>21</v>
      </c>
      <c r="DF112" s="147">
        <f t="shared" si="36"/>
        <v>0</v>
      </c>
      <c r="DG112" s="147">
        <f t="shared" si="36"/>
        <v>18</v>
      </c>
      <c r="DH112" s="147">
        <f t="shared" si="36"/>
        <v>0</v>
      </c>
      <c r="DI112" s="147">
        <f t="shared" si="36"/>
        <v>15</v>
      </c>
      <c r="DJ112" s="147">
        <f t="shared" si="36"/>
        <v>1</v>
      </c>
      <c r="DK112" s="147">
        <f t="shared" si="36"/>
        <v>22</v>
      </c>
      <c r="DL112" s="147">
        <f t="shared" si="36"/>
        <v>0</v>
      </c>
      <c r="DM112" s="147">
        <f t="shared" si="36"/>
        <v>15</v>
      </c>
      <c r="DN112" s="147">
        <f t="shared" si="36"/>
        <v>0</v>
      </c>
      <c r="DO112" s="147">
        <f t="shared" si="36"/>
        <v>7</v>
      </c>
      <c r="DP112" s="147">
        <f t="shared" si="36"/>
        <v>0</v>
      </c>
      <c r="DQ112" s="147">
        <f t="shared" si="36"/>
        <v>12</v>
      </c>
      <c r="DR112" s="147">
        <f t="shared" si="36"/>
        <v>0</v>
      </c>
      <c r="DS112" s="147">
        <f t="shared" si="36"/>
        <v>17</v>
      </c>
      <c r="DT112" s="147">
        <f t="shared" si="36"/>
        <v>0</v>
      </c>
      <c r="DU112" s="147">
        <f t="shared" si="36"/>
        <v>14</v>
      </c>
      <c r="DV112" s="147">
        <f t="shared" si="36"/>
        <v>0</v>
      </c>
      <c r="DW112" s="147">
        <f t="shared" si="36"/>
        <v>17</v>
      </c>
      <c r="DX112" s="147">
        <f t="shared" si="36"/>
        <v>0</v>
      </c>
      <c r="DY112" s="147">
        <f t="shared" si="36"/>
        <v>24</v>
      </c>
      <c r="DZ112" s="147">
        <f t="shared" ref="DZ112:FO112" si="37">SUM(DZ106:DZ109)</f>
        <v>0</v>
      </c>
      <c r="EA112" s="147">
        <f t="shared" si="37"/>
        <v>49</v>
      </c>
      <c r="EB112" s="147">
        <f t="shared" si="37"/>
        <v>0</v>
      </c>
      <c r="EC112" s="147">
        <f t="shared" si="37"/>
        <v>12</v>
      </c>
      <c r="ED112" s="147">
        <f t="shared" si="37"/>
        <v>0</v>
      </c>
      <c r="EE112" s="147">
        <f t="shared" si="37"/>
        <v>20</v>
      </c>
      <c r="EF112" s="147">
        <f t="shared" si="37"/>
        <v>0</v>
      </c>
      <c r="EG112" s="148">
        <f t="shared" si="37"/>
        <v>10</v>
      </c>
      <c r="EH112" s="149">
        <f t="shared" si="37"/>
        <v>0</v>
      </c>
      <c r="EI112" s="147">
        <f t="shared" si="37"/>
        <v>20</v>
      </c>
      <c r="EJ112" s="147">
        <f t="shared" si="37"/>
        <v>0</v>
      </c>
      <c r="EK112" s="147">
        <f t="shared" si="37"/>
        <v>17</v>
      </c>
      <c r="EL112" s="147">
        <f t="shared" si="37"/>
        <v>0</v>
      </c>
      <c r="EM112" s="147">
        <f t="shared" si="37"/>
        <v>28</v>
      </c>
      <c r="EN112" s="147">
        <f t="shared" si="37"/>
        <v>0</v>
      </c>
      <c r="EO112" s="147">
        <f t="shared" si="37"/>
        <v>13</v>
      </c>
      <c r="EP112" s="147">
        <f t="shared" si="37"/>
        <v>0</v>
      </c>
      <c r="EQ112" s="147">
        <f t="shared" si="37"/>
        <v>9</v>
      </c>
      <c r="ER112" s="147">
        <f t="shared" si="37"/>
        <v>0</v>
      </c>
      <c r="ES112" s="147">
        <f t="shared" si="37"/>
        <v>5</v>
      </c>
      <c r="ET112" s="147">
        <f t="shared" si="37"/>
        <v>0</v>
      </c>
      <c r="EU112" s="147">
        <f t="shared" si="37"/>
        <v>7</v>
      </c>
      <c r="EV112" s="147">
        <f t="shared" si="37"/>
        <v>0</v>
      </c>
      <c r="EW112" s="147">
        <f t="shared" si="37"/>
        <v>4</v>
      </c>
      <c r="EX112" s="147">
        <f t="shared" si="37"/>
        <v>0</v>
      </c>
      <c r="EY112" s="147">
        <f t="shared" si="37"/>
        <v>7</v>
      </c>
      <c r="EZ112" s="147">
        <f t="shared" si="37"/>
        <v>0</v>
      </c>
      <c r="FA112" s="147">
        <f t="shared" si="37"/>
        <v>4</v>
      </c>
      <c r="FB112" s="147">
        <f t="shared" si="37"/>
        <v>0</v>
      </c>
      <c r="FC112" s="147">
        <f t="shared" si="37"/>
        <v>0</v>
      </c>
      <c r="FD112" s="147">
        <f t="shared" si="37"/>
        <v>0</v>
      </c>
      <c r="FE112" s="147">
        <f t="shared" si="37"/>
        <v>0</v>
      </c>
      <c r="FF112" s="147">
        <f t="shared" si="37"/>
        <v>0</v>
      </c>
      <c r="FG112" s="147">
        <f t="shared" si="37"/>
        <v>0</v>
      </c>
      <c r="FH112" s="147">
        <f t="shared" si="37"/>
        <v>0</v>
      </c>
      <c r="FI112" s="147">
        <f t="shared" si="37"/>
        <v>0</v>
      </c>
      <c r="FJ112" s="147">
        <f t="shared" si="37"/>
        <v>0</v>
      </c>
      <c r="FK112" s="147">
        <f t="shared" si="37"/>
        <v>0</v>
      </c>
      <c r="FL112" s="147">
        <f t="shared" si="37"/>
        <v>0</v>
      </c>
      <c r="FM112" s="147">
        <f t="shared" si="37"/>
        <v>0</v>
      </c>
      <c r="FN112" s="147">
        <f t="shared" si="37"/>
        <v>0</v>
      </c>
      <c r="FO112" s="147">
        <f t="shared" si="37"/>
        <v>0</v>
      </c>
      <c r="FP112" s="147">
        <f>SUM(FP106:FP111)</f>
        <v>1</v>
      </c>
      <c r="FQ112" s="147">
        <f>SUM(FQ106:FQ111)</f>
        <v>56</v>
      </c>
      <c r="FR112" s="147">
        <f>SUM(FR106:FR111)</f>
        <v>0</v>
      </c>
      <c r="FS112" s="147">
        <f>SUM(FS106:FS111)</f>
        <v>9</v>
      </c>
      <c r="FT112" s="147">
        <f t="shared" ref="FT112:IF112" si="38">SUM(FT106:FT111)</f>
        <v>3</v>
      </c>
      <c r="FU112" s="147">
        <f t="shared" si="38"/>
        <v>12</v>
      </c>
      <c r="FV112" s="147">
        <f t="shared" si="38"/>
        <v>5</v>
      </c>
      <c r="FW112" s="147">
        <f t="shared" si="38"/>
        <v>14</v>
      </c>
      <c r="FX112" s="147">
        <f t="shared" si="38"/>
        <v>1</v>
      </c>
      <c r="FY112" s="147">
        <f t="shared" si="38"/>
        <v>4</v>
      </c>
      <c r="FZ112" s="147">
        <f t="shared" si="38"/>
        <v>0</v>
      </c>
      <c r="GA112" s="147">
        <f t="shared" si="38"/>
        <v>9</v>
      </c>
      <c r="GB112" s="147">
        <f t="shared" si="38"/>
        <v>1</v>
      </c>
      <c r="GC112" s="147">
        <f t="shared" si="38"/>
        <v>5</v>
      </c>
      <c r="GD112" s="147">
        <f t="shared" si="38"/>
        <v>0</v>
      </c>
      <c r="GE112" s="147">
        <f t="shared" si="38"/>
        <v>8</v>
      </c>
      <c r="GF112" s="147">
        <f t="shared" si="38"/>
        <v>3</v>
      </c>
      <c r="GG112" s="147">
        <f t="shared" si="38"/>
        <v>8</v>
      </c>
      <c r="GH112" s="147">
        <f t="shared" si="38"/>
        <v>1</v>
      </c>
      <c r="GI112" s="147">
        <f t="shared" si="38"/>
        <v>7</v>
      </c>
      <c r="GJ112" s="147">
        <f t="shared" si="38"/>
        <v>0</v>
      </c>
      <c r="GK112" s="147">
        <f t="shared" si="38"/>
        <v>10</v>
      </c>
      <c r="GL112" s="147">
        <f t="shared" si="38"/>
        <v>0</v>
      </c>
      <c r="GM112" s="147">
        <f t="shared" si="38"/>
        <v>4</v>
      </c>
      <c r="GN112" s="147">
        <f t="shared" si="38"/>
        <v>1</v>
      </c>
      <c r="GO112" s="147">
        <f t="shared" si="38"/>
        <v>3</v>
      </c>
      <c r="GP112" s="147">
        <f t="shared" si="38"/>
        <v>0</v>
      </c>
      <c r="GQ112" s="147">
        <f t="shared" si="38"/>
        <v>20</v>
      </c>
      <c r="GR112" s="147">
        <f t="shared" si="38"/>
        <v>0</v>
      </c>
      <c r="GS112" s="147">
        <f t="shared" si="38"/>
        <v>5</v>
      </c>
      <c r="GT112" s="147">
        <f t="shared" si="38"/>
        <v>0</v>
      </c>
      <c r="GU112" s="147">
        <f t="shared" si="38"/>
        <v>5</v>
      </c>
      <c r="GV112" s="147">
        <f t="shared" si="38"/>
        <v>0</v>
      </c>
      <c r="GW112" s="147">
        <f t="shared" si="38"/>
        <v>5</v>
      </c>
      <c r="GX112" s="147">
        <f t="shared" si="38"/>
        <v>1</v>
      </c>
      <c r="GY112" s="147">
        <f t="shared" si="38"/>
        <v>10</v>
      </c>
      <c r="GZ112" s="147">
        <f t="shared" si="38"/>
        <v>1</v>
      </c>
      <c r="HA112" s="147">
        <f t="shared" si="38"/>
        <v>9</v>
      </c>
      <c r="HB112" s="147">
        <f t="shared" si="38"/>
        <v>0</v>
      </c>
      <c r="HC112" s="147">
        <f t="shared" si="38"/>
        <v>3</v>
      </c>
      <c r="HD112" s="147">
        <f t="shared" si="38"/>
        <v>1</v>
      </c>
      <c r="HE112" s="147">
        <f t="shared" si="38"/>
        <v>12</v>
      </c>
      <c r="HF112" s="147">
        <f t="shared" si="38"/>
        <v>0</v>
      </c>
      <c r="HG112" s="147">
        <f t="shared" si="38"/>
        <v>2</v>
      </c>
      <c r="HH112" s="147">
        <f t="shared" si="38"/>
        <v>0</v>
      </c>
      <c r="HI112" s="147">
        <f t="shared" si="38"/>
        <v>10</v>
      </c>
      <c r="HJ112" s="147">
        <f t="shared" si="38"/>
        <v>0</v>
      </c>
      <c r="HK112" s="147">
        <f t="shared" si="38"/>
        <v>7</v>
      </c>
      <c r="HL112" s="147">
        <f t="shared" si="38"/>
        <v>0</v>
      </c>
      <c r="HM112" s="147">
        <f t="shared" si="38"/>
        <v>4</v>
      </c>
      <c r="HN112" s="147">
        <f t="shared" si="38"/>
        <v>0</v>
      </c>
      <c r="HO112" s="147">
        <f t="shared" si="38"/>
        <v>8</v>
      </c>
      <c r="HP112" s="147">
        <f t="shared" si="38"/>
        <v>0</v>
      </c>
      <c r="HQ112" s="147">
        <f t="shared" si="38"/>
        <v>8</v>
      </c>
      <c r="HR112" s="147">
        <f t="shared" si="38"/>
        <v>0</v>
      </c>
      <c r="HS112" s="147">
        <f t="shared" si="38"/>
        <v>8</v>
      </c>
      <c r="HT112" s="147">
        <f t="shared" si="38"/>
        <v>1</v>
      </c>
      <c r="HU112" s="147">
        <f t="shared" si="38"/>
        <v>8</v>
      </c>
      <c r="HV112" s="147">
        <f t="shared" si="38"/>
        <v>1</v>
      </c>
      <c r="HW112" s="147">
        <f t="shared" si="38"/>
        <v>5</v>
      </c>
      <c r="HX112" s="147">
        <f t="shared" si="38"/>
        <v>0</v>
      </c>
      <c r="HY112" s="147">
        <f t="shared" si="38"/>
        <v>9</v>
      </c>
      <c r="HZ112" s="147">
        <f t="shared" si="38"/>
        <v>0</v>
      </c>
      <c r="IA112" s="147">
        <f t="shared" si="38"/>
        <v>8</v>
      </c>
      <c r="IB112" s="147">
        <f t="shared" si="38"/>
        <v>2</v>
      </c>
      <c r="IC112" s="147">
        <f t="shared" si="38"/>
        <v>15</v>
      </c>
      <c r="ID112" s="147">
        <f t="shared" si="38"/>
        <v>0</v>
      </c>
      <c r="IE112" s="147">
        <f t="shared" si="38"/>
        <v>5</v>
      </c>
      <c r="IF112" s="147">
        <f t="shared" si="38"/>
        <v>0</v>
      </c>
      <c r="IG112" s="147">
        <f t="shared" ref="IG112:JE112" si="39">SUM(IG106:IG111)</f>
        <v>6</v>
      </c>
      <c r="IH112" s="147">
        <f t="shared" si="39"/>
        <v>0</v>
      </c>
      <c r="II112" s="147">
        <f t="shared" si="39"/>
        <v>7</v>
      </c>
      <c r="IJ112" s="147">
        <f t="shared" si="39"/>
        <v>0</v>
      </c>
      <c r="IK112" s="147">
        <f t="shared" si="39"/>
        <v>9</v>
      </c>
      <c r="IL112" s="147">
        <f t="shared" si="39"/>
        <v>1</v>
      </c>
      <c r="IM112" s="147">
        <f t="shared" si="39"/>
        <v>9</v>
      </c>
      <c r="IN112" s="147">
        <f t="shared" si="39"/>
        <v>1</v>
      </c>
      <c r="IO112" s="147">
        <f t="shared" si="39"/>
        <v>7</v>
      </c>
      <c r="IP112" s="147">
        <f t="shared" si="39"/>
        <v>1</v>
      </c>
      <c r="IQ112" s="147">
        <f t="shared" si="39"/>
        <v>15</v>
      </c>
      <c r="IR112" s="147">
        <f t="shared" si="39"/>
        <v>1</v>
      </c>
      <c r="IS112" s="147">
        <f t="shared" si="39"/>
        <v>10</v>
      </c>
      <c r="IT112" s="147">
        <f t="shared" si="39"/>
        <v>2</v>
      </c>
      <c r="IU112" s="147">
        <f t="shared" si="39"/>
        <v>12</v>
      </c>
      <c r="IV112" s="147">
        <f t="shared" si="39"/>
        <v>0</v>
      </c>
      <c r="IW112" s="147">
        <f t="shared" si="39"/>
        <v>8</v>
      </c>
      <c r="IX112" s="147">
        <f t="shared" si="39"/>
        <v>1</v>
      </c>
      <c r="IY112" s="147">
        <f t="shared" si="39"/>
        <v>13</v>
      </c>
      <c r="IZ112" s="147">
        <f t="shared" si="39"/>
        <v>0</v>
      </c>
      <c r="JA112" s="147">
        <f t="shared" si="39"/>
        <v>12</v>
      </c>
      <c r="JB112" s="147">
        <f t="shared" si="39"/>
        <v>0</v>
      </c>
      <c r="JC112" s="147">
        <f t="shared" si="39"/>
        <v>7</v>
      </c>
      <c r="JD112" s="147">
        <f t="shared" si="39"/>
        <v>1</v>
      </c>
      <c r="JE112" s="147">
        <f t="shared" si="39"/>
        <v>11</v>
      </c>
    </row>
    <row r="113" spans="1:265" ht="12.75" hidden="1" customHeight="1" x14ac:dyDescent="0.15">
      <c r="A113" s="152" t="s">
        <v>186</v>
      </c>
      <c r="B113" s="152"/>
      <c r="C113" s="153" t="s">
        <v>187</v>
      </c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5">
        <v>0</v>
      </c>
      <c r="BK113" s="125">
        <v>1</v>
      </c>
      <c r="BL113" s="125">
        <v>0</v>
      </c>
      <c r="BM113" s="125">
        <v>1</v>
      </c>
      <c r="BN113" s="125">
        <v>0</v>
      </c>
      <c r="BO113" s="125">
        <v>0</v>
      </c>
      <c r="BP113" s="125">
        <v>0</v>
      </c>
      <c r="BQ113" s="125">
        <v>0</v>
      </c>
      <c r="BR113" s="125">
        <v>0</v>
      </c>
      <c r="BS113" s="125">
        <v>1</v>
      </c>
      <c r="BT113" s="125">
        <v>0</v>
      </c>
      <c r="BU113" s="125">
        <v>1</v>
      </c>
      <c r="BV113" s="125">
        <v>0</v>
      </c>
      <c r="BW113" s="125">
        <v>0</v>
      </c>
      <c r="BX113" s="125">
        <v>0</v>
      </c>
      <c r="BY113" s="125">
        <v>0</v>
      </c>
      <c r="BZ113" s="125">
        <v>0</v>
      </c>
      <c r="CA113" s="125">
        <v>1</v>
      </c>
      <c r="CB113" s="125">
        <v>0</v>
      </c>
      <c r="CC113" s="125">
        <v>2</v>
      </c>
      <c r="CD113" s="125">
        <v>0</v>
      </c>
      <c r="CE113" s="125">
        <v>2</v>
      </c>
      <c r="CF113" s="125">
        <v>0</v>
      </c>
      <c r="CG113" s="125">
        <v>2</v>
      </c>
      <c r="CH113" s="125">
        <v>0</v>
      </c>
      <c r="CI113" s="125">
        <v>0</v>
      </c>
      <c r="CJ113" s="125">
        <v>0</v>
      </c>
      <c r="CK113" s="125">
        <v>0</v>
      </c>
      <c r="CL113" s="125">
        <v>0</v>
      </c>
      <c r="CM113" s="127">
        <v>0</v>
      </c>
      <c r="CN113" s="125">
        <v>0</v>
      </c>
      <c r="CO113" s="127">
        <v>2</v>
      </c>
      <c r="CP113" s="125">
        <v>0</v>
      </c>
      <c r="CQ113" s="127">
        <v>1</v>
      </c>
      <c r="CR113" s="125">
        <v>0</v>
      </c>
      <c r="CS113" s="127">
        <v>1</v>
      </c>
      <c r="CT113" s="125">
        <v>0</v>
      </c>
      <c r="CU113" s="127">
        <v>0</v>
      </c>
      <c r="CV113" s="125">
        <v>0</v>
      </c>
      <c r="CW113" s="127">
        <v>0</v>
      </c>
      <c r="CX113" s="125">
        <v>0</v>
      </c>
      <c r="CY113" s="127"/>
      <c r="CZ113" s="125">
        <v>0</v>
      </c>
      <c r="DA113" s="127"/>
      <c r="DB113" s="125">
        <v>0</v>
      </c>
      <c r="DC113" s="127"/>
      <c r="DD113" s="125">
        <v>0</v>
      </c>
      <c r="DE113" s="127"/>
      <c r="DF113" s="125">
        <v>0</v>
      </c>
      <c r="DG113" s="127"/>
      <c r="DH113" s="125">
        <v>0</v>
      </c>
      <c r="DI113" s="127"/>
      <c r="DJ113" s="125">
        <v>0</v>
      </c>
      <c r="DK113" s="127"/>
      <c r="DL113" s="125">
        <v>0</v>
      </c>
      <c r="DM113" s="127"/>
      <c r="DN113" s="125">
        <v>0</v>
      </c>
      <c r="DO113" s="127"/>
      <c r="DP113" s="125">
        <v>0</v>
      </c>
      <c r="DQ113" s="127"/>
      <c r="DR113" s="125">
        <v>0</v>
      </c>
      <c r="DS113" s="127"/>
      <c r="DT113" s="125">
        <v>0</v>
      </c>
      <c r="DU113" s="127"/>
      <c r="DV113" s="125">
        <v>0</v>
      </c>
      <c r="DW113" s="127"/>
      <c r="DX113" s="125">
        <v>0</v>
      </c>
      <c r="DY113" s="127"/>
      <c r="DZ113" s="125">
        <v>0</v>
      </c>
      <c r="EA113" s="127"/>
      <c r="EB113" s="125">
        <v>0</v>
      </c>
      <c r="EC113" s="127"/>
      <c r="ED113" s="125">
        <v>0</v>
      </c>
      <c r="EE113" s="127"/>
      <c r="EF113" s="125">
        <v>0</v>
      </c>
      <c r="EG113" s="143"/>
      <c r="EH113" s="144">
        <v>0</v>
      </c>
      <c r="EI113" s="127"/>
      <c r="EJ113" s="127"/>
      <c r="EK113" s="127"/>
      <c r="EL113" s="127"/>
      <c r="EM113" s="127"/>
      <c r="EN113" s="127"/>
      <c r="EO113" s="127"/>
      <c r="EP113" s="127"/>
      <c r="EQ113" s="127"/>
      <c r="ER113" s="127"/>
      <c r="ES113" s="127"/>
      <c r="ET113" s="127"/>
      <c r="EU113" s="127"/>
      <c r="EV113" s="127"/>
      <c r="EW113" s="127"/>
      <c r="EX113" s="127"/>
      <c r="EY113" s="127"/>
      <c r="EZ113" s="127"/>
      <c r="FA113" s="127"/>
      <c r="FB113" s="127"/>
      <c r="FC113" s="127"/>
      <c r="FD113" s="127"/>
      <c r="FE113" s="127"/>
      <c r="FF113" s="127"/>
      <c r="FG113" s="127"/>
      <c r="FH113" s="127"/>
      <c r="FI113" s="127"/>
      <c r="FJ113" s="127"/>
      <c r="FK113" s="127"/>
      <c r="FL113" s="127"/>
      <c r="FM113" s="127"/>
      <c r="FN113" s="127"/>
      <c r="FO113" s="127"/>
      <c r="FP113" s="127"/>
      <c r="FQ113" s="127"/>
      <c r="FR113" s="127"/>
      <c r="FS113" s="127"/>
      <c r="FT113" s="127"/>
      <c r="FU113" s="127"/>
      <c r="FV113" s="127"/>
      <c r="FW113" s="127"/>
      <c r="FX113" s="127"/>
      <c r="FY113" s="127"/>
      <c r="FZ113" s="127"/>
      <c r="GA113" s="127"/>
      <c r="GB113" s="127"/>
      <c r="GC113" s="127"/>
      <c r="GD113" s="127"/>
      <c r="GE113" s="127"/>
      <c r="GF113" s="127"/>
      <c r="GG113" s="127"/>
      <c r="GH113" s="127"/>
      <c r="GI113" s="127"/>
      <c r="GJ113" s="127"/>
      <c r="GK113" s="127"/>
      <c r="GL113" s="127"/>
      <c r="GM113" s="127"/>
      <c r="GN113" s="127"/>
      <c r="GO113" s="127"/>
      <c r="GP113" s="127"/>
      <c r="GQ113" s="127"/>
      <c r="GR113" s="127"/>
      <c r="GS113" s="127"/>
      <c r="GT113" s="127"/>
      <c r="GU113" s="127"/>
      <c r="GV113" s="127"/>
      <c r="GW113" s="127"/>
      <c r="GX113" s="127"/>
      <c r="GY113" s="127"/>
      <c r="GZ113" s="127"/>
      <c r="HA113" s="127"/>
      <c r="HB113" s="127"/>
      <c r="HC113" s="127"/>
      <c r="HD113" s="127"/>
      <c r="HE113" s="127"/>
      <c r="HF113" s="127"/>
      <c r="HG113" s="127"/>
      <c r="HH113" s="127"/>
      <c r="HI113" s="127"/>
      <c r="HJ113" s="127"/>
      <c r="HK113" s="127"/>
      <c r="HL113" s="127"/>
      <c r="HM113" s="127"/>
      <c r="HN113" s="127"/>
      <c r="HO113" s="127"/>
      <c r="HP113" s="127"/>
      <c r="HQ113" s="127"/>
      <c r="HR113" s="127"/>
      <c r="HS113" s="127"/>
      <c r="HT113" s="127"/>
      <c r="HU113" s="127"/>
      <c r="HV113" s="127"/>
      <c r="HW113" s="127"/>
      <c r="HX113" s="127"/>
      <c r="HY113" s="127"/>
      <c r="HZ113" s="127"/>
      <c r="IA113" s="127"/>
      <c r="IB113" s="127"/>
      <c r="IC113" s="127"/>
      <c r="ID113" s="127"/>
      <c r="IE113" s="127"/>
      <c r="IF113" s="127"/>
      <c r="IG113" s="127"/>
      <c r="IH113" s="127"/>
      <c r="II113" s="127"/>
      <c r="IJ113" s="127"/>
      <c r="IK113" s="127"/>
      <c r="IL113" s="127"/>
      <c r="IM113" s="127"/>
      <c r="IN113" s="127"/>
      <c r="IO113" s="127"/>
      <c r="IP113" s="127"/>
      <c r="IQ113" s="127"/>
      <c r="IR113" s="127"/>
      <c r="IS113" s="127"/>
      <c r="IT113" s="127"/>
      <c r="IU113" s="127"/>
      <c r="IV113" s="127"/>
      <c r="IW113" s="127"/>
      <c r="IX113" s="127"/>
      <c r="IY113" s="127"/>
      <c r="IZ113" s="127"/>
      <c r="JA113" s="127"/>
      <c r="JB113" s="127"/>
      <c r="JC113" s="127"/>
      <c r="JD113" s="127"/>
      <c r="JE113" s="127"/>
    </row>
    <row r="114" spans="1:265" ht="38.25" hidden="1" customHeight="1" x14ac:dyDescent="0.15">
      <c r="A114" s="152" t="s">
        <v>188</v>
      </c>
      <c r="B114" s="152"/>
      <c r="C114" s="153" t="s">
        <v>189</v>
      </c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5">
        <v>0</v>
      </c>
      <c r="BK114" s="125">
        <v>3</v>
      </c>
      <c r="BL114" s="125">
        <v>0</v>
      </c>
      <c r="BM114" s="125">
        <v>3</v>
      </c>
      <c r="BN114" s="125">
        <v>0</v>
      </c>
      <c r="BO114" s="125">
        <v>3</v>
      </c>
      <c r="BP114" s="125">
        <v>0</v>
      </c>
      <c r="BQ114" s="125">
        <v>3</v>
      </c>
      <c r="BR114" s="125">
        <v>0</v>
      </c>
      <c r="BS114" s="125">
        <v>2</v>
      </c>
      <c r="BT114" s="125">
        <v>0</v>
      </c>
      <c r="BU114" s="125">
        <v>1</v>
      </c>
      <c r="BV114" s="125">
        <v>1</v>
      </c>
      <c r="BW114" s="125">
        <v>3</v>
      </c>
      <c r="BX114" s="125">
        <v>0</v>
      </c>
      <c r="BY114" s="125">
        <v>5</v>
      </c>
      <c r="BZ114" s="125">
        <v>0</v>
      </c>
      <c r="CA114" s="125">
        <v>1</v>
      </c>
      <c r="CB114" s="125">
        <v>0</v>
      </c>
      <c r="CC114" s="125">
        <v>2</v>
      </c>
      <c r="CD114" s="125">
        <v>0</v>
      </c>
      <c r="CE114" s="125">
        <v>5</v>
      </c>
      <c r="CF114" s="125">
        <v>0</v>
      </c>
      <c r="CG114" s="125">
        <v>2</v>
      </c>
      <c r="CH114" s="125">
        <v>0</v>
      </c>
      <c r="CI114" s="125">
        <v>2</v>
      </c>
      <c r="CJ114" s="125">
        <v>0</v>
      </c>
      <c r="CK114" s="125">
        <v>3</v>
      </c>
      <c r="CL114" s="125">
        <v>0</v>
      </c>
      <c r="CM114" s="127">
        <v>2</v>
      </c>
      <c r="CN114" s="125">
        <v>0</v>
      </c>
      <c r="CO114" s="127">
        <v>3</v>
      </c>
      <c r="CP114" s="125">
        <v>0</v>
      </c>
      <c r="CQ114" s="127">
        <v>2</v>
      </c>
      <c r="CR114" s="125">
        <v>0</v>
      </c>
      <c r="CS114" s="127">
        <v>2</v>
      </c>
      <c r="CT114" s="125">
        <v>0</v>
      </c>
      <c r="CU114" s="127">
        <v>0</v>
      </c>
      <c r="CV114" s="125">
        <v>0</v>
      </c>
      <c r="CW114" s="127">
        <v>0</v>
      </c>
      <c r="CX114" s="125">
        <v>0</v>
      </c>
      <c r="CY114" s="127"/>
      <c r="CZ114" s="125">
        <v>0</v>
      </c>
      <c r="DA114" s="127"/>
      <c r="DB114" s="125">
        <v>0</v>
      </c>
      <c r="DC114" s="127"/>
      <c r="DD114" s="125">
        <v>0</v>
      </c>
      <c r="DE114" s="127"/>
      <c r="DF114" s="125">
        <v>0</v>
      </c>
      <c r="DG114" s="127"/>
      <c r="DH114" s="125">
        <v>0</v>
      </c>
      <c r="DI114" s="127"/>
      <c r="DJ114" s="125">
        <v>0</v>
      </c>
      <c r="DK114" s="127"/>
      <c r="DL114" s="125">
        <v>0</v>
      </c>
      <c r="DM114" s="127"/>
      <c r="DN114" s="125">
        <v>0</v>
      </c>
      <c r="DO114" s="127"/>
      <c r="DP114" s="125">
        <v>0</v>
      </c>
      <c r="DQ114" s="127"/>
      <c r="DR114" s="125">
        <v>0</v>
      </c>
      <c r="DS114" s="127"/>
      <c r="DT114" s="125">
        <v>0</v>
      </c>
      <c r="DU114" s="127"/>
      <c r="DV114" s="125">
        <v>0</v>
      </c>
      <c r="DW114" s="127"/>
      <c r="DX114" s="125">
        <v>0</v>
      </c>
      <c r="DY114" s="127"/>
      <c r="DZ114" s="125">
        <v>0</v>
      </c>
      <c r="EA114" s="127"/>
      <c r="EB114" s="125">
        <v>0</v>
      </c>
      <c r="EC114" s="127"/>
      <c r="ED114" s="125">
        <v>0</v>
      </c>
      <c r="EE114" s="127"/>
      <c r="EF114" s="125">
        <v>0</v>
      </c>
      <c r="EG114" s="143"/>
      <c r="EH114" s="144">
        <v>0</v>
      </c>
      <c r="EI114" s="127"/>
      <c r="EJ114" s="127"/>
      <c r="EK114" s="127"/>
      <c r="EL114" s="127"/>
      <c r="EM114" s="127"/>
      <c r="EN114" s="127"/>
      <c r="EO114" s="127"/>
      <c r="EP114" s="127"/>
      <c r="EQ114" s="127"/>
      <c r="ER114" s="127"/>
      <c r="ES114" s="127"/>
      <c r="ET114" s="127"/>
      <c r="EU114" s="127"/>
      <c r="EV114" s="127"/>
      <c r="EW114" s="127"/>
      <c r="EX114" s="127"/>
      <c r="EY114" s="127"/>
      <c r="EZ114" s="127"/>
      <c r="FA114" s="127"/>
      <c r="FB114" s="127"/>
      <c r="FC114" s="127"/>
      <c r="FD114" s="127"/>
      <c r="FE114" s="127"/>
      <c r="FF114" s="127"/>
      <c r="FG114" s="127"/>
      <c r="FH114" s="127"/>
      <c r="FI114" s="127"/>
      <c r="FJ114" s="127"/>
      <c r="FK114" s="127"/>
      <c r="FL114" s="127"/>
      <c r="FM114" s="127"/>
      <c r="FN114" s="127"/>
      <c r="FO114" s="127"/>
      <c r="FP114" s="127"/>
      <c r="FQ114" s="127"/>
      <c r="FR114" s="127"/>
      <c r="FS114" s="127"/>
      <c r="FT114" s="127"/>
      <c r="FU114" s="127"/>
      <c r="FV114" s="127"/>
      <c r="FW114" s="127"/>
      <c r="FX114" s="127"/>
      <c r="FY114" s="127"/>
      <c r="FZ114" s="127"/>
      <c r="GA114" s="127"/>
      <c r="GB114" s="127"/>
      <c r="GC114" s="127"/>
      <c r="GD114" s="127"/>
      <c r="GE114" s="127"/>
      <c r="GF114" s="127"/>
      <c r="GG114" s="127"/>
      <c r="GH114" s="127"/>
      <c r="GI114" s="127"/>
      <c r="GJ114" s="127"/>
      <c r="GK114" s="127"/>
      <c r="GL114" s="127"/>
      <c r="GM114" s="127"/>
      <c r="GN114" s="127"/>
      <c r="GO114" s="127"/>
      <c r="GP114" s="127"/>
      <c r="GQ114" s="127"/>
      <c r="GR114" s="127"/>
      <c r="GS114" s="127"/>
      <c r="GT114" s="127"/>
      <c r="GU114" s="127"/>
      <c r="GV114" s="127"/>
      <c r="GW114" s="127"/>
      <c r="GX114" s="127"/>
      <c r="GY114" s="127"/>
      <c r="GZ114" s="127"/>
      <c r="HA114" s="127"/>
      <c r="HB114" s="127"/>
      <c r="HC114" s="127"/>
      <c r="HD114" s="127"/>
      <c r="HE114" s="127"/>
      <c r="HF114" s="127"/>
      <c r="HG114" s="127"/>
      <c r="HH114" s="127"/>
      <c r="HI114" s="127"/>
      <c r="HJ114" s="127"/>
      <c r="HK114" s="127"/>
      <c r="HL114" s="127"/>
      <c r="HM114" s="127"/>
      <c r="HN114" s="127"/>
      <c r="HO114" s="127"/>
      <c r="HP114" s="127"/>
      <c r="HQ114" s="127"/>
      <c r="HR114" s="127"/>
      <c r="HS114" s="127"/>
      <c r="HT114" s="127"/>
      <c r="HU114" s="127"/>
      <c r="HV114" s="127"/>
      <c r="HW114" s="127"/>
      <c r="HX114" s="127"/>
      <c r="HY114" s="127"/>
      <c r="HZ114" s="127"/>
      <c r="IA114" s="127"/>
      <c r="IB114" s="127"/>
      <c r="IC114" s="127"/>
      <c r="ID114" s="127"/>
      <c r="IE114" s="127"/>
      <c r="IF114" s="127"/>
      <c r="IG114" s="127"/>
      <c r="IH114" s="127"/>
      <c r="II114" s="127"/>
      <c r="IJ114" s="127"/>
      <c r="IK114" s="127"/>
      <c r="IL114" s="127"/>
      <c r="IM114" s="127"/>
      <c r="IN114" s="127"/>
      <c r="IO114" s="127"/>
      <c r="IP114" s="127"/>
      <c r="IQ114" s="127"/>
      <c r="IR114" s="127"/>
      <c r="IS114" s="127"/>
      <c r="IT114" s="127"/>
      <c r="IU114" s="127"/>
      <c r="IV114" s="127"/>
      <c r="IW114" s="127"/>
      <c r="IX114" s="127"/>
      <c r="IY114" s="127"/>
      <c r="IZ114" s="127"/>
      <c r="JA114" s="127"/>
      <c r="JB114" s="127"/>
      <c r="JC114" s="127"/>
      <c r="JD114" s="127"/>
      <c r="JE114" s="127"/>
    </row>
    <row r="115" spans="1:265" ht="12.75" hidden="1" customHeight="1" x14ac:dyDescent="0.15">
      <c r="A115" s="51"/>
      <c r="B115" s="51"/>
      <c r="C115" s="52" t="s">
        <v>190</v>
      </c>
      <c r="D115" s="119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  <c r="BI115" s="147"/>
      <c r="BJ115" s="147"/>
      <c r="BK115" s="147"/>
      <c r="BL115" s="147">
        <f t="shared" ref="BL115:DW115" si="40">SUM(BL113:BL114)</f>
        <v>0</v>
      </c>
      <c r="BM115" s="147">
        <f t="shared" si="40"/>
        <v>4</v>
      </c>
      <c r="BN115" s="147">
        <f t="shared" si="40"/>
        <v>0</v>
      </c>
      <c r="BO115" s="147">
        <f t="shared" si="40"/>
        <v>3</v>
      </c>
      <c r="BP115" s="147">
        <f t="shared" si="40"/>
        <v>0</v>
      </c>
      <c r="BQ115" s="147">
        <f t="shared" si="40"/>
        <v>3</v>
      </c>
      <c r="BR115" s="147">
        <f t="shared" si="40"/>
        <v>0</v>
      </c>
      <c r="BS115" s="147">
        <f t="shared" si="40"/>
        <v>3</v>
      </c>
      <c r="BT115" s="147">
        <f t="shared" si="40"/>
        <v>0</v>
      </c>
      <c r="BU115" s="147">
        <f t="shared" si="40"/>
        <v>2</v>
      </c>
      <c r="BV115" s="147">
        <f t="shared" si="40"/>
        <v>1</v>
      </c>
      <c r="BW115" s="147">
        <f t="shared" si="40"/>
        <v>3</v>
      </c>
      <c r="BX115" s="147">
        <f t="shared" si="40"/>
        <v>0</v>
      </c>
      <c r="BY115" s="147">
        <f t="shared" si="40"/>
        <v>5</v>
      </c>
      <c r="BZ115" s="147">
        <f t="shared" si="40"/>
        <v>0</v>
      </c>
      <c r="CA115" s="147">
        <f t="shared" si="40"/>
        <v>2</v>
      </c>
      <c r="CB115" s="147">
        <f t="shared" si="40"/>
        <v>0</v>
      </c>
      <c r="CC115" s="147">
        <f t="shared" si="40"/>
        <v>4</v>
      </c>
      <c r="CD115" s="147">
        <f t="shared" si="40"/>
        <v>0</v>
      </c>
      <c r="CE115" s="147">
        <f t="shared" si="40"/>
        <v>7</v>
      </c>
      <c r="CF115" s="147">
        <f t="shared" si="40"/>
        <v>0</v>
      </c>
      <c r="CG115" s="147">
        <f t="shared" si="40"/>
        <v>4</v>
      </c>
      <c r="CH115" s="147">
        <f t="shared" si="40"/>
        <v>0</v>
      </c>
      <c r="CI115" s="147">
        <f t="shared" si="40"/>
        <v>2</v>
      </c>
      <c r="CJ115" s="147">
        <f t="shared" si="40"/>
        <v>0</v>
      </c>
      <c r="CK115" s="147">
        <f t="shared" si="40"/>
        <v>3</v>
      </c>
      <c r="CL115" s="147">
        <f t="shared" si="40"/>
        <v>0</v>
      </c>
      <c r="CM115" s="147">
        <f t="shared" si="40"/>
        <v>2</v>
      </c>
      <c r="CN115" s="147">
        <f t="shared" si="40"/>
        <v>0</v>
      </c>
      <c r="CO115" s="147">
        <f t="shared" si="40"/>
        <v>5</v>
      </c>
      <c r="CP115" s="147">
        <f t="shared" si="40"/>
        <v>0</v>
      </c>
      <c r="CQ115" s="147">
        <f t="shared" si="40"/>
        <v>3</v>
      </c>
      <c r="CR115" s="147">
        <f t="shared" si="40"/>
        <v>0</v>
      </c>
      <c r="CS115" s="147">
        <f t="shared" si="40"/>
        <v>3</v>
      </c>
      <c r="CT115" s="147">
        <f t="shared" si="40"/>
        <v>0</v>
      </c>
      <c r="CU115" s="147">
        <f t="shared" si="40"/>
        <v>0</v>
      </c>
      <c r="CV115" s="147">
        <f t="shared" si="40"/>
        <v>0</v>
      </c>
      <c r="CW115" s="147">
        <f t="shared" si="40"/>
        <v>0</v>
      </c>
      <c r="CX115" s="147">
        <f t="shared" si="40"/>
        <v>0</v>
      </c>
      <c r="CY115" s="147">
        <f t="shared" si="40"/>
        <v>0</v>
      </c>
      <c r="CZ115" s="147">
        <f t="shared" si="40"/>
        <v>0</v>
      </c>
      <c r="DA115" s="147">
        <f t="shared" si="40"/>
        <v>0</v>
      </c>
      <c r="DB115" s="147">
        <f t="shared" si="40"/>
        <v>0</v>
      </c>
      <c r="DC115" s="147">
        <f t="shared" si="40"/>
        <v>0</v>
      </c>
      <c r="DD115" s="147">
        <f t="shared" si="40"/>
        <v>0</v>
      </c>
      <c r="DE115" s="147">
        <f t="shared" si="40"/>
        <v>0</v>
      </c>
      <c r="DF115" s="147">
        <f t="shared" si="40"/>
        <v>0</v>
      </c>
      <c r="DG115" s="147">
        <f t="shared" si="40"/>
        <v>0</v>
      </c>
      <c r="DH115" s="147">
        <f t="shared" si="40"/>
        <v>0</v>
      </c>
      <c r="DI115" s="147">
        <f t="shared" si="40"/>
        <v>0</v>
      </c>
      <c r="DJ115" s="147">
        <f t="shared" si="40"/>
        <v>0</v>
      </c>
      <c r="DK115" s="147">
        <f t="shared" si="40"/>
        <v>0</v>
      </c>
      <c r="DL115" s="147">
        <f t="shared" si="40"/>
        <v>0</v>
      </c>
      <c r="DM115" s="147">
        <f t="shared" si="40"/>
        <v>0</v>
      </c>
      <c r="DN115" s="147">
        <f t="shared" si="40"/>
        <v>0</v>
      </c>
      <c r="DO115" s="147">
        <f t="shared" si="40"/>
        <v>0</v>
      </c>
      <c r="DP115" s="147">
        <f t="shared" si="40"/>
        <v>0</v>
      </c>
      <c r="DQ115" s="147">
        <f t="shared" si="40"/>
        <v>0</v>
      </c>
      <c r="DR115" s="147">
        <f t="shared" si="40"/>
        <v>0</v>
      </c>
      <c r="DS115" s="147">
        <f t="shared" si="40"/>
        <v>0</v>
      </c>
      <c r="DT115" s="147">
        <f t="shared" si="40"/>
        <v>0</v>
      </c>
      <c r="DU115" s="147">
        <f t="shared" si="40"/>
        <v>0</v>
      </c>
      <c r="DV115" s="147">
        <f t="shared" si="40"/>
        <v>0</v>
      </c>
      <c r="DW115" s="147">
        <f t="shared" si="40"/>
        <v>0</v>
      </c>
      <c r="DX115" s="147">
        <f t="shared" ref="DX115:EH115" si="41">SUM(DX113:DX114)</f>
        <v>0</v>
      </c>
      <c r="DY115" s="147">
        <f t="shared" si="41"/>
        <v>0</v>
      </c>
      <c r="DZ115" s="147">
        <f t="shared" si="41"/>
        <v>0</v>
      </c>
      <c r="EA115" s="147">
        <f t="shared" si="41"/>
        <v>0</v>
      </c>
      <c r="EB115" s="147">
        <f t="shared" si="41"/>
        <v>0</v>
      </c>
      <c r="EC115" s="147">
        <f t="shared" si="41"/>
        <v>0</v>
      </c>
      <c r="ED115" s="147">
        <f t="shared" si="41"/>
        <v>0</v>
      </c>
      <c r="EE115" s="147">
        <f t="shared" si="41"/>
        <v>0</v>
      </c>
      <c r="EF115" s="147">
        <f t="shared" si="41"/>
        <v>0</v>
      </c>
      <c r="EG115" s="148">
        <f t="shared" si="41"/>
        <v>0</v>
      </c>
      <c r="EH115" s="149">
        <f t="shared" si="41"/>
        <v>0</v>
      </c>
      <c r="EI115" s="147"/>
      <c r="EJ115" s="51"/>
      <c r="EK115" s="51"/>
      <c r="EL115" s="51"/>
      <c r="EM115" s="51"/>
      <c r="EN115" s="51"/>
      <c r="EO115" s="51"/>
      <c r="EP115" s="51"/>
      <c r="EQ115" s="51"/>
      <c r="ER115" s="51"/>
      <c r="ES115" s="51"/>
      <c r="ET115" s="51"/>
      <c r="EU115" s="51"/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M115" s="51"/>
      <c r="FN115" s="51"/>
      <c r="FO115" s="51"/>
      <c r="FP115" s="51"/>
      <c r="FQ115" s="51"/>
      <c r="FR115" s="51"/>
      <c r="FS115" s="51"/>
      <c r="FT115" s="51"/>
      <c r="FU115" s="51"/>
      <c r="FV115" s="51"/>
      <c r="FW115" s="51"/>
      <c r="FX115" s="51"/>
      <c r="FY115" s="51"/>
      <c r="FZ115" s="51"/>
      <c r="GA115" s="51"/>
      <c r="GB115" s="51"/>
      <c r="GC115" s="51"/>
      <c r="GD115" s="51"/>
      <c r="GE115" s="51"/>
      <c r="GF115" s="51"/>
      <c r="GG115" s="51"/>
      <c r="GH115" s="51"/>
      <c r="GI115" s="51"/>
      <c r="GJ115" s="51"/>
      <c r="GK115" s="51"/>
      <c r="GL115" s="51"/>
      <c r="GM115" s="51"/>
      <c r="GN115" s="51"/>
      <c r="GO115" s="51"/>
      <c r="GP115" s="51"/>
      <c r="GQ115" s="51"/>
      <c r="GR115" s="51"/>
      <c r="GS115" s="51"/>
      <c r="GT115" s="51"/>
      <c r="GU115" s="51"/>
      <c r="GV115" s="51"/>
      <c r="GW115" s="51"/>
      <c r="GX115" s="51"/>
      <c r="GY115" s="51"/>
      <c r="GZ115" s="51"/>
      <c r="HA115" s="51"/>
      <c r="HB115" s="51"/>
      <c r="HC115" s="51"/>
      <c r="HD115" s="51"/>
      <c r="HE115" s="51"/>
      <c r="HF115" s="51"/>
      <c r="HG115" s="51"/>
      <c r="HH115" s="51"/>
      <c r="HI115" s="51"/>
      <c r="HJ115" s="51"/>
      <c r="HK115" s="51"/>
      <c r="HL115" s="51"/>
      <c r="HM115" s="51"/>
      <c r="HN115" s="51"/>
      <c r="HO115" s="51"/>
      <c r="HP115" s="51"/>
      <c r="HQ115" s="51"/>
      <c r="HR115" s="51"/>
      <c r="HS115" s="51"/>
      <c r="HT115" s="51"/>
      <c r="HU115" s="51"/>
      <c r="HV115" s="51"/>
      <c r="HW115" s="51"/>
      <c r="HX115" s="51"/>
      <c r="HY115" s="51"/>
      <c r="HZ115" s="51"/>
      <c r="IA115" s="51"/>
      <c r="IB115" s="51"/>
      <c r="IC115" s="51"/>
      <c r="ID115" s="51"/>
      <c r="IE115" s="51"/>
      <c r="IF115" s="51"/>
      <c r="IG115" s="51"/>
      <c r="IH115" s="51"/>
      <c r="II115" s="51"/>
      <c r="IJ115" s="51"/>
      <c r="IK115" s="51"/>
      <c r="IL115" s="51"/>
      <c r="IM115" s="51"/>
      <c r="IN115" s="51"/>
      <c r="IO115" s="51"/>
      <c r="IP115" s="51"/>
      <c r="IQ115" s="51"/>
      <c r="IR115" s="51"/>
      <c r="IS115" s="51"/>
      <c r="IT115" s="51"/>
      <c r="IU115" s="51"/>
      <c r="IV115" s="51"/>
      <c r="IW115" s="51"/>
      <c r="IX115" s="51"/>
      <c r="IY115" s="51"/>
      <c r="IZ115" s="51"/>
      <c r="JA115" s="51"/>
      <c r="JB115" s="51"/>
      <c r="JC115" s="51"/>
      <c r="JD115" s="51"/>
      <c r="JE115" s="51"/>
    </row>
    <row r="116" spans="1:265" ht="12.75" hidden="1" customHeight="1" x14ac:dyDescent="0.15">
      <c r="A116" s="154"/>
      <c r="B116" s="155" t="s">
        <v>191</v>
      </c>
      <c r="C116" s="155" t="s">
        <v>192</v>
      </c>
      <c r="D116" s="156">
        <f t="shared" ref="D116:BC116" si="42">+D74+D67+D58+D31</f>
        <v>88</v>
      </c>
      <c r="E116" s="156">
        <f t="shared" si="42"/>
        <v>418</v>
      </c>
      <c r="F116" s="156">
        <f t="shared" si="42"/>
        <v>46</v>
      </c>
      <c r="G116" s="156">
        <f t="shared" si="42"/>
        <v>407</v>
      </c>
      <c r="H116" s="156">
        <f t="shared" si="42"/>
        <v>39</v>
      </c>
      <c r="I116" s="156">
        <f t="shared" si="42"/>
        <v>319</v>
      </c>
      <c r="J116" s="156">
        <f t="shared" si="42"/>
        <v>65</v>
      </c>
      <c r="K116" s="156">
        <f t="shared" si="42"/>
        <v>522</v>
      </c>
      <c r="L116" s="156">
        <f t="shared" si="42"/>
        <v>45</v>
      </c>
      <c r="M116" s="156">
        <f t="shared" si="42"/>
        <v>536</v>
      </c>
      <c r="N116" s="156">
        <f t="shared" si="42"/>
        <v>67</v>
      </c>
      <c r="O116" s="156">
        <f t="shared" si="42"/>
        <v>682</v>
      </c>
      <c r="P116" s="156">
        <f t="shared" si="42"/>
        <v>16</v>
      </c>
      <c r="Q116" s="156">
        <f t="shared" si="42"/>
        <v>272</v>
      </c>
      <c r="R116" s="156">
        <f t="shared" si="42"/>
        <v>58</v>
      </c>
      <c r="S116" s="156">
        <f t="shared" si="42"/>
        <v>361</v>
      </c>
      <c r="T116" s="156">
        <f t="shared" si="42"/>
        <v>54</v>
      </c>
      <c r="U116" s="156">
        <f t="shared" si="42"/>
        <v>686</v>
      </c>
      <c r="V116" s="156">
        <f t="shared" si="42"/>
        <v>79</v>
      </c>
      <c r="W116" s="156">
        <f t="shared" si="42"/>
        <v>793</v>
      </c>
      <c r="X116" s="156">
        <f t="shared" si="42"/>
        <v>42</v>
      </c>
      <c r="Y116" s="156">
        <f t="shared" si="42"/>
        <v>769</v>
      </c>
      <c r="Z116" s="156">
        <f t="shared" si="42"/>
        <v>45</v>
      </c>
      <c r="AA116" s="156">
        <f t="shared" si="42"/>
        <v>508</v>
      </c>
      <c r="AB116" s="156">
        <f t="shared" si="42"/>
        <v>45</v>
      </c>
      <c r="AC116" s="156">
        <f t="shared" si="42"/>
        <v>426</v>
      </c>
      <c r="AD116" s="156">
        <f t="shared" si="42"/>
        <v>69</v>
      </c>
      <c r="AE116" s="156">
        <f t="shared" si="42"/>
        <v>694</v>
      </c>
      <c r="AF116" s="156">
        <f t="shared" si="42"/>
        <v>68</v>
      </c>
      <c r="AG116" s="156">
        <f t="shared" si="42"/>
        <v>393</v>
      </c>
      <c r="AH116" s="156">
        <f t="shared" si="42"/>
        <v>113</v>
      </c>
      <c r="AI116" s="156">
        <f t="shared" si="42"/>
        <v>582</v>
      </c>
      <c r="AJ116" s="156">
        <f t="shared" si="42"/>
        <v>78</v>
      </c>
      <c r="AK116" s="156">
        <f t="shared" si="42"/>
        <v>561</v>
      </c>
      <c r="AL116" s="156">
        <f t="shared" si="42"/>
        <v>75</v>
      </c>
      <c r="AM116" s="156">
        <f t="shared" si="42"/>
        <v>429</v>
      </c>
      <c r="AN116" s="156">
        <f t="shared" si="42"/>
        <v>82</v>
      </c>
      <c r="AO116" s="156">
        <f t="shared" si="42"/>
        <v>423</v>
      </c>
      <c r="AP116" s="156">
        <f t="shared" si="42"/>
        <v>73</v>
      </c>
      <c r="AQ116" s="156">
        <f t="shared" si="42"/>
        <v>589</v>
      </c>
      <c r="AR116" s="156">
        <f t="shared" si="42"/>
        <v>88</v>
      </c>
      <c r="AS116" s="156">
        <f t="shared" si="42"/>
        <v>587</v>
      </c>
      <c r="AT116" s="156">
        <f t="shared" si="42"/>
        <v>122</v>
      </c>
      <c r="AU116" s="156">
        <f t="shared" si="42"/>
        <v>540</v>
      </c>
      <c r="AV116" s="156">
        <f t="shared" si="42"/>
        <v>165</v>
      </c>
      <c r="AW116" s="156">
        <f t="shared" si="42"/>
        <v>725</v>
      </c>
      <c r="AX116" s="156">
        <f t="shared" si="42"/>
        <v>124</v>
      </c>
      <c r="AY116" s="156">
        <f t="shared" si="42"/>
        <v>646</v>
      </c>
      <c r="AZ116" s="156">
        <f t="shared" si="42"/>
        <v>80</v>
      </c>
      <c r="BA116" s="156">
        <f t="shared" si="42"/>
        <v>463</v>
      </c>
      <c r="BB116" s="156">
        <f t="shared" si="42"/>
        <v>150</v>
      </c>
      <c r="BC116" s="156">
        <f t="shared" si="42"/>
        <v>621</v>
      </c>
      <c r="BD116" s="156">
        <f t="shared" ref="BD116:BK116" si="43">+BD74+BD67+BD58+BD31+BD105</f>
        <v>107</v>
      </c>
      <c r="BE116" s="156">
        <f t="shared" si="43"/>
        <v>554</v>
      </c>
      <c r="BF116" s="156">
        <f t="shared" si="43"/>
        <v>116</v>
      </c>
      <c r="BG116" s="156">
        <f t="shared" si="43"/>
        <v>749</v>
      </c>
      <c r="BH116" s="156">
        <f t="shared" si="43"/>
        <v>126</v>
      </c>
      <c r="BI116" s="156">
        <f t="shared" si="43"/>
        <v>743</v>
      </c>
      <c r="BJ116" s="156">
        <f t="shared" si="43"/>
        <v>106</v>
      </c>
      <c r="BK116" s="156">
        <f t="shared" si="43"/>
        <v>870</v>
      </c>
      <c r="BL116" s="156">
        <f>+BL74+BL67+BL58+BL31+BL105+BL115</f>
        <v>101</v>
      </c>
      <c r="BM116" s="156">
        <f>+BM74+BM67+BM58+BM31+BM105+BM115</f>
        <v>752</v>
      </c>
      <c r="BN116" s="156">
        <f t="shared" ref="BN116:BY116" si="44">+BN74+BN67+BN58+BN31+BN105+BN115+BN112</f>
        <v>132</v>
      </c>
      <c r="BO116" s="156">
        <f t="shared" si="44"/>
        <v>942</v>
      </c>
      <c r="BP116" s="156">
        <f t="shared" si="44"/>
        <v>94</v>
      </c>
      <c r="BQ116" s="156">
        <f t="shared" si="44"/>
        <v>835</v>
      </c>
      <c r="BR116" s="156">
        <f t="shared" si="44"/>
        <v>113</v>
      </c>
      <c r="BS116" s="156">
        <f t="shared" si="44"/>
        <v>739</v>
      </c>
      <c r="BT116" s="156">
        <f t="shared" si="44"/>
        <v>123</v>
      </c>
      <c r="BU116" s="156">
        <f t="shared" si="44"/>
        <v>968</v>
      </c>
      <c r="BV116" s="156">
        <f t="shared" si="44"/>
        <v>129</v>
      </c>
      <c r="BW116" s="156">
        <f t="shared" si="44"/>
        <v>701</v>
      </c>
      <c r="BX116" s="156">
        <f t="shared" si="44"/>
        <v>147</v>
      </c>
      <c r="BY116" s="156">
        <f t="shared" si="44"/>
        <v>731</v>
      </c>
      <c r="BZ116" s="156">
        <f>IF(ISERROR('raw data'!EV116/'raw data'!EW116),0,'raw data'!EV116/'raw data'!EW116)</f>
        <v>0.16157855547282204</v>
      </c>
      <c r="CA116" s="156">
        <f t="shared" ref="CA116:EL116" si="45">+CA74+CA67+CA58+CA31+CA105+CA115+CA112</f>
        <v>835</v>
      </c>
      <c r="CB116" s="156">
        <f t="shared" si="45"/>
        <v>145</v>
      </c>
      <c r="CC116" s="156">
        <f t="shared" si="45"/>
        <v>865</v>
      </c>
      <c r="CD116" s="156">
        <f t="shared" si="45"/>
        <v>179</v>
      </c>
      <c r="CE116" s="156">
        <f t="shared" si="45"/>
        <v>1107</v>
      </c>
      <c r="CF116" s="156">
        <f t="shared" si="45"/>
        <v>149</v>
      </c>
      <c r="CG116" s="156">
        <f t="shared" si="45"/>
        <v>1032</v>
      </c>
      <c r="CH116" s="156">
        <f t="shared" si="45"/>
        <v>183</v>
      </c>
      <c r="CI116" s="156">
        <f t="shared" si="45"/>
        <v>1129</v>
      </c>
      <c r="CJ116" s="156">
        <f t="shared" si="45"/>
        <v>133</v>
      </c>
      <c r="CK116" s="156">
        <f t="shared" si="45"/>
        <v>904</v>
      </c>
      <c r="CL116" s="156">
        <f t="shared" si="45"/>
        <v>227</v>
      </c>
      <c r="CM116" s="156">
        <f t="shared" si="45"/>
        <v>1420</v>
      </c>
      <c r="CN116" s="156">
        <f t="shared" si="45"/>
        <v>175</v>
      </c>
      <c r="CO116" s="156">
        <f t="shared" si="45"/>
        <v>1120</v>
      </c>
      <c r="CP116" s="156">
        <f t="shared" si="45"/>
        <v>203</v>
      </c>
      <c r="CQ116" s="156">
        <f t="shared" si="45"/>
        <v>1354</v>
      </c>
      <c r="CR116" s="156">
        <f t="shared" si="45"/>
        <v>181</v>
      </c>
      <c r="CS116" s="156">
        <f t="shared" si="45"/>
        <v>1277</v>
      </c>
      <c r="CT116" s="156">
        <f t="shared" si="45"/>
        <v>230</v>
      </c>
      <c r="CU116" s="156">
        <f t="shared" si="45"/>
        <v>1169</v>
      </c>
      <c r="CV116" s="156">
        <f t="shared" si="45"/>
        <v>270</v>
      </c>
      <c r="CW116" s="156">
        <f t="shared" si="45"/>
        <v>1379</v>
      </c>
      <c r="CX116" s="156">
        <f t="shared" si="45"/>
        <v>175</v>
      </c>
      <c r="CY116" s="156">
        <f t="shared" si="45"/>
        <v>1164</v>
      </c>
      <c r="CZ116" s="156">
        <f t="shared" si="45"/>
        <v>223</v>
      </c>
      <c r="DA116" s="156">
        <f t="shared" si="45"/>
        <v>1178</v>
      </c>
      <c r="DB116" s="156">
        <f t="shared" si="45"/>
        <v>332</v>
      </c>
      <c r="DC116" s="156">
        <f t="shared" si="45"/>
        <v>1640</v>
      </c>
      <c r="DD116" s="156">
        <f t="shared" si="45"/>
        <v>303</v>
      </c>
      <c r="DE116" s="156">
        <f t="shared" si="45"/>
        <v>1636</v>
      </c>
      <c r="DF116" s="156">
        <f t="shared" si="45"/>
        <v>259</v>
      </c>
      <c r="DG116" s="156">
        <f t="shared" si="45"/>
        <v>1210</v>
      </c>
      <c r="DH116" s="156">
        <f t="shared" si="45"/>
        <v>298</v>
      </c>
      <c r="DI116" s="156">
        <f t="shared" si="45"/>
        <v>1267</v>
      </c>
      <c r="DJ116" s="156">
        <f t="shared" si="45"/>
        <v>328</v>
      </c>
      <c r="DK116" s="156">
        <f t="shared" si="45"/>
        <v>1518</v>
      </c>
      <c r="DL116" s="156">
        <f t="shared" si="45"/>
        <v>299</v>
      </c>
      <c r="DM116" s="156">
        <f t="shared" si="45"/>
        <v>1520</v>
      </c>
      <c r="DN116" s="156">
        <f t="shared" si="45"/>
        <v>295</v>
      </c>
      <c r="DO116" s="156">
        <f t="shared" si="45"/>
        <v>1368</v>
      </c>
      <c r="DP116" s="156">
        <f t="shared" si="45"/>
        <v>316</v>
      </c>
      <c r="DQ116" s="156">
        <f t="shared" si="45"/>
        <v>1360</v>
      </c>
      <c r="DR116" s="156">
        <f t="shared" si="45"/>
        <v>254</v>
      </c>
      <c r="DS116" s="156">
        <f t="shared" si="45"/>
        <v>1274</v>
      </c>
      <c r="DT116" s="156">
        <f t="shared" si="45"/>
        <v>323</v>
      </c>
      <c r="DU116" s="156">
        <f t="shared" si="45"/>
        <v>1572</v>
      </c>
      <c r="DV116" s="156">
        <f t="shared" si="45"/>
        <v>161</v>
      </c>
      <c r="DW116" s="156">
        <f t="shared" si="45"/>
        <v>1264</v>
      </c>
      <c r="DX116" s="156">
        <f t="shared" si="45"/>
        <v>179</v>
      </c>
      <c r="DY116" s="156">
        <f t="shared" si="45"/>
        <v>1373</v>
      </c>
      <c r="DZ116" s="156">
        <f t="shared" si="45"/>
        <v>210</v>
      </c>
      <c r="EA116" s="156">
        <f t="shared" si="45"/>
        <v>1691</v>
      </c>
      <c r="EB116" s="156">
        <f t="shared" si="45"/>
        <v>307</v>
      </c>
      <c r="EC116" s="156">
        <f t="shared" si="45"/>
        <v>1593</v>
      </c>
      <c r="ED116" s="156">
        <f t="shared" si="45"/>
        <v>212</v>
      </c>
      <c r="EE116" s="156">
        <f t="shared" si="45"/>
        <v>1347</v>
      </c>
      <c r="EF116" s="156">
        <f t="shared" si="45"/>
        <v>193</v>
      </c>
      <c r="EG116" s="157">
        <f t="shared" si="45"/>
        <v>1628</v>
      </c>
      <c r="EH116" s="158">
        <f t="shared" si="45"/>
        <v>197</v>
      </c>
      <c r="EI116" s="156">
        <f t="shared" si="45"/>
        <v>1451</v>
      </c>
      <c r="EJ116" s="156">
        <f t="shared" si="45"/>
        <v>262</v>
      </c>
      <c r="EK116" s="156">
        <f t="shared" si="45"/>
        <v>1728</v>
      </c>
      <c r="EL116" s="156">
        <f t="shared" si="45"/>
        <v>225</v>
      </c>
      <c r="EM116" s="156">
        <f t="shared" ref="EM116:EU116" si="46">+EM74+EM67+EM58+EM31+EM105+EM115+EM112</f>
        <v>1535</v>
      </c>
      <c r="EN116" s="156">
        <f t="shared" si="46"/>
        <v>215</v>
      </c>
      <c r="EO116" s="156">
        <f t="shared" si="46"/>
        <v>1303</v>
      </c>
      <c r="EP116" s="156">
        <f t="shared" si="46"/>
        <v>294</v>
      </c>
      <c r="EQ116" s="156">
        <f t="shared" si="46"/>
        <v>1509</v>
      </c>
      <c r="ER116" s="156">
        <f t="shared" si="46"/>
        <v>285</v>
      </c>
      <c r="ES116" s="156">
        <f t="shared" si="46"/>
        <v>1578</v>
      </c>
      <c r="ET116" s="156">
        <f t="shared" si="46"/>
        <v>256</v>
      </c>
      <c r="EU116" s="156">
        <f t="shared" si="46"/>
        <v>1555</v>
      </c>
      <c r="EV116" s="156">
        <f t="shared" ref="EV116:FV116" si="47">EV31+EV58+EV67+EV74+EV83+EV105+EV112</f>
        <v>217</v>
      </c>
      <c r="EW116" s="156">
        <f t="shared" si="47"/>
        <v>1343</v>
      </c>
      <c r="EX116" s="156">
        <f t="shared" si="47"/>
        <v>303</v>
      </c>
      <c r="EY116" s="156">
        <f t="shared" si="47"/>
        <v>1912</v>
      </c>
      <c r="EZ116" s="156">
        <f t="shared" si="47"/>
        <v>224</v>
      </c>
      <c r="FA116" s="156">
        <f t="shared" si="47"/>
        <v>1338</v>
      </c>
      <c r="FB116" s="156">
        <f t="shared" si="47"/>
        <v>324</v>
      </c>
      <c r="FC116" s="156">
        <f t="shared" si="47"/>
        <v>1702</v>
      </c>
      <c r="FD116" s="156">
        <f t="shared" si="47"/>
        <v>252</v>
      </c>
      <c r="FE116" s="156">
        <f t="shared" si="47"/>
        <v>1536</v>
      </c>
      <c r="FF116" s="156">
        <f t="shared" si="47"/>
        <v>301</v>
      </c>
      <c r="FG116" s="156">
        <f t="shared" si="47"/>
        <v>1619</v>
      </c>
      <c r="FH116" s="156">
        <f t="shared" si="47"/>
        <v>292</v>
      </c>
      <c r="FI116" s="156">
        <f t="shared" si="47"/>
        <v>1713</v>
      </c>
      <c r="FJ116" s="156">
        <f t="shared" si="47"/>
        <v>241</v>
      </c>
      <c r="FK116" s="159">
        <f t="shared" si="47"/>
        <v>1587</v>
      </c>
      <c r="FL116" s="160">
        <f t="shared" si="47"/>
        <v>1615</v>
      </c>
      <c r="FM116" s="156">
        <f t="shared" si="47"/>
        <v>1660</v>
      </c>
      <c r="FN116" s="156">
        <f t="shared" si="47"/>
        <v>232</v>
      </c>
      <c r="FO116" s="156">
        <f t="shared" si="47"/>
        <v>1147</v>
      </c>
      <c r="FP116" s="156">
        <f t="shared" si="47"/>
        <v>220</v>
      </c>
      <c r="FQ116" s="156">
        <f t="shared" si="47"/>
        <v>1165</v>
      </c>
      <c r="FR116" s="156">
        <f t="shared" si="47"/>
        <v>170</v>
      </c>
      <c r="FS116" s="156">
        <f t="shared" si="47"/>
        <v>1034</v>
      </c>
      <c r="FT116" s="156">
        <f t="shared" si="47"/>
        <v>264</v>
      </c>
      <c r="FU116" s="156">
        <f t="shared" si="47"/>
        <v>1353</v>
      </c>
      <c r="FV116" s="156">
        <f t="shared" si="47"/>
        <v>135</v>
      </c>
      <c r="FW116" s="156">
        <f>FW31+FW58+FW67+FW74+FW83+FW105+FW112</f>
        <v>937</v>
      </c>
      <c r="FX116" s="156">
        <f t="shared" ref="FX116:GM116" si="48">FX31+FX58+FX67+FX74+FX83+FX105+FX112</f>
        <v>214</v>
      </c>
      <c r="FY116" s="156">
        <f t="shared" si="48"/>
        <v>1232</v>
      </c>
      <c r="FZ116" s="156">
        <f t="shared" si="48"/>
        <v>170</v>
      </c>
      <c r="GA116" s="156">
        <f t="shared" si="48"/>
        <v>1102</v>
      </c>
      <c r="GB116" s="156">
        <f t="shared" si="48"/>
        <v>210</v>
      </c>
      <c r="GC116" s="156">
        <f t="shared" si="48"/>
        <v>1322</v>
      </c>
      <c r="GD116" s="156">
        <f t="shared" si="48"/>
        <v>173</v>
      </c>
      <c r="GE116" s="156">
        <f t="shared" si="48"/>
        <v>1178</v>
      </c>
      <c r="GF116" s="156">
        <f t="shared" si="48"/>
        <v>202</v>
      </c>
      <c r="GG116" s="156">
        <f t="shared" si="48"/>
        <v>1048</v>
      </c>
      <c r="GH116" s="156">
        <f t="shared" si="48"/>
        <v>179</v>
      </c>
      <c r="GI116" s="156">
        <f t="shared" si="48"/>
        <v>1142</v>
      </c>
      <c r="GJ116" s="156">
        <f t="shared" si="48"/>
        <v>146</v>
      </c>
      <c r="GK116" s="156">
        <f t="shared" si="48"/>
        <v>913</v>
      </c>
      <c r="GL116" s="156">
        <f t="shared" si="48"/>
        <v>214</v>
      </c>
      <c r="GM116" s="156">
        <f t="shared" si="48"/>
        <v>1320</v>
      </c>
      <c r="GN116" s="156">
        <f>GN31+GN58+GN67+GN74+GN83+GN89+GN105+GN112</f>
        <v>241</v>
      </c>
      <c r="GO116" s="156">
        <f>GO31+GO58+GO67+GO74+GO83+GO89+GO105+GO112</f>
        <v>1432</v>
      </c>
      <c r="GP116" s="156">
        <f t="shared" ref="GP116:HA116" si="49">GP31+GP58+GP67+GP74+GP83+GP89+GP105+GP112</f>
        <v>208</v>
      </c>
      <c r="GQ116" s="156">
        <f t="shared" si="49"/>
        <v>1279</v>
      </c>
      <c r="GR116" s="156">
        <f t="shared" si="49"/>
        <v>217</v>
      </c>
      <c r="GS116" s="156">
        <f t="shared" si="49"/>
        <v>1227</v>
      </c>
      <c r="GT116" s="156">
        <f t="shared" si="49"/>
        <v>164</v>
      </c>
      <c r="GU116" s="156">
        <f t="shared" si="49"/>
        <v>927</v>
      </c>
      <c r="GV116" s="156">
        <f t="shared" si="49"/>
        <v>279</v>
      </c>
      <c r="GW116" s="156">
        <f t="shared" si="49"/>
        <v>1311</v>
      </c>
      <c r="GX116" s="156">
        <f t="shared" si="49"/>
        <v>249</v>
      </c>
      <c r="GY116" s="156">
        <f t="shared" si="49"/>
        <v>1439</v>
      </c>
      <c r="GZ116" s="156">
        <f t="shared" si="49"/>
        <v>262</v>
      </c>
      <c r="HA116" s="156">
        <f t="shared" si="49"/>
        <v>1263</v>
      </c>
      <c r="HB116" s="156">
        <f>HB31+HB58+HB67+HB74+HB83+HB89+HB95+HB105+HB112</f>
        <v>193</v>
      </c>
      <c r="HC116" s="156">
        <f t="shared" ref="HC116:HG116" si="50">HC31+HC58+HC67+HC74+HC83+HC89+HC95+HC105+HC112</f>
        <v>1026</v>
      </c>
      <c r="HD116" s="156">
        <f t="shared" si="50"/>
        <v>249</v>
      </c>
      <c r="HE116" s="156">
        <f t="shared" si="50"/>
        <v>1020</v>
      </c>
      <c r="HF116" s="156">
        <f t="shared" si="50"/>
        <v>225</v>
      </c>
      <c r="HG116" s="156">
        <f t="shared" si="50"/>
        <v>907</v>
      </c>
      <c r="HH116" s="156">
        <f>HH31+HH58+HH67+HH74+HH83+HH89+HH95+HH100+HH105+HH112</f>
        <v>160</v>
      </c>
      <c r="HI116" s="156">
        <f t="shared" ref="HI116:HR116" si="51">HI31+HI58+HI67+HI74+HI83+HI89+HI95+HI100+HI105+HI112</f>
        <v>805</v>
      </c>
      <c r="HJ116" s="156">
        <f t="shared" si="51"/>
        <v>204</v>
      </c>
      <c r="HK116" s="156">
        <f t="shared" si="51"/>
        <v>766</v>
      </c>
      <c r="HL116" s="156">
        <f t="shared" si="51"/>
        <v>152</v>
      </c>
      <c r="HM116" s="156">
        <f t="shared" si="51"/>
        <v>825</v>
      </c>
      <c r="HN116" s="156">
        <f t="shared" si="51"/>
        <v>207</v>
      </c>
      <c r="HO116" s="156">
        <f t="shared" si="51"/>
        <v>825</v>
      </c>
      <c r="HP116" s="156">
        <f t="shared" si="51"/>
        <v>160</v>
      </c>
      <c r="HQ116" s="156">
        <f t="shared" si="51"/>
        <v>941</v>
      </c>
      <c r="HR116" s="156">
        <f t="shared" si="51"/>
        <v>168</v>
      </c>
      <c r="HS116" s="156">
        <f>HS31+HS58+HS67+HS74+HS83+HS89+HS95+HS100+HS105+HS112</f>
        <v>710</v>
      </c>
      <c r="HT116" s="156">
        <f t="shared" ref="HT116:IQ116" si="52">HT31+HT58+HT67+HT74+HT83+HT89+HT95+HT100+HT105+HT112</f>
        <v>210</v>
      </c>
      <c r="HU116" s="156">
        <f t="shared" si="52"/>
        <v>803</v>
      </c>
      <c r="HV116" s="156">
        <f t="shared" si="52"/>
        <v>268</v>
      </c>
      <c r="HW116" s="156">
        <f t="shared" si="52"/>
        <v>958</v>
      </c>
      <c r="HX116" s="156">
        <f t="shared" si="52"/>
        <v>302</v>
      </c>
      <c r="HY116" s="156">
        <f t="shared" si="52"/>
        <v>1172</v>
      </c>
      <c r="HZ116" s="156">
        <f t="shared" si="52"/>
        <v>322</v>
      </c>
      <c r="IA116" s="156">
        <f t="shared" si="52"/>
        <v>1182</v>
      </c>
      <c r="IB116" s="156">
        <f t="shared" si="52"/>
        <v>457</v>
      </c>
      <c r="IC116" s="156">
        <f t="shared" si="52"/>
        <v>1382</v>
      </c>
      <c r="ID116" s="156">
        <f t="shared" si="52"/>
        <v>386</v>
      </c>
      <c r="IE116" s="156">
        <f t="shared" si="52"/>
        <v>1153</v>
      </c>
      <c r="IF116" s="156">
        <f t="shared" si="52"/>
        <v>346</v>
      </c>
      <c r="IG116" s="156">
        <f t="shared" si="52"/>
        <v>1229</v>
      </c>
      <c r="IH116" s="156">
        <f t="shared" si="52"/>
        <v>453</v>
      </c>
      <c r="II116" s="156">
        <f t="shared" si="52"/>
        <v>1287</v>
      </c>
      <c r="IJ116" s="156">
        <f t="shared" si="52"/>
        <v>570</v>
      </c>
      <c r="IK116" s="156">
        <f t="shared" si="52"/>
        <v>1335</v>
      </c>
      <c r="IL116" s="156">
        <f t="shared" si="52"/>
        <v>549</v>
      </c>
      <c r="IM116" s="156">
        <f t="shared" si="52"/>
        <v>1439</v>
      </c>
      <c r="IN116" s="156">
        <f t="shared" si="52"/>
        <v>471</v>
      </c>
      <c r="IO116" s="156">
        <f t="shared" si="52"/>
        <v>1120</v>
      </c>
      <c r="IP116" s="156">
        <f t="shared" si="52"/>
        <v>464</v>
      </c>
      <c r="IQ116" s="156">
        <f t="shared" si="52"/>
        <v>1070</v>
      </c>
      <c r="IR116" s="156">
        <f>IR31+IR44+IR58+IR67+IR74+IR83+IR89+IR95+IR100+IR105+IR112</f>
        <v>980</v>
      </c>
      <c r="IS116" s="156">
        <f>IS31+IS44+IS58+IS67+IS74+IS83+IS89+IS95+IS100+IS105+IS112</f>
        <v>2474</v>
      </c>
      <c r="IT116" s="156">
        <f t="shared" ref="IT116:JE116" si="53">IT31+IT44+IT58+IT67+IT74+IT83+IT89+IT95+IT100+IT105+IT112</f>
        <v>794</v>
      </c>
      <c r="IU116" s="156">
        <f t="shared" si="53"/>
        <v>2139</v>
      </c>
      <c r="IV116" s="156">
        <f t="shared" si="53"/>
        <v>1161</v>
      </c>
      <c r="IW116" s="156">
        <f t="shared" si="53"/>
        <v>2804</v>
      </c>
      <c r="IX116" s="156">
        <f t="shared" si="53"/>
        <v>1025</v>
      </c>
      <c r="IY116" s="156">
        <f t="shared" si="53"/>
        <v>3364</v>
      </c>
      <c r="IZ116" s="156">
        <f t="shared" si="53"/>
        <v>1032</v>
      </c>
      <c r="JA116" s="156">
        <f t="shared" si="53"/>
        <v>3212</v>
      </c>
      <c r="JB116" s="156">
        <f t="shared" si="53"/>
        <v>955</v>
      </c>
      <c r="JC116" s="156">
        <f t="shared" si="53"/>
        <v>3159</v>
      </c>
      <c r="JD116" s="156">
        <f t="shared" si="53"/>
        <v>716</v>
      </c>
      <c r="JE116" s="156">
        <f t="shared" si="53"/>
        <v>3229</v>
      </c>
    </row>
    <row r="117" spans="1:265" ht="12.75" hidden="1" customHeight="1" x14ac:dyDescent="0.15">
      <c r="A117" s="68" t="s">
        <v>193</v>
      </c>
      <c r="B117" s="68"/>
      <c r="C117" s="161" t="s">
        <v>194</v>
      </c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>
        <v>189</v>
      </c>
      <c r="AI117" s="68">
        <v>219</v>
      </c>
      <c r="AJ117" s="68">
        <v>30</v>
      </c>
      <c r="AK117" s="68">
        <v>47</v>
      </c>
      <c r="AL117" s="68">
        <v>21</v>
      </c>
      <c r="AM117" s="68">
        <v>26</v>
      </c>
      <c r="AN117" s="68">
        <v>9</v>
      </c>
      <c r="AO117" s="68">
        <v>15</v>
      </c>
      <c r="AP117" s="68">
        <v>6</v>
      </c>
      <c r="AQ117" s="68">
        <v>19</v>
      </c>
      <c r="AR117" s="68">
        <v>10</v>
      </c>
      <c r="AS117" s="68">
        <v>22</v>
      </c>
      <c r="AT117" s="68">
        <v>6</v>
      </c>
      <c r="AU117" s="68">
        <v>14</v>
      </c>
      <c r="AV117" s="68">
        <v>9</v>
      </c>
      <c r="AW117" s="68">
        <v>25</v>
      </c>
      <c r="AX117" s="68">
        <v>53</v>
      </c>
      <c r="AY117" s="68">
        <v>77</v>
      </c>
      <c r="AZ117" s="68">
        <v>7</v>
      </c>
      <c r="BA117" s="68">
        <v>9</v>
      </c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5"/>
      <c r="CN117" s="73"/>
      <c r="CO117" s="75"/>
      <c r="CP117" s="73"/>
      <c r="CQ117" s="75"/>
      <c r="CR117" s="73"/>
      <c r="CS117" s="75"/>
      <c r="CT117" s="73"/>
      <c r="CU117" s="75"/>
      <c r="CV117" s="73"/>
      <c r="CW117" s="75"/>
      <c r="CX117" s="73"/>
      <c r="CY117" s="75"/>
      <c r="CZ117" s="73"/>
      <c r="DA117" s="75"/>
      <c r="DB117" s="73"/>
      <c r="DC117" s="75"/>
      <c r="DD117" s="73"/>
      <c r="DE117" s="75"/>
      <c r="DF117" s="73"/>
      <c r="DG117" s="75"/>
      <c r="DH117" s="73"/>
      <c r="DI117" s="75"/>
      <c r="DJ117" s="73"/>
      <c r="DK117" s="75"/>
      <c r="DL117" s="73"/>
      <c r="DM117" s="75"/>
      <c r="DN117" s="73"/>
      <c r="DO117" s="75"/>
      <c r="DP117" s="73"/>
      <c r="DQ117" s="75"/>
      <c r="DR117" s="73"/>
      <c r="DS117" s="75"/>
      <c r="DT117" s="73"/>
      <c r="DU117" s="75"/>
      <c r="DV117" s="73"/>
      <c r="DW117" s="75"/>
      <c r="DX117" s="73"/>
      <c r="DY117" s="75"/>
      <c r="DZ117" s="73"/>
      <c r="EA117" s="75"/>
      <c r="EB117" s="73"/>
      <c r="EC117" s="75"/>
      <c r="ED117" s="73"/>
      <c r="EE117" s="75"/>
      <c r="EF117" s="73"/>
      <c r="EG117" s="76"/>
      <c r="EH117" s="77"/>
      <c r="EI117" s="75"/>
      <c r="EJ117" s="162"/>
      <c r="EK117" s="162"/>
      <c r="EL117" s="162"/>
      <c r="EM117" s="162"/>
      <c r="EN117" s="162"/>
      <c r="EO117" s="162"/>
      <c r="EP117" s="162"/>
      <c r="EQ117" s="162"/>
      <c r="ER117" s="162"/>
      <c r="ES117" s="162"/>
      <c r="ET117" s="162"/>
      <c r="EU117" s="162"/>
      <c r="EV117" s="162"/>
      <c r="EW117" s="162"/>
      <c r="EX117" s="162"/>
      <c r="EY117" s="162"/>
      <c r="EZ117" s="162"/>
      <c r="FA117" s="162"/>
      <c r="FB117" s="162"/>
      <c r="FC117" s="162"/>
      <c r="FD117" s="162"/>
      <c r="FE117" s="162"/>
      <c r="FF117" s="162"/>
      <c r="FG117" s="162"/>
      <c r="FH117" s="162"/>
      <c r="FI117" s="162"/>
      <c r="FJ117" s="162"/>
      <c r="FK117" s="163"/>
      <c r="FL117" s="162"/>
      <c r="FM117" s="162"/>
      <c r="FN117" s="162"/>
      <c r="FO117" s="162"/>
      <c r="FP117" s="162"/>
      <c r="FQ117" s="162"/>
      <c r="FR117" s="162"/>
      <c r="FS117" s="162"/>
      <c r="FT117" s="162"/>
      <c r="FU117" s="162"/>
      <c r="FV117" s="162"/>
      <c r="FW117" s="162"/>
      <c r="FX117" s="162"/>
      <c r="FY117" s="162"/>
      <c r="FZ117" s="162"/>
      <c r="GA117" s="162"/>
      <c r="GB117" s="162"/>
      <c r="GC117" s="162"/>
      <c r="GD117" s="162"/>
      <c r="GE117" s="162"/>
      <c r="GF117" s="162"/>
      <c r="GG117" s="162"/>
      <c r="GH117" s="162"/>
      <c r="GI117" s="162"/>
      <c r="GJ117" s="162"/>
      <c r="GK117" s="162"/>
      <c r="GL117" s="162"/>
      <c r="GM117" s="162"/>
      <c r="GN117" s="162"/>
      <c r="GO117" s="162"/>
      <c r="GP117" s="162"/>
      <c r="GQ117" s="162"/>
      <c r="GR117" s="162"/>
      <c r="GS117" s="162"/>
      <c r="GT117" s="162"/>
      <c r="GU117" s="162"/>
      <c r="GV117" s="162"/>
      <c r="GW117" s="162"/>
      <c r="GX117" s="162"/>
      <c r="GY117" s="162"/>
      <c r="GZ117" s="162"/>
      <c r="HA117" s="162"/>
      <c r="HB117" s="162"/>
      <c r="HC117" s="162"/>
      <c r="HD117" s="162"/>
      <c r="HE117" s="162"/>
      <c r="HF117" s="162"/>
      <c r="HG117" s="162"/>
      <c r="HH117" s="162"/>
      <c r="HI117" s="162"/>
      <c r="HJ117" s="162"/>
      <c r="HK117" s="162"/>
      <c r="HL117" s="162"/>
      <c r="HM117" s="162"/>
      <c r="HN117" s="162"/>
      <c r="HO117" s="162"/>
      <c r="HP117" s="162"/>
      <c r="HQ117" s="162"/>
      <c r="HR117" s="162"/>
      <c r="HS117" s="162"/>
      <c r="HT117" s="162"/>
      <c r="HU117" s="162"/>
      <c r="HV117" s="162"/>
      <c r="HW117" s="162"/>
      <c r="HX117" s="162"/>
      <c r="HY117" s="162"/>
      <c r="HZ117" s="162"/>
      <c r="IA117" s="162"/>
      <c r="IB117" s="162"/>
      <c r="IC117" s="162"/>
      <c r="ID117" s="162"/>
      <c r="IE117" s="162"/>
      <c r="IF117" s="162"/>
      <c r="IG117" s="162"/>
      <c r="IH117" s="162"/>
      <c r="II117" s="162"/>
      <c r="IJ117" s="162"/>
      <c r="IK117" s="162"/>
      <c r="IL117" s="162"/>
      <c r="IM117" s="162"/>
      <c r="IN117" s="162"/>
      <c r="IO117" s="162"/>
      <c r="IP117" s="162"/>
      <c r="IQ117" s="162"/>
      <c r="IR117" s="162"/>
      <c r="IS117" s="162"/>
      <c r="IT117" s="162"/>
      <c r="IU117" s="162"/>
      <c r="IV117" s="162"/>
      <c r="IW117" s="162"/>
      <c r="IX117" s="162"/>
      <c r="IY117" s="162"/>
      <c r="IZ117" s="162"/>
      <c r="JA117" s="162"/>
      <c r="JB117" s="162"/>
      <c r="JC117" s="162"/>
      <c r="JD117" s="162"/>
      <c r="JE117" s="162"/>
    </row>
    <row r="118" spans="1:265" ht="38.25" hidden="1" customHeight="1" x14ac:dyDescent="0.15">
      <c r="A118" s="68" t="s">
        <v>195</v>
      </c>
      <c r="B118" s="68"/>
      <c r="C118" s="161" t="s">
        <v>196</v>
      </c>
      <c r="D118" s="68"/>
      <c r="E118" s="68"/>
      <c r="F118" s="68"/>
      <c r="G118" s="68"/>
      <c r="H118" s="164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>
        <v>45</v>
      </c>
      <c r="AI118" s="68">
        <v>143</v>
      </c>
      <c r="AJ118" s="68">
        <v>1</v>
      </c>
      <c r="AK118" s="68">
        <v>8</v>
      </c>
      <c r="AL118" s="68">
        <v>2</v>
      </c>
      <c r="AM118" s="68">
        <v>8</v>
      </c>
      <c r="AN118" s="68">
        <v>2</v>
      </c>
      <c r="AO118" s="68">
        <v>10</v>
      </c>
      <c r="AP118" s="68">
        <v>2</v>
      </c>
      <c r="AQ118" s="68">
        <v>10</v>
      </c>
      <c r="AR118" s="68">
        <v>0</v>
      </c>
      <c r="AS118" s="68">
        <v>6</v>
      </c>
      <c r="AT118" s="68">
        <v>2</v>
      </c>
      <c r="AU118" s="68">
        <v>11</v>
      </c>
      <c r="AV118" s="68">
        <v>2</v>
      </c>
      <c r="AW118" s="68">
        <v>4</v>
      </c>
      <c r="AX118" s="68">
        <v>7</v>
      </c>
      <c r="AY118" s="68">
        <v>8</v>
      </c>
      <c r="AZ118" s="68">
        <v>3</v>
      </c>
      <c r="BA118" s="68">
        <v>7</v>
      </c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5"/>
      <c r="CN118" s="73"/>
      <c r="CO118" s="75"/>
      <c r="CP118" s="73"/>
      <c r="CQ118" s="75"/>
      <c r="CR118" s="73"/>
      <c r="CS118" s="75"/>
      <c r="CT118" s="73"/>
      <c r="CU118" s="75"/>
      <c r="CV118" s="73"/>
      <c r="CW118" s="75"/>
      <c r="CX118" s="73"/>
      <c r="CY118" s="75"/>
      <c r="CZ118" s="73"/>
      <c r="DA118" s="75"/>
      <c r="DB118" s="73"/>
      <c r="DC118" s="75"/>
      <c r="DD118" s="73"/>
      <c r="DE118" s="75"/>
      <c r="DF118" s="73"/>
      <c r="DG118" s="75"/>
      <c r="DH118" s="73"/>
      <c r="DI118" s="75"/>
      <c r="DJ118" s="73"/>
      <c r="DK118" s="75"/>
      <c r="DL118" s="73"/>
      <c r="DM118" s="75"/>
      <c r="DN118" s="73"/>
      <c r="DO118" s="75"/>
      <c r="DP118" s="73"/>
      <c r="DQ118" s="75"/>
      <c r="DR118" s="73"/>
      <c r="DS118" s="75"/>
      <c r="DT118" s="73"/>
      <c r="DU118" s="75"/>
      <c r="DV118" s="73"/>
      <c r="DW118" s="75"/>
      <c r="DX118" s="73"/>
      <c r="DY118" s="75"/>
      <c r="DZ118" s="73"/>
      <c r="EA118" s="75"/>
      <c r="EB118" s="73"/>
      <c r="EC118" s="75"/>
      <c r="ED118" s="73"/>
      <c r="EE118" s="75"/>
      <c r="EF118" s="73"/>
      <c r="EG118" s="76"/>
      <c r="EH118" s="77"/>
      <c r="EI118" s="75"/>
      <c r="EJ118" s="162"/>
      <c r="EK118" s="162"/>
      <c r="EL118" s="162"/>
      <c r="EM118" s="162"/>
      <c r="EN118" s="162"/>
      <c r="EO118" s="162"/>
      <c r="EP118" s="162"/>
      <c r="EQ118" s="162"/>
      <c r="ER118" s="162"/>
      <c r="ES118" s="162"/>
      <c r="ET118" s="162"/>
      <c r="EU118" s="162"/>
      <c r="EV118" s="162"/>
      <c r="EW118" s="162"/>
      <c r="EX118" s="162"/>
      <c r="EY118" s="162"/>
      <c r="EZ118" s="162"/>
      <c r="FA118" s="162"/>
      <c r="FB118" s="162"/>
      <c r="FC118" s="162"/>
      <c r="FD118" s="162"/>
      <c r="FE118" s="162"/>
      <c r="FF118" s="162"/>
      <c r="FG118" s="162"/>
      <c r="FH118" s="162"/>
      <c r="FI118" s="162"/>
      <c r="FJ118" s="162"/>
      <c r="FK118" s="163"/>
      <c r="FL118" s="162"/>
      <c r="FM118" s="162"/>
      <c r="FN118" s="162"/>
      <c r="FO118" s="162"/>
      <c r="FP118" s="162"/>
      <c r="FQ118" s="162"/>
      <c r="FR118" s="162"/>
      <c r="FS118" s="162"/>
      <c r="FT118" s="162"/>
      <c r="FU118" s="162"/>
      <c r="FV118" s="162"/>
      <c r="FW118" s="162"/>
      <c r="FX118" s="162"/>
      <c r="FY118" s="162"/>
      <c r="FZ118" s="162"/>
      <c r="GA118" s="162"/>
      <c r="GB118" s="162"/>
      <c r="GC118" s="162"/>
      <c r="GD118" s="162"/>
      <c r="GE118" s="162"/>
      <c r="GF118" s="162"/>
      <c r="GG118" s="162"/>
      <c r="GH118" s="162"/>
      <c r="GI118" s="162"/>
      <c r="GJ118" s="162"/>
      <c r="GK118" s="162"/>
      <c r="GL118" s="162"/>
      <c r="GM118" s="162"/>
      <c r="GN118" s="162"/>
      <c r="GO118" s="162"/>
      <c r="GP118" s="162"/>
      <c r="GQ118" s="162"/>
      <c r="GR118" s="162"/>
      <c r="GS118" s="162"/>
      <c r="GT118" s="162"/>
      <c r="GU118" s="162"/>
      <c r="GV118" s="162"/>
      <c r="GW118" s="162"/>
      <c r="GX118" s="162"/>
      <c r="GY118" s="162"/>
      <c r="GZ118" s="162"/>
      <c r="HA118" s="162"/>
      <c r="HB118" s="162"/>
      <c r="HC118" s="162"/>
      <c r="HD118" s="162"/>
      <c r="HE118" s="162"/>
      <c r="HF118" s="162"/>
      <c r="HG118" s="162"/>
      <c r="HH118" s="162"/>
      <c r="HI118" s="162"/>
      <c r="HJ118" s="162"/>
      <c r="HK118" s="162"/>
      <c r="HL118" s="162"/>
      <c r="HM118" s="162"/>
      <c r="HN118" s="162"/>
      <c r="HO118" s="162"/>
      <c r="HP118" s="162"/>
      <c r="HQ118" s="162"/>
      <c r="HR118" s="162"/>
      <c r="HS118" s="162"/>
      <c r="HT118" s="162"/>
      <c r="HU118" s="162"/>
      <c r="HV118" s="162"/>
      <c r="HW118" s="162"/>
      <c r="HX118" s="162"/>
      <c r="HY118" s="162"/>
      <c r="HZ118" s="162"/>
      <c r="IA118" s="162"/>
      <c r="IB118" s="162"/>
      <c r="IC118" s="162"/>
      <c r="ID118" s="162"/>
      <c r="IE118" s="162"/>
      <c r="IF118" s="162"/>
      <c r="IG118" s="162"/>
      <c r="IH118" s="162"/>
      <c r="II118" s="162"/>
      <c r="IJ118" s="162"/>
      <c r="IK118" s="162"/>
      <c r="IL118" s="162"/>
      <c r="IM118" s="162"/>
      <c r="IN118" s="162"/>
      <c r="IO118" s="162"/>
      <c r="IP118" s="162"/>
      <c r="IQ118" s="162"/>
      <c r="IR118" s="162"/>
      <c r="IS118" s="162"/>
      <c r="IT118" s="162"/>
      <c r="IU118" s="162"/>
      <c r="IV118" s="162"/>
      <c r="IW118" s="162"/>
      <c r="IX118" s="162"/>
      <c r="IY118" s="162"/>
      <c r="IZ118" s="162"/>
      <c r="JA118" s="162"/>
      <c r="JB118" s="162"/>
      <c r="JC118" s="162"/>
      <c r="JD118" s="162"/>
      <c r="JE118" s="162"/>
    </row>
    <row r="119" spans="1:265" ht="25.5" hidden="1" customHeight="1" x14ac:dyDescent="0.15">
      <c r="A119" s="68" t="s">
        <v>197</v>
      </c>
      <c r="B119" s="68"/>
      <c r="C119" s="161" t="s">
        <v>198</v>
      </c>
      <c r="D119" s="68"/>
      <c r="E119" s="68"/>
      <c r="F119" s="68"/>
      <c r="G119" s="68"/>
      <c r="H119" s="164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73"/>
      <c r="AI119" s="73"/>
      <c r="AJ119" s="73"/>
      <c r="AK119" s="73"/>
      <c r="AL119" s="73"/>
      <c r="AM119" s="73"/>
      <c r="AN119" s="73"/>
      <c r="AO119" s="73"/>
      <c r="AP119" s="68">
        <v>147</v>
      </c>
      <c r="AQ119" s="68">
        <v>216</v>
      </c>
      <c r="AR119" s="68">
        <v>0</v>
      </c>
      <c r="AS119" s="68">
        <v>0</v>
      </c>
      <c r="AT119" s="68">
        <v>0</v>
      </c>
      <c r="AU119" s="68">
        <v>0</v>
      </c>
      <c r="AV119" s="68">
        <v>92</v>
      </c>
      <c r="AW119" s="68">
        <v>148</v>
      </c>
      <c r="AX119" s="73"/>
      <c r="AY119" s="73"/>
      <c r="AZ119" s="68">
        <v>28</v>
      </c>
      <c r="BA119" s="68">
        <v>64</v>
      </c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5"/>
      <c r="CN119" s="73"/>
      <c r="CO119" s="75"/>
      <c r="CP119" s="73"/>
      <c r="CQ119" s="75"/>
      <c r="CR119" s="73"/>
      <c r="CS119" s="75"/>
      <c r="CT119" s="73"/>
      <c r="CU119" s="75"/>
      <c r="CV119" s="73"/>
      <c r="CW119" s="75"/>
      <c r="CX119" s="73"/>
      <c r="CY119" s="75"/>
      <c r="CZ119" s="73"/>
      <c r="DA119" s="75"/>
      <c r="DB119" s="73"/>
      <c r="DC119" s="75"/>
      <c r="DD119" s="73"/>
      <c r="DE119" s="75"/>
      <c r="DF119" s="73"/>
      <c r="DG119" s="75"/>
      <c r="DH119" s="73"/>
      <c r="DI119" s="75"/>
      <c r="DJ119" s="73"/>
      <c r="DK119" s="75"/>
      <c r="DL119" s="73"/>
      <c r="DM119" s="75"/>
      <c r="DN119" s="73"/>
      <c r="DO119" s="75"/>
      <c r="DP119" s="73"/>
      <c r="DQ119" s="75"/>
      <c r="DR119" s="73"/>
      <c r="DS119" s="75"/>
      <c r="DT119" s="73"/>
      <c r="DU119" s="75"/>
      <c r="DV119" s="73"/>
      <c r="DW119" s="75"/>
      <c r="DX119" s="73"/>
      <c r="DY119" s="75"/>
      <c r="DZ119" s="73"/>
      <c r="EA119" s="75"/>
      <c r="EB119" s="73"/>
      <c r="EC119" s="75"/>
      <c r="ED119" s="73"/>
      <c r="EE119" s="75"/>
      <c r="EF119" s="73"/>
      <c r="EG119" s="76"/>
      <c r="EH119" s="77"/>
      <c r="EI119" s="75"/>
      <c r="EJ119" s="162"/>
      <c r="EK119" s="162"/>
      <c r="EL119" s="162"/>
      <c r="EM119" s="162"/>
      <c r="EN119" s="162"/>
      <c r="EO119" s="162"/>
      <c r="EP119" s="162"/>
      <c r="EQ119" s="162"/>
      <c r="ER119" s="162"/>
      <c r="ES119" s="162"/>
      <c r="ET119" s="162"/>
      <c r="EU119" s="162"/>
      <c r="EV119" s="162"/>
      <c r="EW119" s="162"/>
      <c r="EX119" s="162"/>
      <c r="EY119" s="162"/>
      <c r="EZ119" s="162"/>
      <c r="FA119" s="162"/>
      <c r="FB119" s="162"/>
      <c r="FC119" s="162"/>
      <c r="FD119" s="162"/>
      <c r="FE119" s="162"/>
      <c r="FF119" s="162"/>
      <c r="FG119" s="162"/>
      <c r="FH119" s="162"/>
      <c r="FI119" s="162"/>
      <c r="FJ119" s="162"/>
      <c r="FK119" s="163"/>
      <c r="FL119" s="162"/>
      <c r="FM119" s="162"/>
      <c r="FN119" s="162"/>
      <c r="FO119" s="162"/>
      <c r="FP119" s="162"/>
      <c r="FQ119" s="162"/>
      <c r="FR119" s="162"/>
      <c r="FS119" s="162"/>
      <c r="FT119" s="162"/>
      <c r="FU119" s="162"/>
      <c r="FV119" s="162"/>
      <c r="FW119" s="162"/>
      <c r="FX119" s="162"/>
      <c r="FY119" s="162"/>
      <c r="FZ119" s="162"/>
      <c r="GA119" s="162"/>
      <c r="GB119" s="162"/>
      <c r="GC119" s="162"/>
      <c r="GD119" s="162"/>
      <c r="GE119" s="162"/>
      <c r="GF119" s="162"/>
      <c r="GG119" s="162"/>
      <c r="GH119" s="162"/>
      <c r="GI119" s="162"/>
      <c r="GJ119" s="162"/>
      <c r="GK119" s="162"/>
      <c r="GL119" s="162"/>
      <c r="GM119" s="162"/>
      <c r="GN119" s="162"/>
      <c r="GO119" s="162"/>
      <c r="GP119" s="162"/>
      <c r="GQ119" s="162"/>
      <c r="GR119" s="162"/>
      <c r="GS119" s="162"/>
      <c r="GT119" s="162"/>
      <c r="GU119" s="162"/>
      <c r="GV119" s="162"/>
      <c r="GW119" s="162"/>
      <c r="GX119" s="162"/>
      <c r="GY119" s="162"/>
      <c r="GZ119" s="162"/>
      <c r="HA119" s="162"/>
      <c r="HB119" s="162"/>
      <c r="HC119" s="162"/>
      <c r="HD119" s="162"/>
      <c r="HE119" s="162"/>
      <c r="HF119" s="162"/>
      <c r="HG119" s="162"/>
      <c r="HH119" s="162"/>
      <c r="HI119" s="162"/>
      <c r="HJ119" s="162"/>
      <c r="HK119" s="162"/>
      <c r="HL119" s="162"/>
      <c r="HM119" s="162"/>
      <c r="HN119" s="162"/>
      <c r="HO119" s="162"/>
      <c r="HP119" s="162"/>
      <c r="HQ119" s="162"/>
      <c r="HR119" s="162"/>
      <c r="HS119" s="162"/>
      <c r="HT119" s="162"/>
      <c r="HU119" s="162"/>
      <c r="HV119" s="162"/>
      <c r="HW119" s="162"/>
      <c r="HX119" s="162"/>
      <c r="HY119" s="162"/>
      <c r="HZ119" s="162"/>
      <c r="IA119" s="162"/>
      <c r="IB119" s="162"/>
      <c r="IC119" s="162"/>
      <c r="ID119" s="162"/>
      <c r="IE119" s="162"/>
      <c r="IF119" s="162"/>
      <c r="IG119" s="162"/>
      <c r="IH119" s="162"/>
      <c r="II119" s="162"/>
      <c r="IJ119" s="162"/>
      <c r="IK119" s="162"/>
      <c r="IL119" s="162"/>
      <c r="IM119" s="162"/>
      <c r="IN119" s="162"/>
      <c r="IO119" s="162"/>
      <c r="IP119" s="162"/>
      <c r="IQ119" s="162"/>
      <c r="IR119" s="162"/>
      <c r="IS119" s="162"/>
      <c r="IT119" s="162"/>
      <c r="IU119" s="162"/>
      <c r="IV119" s="162"/>
      <c r="IW119" s="162"/>
      <c r="IX119" s="162"/>
      <c r="IY119" s="162"/>
      <c r="IZ119" s="162"/>
      <c r="JA119" s="162"/>
      <c r="JB119" s="162"/>
      <c r="JC119" s="162"/>
      <c r="JD119" s="162"/>
      <c r="JE119" s="162"/>
    </row>
    <row r="120" spans="1:265" ht="28" hidden="1" x14ac:dyDescent="0.15">
      <c r="A120" s="68" t="s">
        <v>199</v>
      </c>
      <c r="B120" s="68"/>
      <c r="C120" s="161" t="s">
        <v>200</v>
      </c>
      <c r="D120" s="68"/>
      <c r="E120" s="68"/>
      <c r="F120" s="68"/>
      <c r="G120" s="68"/>
      <c r="H120" s="164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68">
        <v>244</v>
      </c>
      <c r="AW120" s="68">
        <v>286</v>
      </c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5"/>
      <c r="CN120" s="73"/>
      <c r="CO120" s="75"/>
      <c r="CP120" s="73"/>
      <c r="CQ120" s="75"/>
      <c r="CR120" s="73"/>
      <c r="CS120" s="75"/>
      <c r="CT120" s="73"/>
      <c r="CU120" s="75"/>
      <c r="CV120" s="73"/>
      <c r="CW120" s="75"/>
      <c r="CX120" s="73"/>
      <c r="CY120" s="75"/>
      <c r="CZ120" s="73"/>
      <c r="DA120" s="75"/>
      <c r="DB120" s="73"/>
      <c r="DC120" s="75"/>
      <c r="DD120" s="73"/>
      <c r="DE120" s="75"/>
      <c r="DF120" s="73"/>
      <c r="DG120" s="75"/>
      <c r="DH120" s="73"/>
      <c r="DI120" s="75"/>
      <c r="DJ120" s="73"/>
      <c r="DK120" s="75"/>
      <c r="DL120" s="73"/>
      <c r="DM120" s="75"/>
      <c r="DN120" s="73"/>
      <c r="DO120" s="75"/>
      <c r="DP120" s="73"/>
      <c r="DQ120" s="75"/>
      <c r="DR120" s="73"/>
      <c r="DS120" s="75"/>
      <c r="DT120" s="73"/>
      <c r="DU120" s="75"/>
      <c r="DV120" s="73"/>
      <c r="DW120" s="75"/>
      <c r="DX120" s="73"/>
      <c r="DY120" s="75"/>
      <c r="DZ120" s="73"/>
      <c r="EA120" s="75"/>
      <c r="EB120" s="73"/>
      <c r="EC120" s="75"/>
      <c r="ED120" s="73"/>
      <c r="EE120" s="75"/>
      <c r="EF120" s="73"/>
      <c r="EG120" s="76"/>
      <c r="EH120" s="77"/>
      <c r="EI120" s="75"/>
      <c r="EJ120" s="162"/>
      <c r="EK120" s="162"/>
      <c r="EL120" s="162"/>
      <c r="EM120" s="162"/>
      <c r="EN120" s="162"/>
      <c r="EO120" s="162"/>
      <c r="EP120" s="162"/>
      <c r="EQ120" s="162"/>
      <c r="ER120" s="162"/>
      <c r="ES120" s="162"/>
      <c r="ET120" s="162"/>
      <c r="EU120" s="162"/>
      <c r="EV120" s="162"/>
      <c r="EW120" s="162"/>
      <c r="EX120" s="162"/>
      <c r="EY120" s="162"/>
      <c r="EZ120" s="162"/>
      <c r="FA120" s="162"/>
      <c r="FB120" s="162"/>
      <c r="FC120" s="162"/>
      <c r="FD120" s="162"/>
      <c r="FE120" s="162"/>
      <c r="FF120" s="162"/>
      <c r="FG120" s="162"/>
      <c r="FH120" s="162"/>
      <c r="FI120" s="162"/>
      <c r="FJ120" s="162"/>
      <c r="FK120" s="163"/>
      <c r="FL120" s="162"/>
      <c r="FM120" s="162"/>
      <c r="FN120" s="162"/>
      <c r="FO120" s="162"/>
      <c r="FP120" s="162"/>
      <c r="FQ120" s="162"/>
      <c r="FR120" s="162"/>
      <c r="FS120" s="162"/>
      <c r="FT120" s="162"/>
      <c r="FU120" s="162"/>
      <c r="FV120" s="162"/>
      <c r="FW120" s="162"/>
      <c r="FX120" s="162"/>
      <c r="FY120" s="162"/>
      <c r="FZ120" s="162"/>
      <c r="GA120" s="162"/>
      <c r="GB120" s="162"/>
      <c r="GC120" s="162"/>
      <c r="GD120" s="162"/>
      <c r="GE120" s="162"/>
      <c r="GF120" s="162"/>
      <c r="GG120" s="162"/>
      <c r="GH120" s="162"/>
      <c r="GI120" s="162"/>
      <c r="GJ120" s="162"/>
      <c r="GK120" s="162"/>
      <c r="GL120" s="162"/>
      <c r="GM120" s="162"/>
      <c r="GN120" s="162"/>
      <c r="GO120" s="162"/>
      <c r="GP120" s="162"/>
      <c r="GQ120" s="162"/>
      <c r="GR120" s="162"/>
      <c r="GS120" s="162"/>
      <c r="GT120" s="162"/>
      <c r="GU120" s="162"/>
      <c r="GV120" s="162"/>
      <c r="GW120" s="162"/>
      <c r="GX120" s="162"/>
      <c r="GY120" s="162"/>
      <c r="GZ120" s="162"/>
      <c r="HA120" s="162"/>
      <c r="HB120" s="162"/>
      <c r="HC120" s="162"/>
      <c r="HD120" s="162"/>
      <c r="HE120" s="162"/>
      <c r="HF120" s="162"/>
      <c r="HG120" s="162"/>
      <c r="HH120" s="162"/>
      <c r="HI120" s="162"/>
      <c r="HJ120" s="162"/>
      <c r="HK120" s="162"/>
      <c r="HL120" s="162"/>
      <c r="HM120" s="162"/>
      <c r="HN120" s="162"/>
      <c r="HO120" s="162"/>
      <c r="HP120" s="162"/>
      <c r="HQ120" s="162"/>
      <c r="HR120" s="162"/>
      <c r="HS120" s="162"/>
      <c r="HT120" s="162"/>
      <c r="HU120" s="162"/>
      <c r="HV120" s="162"/>
      <c r="HW120" s="162"/>
      <c r="HX120" s="162"/>
      <c r="HY120" s="162"/>
      <c r="HZ120" s="162"/>
      <c r="IA120" s="162"/>
      <c r="IB120" s="162"/>
      <c r="IC120" s="162"/>
      <c r="ID120" s="162"/>
      <c r="IE120" s="162"/>
      <c r="IF120" s="162"/>
      <c r="IG120" s="162"/>
      <c r="IH120" s="162"/>
      <c r="II120" s="162"/>
      <c r="IJ120" s="162"/>
      <c r="IK120" s="162"/>
      <c r="IL120" s="162"/>
      <c r="IM120" s="162"/>
      <c r="IN120" s="162"/>
      <c r="IO120" s="162"/>
      <c r="IP120" s="162"/>
      <c r="IQ120" s="162"/>
      <c r="IR120" s="162"/>
      <c r="IS120" s="162"/>
      <c r="IT120" s="162"/>
      <c r="IU120" s="162"/>
      <c r="IV120" s="162"/>
      <c r="IW120" s="162"/>
      <c r="IX120" s="162"/>
      <c r="IY120" s="162"/>
      <c r="IZ120" s="162"/>
      <c r="JA120" s="162"/>
      <c r="JB120" s="162"/>
      <c r="JC120" s="162"/>
      <c r="JD120" s="162"/>
      <c r="JE120" s="162"/>
    </row>
    <row r="121" spans="1:265" hidden="1" x14ac:dyDescent="0.15">
      <c r="A121" s="54" t="s">
        <v>192</v>
      </c>
      <c r="B121" s="54"/>
      <c r="C121" s="54"/>
      <c r="D121" s="54"/>
      <c r="E121" s="165"/>
      <c r="F121" s="54"/>
      <c r="G121" s="165"/>
      <c r="H121" s="54"/>
      <c r="I121" s="165"/>
      <c r="J121" s="54"/>
      <c r="K121" s="165"/>
      <c r="L121" s="54"/>
      <c r="M121" s="165"/>
      <c r="N121" s="54"/>
      <c r="O121" s="165"/>
      <c r="P121" s="54"/>
      <c r="Q121" s="54"/>
      <c r="R121" s="54"/>
      <c r="S121" s="54"/>
      <c r="T121" s="54"/>
      <c r="U121" s="54"/>
      <c r="V121" s="54"/>
      <c r="W121" s="54"/>
      <c r="X121" s="54"/>
      <c r="Y121" s="166"/>
      <c r="Z121" s="54"/>
      <c r="AA121" s="166"/>
      <c r="AB121" s="54"/>
      <c r="AC121" s="54"/>
      <c r="AD121" s="54"/>
      <c r="AE121" s="166"/>
      <c r="AF121" s="54"/>
      <c r="AG121" s="54"/>
      <c r="AH121" s="54">
        <f t="shared" ref="AH121:AM121" si="54">+AH117+AH118</f>
        <v>234</v>
      </c>
      <c r="AI121" s="54">
        <f t="shared" si="54"/>
        <v>362</v>
      </c>
      <c r="AJ121" s="54">
        <f t="shared" si="54"/>
        <v>31</v>
      </c>
      <c r="AK121" s="54">
        <f t="shared" si="54"/>
        <v>55</v>
      </c>
      <c r="AL121" s="54">
        <f t="shared" si="54"/>
        <v>23</v>
      </c>
      <c r="AM121" s="54">
        <f t="shared" si="54"/>
        <v>34</v>
      </c>
      <c r="AN121" s="54">
        <f>+AN117+AN118</f>
        <v>11</v>
      </c>
      <c r="AO121" s="54">
        <f>+AO117+AO118</f>
        <v>25</v>
      </c>
      <c r="AP121" s="54">
        <f t="shared" ref="AP121:AU121" si="55">+AP117+AP118+AP119</f>
        <v>155</v>
      </c>
      <c r="AQ121" s="54">
        <f t="shared" si="55"/>
        <v>245</v>
      </c>
      <c r="AR121" s="54">
        <f t="shared" si="55"/>
        <v>10</v>
      </c>
      <c r="AS121" s="54">
        <f t="shared" si="55"/>
        <v>28</v>
      </c>
      <c r="AT121" s="54">
        <f t="shared" si="55"/>
        <v>8</v>
      </c>
      <c r="AU121" s="54">
        <f t="shared" si="55"/>
        <v>25</v>
      </c>
      <c r="AV121" s="54">
        <f>SUM(AV117:AV120)</f>
        <v>347</v>
      </c>
      <c r="AW121" s="54">
        <f>SUM(AW117:AW120)</f>
        <v>463</v>
      </c>
      <c r="AX121" s="54">
        <f>+AX117+AX118+AX119</f>
        <v>60</v>
      </c>
      <c r="AY121" s="54">
        <f>+AY117+AY118+AY119</f>
        <v>85</v>
      </c>
      <c r="AZ121" s="54">
        <f t="shared" ref="AZ121:CE121" si="56">SUM(AZ117:AZ120)</f>
        <v>38</v>
      </c>
      <c r="BA121" s="54">
        <f t="shared" si="56"/>
        <v>80</v>
      </c>
      <c r="BB121" s="54">
        <f t="shared" si="56"/>
        <v>0</v>
      </c>
      <c r="BC121" s="54">
        <f t="shared" si="56"/>
        <v>0</v>
      </c>
      <c r="BD121" s="54">
        <f t="shared" si="56"/>
        <v>0</v>
      </c>
      <c r="BE121" s="54">
        <f t="shared" si="56"/>
        <v>0</v>
      </c>
      <c r="BF121" s="54">
        <f t="shared" si="56"/>
        <v>0</v>
      </c>
      <c r="BG121" s="54">
        <f t="shared" si="56"/>
        <v>0</v>
      </c>
      <c r="BH121" s="54">
        <f t="shared" si="56"/>
        <v>0</v>
      </c>
      <c r="BI121" s="54">
        <f t="shared" si="56"/>
        <v>0</v>
      </c>
      <c r="BJ121" s="54">
        <f t="shared" si="56"/>
        <v>0</v>
      </c>
      <c r="BK121" s="54">
        <f t="shared" si="56"/>
        <v>0</v>
      </c>
      <c r="BL121" s="54">
        <f t="shared" si="56"/>
        <v>0</v>
      </c>
      <c r="BM121" s="54">
        <f t="shared" si="56"/>
        <v>0</v>
      </c>
      <c r="BN121" s="54">
        <f t="shared" si="56"/>
        <v>0</v>
      </c>
      <c r="BO121" s="54">
        <f t="shared" si="56"/>
        <v>0</v>
      </c>
      <c r="BP121" s="54">
        <f t="shared" si="56"/>
        <v>0</v>
      </c>
      <c r="BQ121" s="54">
        <f t="shared" si="56"/>
        <v>0</v>
      </c>
      <c r="BR121" s="54">
        <f t="shared" si="56"/>
        <v>0</v>
      </c>
      <c r="BS121" s="54">
        <f t="shared" si="56"/>
        <v>0</v>
      </c>
      <c r="BT121" s="54">
        <f t="shared" si="56"/>
        <v>0</v>
      </c>
      <c r="BU121" s="54">
        <f t="shared" si="56"/>
        <v>0</v>
      </c>
      <c r="BV121" s="54">
        <f t="shared" si="56"/>
        <v>0</v>
      </c>
      <c r="BW121" s="54">
        <f t="shared" si="56"/>
        <v>0</v>
      </c>
      <c r="BX121" s="54">
        <f t="shared" si="56"/>
        <v>0</v>
      </c>
      <c r="BY121" s="54">
        <f t="shared" si="56"/>
        <v>0</v>
      </c>
      <c r="BZ121" s="54">
        <f t="shared" si="56"/>
        <v>0</v>
      </c>
      <c r="CA121" s="54">
        <f t="shared" si="56"/>
        <v>0</v>
      </c>
      <c r="CB121" s="54">
        <f t="shared" si="56"/>
        <v>0</v>
      </c>
      <c r="CC121" s="54">
        <f t="shared" si="56"/>
        <v>0</v>
      </c>
      <c r="CD121" s="54">
        <f t="shared" si="56"/>
        <v>0</v>
      </c>
      <c r="CE121" s="54">
        <f t="shared" si="56"/>
        <v>0</v>
      </c>
      <c r="CF121" s="54">
        <f>IF(ISERROR('raw data'!GV135/'raw data'!GW135),0,'raw data'!GV135/'raw data'!GW135)</f>
        <v>0.67391304347826086</v>
      </c>
      <c r="CG121" s="54">
        <f t="shared" ref="CG121:DE121" si="57">SUM(CG117:CG120)</f>
        <v>0</v>
      </c>
      <c r="CH121" s="54">
        <f t="shared" si="57"/>
        <v>0</v>
      </c>
      <c r="CI121" s="54">
        <f t="shared" si="57"/>
        <v>0</v>
      </c>
      <c r="CJ121" s="54">
        <f t="shared" si="57"/>
        <v>0</v>
      </c>
      <c r="CK121" s="54">
        <f t="shared" si="57"/>
        <v>0</v>
      </c>
      <c r="CL121" s="54">
        <f t="shared" si="57"/>
        <v>0</v>
      </c>
      <c r="CM121" s="54">
        <f t="shared" si="57"/>
        <v>0</v>
      </c>
      <c r="CN121" s="54">
        <f t="shared" si="57"/>
        <v>0</v>
      </c>
      <c r="CO121" s="54">
        <f t="shared" si="57"/>
        <v>0</v>
      </c>
      <c r="CP121" s="54">
        <f t="shared" si="57"/>
        <v>0</v>
      </c>
      <c r="CQ121" s="54">
        <f t="shared" si="57"/>
        <v>0</v>
      </c>
      <c r="CR121" s="54">
        <f t="shared" si="57"/>
        <v>0</v>
      </c>
      <c r="CS121" s="54">
        <f t="shared" si="57"/>
        <v>0</v>
      </c>
      <c r="CT121" s="54">
        <f t="shared" si="57"/>
        <v>0</v>
      </c>
      <c r="CU121" s="54">
        <f t="shared" si="57"/>
        <v>0</v>
      </c>
      <c r="CV121" s="54">
        <f t="shared" si="57"/>
        <v>0</v>
      </c>
      <c r="CW121" s="54">
        <f t="shared" si="57"/>
        <v>0</v>
      </c>
      <c r="CX121" s="54">
        <f t="shared" si="57"/>
        <v>0</v>
      </c>
      <c r="CY121" s="54">
        <f t="shared" si="57"/>
        <v>0</v>
      </c>
      <c r="CZ121" s="54">
        <f t="shared" si="57"/>
        <v>0</v>
      </c>
      <c r="DA121" s="54">
        <f t="shared" si="57"/>
        <v>0</v>
      </c>
      <c r="DB121" s="54">
        <f t="shared" si="57"/>
        <v>0</v>
      </c>
      <c r="DC121" s="54">
        <f t="shared" si="57"/>
        <v>0</v>
      </c>
      <c r="DD121" s="54">
        <f t="shared" si="57"/>
        <v>0</v>
      </c>
      <c r="DE121" s="54">
        <f t="shared" si="57"/>
        <v>0</v>
      </c>
      <c r="DF121" s="54">
        <f t="shared" ref="DF121:EI121" si="58">SUM(DF117:DF120)</f>
        <v>0</v>
      </c>
      <c r="DG121" s="54">
        <f t="shared" si="58"/>
        <v>0</v>
      </c>
      <c r="DH121" s="54">
        <f t="shared" si="58"/>
        <v>0</v>
      </c>
      <c r="DI121" s="54">
        <f t="shared" si="58"/>
        <v>0</v>
      </c>
      <c r="DJ121" s="54">
        <f t="shared" si="58"/>
        <v>0</v>
      </c>
      <c r="DK121" s="54">
        <f t="shared" si="58"/>
        <v>0</v>
      </c>
      <c r="DL121" s="54">
        <f t="shared" si="58"/>
        <v>0</v>
      </c>
      <c r="DM121" s="54">
        <f t="shared" si="58"/>
        <v>0</v>
      </c>
      <c r="DN121" s="54">
        <f t="shared" si="58"/>
        <v>0</v>
      </c>
      <c r="DO121" s="54">
        <f t="shared" si="58"/>
        <v>0</v>
      </c>
      <c r="DP121" s="54">
        <f t="shared" si="58"/>
        <v>0</v>
      </c>
      <c r="DQ121" s="54">
        <f t="shared" si="58"/>
        <v>0</v>
      </c>
      <c r="DR121" s="54">
        <f t="shared" si="58"/>
        <v>0</v>
      </c>
      <c r="DS121" s="54">
        <f t="shared" si="58"/>
        <v>0</v>
      </c>
      <c r="DT121" s="54">
        <f t="shared" si="58"/>
        <v>0</v>
      </c>
      <c r="DU121" s="54">
        <f t="shared" si="58"/>
        <v>0</v>
      </c>
      <c r="DV121" s="54">
        <f t="shared" si="58"/>
        <v>0</v>
      </c>
      <c r="DW121" s="54">
        <f t="shared" si="58"/>
        <v>0</v>
      </c>
      <c r="DX121" s="54">
        <f t="shared" si="58"/>
        <v>0</v>
      </c>
      <c r="DY121" s="54">
        <f t="shared" si="58"/>
        <v>0</v>
      </c>
      <c r="DZ121" s="54">
        <f t="shared" si="58"/>
        <v>0</v>
      </c>
      <c r="EA121" s="54">
        <f t="shared" si="58"/>
        <v>0</v>
      </c>
      <c r="EB121" s="54">
        <f t="shared" si="58"/>
        <v>0</v>
      </c>
      <c r="EC121" s="54">
        <f t="shared" si="58"/>
        <v>0</v>
      </c>
      <c r="ED121" s="54">
        <f t="shared" si="58"/>
        <v>0</v>
      </c>
      <c r="EE121" s="54">
        <f t="shared" si="58"/>
        <v>0</v>
      </c>
      <c r="EF121" s="54">
        <f t="shared" si="58"/>
        <v>0</v>
      </c>
      <c r="EG121" s="120">
        <f t="shared" si="58"/>
        <v>0</v>
      </c>
      <c r="EH121" s="121">
        <f t="shared" si="58"/>
        <v>0</v>
      </c>
      <c r="EI121" s="156">
        <f t="shared" si="58"/>
        <v>0</v>
      </c>
      <c r="EJ121" s="51"/>
      <c r="EK121" s="51"/>
      <c r="EL121" s="51"/>
      <c r="EM121" s="51"/>
      <c r="EN121" s="51"/>
      <c r="EO121" s="51"/>
      <c r="EP121" s="51"/>
      <c r="EQ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167"/>
      <c r="FL121" s="51"/>
      <c r="FM121" s="51"/>
      <c r="FN121" s="51"/>
      <c r="FO121" s="51"/>
      <c r="FP121" s="51"/>
      <c r="FQ121" s="51"/>
      <c r="FR121" s="51"/>
      <c r="FS121" s="51"/>
      <c r="FT121" s="51"/>
      <c r="FU121" s="51"/>
      <c r="FV121" s="51"/>
      <c r="FW121" s="51"/>
      <c r="FX121" s="51"/>
      <c r="FY121" s="51"/>
      <c r="FZ121" s="51"/>
      <c r="GA121" s="51"/>
      <c r="GB121" s="51"/>
      <c r="GC121" s="51"/>
      <c r="GD121" s="51"/>
      <c r="GE121" s="51"/>
      <c r="GF121" s="51"/>
      <c r="GG121" s="51"/>
      <c r="GH121" s="51"/>
      <c r="GI121" s="51"/>
      <c r="GJ121" s="51"/>
      <c r="GK121" s="51"/>
      <c r="GL121" s="51"/>
      <c r="GM121" s="51"/>
      <c r="GN121" s="51"/>
      <c r="GO121" s="51"/>
      <c r="GP121" s="51"/>
      <c r="GQ121" s="51"/>
      <c r="GR121" s="51"/>
      <c r="GS121" s="51"/>
      <c r="GT121" s="51"/>
      <c r="GU121" s="51"/>
      <c r="GV121" s="51"/>
      <c r="GW121" s="51"/>
      <c r="GX121" s="51"/>
      <c r="GY121" s="51"/>
      <c r="GZ121" s="51"/>
      <c r="HA121" s="51"/>
      <c r="HB121" s="51"/>
      <c r="HC121" s="51"/>
      <c r="HD121" s="51"/>
      <c r="HE121" s="51"/>
      <c r="HF121" s="51"/>
      <c r="HG121" s="51"/>
      <c r="HH121" s="51"/>
      <c r="HI121" s="51"/>
      <c r="HJ121" s="51"/>
      <c r="HK121" s="51"/>
      <c r="HL121" s="51"/>
      <c r="HM121" s="51"/>
      <c r="HN121" s="51"/>
      <c r="HO121" s="51"/>
      <c r="HP121" s="51"/>
      <c r="HQ121" s="51"/>
      <c r="HR121" s="51"/>
      <c r="HS121" s="51"/>
      <c r="HT121" s="51"/>
      <c r="HU121" s="51"/>
      <c r="HV121" s="51"/>
      <c r="HW121" s="51"/>
      <c r="HX121" s="51"/>
      <c r="HY121" s="51"/>
      <c r="HZ121" s="51"/>
      <c r="IA121" s="51"/>
      <c r="IB121" s="51"/>
      <c r="IC121" s="51"/>
      <c r="ID121" s="51"/>
      <c r="IE121" s="51"/>
      <c r="IF121" s="51"/>
      <c r="IG121" s="51"/>
      <c r="IH121" s="51"/>
      <c r="II121" s="51"/>
      <c r="IJ121" s="51"/>
      <c r="IK121" s="51"/>
      <c r="IL121" s="51"/>
      <c r="IM121" s="51"/>
      <c r="IN121" s="51"/>
      <c r="IO121" s="51"/>
      <c r="IP121" s="51"/>
      <c r="IQ121" s="51"/>
      <c r="IR121" s="51"/>
      <c r="IS121" s="51"/>
      <c r="IT121" s="51"/>
      <c r="IU121" s="51"/>
      <c r="IV121" s="51"/>
      <c r="IW121" s="51"/>
      <c r="IX121" s="51"/>
      <c r="IY121" s="51"/>
      <c r="IZ121" s="51"/>
      <c r="JA121" s="51"/>
      <c r="JB121" s="51"/>
      <c r="JC121" s="51"/>
      <c r="JD121" s="51"/>
      <c r="JE121" s="51"/>
    </row>
    <row r="122" spans="1:265" x14ac:dyDescent="0.15">
      <c r="AI122" s="168"/>
      <c r="CO122" s="169"/>
      <c r="CQ122" s="169"/>
      <c r="CS122" s="169"/>
      <c r="CU122" s="169"/>
      <c r="CV122"/>
      <c r="CW122" s="169"/>
      <c r="CX122"/>
      <c r="CY122" s="169"/>
      <c r="CZ122"/>
      <c r="DA122" s="169"/>
      <c r="DB122"/>
      <c r="DC122" s="169"/>
      <c r="DD122"/>
      <c r="DE122" s="169"/>
      <c r="DF122"/>
      <c r="DG122" s="169"/>
      <c r="DH122"/>
      <c r="DI122" s="169"/>
      <c r="DJ122"/>
      <c r="DK122" s="169"/>
      <c r="DL122"/>
      <c r="DM122" s="169"/>
      <c r="DN122"/>
      <c r="DO122" s="169"/>
      <c r="DP122"/>
      <c r="DQ122" s="169"/>
      <c r="DR122"/>
      <c r="DS122" s="169"/>
      <c r="DU122" s="169"/>
      <c r="DW122" s="169"/>
      <c r="DY122" s="169"/>
      <c r="EA122" s="169"/>
      <c r="EC122" s="169"/>
      <c r="EE122" s="169"/>
      <c r="EG122" s="169"/>
      <c r="EH122" s="170"/>
      <c r="EI122" s="169"/>
      <c r="EJ122" s="169"/>
      <c r="EK122" s="169"/>
      <c r="EL122" s="169"/>
      <c r="EM122" s="169"/>
      <c r="EN122" s="169"/>
      <c r="EO122" s="169"/>
      <c r="EP122" s="169"/>
      <c r="EQ122" s="169"/>
      <c r="ER122" s="169"/>
      <c r="ES122" s="169"/>
      <c r="ET122" s="169"/>
      <c r="EU122" s="169"/>
      <c r="EV122" s="169"/>
      <c r="EW122" s="169"/>
      <c r="EX122" s="169"/>
      <c r="EY122" s="169"/>
      <c r="EZ122" s="169"/>
      <c r="FA122" s="169"/>
      <c r="FB122" s="169"/>
      <c r="FC122" s="169"/>
      <c r="FD122" s="169"/>
      <c r="FE122" s="169"/>
      <c r="FF122" s="169"/>
      <c r="FG122" s="169"/>
      <c r="FH122" s="169"/>
      <c r="FI122" s="169"/>
      <c r="FJ122" s="169"/>
      <c r="FK122" s="171"/>
      <c r="FL122" s="169"/>
      <c r="FM122" s="169"/>
      <c r="FN122" s="169"/>
      <c r="FO122" s="169"/>
      <c r="FP122" s="169"/>
      <c r="FQ122" s="169"/>
      <c r="FR122" s="169"/>
      <c r="FS122" s="169"/>
      <c r="FT122" s="169"/>
      <c r="FU122" s="169"/>
      <c r="FV122" s="169"/>
      <c r="FW122" s="169"/>
      <c r="FX122" s="169"/>
      <c r="FY122" s="169"/>
      <c r="FZ122" s="169"/>
      <c r="GA122" s="169"/>
      <c r="GB122" s="169"/>
      <c r="GC122" s="169"/>
      <c r="GD122" s="169"/>
      <c r="GE122" s="169"/>
      <c r="GF122" s="169"/>
      <c r="GG122" s="169"/>
      <c r="GH122" s="169"/>
      <c r="GI122" s="169"/>
      <c r="GJ122" s="169"/>
      <c r="GK122" s="169"/>
      <c r="GL122" s="169"/>
      <c r="GM122" s="169"/>
      <c r="GN122" s="169"/>
      <c r="GO122" s="169"/>
      <c r="GP122" s="169"/>
      <c r="GQ122" s="169"/>
      <c r="GR122" s="169"/>
      <c r="GS122" s="169"/>
      <c r="GT122" s="169"/>
      <c r="GU122" s="169"/>
      <c r="GV122" s="169"/>
      <c r="GW122" s="169"/>
      <c r="GX122" s="169"/>
      <c r="GY122" s="169"/>
      <c r="GZ122" s="169"/>
      <c r="HA122" s="169"/>
      <c r="HB122" s="169"/>
      <c r="HC122" s="169"/>
      <c r="HD122" s="169"/>
      <c r="HE122" s="169"/>
      <c r="HF122" s="169"/>
      <c r="HG122" s="169"/>
      <c r="HH122" s="169"/>
      <c r="HI122" s="169"/>
      <c r="HJ122" s="169"/>
      <c r="HK122" s="169"/>
      <c r="HL122" s="169"/>
      <c r="HM122" s="169"/>
      <c r="HN122" s="169"/>
      <c r="HO122" s="169"/>
      <c r="HP122" s="169"/>
      <c r="HQ122" s="169"/>
      <c r="HR122" s="169"/>
      <c r="HS122" s="169"/>
      <c r="HT122" s="169"/>
      <c r="HU122" s="169"/>
      <c r="HV122" s="169"/>
      <c r="HW122" s="169"/>
      <c r="HX122" s="169"/>
      <c r="HY122" s="169"/>
      <c r="HZ122" s="169"/>
      <c r="IA122" s="169"/>
      <c r="IB122" s="169"/>
      <c r="IC122" s="169"/>
      <c r="ID122" s="169"/>
      <c r="IE122" s="169"/>
      <c r="IF122" s="169"/>
      <c r="IG122" s="169"/>
      <c r="IH122" s="169"/>
      <c r="II122" s="169"/>
      <c r="IJ122" s="169"/>
      <c r="IK122" s="169"/>
      <c r="IL122" s="169"/>
      <c r="IM122" s="169"/>
      <c r="IN122" s="169"/>
      <c r="IO122" s="169"/>
      <c r="IP122" s="169"/>
      <c r="IQ122" s="169"/>
      <c r="IR122" s="169"/>
      <c r="IS122" s="169"/>
      <c r="IT122" s="169"/>
      <c r="IU122" s="169"/>
      <c r="IV122" s="169"/>
      <c r="IW122" s="169"/>
      <c r="IX122" s="169"/>
      <c r="IY122" s="169"/>
      <c r="IZ122" s="169"/>
      <c r="JA122" s="169"/>
      <c r="JB122" s="169"/>
      <c r="JC122" s="169"/>
      <c r="JD122" s="169"/>
      <c r="JE122" s="169"/>
    </row>
    <row r="123" spans="1:265" x14ac:dyDescent="0.15">
      <c r="D123">
        <f t="shared" ref="D123:BO123" si="59">+D116+D121</f>
        <v>88</v>
      </c>
      <c r="E123">
        <f t="shared" si="59"/>
        <v>418</v>
      </c>
      <c r="F123">
        <f t="shared" si="59"/>
        <v>46</v>
      </c>
      <c r="G123">
        <f t="shared" si="59"/>
        <v>407</v>
      </c>
      <c r="H123">
        <f t="shared" si="59"/>
        <v>39</v>
      </c>
      <c r="I123">
        <f t="shared" si="59"/>
        <v>319</v>
      </c>
      <c r="J123">
        <f t="shared" si="59"/>
        <v>65</v>
      </c>
      <c r="K123">
        <f t="shared" si="59"/>
        <v>522</v>
      </c>
      <c r="L123">
        <f t="shared" si="59"/>
        <v>45</v>
      </c>
      <c r="M123">
        <f t="shared" si="59"/>
        <v>536</v>
      </c>
      <c r="N123">
        <f t="shared" si="59"/>
        <v>67</v>
      </c>
      <c r="O123">
        <f t="shared" si="59"/>
        <v>682</v>
      </c>
      <c r="P123">
        <f t="shared" si="59"/>
        <v>16</v>
      </c>
      <c r="Q123">
        <f t="shared" si="59"/>
        <v>272</v>
      </c>
      <c r="R123">
        <f t="shared" si="59"/>
        <v>58</v>
      </c>
      <c r="S123">
        <f t="shared" si="59"/>
        <v>361</v>
      </c>
      <c r="T123">
        <f t="shared" si="59"/>
        <v>54</v>
      </c>
      <c r="U123">
        <f t="shared" si="59"/>
        <v>686</v>
      </c>
      <c r="V123">
        <f t="shared" si="59"/>
        <v>79</v>
      </c>
      <c r="W123">
        <f t="shared" si="59"/>
        <v>793</v>
      </c>
      <c r="X123">
        <f t="shared" si="59"/>
        <v>42</v>
      </c>
      <c r="Y123">
        <f t="shared" si="59"/>
        <v>769</v>
      </c>
      <c r="Z123">
        <f t="shared" si="59"/>
        <v>45</v>
      </c>
      <c r="AA123">
        <f t="shared" si="59"/>
        <v>508</v>
      </c>
      <c r="AB123">
        <f t="shared" si="59"/>
        <v>45</v>
      </c>
      <c r="AC123">
        <f t="shared" si="59"/>
        <v>426</v>
      </c>
      <c r="AD123">
        <f t="shared" si="59"/>
        <v>69</v>
      </c>
      <c r="AE123">
        <f t="shared" si="59"/>
        <v>694</v>
      </c>
      <c r="AF123">
        <f t="shared" si="59"/>
        <v>68</v>
      </c>
      <c r="AG123">
        <f t="shared" si="59"/>
        <v>393</v>
      </c>
      <c r="AH123">
        <f t="shared" si="59"/>
        <v>347</v>
      </c>
      <c r="AI123">
        <f t="shared" si="59"/>
        <v>944</v>
      </c>
      <c r="AJ123">
        <f t="shared" si="59"/>
        <v>109</v>
      </c>
      <c r="AK123">
        <f t="shared" si="59"/>
        <v>616</v>
      </c>
      <c r="AL123">
        <f t="shared" si="59"/>
        <v>98</v>
      </c>
      <c r="AM123">
        <f t="shared" si="59"/>
        <v>463</v>
      </c>
      <c r="AN123">
        <f t="shared" si="59"/>
        <v>93</v>
      </c>
      <c r="AO123">
        <f t="shared" si="59"/>
        <v>448</v>
      </c>
      <c r="AP123">
        <f t="shared" si="59"/>
        <v>228</v>
      </c>
      <c r="AQ123">
        <f t="shared" si="59"/>
        <v>834</v>
      </c>
      <c r="AR123">
        <f t="shared" si="59"/>
        <v>98</v>
      </c>
      <c r="AS123">
        <f t="shared" si="59"/>
        <v>615</v>
      </c>
      <c r="AT123">
        <f t="shared" si="59"/>
        <v>130</v>
      </c>
      <c r="AU123">
        <f t="shared" si="59"/>
        <v>565</v>
      </c>
      <c r="AV123">
        <f t="shared" si="59"/>
        <v>512</v>
      </c>
      <c r="AW123">
        <f t="shared" si="59"/>
        <v>1188</v>
      </c>
      <c r="AX123">
        <f t="shared" si="59"/>
        <v>184</v>
      </c>
      <c r="AY123">
        <f t="shared" si="59"/>
        <v>731</v>
      </c>
      <c r="AZ123">
        <f t="shared" si="59"/>
        <v>118</v>
      </c>
      <c r="BA123">
        <f t="shared" si="59"/>
        <v>543</v>
      </c>
      <c r="BB123">
        <f t="shared" si="59"/>
        <v>150</v>
      </c>
      <c r="BC123">
        <f t="shared" si="59"/>
        <v>621</v>
      </c>
      <c r="BD123">
        <f t="shared" si="59"/>
        <v>107</v>
      </c>
      <c r="BE123">
        <f t="shared" si="59"/>
        <v>554</v>
      </c>
      <c r="BF123" s="172">
        <f t="shared" si="59"/>
        <v>116</v>
      </c>
      <c r="BG123">
        <f t="shared" si="59"/>
        <v>749</v>
      </c>
      <c r="BH123">
        <f t="shared" si="59"/>
        <v>126</v>
      </c>
      <c r="BI123">
        <f t="shared" si="59"/>
        <v>743</v>
      </c>
      <c r="BJ123">
        <f t="shared" si="59"/>
        <v>106</v>
      </c>
      <c r="BK123">
        <f t="shared" si="59"/>
        <v>870</v>
      </c>
      <c r="BL123">
        <f t="shared" si="59"/>
        <v>101</v>
      </c>
      <c r="BM123">
        <f t="shared" si="59"/>
        <v>752</v>
      </c>
      <c r="BN123">
        <f t="shared" si="59"/>
        <v>132</v>
      </c>
      <c r="BO123">
        <f t="shared" si="59"/>
        <v>942</v>
      </c>
      <c r="BP123">
        <f t="shared" ref="BP123:EA123" si="60">+BP116+BP121</f>
        <v>94</v>
      </c>
      <c r="BQ123">
        <f t="shared" si="60"/>
        <v>835</v>
      </c>
      <c r="BR123">
        <f t="shared" si="60"/>
        <v>113</v>
      </c>
      <c r="BS123">
        <f t="shared" si="60"/>
        <v>739</v>
      </c>
      <c r="BT123">
        <f t="shared" si="60"/>
        <v>123</v>
      </c>
      <c r="BU123">
        <f t="shared" si="60"/>
        <v>968</v>
      </c>
      <c r="BV123">
        <f t="shared" si="60"/>
        <v>129</v>
      </c>
      <c r="BW123">
        <f t="shared" si="60"/>
        <v>701</v>
      </c>
      <c r="BX123">
        <f t="shared" si="60"/>
        <v>147</v>
      </c>
      <c r="BY123">
        <f t="shared" si="60"/>
        <v>731</v>
      </c>
      <c r="BZ123">
        <f t="shared" si="60"/>
        <v>0.16157855547282204</v>
      </c>
      <c r="CA123">
        <f t="shared" si="60"/>
        <v>835</v>
      </c>
      <c r="CB123">
        <f t="shared" si="60"/>
        <v>145</v>
      </c>
      <c r="CC123">
        <f t="shared" si="60"/>
        <v>865</v>
      </c>
      <c r="CD123">
        <f t="shared" si="60"/>
        <v>179</v>
      </c>
      <c r="CE123">
        <f t="shared" si="60"/>
        <v>1107</v>
      </c>
      <c r="CF123">
        <f t="shared" si="60"/>
        <v>149.67391304347825</v>
      </c>
      <c r="CG123">
        <f t="shared" si="60"/>
        <v>1032</v>
      </c>
      <c r="CH123">
        <f t="shared" si="60"/>
        <v>183</v>
      </c>
      <c r="CI123">
        <f t="shared" si="60"/>
        <v>1129</v>
      </c>
      <c r="CJ123">
        <f t="shared" si="60"/>
        <v>133</v>
      </c>
      <c r="CK123">
        <f t="shared" si="60"/>
        <v>904</v>
      </c>
      <c r="CL123">
        <f t="shared" si="60"/>
        <v>227</v>
      </c>
      <c r="CM123">
        <f t="shared" si="60"/>
        <v>1420</v>
      </c>
      <c r="CN123">
        <f t="shared" si="60"/>
        <v>175</v>
      </c>
      <c r="CO123">
        <f t="shared" si="60"/>
        <v>1120</v>
      </c>
      <c r="CP123">
        <f t="shared" si="60"/>
        <v>203</v>
      </c>
      <c r="CQ123">
        <f t="shared" si="60"/>
        <v>1354</v>
      </c>
      <c r="CR123">
        <f t="shared" si="60"/>
        <v>181</v>
      </c>
      <c r="CS123">
        <f t="shared" si="60"/>
        <v>1277</v>
      </c>
      <c r="CT123">
        <f t="shared" si="60"/>
        <v>230</v>
      </c>
      <c r="CU123">
        <f t="shared" si="60"/>
        <v>1169</v>
      </c>
      <c r="CV123">
        <f t="shared" si="60"/>
        <v>270</v>
      </c>
      <c r="CW123">
        <f t="shared" si="60"/>
        <v>1379</v>
      </c>
      <c r="CX123">
        <f t="shared" si="60"/>
        <v>175</v>
      </c>
      <c r="CY123">
        <f t="shared" si="60"/>
        <v>1164</v>
      </c>
      <c r="CZ123">
        <f t="shared" si="60"/>
        <v>223</v>
      </c>
      <c r="DA123">
        <f t="shared" si="60"/>
        <v>1178</v>
      </c>
      <c r="DB123">
        <f t="shared" si="60"/>
        <v>332</v>
      </c>
      <c r="DC123">
        <f t="shared" si="60"/>
        <v>1640</v>
      </c>
      <c r="DD123">
        <f t="shared" si="60"/>
        <v>303</v>
      </c>
      <c r="DE123">
        <f t="shared" si="60"/>
        <v>1636</v>
      </c>
      <c r="DF123">
        <f t="shared" si="60"/>
        <v>259</v>
      </c>
      <c r="DG123">
        <f t="shared" si="60"/>
        <v>1210</v>
      </c>
      <c r="DH123">
        <f t="shared" si="60"/>
        <v>298</v>
      </c>
      <c r="DI123">
        <f t="shared" si="60"/>
        <v>1267</v>
      </c>
      <c r="DJ123">
        <f t="shared" si="60"/>
        <v>328</v>
      </c>
      <c r="DK123">
        <f t="shared" si="60"/>
        <v>1518</v>
      </c>
      <c r="DL123">
        <f t="shared" si="60"/>
        <v>299</v>
      </c>
      <c r="DM123">
        <f t="shared" si="60"/>
        <v>1520</v>
      </c>
      <c r="DN123">
        <f t="shared" si="60"/>
        <v>295</v>
      </c>
      <c r="DO123">
        <f t="shared" si="60"/>
        <v>1368</v>
      </c>
      <c r="DP123">
        <f t="shared" si="60"/>
        <v>316</v>
      </c>
      <c r="DQ123">
        <f t="shared" si="60"/>
        <v>1360</v>
      </c>
      <c r="DR123">
        <f t="shared" si="60"/>
        <v>254</v>
      </c>
      <c r="DS123">
        <f t="shared" si="60"/>
        <v>1274</v>
      </c>
      <c r="DT123">
        <f t="shared" si="60"/>
        <v>323</v>
      </c>
      <c r="DU123">
        <f t="shared" si="60"/>
        <v>1572</v>
      </c>
      <c r="DV123">
        <f t="shared" si="60"/>
        <v>161</v>
      </c>
      <c r="DW123">
        <f t="shared" si="60"/>
        <v>1264</v>
      </c>
      <c r="DX123">
        <f t="shared" si="60"/>
        <v>179</v>
      </c>
      <c r="DY123">
        <f t="shared" si="60"/>
        <v>1373</v>
      </c>
      <c r="DZ123">
        <f t="shared" si="60"/>
        <v>210</v>
      </c>
      <c r="EA123">
        <f t="shared" si="60"/>
        <v>1691</v>
      </c>
      <c r="EB123">
        <f t="shared" ref="EB123:FV123" si="61">+EB116+EB121</f>
        <v>307</v>
      </c>
      <c r="EC123">
        <f t="shared" si="61"/>
        <v>1593</v>
      </c>
      <c r="ED123">
        <f t="shared" si="61"/>
        <v>212</v>
      </c>
      <c r="EE123">
        <f t="shared" si="61"/>
        <v>1347</v>
      </c>
      <c r="EF123">
        <f t="shared" si="61"/>
        <v>193</v>
      </c>
      <c r="EG123">
        <f t="shared" si="61"/>
        <v>1628</v>
      </c>
      <c r="EH123" s="170">
        <f t="shared" si="61"/>
        <v>197</v>
      </c>
      <c r="EI123">
        <f t="shared" si="61"/>
        <v>1451</v>
      </c>
      <c r="EJ123">
        <f t="shared" si="61"/>
        <v>262</v>
      </c>
      <c r="EK123">
        <f t="shared" si="61"/>
        <v>1728</v>
      </c>
      <c r="EL123">
        <f t="shared" si="61"/>
        <v>225</v>
      </c>
      <c r="EM123">
        <f t="shared" si="61"/>
        <v>1535</v>
      </c>
      <c r="EN123">
        <f t="shared" si="61"/>
        <v>215</v>
      </c>
      <c r="EO123">
        <f t="shared" si="61"/>
        <v>1303</v>
      </c>
      <c r="EP123">
        <f t="shared" si="61"/>
        <v>294</v>
      </c>
      <c r="EQ123">
        <f t="shared" si="61"/>
        <v>1509</v>
      </c>
      <c r="ER123">
        <f t="shared" si="61"/>
        <v>285</v>
      </c>
      <c r="ES123">
        <f t="shared" si="61"/>
        <v>1578</v>
      </c>
      <c r="ET123">
        <f t="shared" si="61"/>
        <v>256</v>
      </c>
      <c r="EU123">
        <f t="shared" si="61"/>
        <v>1555</v>
      </c>
      <c r="EV123">
        <f t="shared" si="61"/>
        <v>217</v>
      </c>
      <c r="EW123">
        <f t="shared" si="61"/>
        <v>1343</v>
      </c>
      <c r="EX123">
        <f t="shared" si="61"/>
        <v>303</v>
      </c>
      <c r="EY123">
        <f t="shared" si="61"/>
        <v>1912</v>
      </c>
      <c r="EZ123">
        <f t="shared" si="61"/>
        <v>224</v>
      </c>
      <c r="FA123">
        <f t="shared" si="61"/>
        <v>1338</v>
      </c>
      <c r="FB123">
        <f t="shared" si="61"/>
        <v>324</v>
      </c>
      <c r="FC123">
        <f t="shared" si="61"/>
        <v>1702</v>
      </c>
      <c r="FD123">
        <f t="shared" si="61"/>
        <v>252</v>
      </c>
      <c r="FE123">
        <f t="shared" si="61"/>
        <v>1536</v>
      </c>
      <c r="FF123">
        <f t="shared" si="61"/>
        <v>301</v>
      </c>
      <c r="FG123">
        <f t="shared" si="61"/>
        <v>1619</v>
      </c>
      <c r="FH123">
        <f t="shared" si="61"/>
        <v>292</v>
      </c>
      <c r="FI123">
        <f t="shared" si="61"/>
        <v>1713</v>
      </c>
      <c r="FJ123">
        <f t="shared" si="61"/>
        <v>241</v>
      </c>
      <c r="FK123" s="173">
        <f t="shared" si="61"/>
        <v>1587</v>
      </c>
      <c r="FL123" s="174">
        <f t="shared" si="61"/>
        <v>1615</v>
      </c>
      <c r="FM123" s="169">
        <f t="shared" si="61"/>
        <v>1660</v>
      </c>
      <c r="FN123">
        <f t="shared" si="61"/>
        <v>232</v>
      </c>
      <c r="FO123">
        <f t="shared" si="61"/>
        <v>1147</v>
      </c>
      <c r="FP123">
        <f t="shared" si="61"/>
        <v>220</v>
      </c>
      <c r="FQ123">
        <f t="shared" si="61"/>
        <v>1165</v>
      </c>
      <c r="FR123">
        <f t="shared" si="61"/>
        <v>170</v>
      </c>
      <c r="FS123">
        <f t="shared" si="61"/>
        <v>1034</v>
      </c>
      <c r="FT123">
        <f t="shared" si="61"/>
        <v>264</v>
      </c>
      <c r="FU123">
        <f t="shared" si="61"/>
        <v>1353</v>
      </c>
      <c r="FV123">
        <f t="shared" si="61"/>
        <v>135</v>
      </c>
      <c r="FW123">
        <f>+FW116+FW121</f>
        <v>937</v>
      </c>
      <c r="FX123">
        <f t="shared" ref="FX123:GM123" si="62">+FX116+FX121</f>
        <v>214</v>
      </c>
      <c r="FY123">
        <f t="shared" si="62"/>
        <v>1232</v>
      </c>
      <c r="FZ123">
        <f t="shared" si="62"/>
        <v>170</v>
      </c>
      <c r="GA123">
        <f t="shared" si="62"/>
        <v>1102</v>
      </c>
      <c r="GB123">
        <f t="shared" si="62"/>
        <v>210</v>
      </c>
      <c r="GC123">
        <f t="shared" si="62"/>
        <v>1322</v>
      </c>
      <c r="GD123">
        <f t="shared" si="62"/>
        <v>173</v>
      </c>
      <c r="GE123">
        <f t="shared" si="62"/>
        <v>1178</v>
      </c>
      <c r="GF123">
        <f t="shared" si="62"/>
        <v>202</v>
      </c>
      <c r="GG123">
        <f t="shared" si="62"/>
        <v>1048</v>
      </c>
      <c r="GH123">
        <f t="shared" si="62"/>
        <v>179</v>
      </c>
      <c r="GI123">
        <f t="shared" si="62"/>
        <v>1142</v>
      </c>
      <c r="GJ123">
        <f t="shared" si="62"/>
        <v>146</v>
      </c>
      <c r="GK123">
        <f t="shared" si="62"/>
        <v>913</v>
      </c>
      <c r="GL123">
        <f t="shared" si="62"/>
        <v>214</v>
      </c>
      <c r="GM123">
        <f t="shared" si="62"/>
        <v>1320</v>
      </c>
      <c r="GN123">
        <f>+GN116+GN121</f>
        <v>241</v>
      </c>
      <c r="GO123">
        <f>+GO116+GO121</f>
        <v>1432</v>
      </c>
      <c r="GP123">
        <f t="shared" ref="GP123" si="63">+GP116+GP121</f>
        <v>208</v>
      </c>
      <c r="GQ123">
        <f>+GQ116+GQ121</f>
        <v>1279</v>
      </c>
      <c r="GR123">
        <f t="shared" ref="GR123:HA123" si="64">+GR116+GR121</f>
        <v>217</v>
      </c>
      <c r="GS123">
        <f t="shared" si="64"/>
        <v>1227</v>
      </c>
      <c r="GT123">
        <f t="shared" si="64"/>
        <v>164</v>
      </c>
      <c r="GU123">
        <f t="shared" si="64"/>
        <v>927</v>
      </c>
      <c r="GV123">
        <f t="shared" si="64"/>
        <v>279</v>
      </c>
      <c r="GW123">
        <f t="shared" si="64"/>
        <v>1311</v>
      </c>
      <c r="GX123">
        <f t="shared" si="64"/>
        <v>249</v>
      </c>
      <c r="GY123">
        <f t="shared" si="64"/>
        <v>1439</v>
      </c>
      <c r="GZ123">
        <f t="shared" si="64"/>
        <v>262</v>
      </c>
      <c r="HA123">
        <f t="shared" si="64"/>
        <v>1263</v>
      </c>
      <c r="HB123">
        <f>+HB116+HB121</f>
        <v>193</v>
      </c>
      <c r="HC123">
        <f t="shared" ref="HC123:HG123" si="65">+HC116+HC121</f>
        <v>1026</v>
      </c>
      <c r="HD123">
        <f t="shared" si="65"/>
        <v>249</v>
      </c>
      <c r="HE123">
        <f t="shared" si="65"/>
        <v>1020</v>
      </c>
      <c r="HF123">
        <f t="shared" si="65"/>
        <v>225</v>
      </c>
      <c r="HG123">
        <f t="shared" si="65"/>
        <v>907</v>
      </c>
      <c r="HH123">
        <f>+HH116+HH121</f>
        <v>160</v>
      </c>
      <c r="HI123">
        <f t="shared" ref="HI123:HR123" si="66">+HI116+HI121</f>
        <v>805</v>
      </c>
      <c r="HJ123">
        <f t="shared" si="66"/>
        <v>204</v>
      </c>
      <c r="HK123">
        <f t="shared" si="66"/>
        <v>766</v>
      </c>
      <c r="HL123">
        <f t="shared" si="66"/>
        <v>152</v>
      </c>
      <c r="HM123">
        <f t="shared" si="66"/>
        <v>825</v>
      </c>
      <c r="HN123">
        <f t="shared" si="66"/>
        <v>207</v>
      </c>
      <c r="HO123">
        <f t="shared" si="66"/>
        <v>825</v>
      </c>
      <c r="HP123">
        <f t="shared" si="66"/>
        <v>160</v>
      </c>
      <c r="HQ123">
        <f t="shared" si="66"/>
        <v>941</v>
      </c>
      <c r="HR123">
        <f t="shared" si="66"/>
        <v>168</v>
      </c>
      <c r="HS123">
        <f>+HS116+HS121</f>
        <v>710</v>
      </c>
      <c r="HT123">
        <f t="shared" ref="HT123:HX123" si="67">+HT116+HT121</f>
        <v>210</v>
      </c>
      <c r="HU123">
        <f t="shared" si="67"/>
        <v>803</v>
      </c>
      <c r="HV123">
        <f t="shared" si="67"/>
        <v>268</v>
      </c>
      <c r="HW123">
        <f t="shared" si="67"/>
        <v>958</v>
      </c>
      <c r="HX123">
        <f t="shared" si="67"/>
        <v>302</v>
      </c>
      <c r="HY123">
        <f>+HY116+HY121</f>
        <v>1172</v>
      </c>
      <c r="HZ123">
        <f t="shared" ref="HZ123:IQ123" si="68">+HZ116+HZ121</f>
        <v>322</v>
      </c>
      <c r="IA123">
        <f t="shared" si="68"/>
        <v>1182</v>
      </c>
      <c r="IB123">
        <f t="shared" si="68"/>
        <v>457</v>
      </c>
      <c r="IC123">
        <f t="shared" si="68"/>
        <v>1382</v>
      </c>
      <c r="ID123">
        <f t="shared" si="68"/>
        <v>386</v>
      </c>
      <c r="IE123">
        <f t="shared" si="68"/>
        <v>1153</v>
      </c>
      <c r="IF123">
        <f t="shared" si="68"/>
        <v>346</v>
      </c>
      <c r="IG123">
        <f t="shared" si="68"/>
        <v>1229</v>
      </c>
      <c r="IH123">
        <f t="shared" si="68"/>
        <v>453</v>
      </c>
      <c r="II123">
        <f t="shared" si="68"/>
        <v>1287</v>
      </c>
      <c r="IJ123">
        <f t="shared" si="68"/>
        <v>570</v>
      </c>
      <c r="IK123">
        <f t="shared" si="68"/>
        <v>1335</v>
      </c>
      <c r="IL123">
        <f t="shared" si="68"/>
        <v>549</v>
      </c>
      <c r="IM123">
        <f t="shared" si="68"/>
        <v>1439</v>
      </c>
      <c r="IN123">
        <f t="shared" si="68"/>
        <v>471</v>
      </c>
      <c r="IO123">
        <f t="shared" si="68"/>
        <v>1120</v>
      </c>
      <c r="IP123">
        <f t="shared" si="68"/>
        <v>464</v>
      </c>
      <c r="IQ123">
        <f t="shared" si="68"/>
        <v>1070</v>
      </c>
      <c r="IR123">
        <f>+IR116+IR121</f>
        <v>980</v>
      </c>
      <c r="IS123">
        <f t="shared" ref="IS123:JE123" si="69">+IS116+IS121</f>
        <v>2474</v>
      </c>
      <c r="IT123">
        <f t="shared" si="69"/>
        <v>794</v>
      </c>
      <c r="IU123">
        <f t="shared" si="69"/>
        <v>2139</v>
      </c>
      <c r="IV123">
        <f t="shared" si="69"/>
        <v>1161</v>
      </c>
      <c r="IW123">
        <f t="shared" si="69"/>
        <v>2804</v>
      </c>
      <c r="IX123">
        <f t="shared" si="69"/>
        <v>1025</v>
      </c>
      <c r="IY123">
        <f t="shared" si="69"/>
        <v>3364</v>
      </c>
      <c r="IZ123">
        <f t="shared" si="69"/>
        <v>1032</v>
      </c>
      <c r="JA123">
        <f t="shared" si="69"/>
        <v>3212</v>
      </c>
      <c r="JB123">
        <f t="shared" si="69"/>
        <v>955</v>
      </c>
      <c r="JC123">
        <f t="shared" si="69"/>
        <v>3159</v>
      </c>
      <c r="JD123">
        <f t="shared" si="69"/>
        <v>716</v>
      </c>
      <c r="JE123">
        <f t="shared" si="69"/>
        <v>3229</v>
      </c>
    </row>
    <row r="124" spans="1:265" x14ac:dyDescent="0.15">
      <c r="D124" s="175"/>
      <c r="E124" s="175">
        <f t="shared" ref="E124" si="70">+D123/E123</f>
        <v>0.21052631578947367</v>
      </c>
      <c r="F124" s="175"/>
      <c r="G124" s="175">
        <f t="shared" ref="G124" si="71">+F123/G123</f>
        <v>0.11302211302211303</v>
      </c>
      <c r="H124" s="175"/>
      <c r="I124" s="175">
        <f t="shared" ref="I124" si="72">+H123/I123</f>
        <v>0.12225705329153605</v>
      </c>
      <c r="J124" s="175"/>
      <c r="K124" s="175">
        <f t="shared" ref="K124" si="73">+J123/K123</f>
        <v>0.12452107279693486</v>
      </c>
      <c r="L124" s="175"/>
      <c r="M124" s="175">
        <f t="shared" ref="M124" si="74">+L123/M123</f>
        <v>8.3955223880597021E-2</v>
      </c>
      <c r="N124" s="175"/>
      <c r="O124" s="175">
        <f t="shared" ref="O124" si="75">+N123/O123</f>
        <v>9.824046920821114E-2</v>
      </c>
      <c r="P124" s="175"/>
      <c r="Q124" s="175">
        <f t="shared" ref="Q124" si="76">+P123/Q123</f>
        <v>5.8823529411764705E-2</v>
      </c>
      <c r="R124" s="175"/>
      <c r="S124" s="175">
        <f t="shared" ref="S124" si="77">+R123/S123</f>
        <v>0.16066481994459833</v>
      </c>
      <c r="T124" s="175"/>
      <c r="U124" s="175">
        <f t="shared" ref="U124" si="78">+T123/U123</f>
        <v>7.8717201166180764E-2</v>
      </c>
      <c r="V124" s="175"/>
      <c r="W124" s="175">
        <f t="shared" ref="W124" si="79">+V123/W123</f>
        <v>9.9621689785624218E-2</v>
      </c>
      <c r="X124" s="175"/>
      <c r="Y124" s="175">
        <f t="shared" ref="Y124" si="80">+X123/Y123</f>
        <v>5.4616384915474644E-2</v>
      </c>
      <c r="Z124" s="175"/>
      <c r="AA124" s="175">
        <f t="shared" ref="AA124:AG124" si="81">+Z123/AA123</f>
        <v>8.8582677165354326E-2</v>
      </c>
      <c r="AB124" s="175"/>
      <c r="AC124" s="175">
        <f t="shared" si="81"/>
        <v>0.10563380281690141</v>
      </c>
      <c r="AD124" s="175"/>
      <c r="AE124" s="175">
        <f t="shared" si="81"/>
        <v>9.9423631123919304E-2</v>
      </c>
      <c r="AF124" s="175"/>
      <c r="AG124" s="175">
        <f t="shared" si="81"/>
        <v>0.17302798982188294</v>
      </c>
      <c r="AH124" s="175"/>
      <c r="AI124" s="175">
        <f>+AH123/AI123</f>
        <v>0.36758474576271188</v>
      </c>
      <c r="AK124" s="175">
        <f>+AJ123/AK123</f>
        <v>0.17694805194805194</v>
      </c>
      <c r="AM124" s="175">
        <f>+AL123/AM123</f>
        <v>0.21166306695464362</v>
      </c>
      <c r="AO124" s="175">
        <f>+AN123/AO123</f>
        <v>0.20758928571428573</v>
      </c>
      <c r="AQ124" s="175">
        <f>+AP123/AQ123</f>
        <v>0.2733812949640288</v>
      </c>
      <c r="AS124" s="175">
        <f>+AR123/AS123</f>
        <v>0.15934959349593497</v>
      </c>
      <c r="AU124" s="175">
        <f>+AT123/AU123</f>
        <v>0.23008849557522124</v>
      </c>
      <c r="AW124" s="175">
        <f>+AV123/AW123</f>
        <v>0.43097643097643096</v>
      </c>
      <c r="AY124" s="175">
        <f>+AX123/AY123</f>
        <v>0.25170998632010944</v>
      </c>
      <c r="BA124" s="175">
        <f>+AZ123/BA123</f>
        <v>0.21731123388581952</v>
      </c>
      <c r="BC124" s="175">
        <f>+BB123/BC123</f>
        <v>0.24154589371980675</v>
      </c>
      <c r="BE124" s="175">
        <f>+BD123/BE123</f>
        <v>0.19314079422382671</v>
      </c>
      <c r="BG124" s="175">
        <f>+BF123/BG123</f>
        <v>0.15487316421895861</v>
      </c>
      <c r="BI124" s="175">
        <f>+BH123/BI123</f>
        <v>0.1695827725437416</v>
      </c>
      <c r="BK124" s="175">
        <f>+BJ123/BK123</f>
        <v>0.12183908045977011</v>
      </c>
      <c r="BM124" s="175">
        <f>+BL123/BM123</f>
        <v>0.13430851063829788</v>
      </c>
      <c r="BO124" s="175">
        <f>+BN123/BO123</f>
        <v>0.14012738853503184</v>
      </c>
      <c r="BQ124" s="175">
        <f>+BP123/BQ123</f>
        <v>0.1125748502994012</v>
      </c>
      <c r="BS124" s="175">
        <f>+BR123/BS123</f>
        <v>0.15290933694181327</v>
      </c>
      <c r="BU124" s="175">
        <f>+BT123/BU123</f>
        <v>0.12706611570247933</v>
      </c>
      <c r="BW124" s="175">
        <f>+BV123/BW123</f>
        <v>0.18402282453637661</v>
      </c>
      <c r="BY124" s="175">
        <f>+BX123/BY123</f>
        <v>0.20109439124487005</v>
      </c>
      <c r="CA124" s="175">
        <f>+BZ123/CA123</f>
        <v>1.9350725206325993E-4</v>
      </c>
      <c r="CC124" s="175">
        <f>+CB123/CC123</f>
        <v>0.16763005780346821</v>
      </c>
      <c r="CE124" s="175">
        <f>+CD123/CE123</f>
        <v>0.16169828364950317</v>
      </c>
      <c r="CG124" s="175">
        <f>+CF123/CG123</f>
        <v>0.14503286147623862</v>
      </c>
      <c r="CI124" s="175">
        <f>+CH123/CI123</f>
        <v>0.16209034543844109</v>
      </c>
      <c r="CK124" s="175">
        <f>+CJ123/CK123</f>
        <v>0.14712389380530974</v>
      </c>
      <c r="CL124" s="175"/>
      <c r="CM124" s="175">
        <f>+CL123/CM123</f>
        <v>0.15985915492957747</v>
      </c>
      <c r="CN124" s="175"/>
      <c r="CO124" s="175">
        <f>+CN123/CO123</f>
        <v>0.15625</v>
      </c>
      <c r="CP124" s="175"/>
      <c r="CQ124" s="175">
        <f>+CP123/CQ123</f>
        <v>0.14992614475627769</v>
      </c>
      <c r="CR124" s="175"/>
      <c r="CS124" s="175">
        <f>+CR123/CS123</f>
        <v>0.14173844949099451</v>
      </c>
      <c r="CT124" s="175"/>
      <c r="CU124" s="175">
        <f>+CT123/CU123</f>
        <v>0.19674935842600513</v>
      </c>
      <c r="CV124" s="175"/>
      <c r="CW124" s="175">
        <f>+CV123/CW123</f>
        <v>0.19579405366207397</v>
      </c>
      <c r="CX124" s="175"/>
      <c r="CY124" s="175">
        <f>+CX123/CY123</f>
        <v>0.15034364261168384</v>
      </c>
      <c r="CZ124" s="175"/>
      <c r="DA124" s="175">
        <f>+CZ123/DA123</f>
        <v>0.18930390492359933</v>
      </c>
      <c r="DB124" s="175"/>
      <c r="DC124" s="175">
        <f>DB123/DC123</f>
        <v>0.20243902439024392</v>
      </c>
      <c r="DD124" s="175"/>
      <c r="DE124" s="175">
        <f>+DD123/DE123</f>
        <v>0.1852078239608802</v>
      </c>
      <c r="DF124" s="175"/>
      <c r="DG124" s="175">
        <f>+DF123/DG123</f>
        <v>0.21404958677685951</v>
      </c>
      <c r="DH124" s="175"/>
      <c r="DI124" s="175">
        <f>+DH123/DI123</f>
        <v>0.23520126282557222</v>
      </c>
      <c r="DJ124" s="175"/>
      <c r="DK124" s="175">
        <f>+DJ123/DK123</f>
        <v>0.21607378129117261</v>
      </c>
      <c r="DM124" s="175">
        <f>+DL123/DM123</f>
        <v>0.19671052631578947</v>
      </c>
      <c r="DO124" s="175">
        <f>+DN123/DO123</f>
        <v>0.21564327485380116</v>
      </c>
      <c r="DQ124" s="175">
        <f>+DP123/DQ123</f>
        <v>0.2323529411764706</v>
      </c>
      <c r="DS124" s="175">
        <f>+DR123/DS123</f>
        <v>0.19937205651491366</v>
      </c>
      <c r="DT124" s="175"/>
      <c r="DU124" s="175">
        <f>+DT123/DU123</f>
        <v>0.205470737913486</v>
      </c>
      <c r="DV124" s="175"/>
      <c r="DW124" s="175">
        <f>+DV123/DW123</f>
        <v>0.127373417721519</v>
      </c>
      <c r="DX124" s="175"/>
      <c r="DY124" s="175">
        <f>+DX123/DY123</f>
        <v>0.13037144938091769</v>
      </c>
      <c r="DZ124" s="175"/>
      <c r="EA124" s="175">
        <f>+DZ123/EA123</f>
        <v>0.12418687167356594</v>
      </c>
      <c r="EB124" s="175"/>
      <c r="EC124" s="175">
        <f>+EB123/EC123</f>
        <v>0.19271814187068426</v>
      </c>
      <c r="ED124" s="175"/>
      <c r="EE124" s="175">
        <f>+ED123/EE123</f>
        <v>0.15738678544914625</v>
      </c>
      <c r="EF124" s="175"/>
      <c r="EG124" s="175">
        <f>+EF123/EG123</f>
        <v>0.11855036855036855</v>
      </c>
      <c r="EH124" s="176"/>
      <c r="EI124" s="177">
        <f>+EH123/EI123</f>
        <v>0.13576843556168161</v>
      </c>
      <c r="EJ124" s="175"/>
      <c r="EK124" s="175">
        <f>+EJ123/EK123</f>
        <v>0.15162037037037038</v>
      </c>
      <c r="EL124" s="175"/>
      <c r="EM124" s="175">
        <f>+EL123/EM123</f>
        <v>0.1465798045602606</v>
      </c>
      <c r="EN124" s="175"/>
      <c r="EO124" s="175">
        <f>+EN123/EO123</f>
        <v>0.16500383729854182</v>
      </c>
      <c r="EP124" s="175"/>
      <c r="EQ124" s="175">
        <f>+EP123/EQ123</f>
        <v>0.19483101391650098</v>
      </c>
      <c r="ER124" s="175"/>
      <c r="ES124" s="175">
        <f>+ER123/ES123</f>
        <v>0.1806083650190114</v>
      </c>
      <c r="ET124" s="175"/>
      <c r="EU124" s="175">
        <f>+ET123/EU123</f>
        <v>0.16463022508038586</v>
      </c>
      <c r="EV124" s="175"/>
      <c r="EW124" s="175">
        <f>+EV123/EW123</f>
        <v>0.16157855547282204</v>
      </c>
      <c r="EX124" s="175"/>
      <c r="EY124" s="175">
        <f>+EX123/EY123</f>
        <v>0.15847280334728034</v>
      </c>
      <c r="EZ124" s="175"/>
      <c r="FA124" s="175">
        <f>+EZ123/FA123</f>
        <v>0.16741405082212257</v>
      </c>
      <c r="FB124" s="175"/>
      <c r="FC124" s="175">
        <f>+FB123/FC123</f>
        <v>0.19036427732079905</v>
      </c>
      <c r="FD124" s="175"/>
      <c r="FE124" s="175">
        <f>+FD123/FE123</f>
        <v>0.1640625</v>
      </c>
      <c r="FF124" s="175"/>
      <c r="FG124" s="175">
        <f>+FF123/FG123</f>
        <v>0.18591723285979</v>
      </c>
      <c r="FH124" s="175"/>
      <c r="FI124" s="175">
        <f>+FH123/FI123</f>
        <v>0.17046117921774664</v>
      </c>
      <c r="FJ124" s="175"/>
      <c r="FK124" s="178">
        <f>+FJ123/FK123</f>
        <v>0.1518588531821046</v>
      </c>
      <c r="FL124" s="179">
        <f>+FJ123/FL123</f>
        <v>0.14922600619195048</v>
      </c>
      <c r="FM124" s="180">
        <f>+FJ123/FM123</f>
        <v>0.14518072289156628</v>
      </c>
      <c r="FN124" s="175"/>
      <c r="FO124" s="175">
        <f>+FN123/FO123</f>
        <v>0.20226678291194419</v>
      </c>
      <c r="FP124" s="175"/>
      <c r="FQ124" s="175">
        <f>+FP123/FQ123</f>
        <v>0.18884120171673821</v>
      </c>
      <c r="FR124" s="175"/>
      <c r="FS124" s="175">
        <f t="shared" ref="FS124" si="82">+FR123/FS123</f>
        <v>0.16441005802707931</v>
      </c>
      <c r="FT124" s="175"/>
      <c r="FU124" s="175">
        <f t="shared" ref="FU124" si="83">+FT123/FU123</f>
        <v>0.1951219512195122</v>
      </c>
      <c r="FV124" s="175"/>
      <c r="FW124" s="175">
        <f t="shared" ref="FW124" si="84">+FV123/FW123</f>
        <v>0.144076840981857</v>
      </c>
      <c r="FX124" s="175"/>
      <c r="FY124" s="175">
        <f t="shared" ref="FY124" si="85">+FX123/FY123</f>
        <v>0.17370129870129869</v>
      </c>
      <c r="FZ124" s="175"/>
      <c r="GA124" s="175">
        <f>+FZ123/GA123</f>
        <v>0.15426497277676951</v>
      </c>
      <c r="GB124" s="175"/>
      <c r="GC124" s="175">
        <f t="shared" ref="GC124" si="86">+GB123/GC123</f>
        <v>0.15885022692889561</v>
      </c>
      <c r="GD124" s="175"/>
      <c r="GE124" s="175">
        <f t="shared" ref="GE124" si="87">+GD123/GE123</f>
        <v>0.14685908319185059</v>
      </c>
      <c r="GF124" s="175"/>
      <c r="GG124" s="175">
        <f t="shared" ref="GG124" si="88">+GF123/GG123</f>
        <v>0.19274809160305342</v>
      </c>
      <c r="GH124" s="175"/>
      <c r="GI124" s="175">
        <f t="shared" ref="GI124" si="89">+GH123/GI123</f>
        <v>0.15674255691768826</v>
      </c>
      <c r="GJ124" s="175"/>
      <c r="GK124" s="175">
        <f t="shared" ref="GK124" si="90">+GJ123/GK123</f>
        <v>0.15991237677984665</v>
      </c>
      <c r="GL124" s="175"/>
      <c r="GM124" s="175">
        <f t="shared" ref="GM124" si="91">+GL123/GM123</f>
        <v>0.16212121212121211</v>
      </c>
      <c r="GN124" s="175"/>
      <c r="GO124" s="175">
        <f t="shared" ref="GO124" si="92">+GN123/GO123</f>
        <v>0.16829608938547486</v>
      </c>
      <c r="GP124" s="175"/>
      <c r="GQ124" s="175">
        <f>IF(ISERROR(GP123/GQ123),0,GP123/GQ123)</f>
        <v>0.16262705238467554</v>
      </c>
      <c r="GR124" s="175"/>
      <c r="GS124" s="175">
        <f t="shared" ref="GS124" si="93">IF(ISERROR(GR123/GS123),0,GR123/GS123)</f>
        <v>0.17685411572942136</v>
      </c>
      <c r="GT124" s="175"/>
      <c r="GU124" s="175">
        <f>IF(ISERROR(GT123/GU123),0,GT123/GU123)</f>
        <v>0.17691477885652643</v>
      </c>
      <c r="GV124" s="175"/>
      <c r="GW124" s="175">
        <f t="shared" ref="GW124" si="94">IF(ISERROR(GV123/GW123),0,GV123/GW123)</f>
        <v>0.21281464530892449</v>
      </c>
      <c r="GX124" s="175"/>
      <c r="GY124" s="175">
        <f t="shared" ref="GY124" si="95">IF(ISERROR(GX123/GY123),0,GX123/GY123)</f>
        <v>0.17303683113273105</v>
      </c>
      <c r="GZ124" s="175"/>
      <c r="HA124" s="175">
        <f t="shared" ref="HA124" si="96">IF(ISERROR(GZ123/HA123),0,GZ123/HA123)</f>
        <v>0.20744259699129058</v>
      </c>
      <c r="HB124" s="175"/>
      <c r="HC124" s="175">
        <f t="shared" ref="HC124" si="97">IF(ISERROR(HB123/HC123),0,HB123/HC123)</f>
        <v>0.18810916179337231</v>
      </c>
      <c r="HD124" s="175"/>
      <c r="HE124" s="175">
        <f t="shared" ref="HE124" si="98">IF(ISERROR(HD123/HE123),0,HD123/HE123)</f>
        <v>0.24411764705882352</v>
      </c>
      <c r="HF124" s="175"/>
      <c r="HG124" s="175">
        <f t="shared" ref="HG124" si="99">IF(ISERROR(HF123/HG123),0,HF123/HG123)</f>
        <v>0.24807056229327454</v>
      </c>
      <c r="HH124" s="175"/>
      <c r="HI124" s="175">
        <f t="shared" ref="HI124" si="100">IF(ISERROR(HH123/HI123),0,HH123/HI123)</f>
        <v>0.19875776397515527</v>
      </c>
      <c r="HJ124" s="175"/>
      <c r="HK124" s="175">
        <f t="shared" ref="HK124" si="101">IF(ISERROR(HJ123/HK123),0,HJ123/HK123)</f>
        <v>0.26631853785900783</v>
      </c>
      <c r="HL124" s="175"/>
      <c r="HM124" s="175">
        <f t="shared" ref="HM124" si="102">IF(ISERROR(HL123/HM123),0,HL123/HM123)</f>
        <v>0.18424242424242424</v>
      </c>
      <c r="HN124" s="175"/>
      <c r="HO124" s="175">
        <f t="shared" ref="HO124" si="103">IF(ISERROR(HN123/HO123),0,HN123/HO123)</f>
        <v>0.25090909090909091</v>
      </c>
      <c r="HP124" s="175"/>
      <c r="HQ124" s="175">
        <f t="shared" ref="HQ124" si="104">IF(ISERROR(HP123/HQ123),0,HP123/HQ123)</f>
        <v>0.17003188097768332</v>
      </c>
      <c r="HR124" s="175"/>
      <c r="HS124" s="175">
        <f t="shared" ref="HS124" si="105">IF(ISERROR(HR123/HS123),0,HR123/HS123)</f>
        <v>0.23661971830985915</v>
      </c>
      <c r="HT124" s="175"/>
      <c r="HU124" s="175">
        <f t="shared" ref="HU124" si="106">IF(ISERROR(HT123/HU123),0,HT123/HU123)</f>
        <v>0.26151930261519302</v>
      </c>
      <c r="HV124" s="175"/>
      <c r="HW124" s="175">
        <f t="shared" ref="HW124" si="107">IF(ISERROR(HV123/HW123),0,HV123/HW123)</f>
        <v>0.27974947807933193</v>
      </c>
      <c r="HX124" s="175"/>
      <c r="HY124" s="175">
        <f t="shared" ref="HY124" si="108">IF(ISERROR(HX123/HY123),0,HX123/HY123)</f>
        <v>0.25767918088737202</v>
      </c>
      <c r="HZ124" s="175"/>
      <c r="IA124" s="175">
        <f t="shared" ref="IA124" si="109">IF(ISERROR(HZ123/IA123),0,HZ123/IA123)</f>
        <v>0.27241962774957701</v>
      </c>
      <c r="IB124" s="175"/>
      <c r="IC124" s="175">
        <f t="shared" ref="IC124" si="110">IF(ISERROR(IB123/IC123),0,IB123/IC123)</f>
        <v>0.33068017366136032</v>
      </c>
      <c r="ID124" s="175"/>
      <c r="IE124" s="175">
        <f t="shared" ref="IE124" si="111">IF(ISERROR(ID123/IE123),0,ID123/IE123)</f>
        <v>0.33477883781439721</v>
      </c>
      <c r="IF124" s="175"/>
      <c r="IG124" s="175">
        <f t="shared" ref="IG124" si="112">IF(ISERROR(IF123/IG123),0,IF123/IG123)</f>
        <v>0.28152969894222946</v>
      </c>
      <c r="IH124" s="175"/>
      <c r="II124" s="175">
        <f t="shared" ref="II124" si="113">IF(ISERROR(IH123/II123),0,IH123/II123)</f>
        <v>0.351981351981352</v>
      </c>
      <c r="IJ124" s="175"/>
      <c r="IK124" s="175">
        <f t="shared" ref="IK124" si="114">IF(ISERROR(IJ123/IK123),0,IJ123/IK123)</f>
        <v>0.42696629213483145</v>
      </c>
      <c r="IL124" s="175"/>
      <c r="IM124" s="175">
        <f t="shared" ref="IM124" si="115">IF(ISERROR(IL123/IM123),0,IL123/IM123)</f>
        <v>0.38151494093120225</v>
      </c>
      <c r="IN124" s="175"/>
      <c r="IO124" s="175">
        <f t="shared" ref="IO124" si="116">IF(ISERROR(IN123/IO123),0,IN123/IO123)</f>
        <v>0.42053571428571429</v>
      </c>
      <c r="IP124" s="175"/>
      <c r="IQ124" s="175">
        <f t="shared" ref="IQ124" si="117">IF(ISERROR(IP123/IQ123),0,IP123/IQ123)</f>
        <v>0.43364485981308409</v>
      </c>
      <c r="IR124" s="175"/>
      <c r="IS124" s="175">
        <f t="shared" ref="IS124" si="118">IF(ISERROR(IR123/IS123),0,IR123/IS123)</f>
        <v>0.39611964430072755</v>
      </c>
      <c r="IT124" s="175"/>
      <c r="IU124" s="175">
        <f t="shared" ref="IU124" si="119">IF(ISERROR(IT123/IU123),0,IT123/IU123)</f>
        <v>0.37120149602618047</v>
      </c>
      <c r="IV124" s="175"/>
      <c r="IW124" s="175">
        <f t="shared" ref="IW124" si="120">IF(ISERROR(IV123/IW123),0,IV123/IW123)</f>
        <v>0.41405135520684738</v>
      </c>
      <c r="IX124" s="175"/>
      <c r="IY124" s="175">
        <f t="shared" ref="IY124" si="121">IF(ISERROR(IX123/IY123),0,IX123/IY123)</f>
        <v>0.30469678953626633</v>
      </c>
      <c r="IZ124" s="175"/>
      <c r="JA124" s="175">
        <f t="shared" ref="JA124" si="122">IF(ISERROR(IZ123/JA123),0,IZ123/JA123)</f>
        <v>0.32129514321295144</v>
      </c>
      <c r="JB124" s="175"/>
      <c r="JC124" s="175">
        <f t="shared" ref="JC124" si="123">IF(ISERROR(JB123/JC123),0,JB123/JC123)</f>
        <v>0.30231085786641343</v>
      </c>
      <c r="JD124" s="175"/>
      <c r="JE124" s="175">
        <f t="shared" ref="JE124" si="124">IF(ISERROR(JD123/JE123),0,JD123/JE123)</f>
        <v>0.22174047692784143</v>
      </c>
    </row>
    <row r="125" spans="1:265" x14ac:dyDescent="0.15">
      <c r="CO125" s="169"/>
      <c r="CQ125" s="169"/>
      <c r="CS125" s="169"/>
      <c r="CU125" s="169"/>
      <c r="CV125"/>
      <c r="CW125" s="169"/>
      <c r="CX125"/>
      <c r="CY125" s="169"/>
      <c r="CZ125"/>
      <c r="DA125" s="169"/>
      <c r="DB125"/>
      <c r="DC125" s="169"/>
      <c r="DD125"/>
      <c r="DE125" s="169"/>
      <c r="DF125"/>
      <c r="DG125" s="169"/>
      <c r="DH125"/>
      <c r="DI125" s="169"/>
      <c r="DJ125"/>
      <c r="DK125" s="169"/>
      <c r="DL125"/>
      <c r="DM125" s="169"/>
      <c r="DN125"/>
      <c r="DO125" s="169"/>
      <c r="DP125"/>
      <c r="DQ125" s="169"/>
      <c r="DR125"/>
      <c r="DS125" s="169"/>
      <c r="DU125" s="169"/>
      <c r="DW125" s="169"/>
      <c r="DY125" s="169"/>
      <c r="EA125" s="169"/>
      <c r="EC125" s="169"/>
      <c r="EE125" s="169"/>
      <c r="EG125" s="169"/>
      <c r="EH125" s="170"/>
      <c r="EI125" s="169"/>
      <c r="EJ125" s="169"/>
      <c r="EK125" s="169"/>
      <c r="EL125" s="169"/>
      <c r="EM125" s="169"/>
      <c r="EN125" s="169"/>
      <c r="EO125" s="169"/>
      <c r="EP125" s="169"/>
      <c r="EQ125" s="169"/>
      <c r="ER125" s="169"/>
      <c r="ES125" s="169"/>
      <c r="ET125" s="169"/>
      <c r="EU125" s="169"/>
      <c r="EV125" s="169"/>
      <c r="EW125" s="169"/>
      <c r="EX125" s="169"/>
      <c r="EY125" s="169"/>
      <c r="EZ125" s="169"/>
      <c r="FA125" s="169"/>
      <c r="FB125" s="169"/>
      <c r="FC125" s="169"/>
      <c r="FD125" s="169"/>
      <c r="FE125" s="169"/>
      <c r="FF125" s="169"/>
      <c r="FG125" s="169"/>
      <c r="FH125" s="169"/>
      <c r="FI125" s="169"/>
      <c r="FJ125" s="169"/>
      <c r="FK125" s="169"/>
      <c r="FL125" s="169"/>
      <c r="FM125" s="169"/>
      <c r="FN125" s="169"/>
      <c r="FO125" s="169"/>
      <c r="FP125" s="169"/>
      <c r="FQ125" s="169"/>
      <c r="FR125" s="169"/>
      <c r="FS125" s="169"/>
      <c r="FT125" s="169"/>
      <c r="FU125" s="169"/>
      <c r="FV125" s="169"/>
      <c r="FW125" s="169"/>
      <c r="FX125" s="169"/>
      <c r="FY125" s="169"/>
      <c r="FZ125" s="169"/>
      <c r="GA125" s="169"/>
      <c r="GB125" s="169"/>
      <c r="GC125" s="169"/>
      <c r="GD125" s="169"/>
      <c r="GE125" s="169"/>
      <c r="GF125" s="169"/>
      <c r="GG125" s="169"/>
      <c r="GH125" s="169"/>
      <c r="GI125" s="169"/>
      <c r="GJ125" s="169"/>
      <c r="GK125" s="169"/>
      <c r="GL125" s="169"/>
      <c r="GM125" s="169"/>
      <c r="GN125" s="169"/>
      <c r="GO125" s="169"/>
      <c r="GP125" s="169"/>
      <c r="GQ125" s="169"/>
      <c r="GR125" s="169"/>
      <c r="GS125" s="169"/>
      <c r="GT125" s="169"/>
      <c r="GU125" s="169"/>
      <c r="GV125" s="169"/>
      <c r="GW125" s="169"/>
      <c r="GX125" s="169"/>
      <c r="GY125" s="169"/>
      <c r="GZ125" s="169"/>
      <c r="HA125" s="169"/>
      <c r="HB125" s="169"/>
      <c r="HC125" s="169"/>
      <c r="HD125" s="169"/>
      <c r="HE125" s="169"/>
      <c r="HF125" s="169"/>
      <c r="HG125" s="169"/>
      <c r="HH125" s="169"/>
      <c r="HI125" s="169"/>
      <c r="HJ125" s="169"/>
      <c r="HK125" s="169"/>
      <c r="HL125" s="169"/>
      <c r="HM125" s="169"/>
      <c r="HN125" s="169"/>
      <c r="HO125" s="169"/>
      <c r="HP125" s="169"/>
      <c r="HQ125" s="169"/>
      <c r="HR125" s="169"/>
      <c r="HS125" s="169"/>
      <c r="HT125" s="169"/>
      <c r="HU125" s="169"/>
      <c r="HV125" s="169"/>
      <c r="HW125" s="169"/>
      <c r="HX125" s="169"/>
      <c r="HY125" s="169"/>
      <c r="HZ125" s="169"/>
      <c r="IA125" s="169"/>
      <c r="IB125" s="169"/>
      <c r="IC125" s="169"/>
      <c r="ID125" s="169"/>
      <c r="IE125" s="169"/>
      <c r="IF125" s="169"/>
      <c r="IG125" s="169"/>
      <c r="IH125" s="169"/>
      <c r="II125" s="169"/>
      <c r="IJ125" s="169"/>
      <c r="IK125" s="169"/>
      <c r="IL125" s="169"/>
      <c r="IM125" s="169"/>
      <c r="IN125" s="169"/>
      <c r="IO125" s="169"/>
      <c r="IP125" s="169"/>
      <c r="IQ125" s="169"/>
      <c r="IR125" s="169"/>
      <c r="IS125" s="169"/>
      <c r="IT125" s="169"/>
      <c r="IU125" s="169"/>
      <c r="IV125" s="169"/>
      <c r="IW125" s="169"/>
      <c r="IX125" s="169"/>
      <c r="IY125" s="169"/>
      <c r="IZ125" s="169"/>
      <c r="JA125" s="169"/>
      <c r="JB125" s="169"/>
      <c r="JC125" s="169"/>
      <c r="JD125" s="169"/>
      <c r="JE125" s="169"/>
    </row>
    <row r="126" spans="1:265" ht="43" x14ac:dyDescent="0.2">
      <c r="A126" s="181" t="s">
        <v>201</v>
      </c>
      <c r="B126" s="182" t="s">
        <v>202</v>
      </c>
      <c r="C126" s="183" t="s">
        <v>203</v>
      </c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183">
        <v>16</v>
      </c>
      <c r="AY126" s="183">
        <v>16</v>
      </c>
      <c r="AZ126" s="183">
        <v>4</v>
      </c>
      <c r="BA126" s="183">
        <v>10</v>
      </c>
      <c r="BB126" s="183">
        <v>0</v>
      </c>
      <c r="BC126" s="183">
        <v>10</v>
      </c>
      <c r="BD126" s="183">
        <v>4</v>
      </c>
      <c r="BE126" s="183">
        <v>4</v>
      </c>
      <c r="BF126" s="183">
        <v>2</v>
      </c>
      <c r="BG126" s="183">
        <v>4</v>
      </c>
      <c r="BH126" s="183">
        <v>0</v>
      </c>
      <c r="BI126" s="183">
        <v>0</v>
      </c>
      <c r="BJ126" s="183">
        <v>0</v>
      </c>
      <c r="BK126" s="183">
        <v>0</v>
      </c>
      <c r="BL126" s="183">
        <v>1</v>
      </c>
      <c r="BM126" s="183">
        <v>1</v>
      </c>
      <c r="BN126" s="183">
        <v>5</v>
      </c>
      <c r="BO126" s="183">
        <v>9</v>
      </c>
      <c r="BP126" s="183">
        <v>2</v>
      </c>
      <c r="BQ126" s="183">
        <v>3</v>
      </c>
      <c r="BR126" s="183">
        <v>2</v>
      </c>
      <c r="BS126" s="183">
        <v>3</v>
      </c>
      <c r="BT126" s="183">
        <v>4</v>
      </c>
      <c r="BU126" s="183">
        <v>5</v>
      </c>
      <c r="BV126" s="183">
        <v>6</v>
      </c>
      <c r="BW126" s="183">
        <v>8</v>
      </c>
      <c r="BX126" s="183">
        <v>2</v>
      </c>
      <c r="BY126" s="183">
        <v>4</v>
      </c>
      <c r="BZ126" s="183">
        <v>4</v>
      </c>
      <c r="CA126" s="183">
        <v>8</v>
      </c>
      <c r="CB126" s="183">
        <v>0</v>
      </c>
      <c r="CC126" s="183">
        <v>6</v>
      </c>
      <c r="CD126" s="183">
        <v>2</v>
      </c>
      <c r="CE126" s="183">
        <v>6</v>
      </c>
      <c r="CF126" s="183">
        <v>2</v>
      </c>
      <c r="CG126" s="183">
        <v>3</v>
      </c>
      <c r="CH126" s="183">
        <v>1</v>
      </c>
      <c r="CI126" s="183">
        <v>2</v>
      </c>
      <c r="CJ126" s="183">
        <v>0</v>
      </c>
      <c r="CK126" s="183">
        <v>3</v>
      </c>
      <c r="CL126" s="183">
        <v>0</v>
      </c>
      <c r="CM126" s="183">
        <v>3</v>
      </c>
      <c r="CN126" s="183">
        <v>3</v>
      </c>
      <c r="CO126" s="183">
        <v>4</v>
      </c>
      <c r="CP126" s="183">
        <v>3</v>
      </c>
      <c r="CQ126" s="183">
        <v>6</v>
      </c>
      <c r="CR126" s="183">
        <v>2</v>
      </c>
      <c r="CS126" s="183">
        <v>4</v>
      </c>
      <c r="CT126" s="183">
        <v>0</v>
      </c>
      <c r="CU126" s="183">
        <v>1</v>
      </c>
      <c r="CV126" s="183">
        <v>2</v>
      </c>
      <c r="CW126" s="183">
        <v>3</v>
      </c>
      <c r="CX126" s="184">
        <v>1</v>
      </c>
      <c r="CY126" s="184">
        <v>1</v>
      </c>
      <c r="CZ126" s="183">
        <v>1</v>
      </c>
      <c r="DA126" s="183">
        <v>1</v>
      </c>
      <c r="DB126" s="183">
        <v>0</v>
      </c>
      <c r="DC126" s="183">
        <v>0</v>
      </c>
      <c r="DD126" s="183">
        <v>2</v>
      </c>
      <c r="DE126" s="183">
        <v>3</v>
      </c>
      <c r="DF126" s="183">
        <v>1</v>
      </c>
      <c r="DG126" s="183">
        <v>1</v>
      </c>
      <c r="DH126" s="183">
        <v>2</v>
      </c>
      <c r="DI126" s="183">
        <v>4</v>
      </c>
      <c r="DJ126" s="183">
        <v>1</v>
      </c>
      <c r="DK126" s="183">
        <v>3</v>
      </c>
      <c r="DL126" s="183">
        <v>2</v>
      </c>
      <c r="DM126" s="183">
        <v>2</v>
      </c>
      <c r="DN126" s="183">
        <v>1</v>
      </c>
      <c r="DO126" s="183">
        <v>2</v>
      </c>
      <c r="DP126" s="183">
        <v>0</v>
      </c>
      <c r="DQ126" s="183">
        <v>1</v>
      </c>
      <c r="DR126" s="183">
        <v>2</v>
      </c>
      <c r="DS126" s="183">
        <v>2</v>
      </c>
      <c r="DT126" s="183">
        <v>2</v>
      </c>
      <c r="DU126" s="183">
        <v>3</v>
      </c>
      <c r="DV126" s="183">
        <v>0</v>
      </c>
      <c r="DW126" s="183">
        <v>0</v>
      </c>
      <c r="DX126" s="183">
        <v>1</v>
      </c>
      <c r="DY126" s="183">
        <v>2</v>
      </c>
      <c r="DZ126" s="183">
        <v>0</v>
      </c>
      <c r="EA126" s="183">
        <v>2</v>
      </c>
      <c r="EB126" s="183">
        <v>0</v>
      </c>
      <c r="EC126" s="183">
        <v>1</v>
      </c>
      <c r="ED126" s="183">
        <v>1</v>
      </c>
      <c r="EE126" s="183">
        <v>2</v>
      </c>
      <c r="EF126" s="183">
        <v>1</v>
      </c>
      <c r="EG126" s="185">
        <v>3</v>
      </c>
      <c r="EH126" s="186">
        <v>1</v>
      </c>
      <c r="EI126" s="183">
        <v>1</v>
      </c>
      <c r="EJ126" s="183">
        <v>0</v>
      </c>
      <c r="EK126" s="183">
        <v>0</v>
      </c>
      <c r="EL126" s="183">
        <v>0</v>
      </c>
      <c r="EM126" s="183">
        <v>0</v>
      </c>
      <c r="EN126" s="183">
        <v>0</v>
      </c>
      <c r="EO126" s="183">
        <v>1</v>
      </c>
      <c r="EP126" s="183">
        <v>0</v>
      </c>
      <c r="EQ126" s="183">
        <v>0</v>
      </c>
      <c r="ER126" s="183">
        <v>0</v>
      </c>
      <c r="ES126" s="183">
        <v>0</v>
      </c>
      <c r="ET126" s="183">
        <v>0</v>
      </c>
      <c r="EU126" s="183">
        <v>0</v>
      </c>
      <c r="EV126" s="183">
        <v>0</v>
      </c>
      <c r="EW126" s="183">
        <v>0</v>
      </c>
      <c r="EX126" s="183">
        <v>0</v>
      </c>
      <c r="EY126" s="183">
        <v>2</v>
      </c>
      <c r="EZ126" s="183">
        <v>1</v>
      </c>
      <c r="FA126" s="183">
        <v>1</v>
      </c>
      <c r="FB126" s="183">
        <v>0</v>
      </c>
      <c r="FC126" s="183">
        <v>1</v>
      </c>
      <c r="FD126" s="183">
        <v>0</v>
      </c>
      <c r="FE126" s="183">
        <v>1</v>
      </c>
      <c r="FF126" s="183">
        <v>0</v>
      </c>
      <c r="FG126" s="183">
        <v>2</v>
      </c>
      <c r="FH126" s="183">
        <v>1</v>
      </c>
      <c r="FI126" s="183">
        <v>2</v>
      </c>
      <c r="FJ126" s="183">
        <v>0</v>
      </c>
      <c r="FK126" s="95">
        <v>1</v>
      </c>
      <c r="FL126" s="104">
        <v>1</v>
      </c>
      <c r="FM126" s="183">
        <v>1</v>
      </c>
      <c r="FN126" s="183">
        <v>1</v>
      </c>
      <c r="FO126" s="183">
        <v>1</v>
      </c>
      <c r="FP126" s="183">
        <v>2</v>
      </c>
      <c r="FQ126" s="183">
        <v>26</v>
      </c>
      <c r="FR126" s="183">
        <v>0</v>
      </c>
      <c r="FS126" s="183">
        <v>36</v>
      </c>
      <c r="FT126" s="183">
        <v>0</v>
      </c>
      <c r="FU126" s="183">
        <v>48</v>
      </c>
      <c r="FV126" s="183">
        <v>4</v>
      </c>
      <c r="FW126" s="183">
        <v>45</v>
      </c>
      <c r="FX126" s="183">
        <v>2</v>
      </c>
      <c r="FY126" s="183">
        <v>10</v>
      </c>
      <c r="FZ126" s="183">
        <v>1</v>
      </c>
      <c r="GA126" s="183">
        <v>5</v>
      </c>
      <c r="GB126" s="75"/>
      <c r="GC126" s="75"/>
      <c r="GD126" s="75"/>
      <c r="GE126" s="75"/>
      <c r="GF126" s="75"/>
      <c r="GG126" s="75"/>
      <c r="GH126" s="75"/>
      <c r="GI126" s="75"/>
      <c r="GJ126" s="75"/>
      <c r="GK126" s="75"/>
      <c r="GL126" s="75"/>
      <c r="GM126" s="75"/>
      <c r="GN126" s="75"/>
      <c r="GO126" s="75"/>
      <c r="GP126" s="75"/>
      <c r="GQ126" s="75"/>
      <c r="GR126" s="75"/>
      <c r="GS126" s="75"/>
      <c r="GT126" s="75"/>
      <c r="GU126" s="75"/>
      <c r="GV126" s="75"/>
      <c r="GW126" s="75"/>
      <c r="GX126" s="75"/>
      <c r="GY126" s="75"/>
      <c r="GZ126" s="75"/>
      <c r="HA126" s="75"/>
      <c r="HB126" s="75"/>
      <c r="HC126" s="75"/>
      <c r="HD126" s="75"/>
      <c r="HE126" s="75"/>
      <c r="HF126" s="75"/>
      <c r="HG126" s="75"/>
      <c r="HH126" s="75"/>
      <c r="HI126" s="75"/>
      <c r="HJ126" s="75"/>
      <c r="HK126" s="75"/>
      <c r="HL126" s="75"/>
      <c r="HM126" s="75"/>
      <c r="HN126" s="75"/>
      <c r="HO126" s="75"/>
      <c r="HP126" s="75"/>
      <c r="HQ126" s="75"/>
      <c r="HR126" s="75"/>
      <c r="HS126" s="75"/>
      <c r="HT126" s="75"/>
      <c r="HU126" s="75"/>
      <c r="HV126" s="75"/>
      <c r="HW126" s="75"/>
      <c r="HX126" s="75"/>
      <c r="HY126" s="75"/>
      <c r="HZ126" s="75"/>
      <c r="IA126" s="75"/>
      <c r="IB126" s="75"/>
      <c r="IC126" s="75"/>
      <c r="ID126" s="75"/>
      <c r="IE126" s="75"/>
      <c r="IF126" s="75"/>
      <c r="IG126" s="75"/>
      <c r="IH126" s="75"/>
      <c r="II126" s="75"/>
      <c r="IJ126" s="75"/>
      <c r="IK126" s="75"/>
      <c r="IL126" s="75"/>
      <c r="IM126" s="75"/>
      <c r="IN126" s="75"/>
      <c r="IO126" s="75"/>
      <c r="IP126" s="75"/>
      <c r="IQ126" s="75"/>
      <c r="IR126" s="75"/>
      <c r="IS126" s="75"/>
      <c r="IT126" s="75"/>
      <c r="IU126" s="75"/>
      <c r="IV126" s="75"/>
      <c r="IW126" s="75"/>
      <c r="IX126" s="75"/>
      <c r="IY126" s="75"/>
      <c r="IZ126" s="75"/>
      <c r="JA126" s="75"/>
      <c r="JB126" s="75"/>
      <c r="JC126" s="75"/>
      <c r="JD126" s="75"/>
      <c r="JE126" s="75"/>
    </row>
    <row r="127" spans="1:265" ht="29" x14ac:dyDescent="0.2">
      <c r="A127" s="181" t="s">
        <v>204</v>
      </c>
      <c r="B127" s="182" t="s">
        <v>205</v>
      </c>
      <c r="C127" s="183" t="s">
        <v>206</v>
      </c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183">
        <v>7</v>
      </c>
      <c r="AY127" s="183">
        <v>8</v>
      </c>
      <c r="AZ127" s="183">
        <v>3</v>
      </c>
      <c r="BA127" s="183">
        <v>7</v>
      </c>
      <c r="BB127" s="183">
        <v>0</v>
      </c>
      <c r="BC127" s="183">
        <v>1</v>
      </c>
      <c r="BD127" s="183">
        <v>1</v>
      </c>
      <c r="BE127" s="183">
        <v>2</v>
      </c>
      <c r="BF127" s="183">
        <v>1</v>
      </c>
      <c r="BG127" s="183">
        <v>1</v>
      </c>
      <c r="BH127" s="183">
        <v>0</v>
      </c>
      <c r="BI127" s="183">
        <v>0</v>
      </c>
      <c r="BJ127" s="183">
        <v>0</v>
      </c>
      <c r="BK127" s="183">
        <v>0</v>
      </c>
      <c r="BL127" s="183">
        <v>1</v>
      </c>
      <c r="BM127" s="183">
        <v>1</v>
      </c>
      <c r="BN127" s="183">
        <v>1</v>
      </c>
      <c r="BO127" s="183">
        <v>1</v>
      </c>
      <c r="BP127" s="183">
        <v>0</v>
      </c>
      <c r="BQ127" s="183">
        <v>0</v>
      </c>
      <c r="BR127" s="183">
        <v>0</v>
      </c>
      <c r="BS127" s="183">
        <v>0</v>
      </c>
      <c r="BT127" s="183">
        <v>0</v>
      </c>
      <c r="BU127" s="183">
        <v>1</v>
      </c>
      <c r="BV127" s="183">
        <v>0</v>
      </c>
      <c r="BW127" s="183">
        <v>0</v>
      </c>
      <c r="BX127" s="183">
        <v>1</v>
      </c>
      <c r="BY127" s="183">
        <v>2</v>
      </c>
      <c r="BZ127" s="183">
        <v>0</v>
      </c>
      <c r="CA127" s="183">
        <v>0</v>
      </c>
      <c r="CB127" s="183">
        <v>2</v>
      </c>
      <c r="CC127" s="183">
        <v>2</v>
      </c>
      <c r="CD127" s="183">
        <v>0</v>
      </c>
      <c r="CE127" s="183">
        <v>0</v>
      </c>
      <c r="CF127" s="183">
        <v>1</v>
      </c>
      <c r="CG127" s="183">
        <v>1</v>
      </c>
      <c r="CH127" s="183">
        <v>1</v>
      </c>
      <c r="CI127" s="183">
        <v>1</v>
      </c>
      <c r="CJ127" s="183">
        <v>0</v>
      </c>
      <c r="CK127" s="183">
        <v>1</v>
      </c>
      <c r="CL127" s="183">
        <v>0</v>
      </c>
      <c r="CM127" s="183">
        <v>1</v>
      </c>
      <c r="CN127" s="183">
        <v>0</v>
      </c>
      <c r="CO127" s="183">
        <v>0</v>
      </c>
      <c r="CP127" s="183">
        <v>0</v>
      </c>
      <c r="CQ127" s="183">
        <v>0</v>
      </c>
      <c r="CR127" s="183">
        <v>0</v>
      </c>
      <c r="CS127" s="183">
        <v>2</v>
      </c>
      <c r="CT127" s="183">
        <v>0</v>
      </c>
      <c r="CU127" s="183">
        <v>0</v>
      </c>
      <c r="CV127" s="183">
        <v>1</v>
      </c>
      <c r="CW127" s="183">
        <v>1</v>
      </c>
      <c r="CX127" s="184">
        <v>0</v>
      </c>
      <c r="CY127" s="184">
        <v>2</v>
      </c>
      <c r="CZ127" s="183">
        <v>0</v>
      </c>
      <c r="DA127" s="183">
        <v>1</v>
      </c>
      <c r="DB127" s="183">
        <v>0</v>
      </c>
      <c r="DC127" s="183">
        <v>0</v>
      </c>
      <c r="DD127" s="183">
        <v>1</v>
      </c>
      <c r="DE127" s="183">
        <v>1</v>
      </c>
      <c r="DF127" s="183">
        <v>1</v>
      </c>
      <c r="DG127" s="183">
        <v>1</v>
      </c>
      <c r="DH127" s="183">
        <v>0</v>
      </c>
      <c r="DI127" s="183">
        <v>1</v>
      </c>
      <c r="DJ127" s="183">
        <v>0</v>
      </c>
      <c r="DK127" s="183">
        <v>0</v>
      </c>
      <c r="DL127" s="183">
        <v>0</v>
      </c>
      <c r="DM127" s="183">
        <v>0</v>
      </c>
      <c r="DN127" s="183">
        <v>0</v>
      </c>
      <c r="DO127" s="183">
        <v>0</v>
      </c>
      <c r="DP127" s="183">
        <v>0</v>
      </c>
      <c r="DQ127" s="183">
        <v>0</v>
      </c>
      <c r="DR127" s="183">
        <v>0</v>
      </c>
      <c r="DS127" s="183">
        <v>0</v>
      </c>
      <c r="DT127" s="183">
        <v>0</v>
      </c>
      <c r="DU127" s="183">
        <v>0</v>
      </c>
      <c r="DV127" s="183">
        <v>0</v>
      </c>
      <c r="DW127" s="183">
        <v>0</v>
      </c>
      <c r="DX127" s="183">
        <v>0</v>
      </c>
      <c r="DY127" s="183">
        <v>1</v>
      </c>
      <c r="DZ127" s="183">
        <v>0</v>
      </c>
      <c r="EA127" s="183">
        <v>0</v>
      </c>
      <c r="EB127" s="183">
        <v>0</v>
      </c>
      <c r="EC127" s="183">
        <v>0</v>
      </c>
      <c r="ED127" s="183">
        <v>0</v>
      </c>
      <c r="EE127" s="183">
        <v>0</v>
      </c>
      <c r="EF127" s="183">
        <v>0</v>
      </c>
      <c r="EG127" s="185">
        <v>1</v>
      </c>
      <c r="EH127" s="186">
        <v>0</v>
      </c>
      <c r="EI127" s="183">
        <v>0</v>
      </c>
      <c r="EJ127" s="183">
        <v>1</v>
      </c>
      <c r="EK127" s="183">
        <v>1</v>
      </c>
      <c r="EL127" s="183">
        <v>0</v>
      </c>
      <c r="EM127" s="183">
        <v>0</v>
      </c>
      <c r="EN127" s="183">
        <v>0</v>
      </c>
      <c r="EO127" s="183">
        <v>0</v>
      </c>
      <c r="EP127" s="183">
        <v>0</v>
      </c>
      <c r="EQ127" s="183">
        <v>0</v>
      </c>
      <c r="ER127" s="183">
        <v>0</v>
      </c>
      <c r="ES127" s="183">
        <v>0</v>
      </c>
      <c r="ET127" s="183">
        <v>0</v>
      </c>
      <c r="EU127" s="183">
        <v>0</v>
      </c>
      <c r="EV127" s="183">
        <v>0</v>
      </c>
      <c r="EW127" s="183">
        <v>0</v>
      </c>
      <c r="EX127" s="183">
        <v>0</v>
      </c>
      <c r="EY127" s="183">
        <v>0</v>
      </c>
      <c r="EZ127" s="183">
        <v>1</v>
      </c>
      <c r="FA127" s="183">
        <v>1</v>
      </c>
      <c r="FB127" s="183">
        <v>0</v>
      </c>
      <c r="FC127" s="183">
        <v>0</v>
      </c>
      <c r="FD127" s="183">
        <v>0</v>
      </c>
      <c r="FE127" s="183">
        <v>0</v>
      </c>
      <c r="FF127" s="183">
        <v>0</v>
      </c>
      <c r="FG127" s="183">
        <v>0</v>
      </c>
      <c r="FH127" s="183">
        <v>0</v>
      </c>
      <c r="FI127" s="183">
        <v>0</v>
      </c>
      <c r="FJ127" s="183">
        <v>0</v>
      </c>
      <c r="FK127" s="95">
        <v>1</v>
      </c>
      <c r="FL127" s="104">
        <v>1</v>
      </c>
      <c r="FM127" s="183">
        <v>1</v>
      </c>
      <c r="FN127" s="183">
        <v>0</v>
      </c>
      <c r="FO127" s="183">
        <v>1</v>
      </c>
      <c r="FP127" s="183">
        <v>0</v>
      </c>
      <c r="FQ127" s="183">
        <v>0</v>
      </c>
      <c r="FR127" s="183">
        <v>0</v>
      </c>
      <c r="FS127" s="183">
        <v>0</v>
      </c>
      <c r="FT127" s="183">
        <v>0</v>
      </c>
      <c r="FU127" s="183">
        <v>0</v>
      </c>
      <c r="FV127" s="183">
        <v>0</v>
      </c>
      <c r="FW127" s="183">
        <v>1</v>
      </c>
      <c r="FX127" s="183">
        <v>0</v>
      </c>
      <c r="FY127" s="183">
        <v>0</v>
      </c>
      <c r="FZ127" s="183">
        <v>0</v>
      </c>
      <c r="GA127" s="183">
        <v>0</v>
      </c>
      <c r="GB127" s="75"/>
      <c r="GC127" s="75"/>
      <c r="GD127" s="75"/>
      <c r="GE127" s="75"/>
      <c r="GF127" s="75"/>
      <c r="GG127" s="75"/>
      <c r="GH127" s="75"/>
      <c r="GI127" s="75"/>
      <c r="GJ127" s="75"/>
      <c r="GK127" s="75"/>
      <c r="GL127" s="75"/>
      <c r="GM127" s="75"/>
      <c r="GN127" s="75"/>
      <c r="GO127" s="75"/>
      <c r="GP127" s="75"/>
      <c r="GQ127" s="75"/>
      <c r="GR127" s="75"/>
      <c r="GS127" s="75"/>
      <c r="GT127" s="75"/>
      <c r="GU127" s="75"/>
      <c r="GV127" s="75"/>
      <c r="GW127" s="75"/>
      <c r="GX127" s="75"/>
      <c r="GY127" s="75"/>
      <c r="GZ127" s="75"/>
      <c r="HA127" s="75"/>
      <c r="HB127" s="75"/>
      <c r="HC127" s="75"/>
      <c r="HD127" s="75"/>
      <c r="HE127" s="75"/>
      <c r="HF127" s="75"/>
      <c r="HG127" s="75"/>
      <c r="HH127" s="75"/>
      <c r="HI127" s="75"/>
      <c r="HJ127" s="75"/>
      <c r="HK127" s="75"/>
      <c r="HL127" s="75"/>
      <c r="HM127" s="75"/>
      <c r="HN127" s="75"/>
      <c r="HO127" s="75"/>
      <c r="HP127" s="75"/>
      <c r="HQ127" s="75"/>
      <c r="HR127" s="75"/>
      <c r="HS127" s="75"/>
      <c r="HT127" s="75"/>
      <c r="HU127" s="75"/>
      <c r="HV127" s="75"/>
      <c r="HW127" s="75"/>
      <c r="HX127" s="75"/>
      <c r="HY127" s="75"/>
      <c r="HZ127" s="75"/>
      <c r="IA127" s="75"/>
      <c r="IB127" s="75"/>
      <c r="IC127" s="75"/>
      <c r="ID127" s="75"/>
      <c r="IE127" s="75"/>
      <c r="IF127" s="75"/>
      <c r="IG127" s="75"/>
      <c r="IH127" s="75"/>
      <c r="II127" s="75"/>
      <c r="IJ127" s="75"/>
      <c r="IK127" s="75"/>
      <c r="IL127" s="75"/>
      <c r="IM127" s="75"/>
      <c r="IN127" s="75"/>
      <c r="IO127" s="75"/>
      <c r="IP127" s="75"/>
      <c r="IQ127" s="75"/>
      <c r="IR127" s="75"/>
      <c r="IS127" s="75"/>
      <c r="IT127" s="75"/>
      <c r="IU127" s="75"/>
      <c r="IV127" s="75"/>
      <c r="IW127" s="75"/>
      <c r="IX127" s="75"/>
      <c r="IY127" s="75"/>
      <c r="IZ127" s="75"/>
      <c r="JA127" s="75"/>
      <c r="JB127" s="75"/>
      <c r="JC127" s="75"/>
      <c r="JD127" s="75"/>
      <c r="JE127" s="75"/>
    </row>
    <row r="128" spans="1:265" ht="29" x14ac:dyDescent="0.2">
      <c r="A128" s="181" t="s">
        <v>207</v>
      </c>
      <c r="B128" s="182" t="s">
        <v>208</v>
      </c>
      <c r="C128" s="183" t="s">
        <v>209</v>
      </c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183">
        <v>53</v>
      </c>
      <c r="AY128" s="183">
        <v>77</v>
      </c>
      <c r="AZ128" s="183">
        <v>7</v>
      </c>
      <c r="BA128" s="183">
        <v>9</v>
      </c>
      <c r="BB128" s="183">
        <v>0</v>
      </c>
      <c r="BC128" s="183">
        <v>7</v>
      </c>
      <c r="BD128" s="183">
        <v>2</v>
      </c>
      <c r="BE128" s="183">
        <v>4</v>
      </c>
      <c r="BF128" s="183">
        <v>7</v>
      </c>
      <c r="BG128" s="183">
        <v>8</v>
      </c>
      <c r="BH128" s="183">
        <v>1</v>
      </c>
      <c r="BI128" s="183">
        <v>1</v>
      </c>
      <c r="BJ128" s="183">
        <v>0</v>
      </c>
      <c r="BK128" s="183">
        <v>0</v>
      </c>
      <c r="BL128" s="183">
        <v>1</v>
      </c>
      <c r="BM128" s="183">
        <v>4</v>
      </c>
      <c r="BN128" s="183">
        <v>4</v>
      </c>
      <c r="BO128" s="183">
        <v>8</v>
      </c>
      <c r="BP128" s="183">
        <v>2</v>
      </c>
      <c r="BQ128" s="183">
        <v>5</v>
      </c>
      <c r="BR128" s="183">
        <v>8</v>
      </c>
      <c r="BS128" s="183">
        <v>22</v>
      </c>
      <c r="BT128" s="183">
        <v>5</v>
      </c>
      <c r="BU128" s="183">
        <v>12</v>
      </c>
      <c r="BV128" s="183">
        <v>9</v>
      </c>
      <c r="BW128" s="183">
        <v>16</v>
      </c>
      <c r="BX128" s="183">
        <v>5</v>
      </c>
      <c r="BY128" s="183">
        <v>17</v>
      </c>
      <c r="BZ128" s="183">
        <v>14</v>
      </c>
      <c r="CA128" s="183">
        <v>26</v>
      </c>
      <c r="CB128" s="183">
        <v>5</v>
      </c>
      <c r="CC128" s="183">
        <v>12</v>
      </c>
      <c r="CD128" s="183">
        <v>4</v>
      </c>
      <c r="CE128" s="183">
        <v>9</v>
      </c>
      <c r="CF128" s="183">
        <v>11</v>
      </c>
      <c r="CG128" s="183">
        <v>13</v>
      </c>
      <c r="CH128" s="183">
        <v>3</v>
      </c>
      <c r="CI128" s="183">
        <v>14</v>
      </c>
      <c r="CJ128" s="183">
        <v>4</v>
      </c>
      <c r="CK128" s="183">
        <v>14</v>
      </c>
      <c r="CL128" s="183">
        <v>6</v>
      </c>
      <c r="CM128" s="183">
        <v>11</v>
      </c>
      <c r="CN128" s="183">
        <v>5</v>
      </c>
      <c r="CO128" s="183">
        <v>13</v>
      </c>
      <c r="CP128" s="183">
        <v>3</v>
      </c>
      <c r="CQ128" s="183">
        <v>12</v>
      </c>
      <c r="CR128" s="183">
        <v>12</v>
      </c>
      <c r="CS128" s="183">
        <v>24</v>
      </c>
      <c r="CT128" s="183">
        <v>7</v>
      </c>
      <c r="CU128" s="183">
        <v>17</v>
      </c>
      <c r="CV128" s="183">
        <v>9</v>
      </c>
      <c r="CW128" s="183">
        <v>18</v>
      </c>
      <c r="CX128" s="183">
        <v>7</v>
      </c>
      <c r="CY128" s="183">
        <v>19</v>
      </c>
      <c r="CZ128" s="183">
        <v>7</v>
      </c>
      <c r="DA128" s="183">
        <v>14</v>
      </c>
      <c r="DB128" s="183">
        <v>6</v>
      </c>
      <c r="DC128" s="183">
        <v>24</v>
      </c>
      <c r="DD128" s="183">
        <v>9</v>
      </c>
      <c r="DE128" s="183">
        <v>22</v>
      </c>
      <c r="DF128" s="183">
        <v>6</v>
      </c>
      <c r="DG128" s="183">
        <v>18</v>
      </c>
      <c r="DH128" s="183">
        <v>8</v>
      </c>
      <c r="DI128" s="183">
        <v>18</v>
      </c>
      <c r="DJ128" s="183">
        <v>7</v>
      </c>
      <c r="DK128" s="183">
        <v>19</v>
      </c>
      <c r="DL128" s="183">
        <v>7</v>
      </c>
      <c r="DM128" s="183">
        <v>17</v>
      </c>
      <c r="DN128" s="183">
        <v>6</v>
      </c>
      <c r="DO128" s="183">
        <v>16</v>
      </c>
      <c r="DP128" s="183">
        <v>8</v>
      </c>
      <c r="DQ128" s="183">
        <v>18</v>
      </c>
      <c r="DR128" s="183">
        <v>5</v>
      </c>
      <c r="DS128" s="183">
        <v>17</v>
      </c>
      <c r="DT128" s="183">
        <v>5</v>
      </c>
      <c r="DU128" s="183">
        <v>13</v>
      </c>
      <c r="DV128" s="183">
        <v>10</v>
      </c>
      <c r="DW128" s="183">
        <v>26</v>
      </c>
      <c r="DX128" s="183">
        <v>8</v>
      </c>
      <c r="DY128" s="183">
        <v>19</v>
      </c>
      <c r="DZ128" s="183">
        <v>6</v>
      </c>
      <c r="EA128" s="183">
        <v>23</v>
      </c>
      <c r="EB128" s="183">
        <v>6</v>
      </c>
      <c r="EC128" s="183">
        <v>19</v>
      </c>
      <c r="ED128" s="183">
        <v>6</v>
      </c>
      <c r="EE128" s="183">
        <v>16</v>
      </c>
      <c r="EF128" s="183">
        <v>1</v>
      </c>
      <c r="EG128" s="185">
        <v>15</v>
      </c>
      <c r="EH128" s="186">
        <v>5</v>
      </c>
      <c r="EI128" s="183">
        <v>21</v>
      </c>
      <c r="EJ128" s="183">
        <v>2</v>
      </c>
      <c r="EK128" s="183">
        <v>11</v>
      </c>
      <c r="EL128" s="183">
        <v>3</v>
      </c>
      <c r="EM128" s="183">
        <v>17</v>
      </c>
      <c r="EN128" s="183">
        <v>9</v>
      </c>
      <c r="EO128" s="183">
        <v>24</v>
      </c>
      <c r="EP128" s="183">
        <v>5</v>
      </c>
      <c r="EQ128" s="183">
        <v>18</v>
      </c>
      <c r="ER128" s="183">
        <v>5</v>
      </c>
      <c r="ES128" s="183">
        <v>17</v>
      </c>
      <c r="ET128" s="183">
        <v>4</v>
      </c>
      <c r="EU128" s="183">
        <v>17</v>
      </c>
      <c r="EV128" s="183">
        <v>4</v>
      </c>
      <c r="EW128" s="183">
        <v>17</v>
      </c>
      <c r="EX128" s="183">
        <v>8</v>
      </c>
      <c r="EY128" s="183">
        <v>21</v>
      </c>
      <c r="EZ128" s="183">
        <v>10</v>
      </c>
      <c r="FA128" s="183">
        <v>23</v>
      </c>
      <c r="FB128" s="183">
        <v>6</v>
      </c>
      <c r="FC128" s="183">
        <v>18</v>
      </c>
      <c r="FD128" s="183">
        <v>8</v>
      </c>
      <c r="FE128" s="183">
        <v>20</v>
      </c>
      <c r="FF128" s="183">
        <v>8</v>
      </c>
      <c r="FG128" s="183">
        <v>17</v>
      </c>
      <c r="FH128" s="183">
        <v>6</v>
      </c>
      <c r="FI128" s="183">
        <v>18</v>
      </c>
      <c r="FJ128" s="183">
        <v>14</v>
      </c>
      <c r="FK128" s="95">
        <v>24</v>
      </c>
      <c r="FL128" s="96">
        <v>28</v>
      </c>
      <c r="FM128" s="183">
        <v>32</v>
      </c>
      <c r="FN128" s="183">
        <v>35</v>
      </c>
      <c r="FO128" s="183">
        <v>83</v>
      </c>
      <c r="FP128" s="183">
        <v>36</v>
      </c>
      <c r="FQ128" s="183">
        <v>68</v>
      </c>
      <c r="FR128" s="183">
        <v>15</v>
      </c>
      <c r="FS128" s="183">
        <v>26</v>
      </c>
      <c r="FT128" s="183">
        <v>12</v>
      </c>
      <c r="FU128" s="183">
        <v>26</v>
      </c>
      <c r="FV128" s="183">
        <v>39</v>
      </c>
      <c r="FW128" s="183">
        <v>77</v>
      </c>
      <c r="FX128" s="183">
        <v>52</v>
      </c>
      <c r="FY128" s="183">
        <v>74</v>
      </c>
      <c r="FZ128" s="183">
        <v>13</v>
      </c>
      <c r="GA128" s="183">
        <v>26</v>
      </c>
      <c r="GB128" s="183">
        <v>17</v>
      </c>
      <c r="GC128" s="183">
        <v>23</v>
      </c>
      <c r="GD128" s="183">
        <v>6</v>
      </c>
      <c r="GE128" s="183">
        <v>63</v>
      </c>
      <c r="GF128" s="183">
        <v>11</v>
      </c>
      <c r="GG128" s="183">
        <v>22</v>
      </c>
      <c r="GH128" s="183">
        <v>14</v>
      </c>
      <c r="GI128" s="183">
        <v>28</v>
      </c>
      <c r="GJ128" s="183">
        <v>6</v>
      </c>
      <c r="GK128" s="183">
        <v>11</v>
      </c>
      <c r="GL128" s="183">
        <v>11</v>
      </c>
      <c r="GM128" s="183">
        <v>26</v>
      </c>
      <c r="GN128" s="183">
        <v>0</v>
      </c>
      <c r="GO128" s="183">
        <v>10</v>
      </c>
      <c r="GP128" s="183">
        <v>5</v>
      </c>
      <c r="GQ128" s="183">
        <v>15</v>
      </c>
      <c r="GR128" s="183">
        <v>11</v>
      </c>
      <c r="GS128" s="183">
        <v>17</v>
      </c>
      <c r="GT128" s="183">
        <v>2</v>
      </c>
      <c r="GU128" s="183">
        <v>13</v>
      </c>
      <c r="GV128" s="183">
        <v>6</v>
      </c>
      <c r="GW128" s="183">
        <v>7</v>
      </c>
      <c r="GX128" s="183">
        <v>5</v>
      </c>
      <c r="GY128" s="183">
        <v>13</v>
      </c>
      <c r="GZ128" s="28" t="s">
        <v>30</v>
      </c>
      <c r="HA128" s="28" t="s">
        <v>30</v>
      </c>
      <c r="HB128" s="183">
        <v>42</v>
      </c>
      <c r="HC128" s="183">
        <v>54</v>
      </c>
      <c r="HD128" s="183">
        <v>2</v>
      </c>
      <c r="HE128" s="183">
        <v>2</v>
      </c>
      <c r="HF128" s="183">
        <v>13</v>
      </c>
      <c r="HG128" s="183">
        <v>29</v>
      </c>
      <c r="HH128" s="183">
        <v>59</v>
      </c>
      <c r="HI128" s="183">
        <v>107</v>
      </c>
      <c r="HJ128" s="183">
        <v>9</v>
      </c>
      <c r="HK128" s="183">
        <v>28</v>
      </c>
      <c r="HL128" s="183">
        <v>13</v>
      </c>
      <c r="HM128" s="183">
        <v>20</v>
      </c>
      <c r="HN128" s="183">
        <v>21</v>
      </c>
      <c r="HO128" s="183">
        <v>32</v>
      </c>
      <c r="HP128" s="183">
        <v>20</v>
      </c>
      <c r="HQ128" s="183">
        <v>57</v>
      </c>
      <c r="HR128" s="183">
        <v>9</v>
      </c>
      <c r="HS128" s="183">
        <v>24</v>
      </c>
      <c r="HT128" s="183">
        <v>31</v>
      </c>
      <c r="HU128" s="183">
        <v>39</v>
      </c>
      <c r="HV128" s="183">
        <v>22</v>
      </c>
      <c r="HW128" s="183">
        <v>35</v>
      </c>
      <c r="HX128" s="183">
        <v>15</v>
      </c>
      <c r="HY128" s="183">
        <v>47</v>
      </c>
      <c r="HZ128" s="183">
        <v>19</v>
      </c>
      <c r="IA128" s="183">
        <v>28</v>
      </c>
      <c r="IB128" s="183">
        <v>7</v>
      </c>
      <c r="IC128" s="183">
        <v>20</v>
      </c>
      <c r="ID128" s="183">
        <v>20</v>
      </c>
      <c r="IE128" s="183">
        <v>33</v>
      </c>
      <c r="IF128" s="183">
        <v>35</v>
      </c>
      <c r="IG128" s="183">
        <v>64</v>
      </c>
      <c r="IH128" s="183">
        <v>11</v>
      </c>
      <c r="II128" s="183">
        <v>23</v>
      </c>
      <c r="IJ128" s="183">
        <v>23</v>
      </c>
      <c r="IK128" s="183">
        <v>41</v>
      </c>
      <c r="IL128" s="183">
        <v>37</v>
      </c>
      <c r="IM128" s="183">
        <v>68</v>
      </c>
      <c r="IN128" s="183">
        <v>21</v>
      </c>
      <c r="IO128" s="183">
        <v>48</v>
      </c>
      <c r="IP128" s="183">
        <v>24</v>
      </c>
      <c r="IQ128" s="183">
        <v>36</v>
      </c>
      <c r="IR128" s="183">
        <v>22</v>
      </c>
      <c r="IS128" s="183">
        <v>37</v>
      </c>
      <c r="IT128" s="183">
        <v>41</v>
      </c>
      <c r="IU128" s="183">
        <v>65</v>
      </c>
      <c r="IV128" s="183">
        <v>14</v>
      </c>
      <c r="IW128" s="183">
        <v>39</v>
      </c>
      <c r="IX128" s="183">
        <v>17</v>
      </c>
      <c r="IY128" s="183">
        <v>33</v>
      </c>
      <c r="IZ128" s="183">
        <v>13</v>
      </c>
      <c r="JA128" s="183">
        <v>26</v>
      </c>
      <c r="JB128" s="183">
        <v>18</v>
      </c>
      <c r="JC128" s="183">
        <v>37</v>
      </c>
      <c r="JD128" s="183">
        <v>18</v>
      </c>
      <c r="JE128" s="183">
        <v>43</v>
      </c>
    </row>
    <row r="129" spans="1:265" ht="29" x14ac:dyDescent="0.2">
      <c r="A129" s="181" t="s">
        <v>210</v>
      </c>
      <c r="B129" s="182" t="s">
        <v>211</v>
      </c>
      <c r="C129" s="183" t="s">
        <v>212</v>
      </c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183">
        <v>28</v>
      </c>
      <c r="BA129" s="183">
        <v>64</v>
      </c>
      <c r="BB129" s="73"/>
      <c r="BC129" s="73"/>
      <c r="BD129" s="183">
        <v>20</v>
      </c>
      <c r="BE129" s="183">
        <v>52</v>
      </c>
      <c r="BF129" s="183">
        <v>15</v>
      </c>
      <c r="BG129" s="183">
        <v>33</v>
      </c>
      <c r="BH129" s="183">
        <v>8</v>
      </c>
      <c r="BI129" s="183">
        <v>24</v>
      </c>
      <c r="BJ129" s="183">
        <v>10</v>
      </c>
      <c r="BK129" s="183">
        <v>32</v>
      </c>
      <c r="BL129" s="183">
        <f>12+1</f>
        <v>13</v>
      </c>
      <c r="BM129" s="183">
        <v>33</v>
      </c>
      <c r="BN129" s="183">
        <v>14</v>
      </c>
      <c r="BO129" s="183">
        <v>31</v>
      </c>
      <c r="BP129" s="183">
        <v>16</v>
      </c>
      <c r="BQ129" s="183">
        <v>33</v>
      </c>
      <c r="BR129" s="183">
        <v>14</v>
      </c>
      <c r="BS129" s="183">
        <v>37</v>
      </c>
      <c r="BT129" s="183">
        <v>14</v>
      </c>
      <c r="BU129" s="183">
        <v>46</v>
      </c>
      <c r="BV129" s="183">
        <v>11</v>
      </c>
      <c r="BW129" s="183">
        <v>28</v>
      </c>
      <c r="BX129" s="183">
        <v>29</v>
      </c>
      <c r="BY129" s="183">
        <v>62</v>
      </c>
      <c r="BZ129" s="183">
        <v>20</v>
      </c>
      <c r="CA129" s="183">
        <v>39</v>
      </c>
      <c r="CB129" s="183">
        <v>18</v>
      </c>
      <c r="CC129" s="183">
        <v>57</v>
      </c>
      <c r="CD129" s="183">
        <v>23</v>
      </c>
      <c r="CE129" s="183">
        <v>56</v>
      </c>
      <c r="CF129" s="183">
        <v>15</v>
      </c>
      <c r="CG129" s="183">
        <v>88</v>
      </c>
      <c r="CH129" s="183">
        <v>18</v>
      </c>
      <c r="CI129" s="183">
        <v>55</v>
      </c>
      <c r="CJ129" s="183">
        <v>18</v>
      </c>
      <c r="CK129" s="183">
        <v>43</v>
      </c>
      <c r="CL129" s="183">
        <v>18</v>
      </c>
      <c r="CM129" s="183">
        <v>51</v>
      </c>
      <c r="CN129" s="183">
        <v>19</v>
      </c>
      <c r="CO129" s="183">
        <v>46</v>
      </c>
      <c r="CP129" s="183">
        <v>21</v>
      </c>
      <c r="CQ129" s="183">
        <v>49</v>
      </c>
      <c r="CR129" s="183">
        <v>16</v>
      </c>
      <c r="CS129" s="183">
        <v>57</v>
      </c>
      <c r="CT129" s="183">
        <v>16</v>
      </c>
      <c r="CU129" s="183">
        <v>53</v>
      </c>
      <c r="CV129" s="183">
        <v>24</v>
      </c>
      <c r="CW129" s="183">
        <v>73</v>
      </c>
      <c r="CX129" s="183">
        <v>7</v>
      </c>
      <c r="CY129" s="183">
        <v>57</v>
      </c>
      <c r="CZ129" s="183">
        <v>14</v>
      </c>
      <c r="DA129" s="183">
        <v>56</v>
      </c>
      <c r="DB129" s="183">
        <v>31</v>
      </c>
      <c r="DC129" s="183">
        <v>81</v>
      </c>
      <c r="DD129" s="183">
        <v>10</v>
      </c>
      <c r="DE129" s="183">
        <v>90</v>
      </c>
      <c r="DF129" s="183">
        <v>24</v>
      </c>
      <c r="DG129" s="183">
        <v>79</v>
      </c>
      <c r="DH129" s="183">
        <v>21</v>
      </c>
      <c r="DI129" s="183">
        <v>104</v>
      </c>
      <c r="DJ129" s="183">
        <v>24</v>
      </c>
      <c r="DK129" s="183">
        <v>61</v>
      </c>
      <c r="DL129" s="183">
        <v>15</v>
      </c>
      <c r="DM129" s="183">
        <v>51</v>
      </c>
      <c r="DN129" s="183">
        <v>17</v>
      </c>
      <c r="DO129" s="183">
        <v>58</v>
      </c>
      <c r="DP129" s="183">
        <v>16</v>
      </c>
      <c r="DQ129" s="183">
        <v>69</v>
      </c>
      <c r="DR129" s="183">
        <v>13</v>
      </c>
      <c r="DS129" s="183">
        <v>47</v>
      </c>
      <c r="DT129" s="183">
        <v>14</v>
      </c>
      <c r="DU129" s="183">
        <v>65</v>
      </c>
      <c r="DV129" s="183">
        <v>14</v>
      </c>
      <c r="DW129" s="183">
        <v>59</v>
      </c>
      <c r="DX129" s="183">
        <v>2</v>
      </c>
      <c r="DY129" s="183">
        <v>21</v>
      </c>
      <c r="DZ129" s="183">
        <v>16</v>
      </c>
      <c r="EA129" s="183">
        <v>39</v>
      </c>
      <c r="EB129" s="183">
        <v>2</v>
      </c>
      <c r="EC129" s="183">
        <v>27</v>
      </c>
      <c r="ED129" s="183">
        <v>11</v>
      </c>
      <c r="EE129" s="183">
        <v>31</v>
      </c>
      <c r="EF129" s="183">
        <v>12</v>
      </c>
      <c r="EG129" s="185">
        <v>43</v>
      </c>
      <c r="EH129" s="186">
        <v>13</v>
      </c>
      <c r="EI129" s="183">
        <v>37</v>
      </c>
      <c r="EJ129" s="183">
        <v>3</v>
      </c>
      <c r="EK129" s="183">
        <v>26</v>
      </c>
      <c r="EL129" s="183">
        <v>11</v>
      </c>
      <c r="EM129" s="183">
        <v>37</v>
      </c>
      <c r="EN129" s="183">
        <v>10</v>
      </c>
      <c r="EO129" s="183">
        <v>26</v>
      </c>
      <c r="EP129" s="183">
        <v>11</v>
      </c>
      <c r="EQ129" s="183">
        <v>35</v>
      </c>
      <c r="ER129" s="183">
        <v>5</v>
      </c>
      <c r="ES129" s="183">
        <v>32</v>
      </c>
      <c r="ET129" s="183">
        <v>13</v>
      </c>
      <c r="EU129" s="183">
        <v>48</v>
      </c>
      <c r="EV129" s="183">
        <v>4</v>
      </c>
      <c r="EW129" s="183">
        <v>18</v>
      </c>
      <c r="EX129" s="183">
        <v>11</v>
      </c>
      <c r="EY129" s="183">
        <v>13</v>
      </c>
      <c r="EZ129" s="183">
        <v>0</v>
      </c>
      <c r="FA129" s="183">
        <v>2</v>
      </c>
      <c r="FB129" s="183">
        <v>6</v>
      </c>
      <c r="FC129" s="183">
        <v>10</v>
      </c>
      <c r="FD129" s="183">
        <v>8</v>
      </c>
      <c r="FE129" s="183">
        <v>11</v>
      </c>
      <c r="FF129" s="183">
        <v>9</v>
      </c>
      <c r="FG129" s="183">
        <v>12</v>
      </c>
      <c r="FH129" s="183">
        <v>5</v>
      </c>
      <c r="FI129" s="183">
        <v>6</v>
      </c>
      <c r="FJ129" s="183">
        <v>12</v>
      </c>
      <c r="FK129" s="95">
        <v>12</v>
      </c>
      <c r="FL129" s="104">
        <v>12</v>
      </c>
      <c r="FM129" s="183">
        <v>12</v>
      </c>
      <c r="FN129" s="183">
        <v>64</v>
      </c>
      <c r="FO129" s="183">
        <v>73</v>
      </c>
      <c r="FP129" s="183">
        <v>9</v>
      </c>
      <c r="FQ129" s="183">
        <v>10</v>
      </c>
      <c r="FR129" s="183">
        <v>12</v>
      </c>
      <c r="FS129" s="183">
        <v>15</v>
      </c>
      <c r="FT129" s="183">
        <v>16</v>
      </c>
      <c r="FU129" s="183">
        <v>19</v>
      </c>
      <c r="FV129" s="183">
        <v>61</v>
      </c>
      <c r="FW129" s="183">
        <v>67</v>
      </c>
      <c r="FX129" s="183">
        <v>13</v>
      </c>
      <c r="FY129" s="183">
        <v>16</v>
      </c>
      <c r="FZ129" s="183">
        <v>17</v>
      </c>
      <c r="GA129" s="183">
        <v>18</v>
      </c>
      <c r="GB129" s="183">
        <v>24</v>
      </c>
      <c r="GC129" s="183">
        <v>27</v>
      </c>
      <c r="GD129" s="183">
        <v>1</v>
      </c>
      <c r="GE129" s="183">
        <v>59</v>
      </c>
      <c r="GF129" s="183">
        <v>17</v>
      </c>
      <c r="GG129" s="183">
        <v>18</v>
      </c>
      <c r="GH129" s="183">
        <v>5</v>
      </c>
      <c r="GI129" s="183">
        <v>6</v>
      </c>
      <c r="GJ129" s="183">
        <v>2</v>
      </c>
      <c r="GK129" s="183">
        <v>3</v>
      </c>
      <c r="GL129" s="183">
        <v>3</v>
      </c>
      <c r="GM129" s="183">
        <v>6</v>
      </c>
      <c r="GN129" s="183">
        <v>2</v>
      </c>
      <c r="GO129" s="183">
        <v>3</v>
      </c>
      <c r="GP129" s="183">
        <v>3</v>
      </c>
      <c r="GQ129" s="183">
        <v>5</v>
      </c>
      <c r="GR129" s="183">
        <v>3</v>
      </c>
      <c r="GS129" s="183">
        <v>3</v>
      </c>
      <c r="GT129" s="183">
        <v>2</v>
      </c>
      <c r="GU129" s="183">
        <v>5</v>
      </c>
      <c r="GV129" s="183">
        <v>4</v>
      </c>
      <c r="GW129" s="183">
        <v>6</v>
      </c>
      <c r="GX129" s="183">
        <v>3</v>
      </c>
      <c r="GY129" s="183">
        <v>4</v>
      </c>
      <c r="GZ129" s="28" t="s">
        <v>30</v>
      </c>
      <c r="HA129" s="28" t="s">
        <v>30</v>
      </c>
      <c r="HB129" s="183">
        <v>12</v>
      </c>
      <c r="HC129" s="183">
        <v>18</v>
      </c>
      <c r="HD129" s="183">
        <v>6</v>
      </c>
      <c r="HE129" s="183">
        <v>6</v>
      </c>
      <c r="HF129" s="183">
        <v>19</v>
      </c>
      <c r="HG129" s="183">
        <v>21</v>
      </c>
      <c r="HH129" s="183">
        <v>22</v>
      </c>
      <c r="HI129" s="183">
        <v>25</v>
      </c>
      <c r="HJ129" s="183">
        <v>13</v>
      </c>
      <c r="HK129" s="183">
        <v>18</v>
      </c>
      <c r="HL129" s="183">
        <v>6</v>
      </c>
      <c r="HM129" s="183">
        <v>6</v>
      </c>
      <c r="HN129" s="183">
        <v>4</v>
      </c>
      <c r="HO129" s="183">
        <v>5</v>
      </c>
      <c r="HP129" s="183">
        <v>8</v>
      </c>
      <c r="HQ129" s="183">
        <v>9</v>
      </c>
      <c r="HR129" s="183">
        <v>10</v>
      </c>
      <c r="HS129" s="183">
        <v>15</v>
      </c>
      <c r="HT129" s="183">
        <v>6</v>
      </c>
      <c r="HU129" s="183">
        <v>7</v>
      </c>
      <c r="HV129" s="183">
        <v>6</v>
      </c>
      <c r="HW129" s="183">
        <v>6</v>
      </c>
      <c r="HX129" s="183">
        <v>3</v>
      </c>
      <c r="HY129" s="183">
        <v>5</v>
      </c>
      <c r="HZ129" s="183">
        <v>8</v>
      </c>
      <c r="IA129" s="183">
        <v>12</v>
      </c>
      <c r="IB129" s="183">
        <v>9</v>
      </c>
      <c r="IC129" s="183">
        <v>9</v>
      </c>
      <c r="ID129" s="183">
        <v>2</v>
      </c>
      <c r="IE129" s="183">
        <v>2</v>
      </c>
      <c r="IF129" s="183">
        <v>5</v>
      </c>
      <c r="IG129" s="183">
        <v>7</v>
      </c>
      <c r="IH129" s="183">
        <v>7</v>
      </c>
      <c r="II129" s="183">
        <v>9</v>
      </c>
      <c r="IJ129" s="183">
        <v>12</v>
      </c>
      <c r="IK129" s="183">
        <v>12</v>
      </c>
      <c r="IL129" s="183">
        <v>14</v>
      </c>
      <c r="IM129" s="183">
        <v>16</v>
      </c>
      <c r="IN129" s="183">
        <v>9</v>
      </c>
      <c r="IO129" s="183">
        <v>10</v>
      </c>
      <c r="IP129" s="183">
        <v>3</v>
      </c>
      <c r="IQ129" s="183">
        <v>4</v>
      </c>
      <c r="IR129" s="183">
        <v>5</v>
      </c>
      <c r="IS129" s="183">
        <v>5</v>
      </c>
      <c r="IT129" s="183">
        <v>0</v>
      </c>
      <c r="IU129" s="183">
        <v>0</v>
      </c>
      <c r="IV129" s="183">
        <v>0</v>
      </c>
      <c r="IW129" s="183">
        <v>0</v>
      </c>
      <c r="IX129" s="183">
        <v>0</v>
      </c>
      <c r="IY129" s="183">
        <v>0</v>
      </c>
      <c r="IZ129" s="183">
        <v>0</v>
      </c>
      <c r="JA129" s="183">
        <v>0</v>
      </c>
      <c r="JB129" s="183">
        <v>0</v>
      </c>
      <c r="JC129" s="183">
        <v>0</v>
      </c>
      <c r="JD129" s="183">
        <v>0</v>
      </c>
      <c r="JE129" s="183">
        <v>0</v>
      </c>
    </row>
    <row r="130" spans="1:265" ht="43" x14ac:dyDescent="0.2">
      <c r="A130" s="181" t="s">
        <v>213</v>
      </c>
      <c r="B130" s="182" t="s">
        <v>214</v>
      </c>
      <c r="C130" s="183" t="s">
        <v>215</v>
      </c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183">
        <v>45</v>
      </c>
      <c r="BC130" s="183">
        <v>51</v>
      </c>
      <c r="BD130" s="183">
        <v>13</v>
      </c>
      <c r="BE130" s="183">
        <v>24</v>
      </c>
      <c r="BF130" s="183">
        <v>22</v>
      </c>
      <c r="BG130" s="183">
        <v>30</v>
      </c>
      <c r="BH130" s="183">
        <v>27</v>
      </c>
      <c r="BI130" s="183">
        <v>39</v>
      </c>
      <c r="BJ130" s="183">
        <v>17</v>
      </c>
      <c r="BK130" s="183">
        <v>26</v>
      </c>
      <c r="BL130" s="183">
        <f>5+1</f>
        <v>6</v>
      </c>
      <c r="BM130" s="183">
        <v>17</v>
      </c>
      <c r="BN130" s="183">
        <v>22</v>
      </c>
      <c r="BO130" s="183">
        <v>37</v>
      </c>
      <c r="BP130" s="183">
        <v>18</v>
      </c>
      <c r="BQ130" s="183">
        <v>31</v>
      </c>
      <c r="BR130" s="183">
        <v>7</v>
      </c>
      <c r="BS130" s="183">
        <v>16</v>
      </c>
      <c r="BT130" s="183">
        <v>11</v>
      </c>
      <c r="BU130" s="183">
        <v>21</v>
      </c>
      <c r="BV130" s="183">
        <v>11</v>
      </c>
      <c r="BW130" s="183">
        <v>20</v>
      </c>
      <c r="BX130" s="183">
        <v>13</v>
      </c>
      <c r="BY130" s="183">
        <v>29</v>
      </c>
      <c r="BZ130" s="183">
        <v>15</v>
      </c>
      <c r="CA130" s="183">
        <v>31</v>
      </c>
      <c r="CB130" s="183">
        <v>14</v>
      </c>
      <c r="CC130" s="183">
        <v>27</v>
      </c>
      <c r="CD130" s="183">
        <v>19</v>
      </c>
      <c r="CE130" s="183">
        <v>36</v>
      </c>
      <c r="CF130" s="183">
        <v>18</v>
      </c>
      <c r="CG130" s="183">
        <v>27</v>
      </c>
      <c r="CH130" s="183">
        <v>16</v>
      </c>
      <c r="CI130" s="183">
        <v>30</v>
      </c>
      <c r="CJ130" s="183">
        <v>16</v>
      </c>
      <c r="CK130" s="183">
        <v>28</v>
      </c>
      <c r="CL130" s="183">
        <v>23</v>
      </c>
      <c r="CM130" s="183">
        <v>40</v>
      </c>
      <c r="CN130" s="183">
        <v>15</v>
      </c>
      <c r="CO130" s="183">
        <v>25</v>
      </c>
      <c r="CP130" s="183">
        <v>12</v>
      </c>
      <c r="CQ130" s="183">
        <v>27</v>
      </c>
      <c r="CR130" s="183">
        <v>19</v>
      </c>
      <c r="CS130" s="183">
        <v>37</v>
      </c>
      <c r="CT130" s="183">
        <v>14</v>
      </c>
      <c r="CU130" s="183">
        <v>35</v>
      </c>
      <c r="CV130" s="183">
        <v>16</v>
      </c>
      <c r="CW130" s="183">
        <v>29</v>
      </c>
      <c r="CX130" s="183">
        <v>15</v>
      </c>
      <c r="CY130" s="183">
        <v>30</v>
      </c>
      <c r="CZ130" s="183">
        <v>13</v>
      </c>
      <c r="DA130" s="183">
        <v>26</v>
      </c>
      <c r="DB130" s="183">
        <v>23</v>
      </c>
      <c r="DC130" s="183">
        <v>40</v>
      </c>
      <c r="DD130" s="183">
        <v>10</v>
      </c>
      <c r="DE130" s="183">
        <v>19</v>
      </c>
      <c r="DF130" s="183">
        <v>7</v>
      </c>
      <c r="DG130" s="183">
        <v>16</v>
      </c>
      <c r="DH130" s="183">
        <v>9</v>
      </c>
      <c r="DI130" s="183">
        <v>15</v>
      </c>
      <c r="DJ130" s="183">
        <v>9</v>
      </c>
      <c r="DK130" s="183">
        <v>15</v>
      </c>
      <c r="DL130" s="183">
        <v>7</v>
      </c>
      <c r="DM130" s="183">
        <v>19</v>
      </c>
      <c r="DN130" s="183">
        <v>18</v>
      </c>
      <c r="DO130" s="183">
        <v>25</v>
      </c>
      <c r="DP130" s="183">
        <v>18</v>
      </c>
      <c r="DQ130" s="183">
        <v>28</v>
      </c>
      <c r="DR130" s="183">
        <v>15</v>
      </c>
      <c r="DS130" s="183">
        <v>20</v>
      </c>
      <c r="DT130" s="183">
        <v>16</v>
      </c>
      <c r="DU130" s="183">
        <v>23</v>
      </c>
      <c r="DV130" s="183">
        <v>16</v>
      </c>
      <c r="DW130" s="183">
        <v>42</v>
      </c>
      <c r="DX130" s="183">
        <v>11</v>
      </c>
      <c r="DY130" s="183">
        <v>29</v>
      </c>
      <c r="DZ130" s="183">
        <v>14</v>
      </c>
      <c r="EA130" s="183">
        <v>28</v>
      </c>
      <c r="EB130" s="183">
        <v>9</v>
      </c>
      <c r="EC130" s="183">
        <v>31</v>
      </c>
      <c r="ED130" s="183">
        <v>8</v>
      </c>
      <c r="EE130" s="183">
        <v>31</v>
      </c>
      <c r="EF130" s="183">
        <v>6</v>
      </c>
      <c r="EG130" s="185">
        <v>20</v>
      </c>
      <c r="EH130" s="186">
        <v>6</v>
      </c>
      <c r="EI130" s="183">
        <v>28</v>
      </c>
      <c r="EJ130" s="183">
        <v>7</v>
      </c>
      <c r="EK130" s="183">
        <v>28</v>
      </c>
      <c r="EL130" s="183">
        <v>12</v>
      </c>
      <c r="EM130" s="183">
        <v>31</v>
      </c>
      <c r="EN130" s="183">
        <v>7</v>
      </c>
      <c r="EO130" s="183">
        <v>24</v>
      </c>
      <c r="EP130" s="183">
        <v>5</v>
      </c>
      <c r="EQ130" s="183">
        <v>33</v>
      </c>
      <c r="ER130" s="183">
        <v>3</v>
      </c>
      <c r="ES130" s="183">
        <v>23</v>
      </c>
      <c r="ET130" s="183">
        <v>2</v>
      </c>
      <c r="EU130" s="183">
        <v>28</v>
      </c>
      <c r="EV130" s="183">
        <v>4</v>
      </c>
      <c r="EW130" s="183">
        <v>28</v>
      </c>
      <c r="EX130" s="183">
        <v>5</v>
      </c>
      <c r="EY130" s="183">
        <v>22</v>
      </c>
      <c r="EZ130" s="183">
        <v>5</v>
      </c>
      <c r="FA130" s="183">
        <v>26</v>
      </c>
      <c r="FB130" s="183">
        <v>1</v>
      </c>
      <c r="FC130" s="183">
        <v>20</v>
      </c>
      <c r="FD130" s="183">
        <v>5</v>
      </c>
      <c r="FE130" s="183">
        <v>30</v>
      </c>
      <c r="FF130" s="183">
        <v>6</v>
      </c>
      <c r="FG130" s="183">
        <v>19</v>
      </c>
      <c r="FH130" s="183">
        <v>3</v>
      </c>
      <c r="FI130" s="183">
        <v>24</v>
      </c>
      <c r="FJ130" s="183">
        <v>4</v>
      </c>
      <c r="FK130" s="95">
        <v>25</v>
      </c>
      <c r="FL130" s="96">
        <v>26</v>
      </c>
      <c r="FM130" s="183">
        <v>26</v>
      </c>
      <c r="FN130" s="183">
        <v>19</v>
      </c>
      <c r="FO130" s="183">
        <v>42</v>
      </c>
      <c r="FP130" s="183">
        <v>7</v>
      </c>
      <c r="FQ130" s="183">
        <v>35</v>
      </c>
      <c r="FR130" s="183">
        <v>5</v>
      </c>
      <c r="FS130" s="183">
        <v>27</v>
      </c>
      <c r="FT130" s="183">
        <v>7</v>
      </c>
      <c r="FU130" s="183">
        <v>18</v>
      </c>
      <c r="FV130" s="183">
        <v>12</v>
      </c>
      <c r="FW130" s="183">
        <v>28</v>
      </c>
      <c r="FX130" s="183">
        <v>10</v>
      </c>
      <c r="FY130" s="183">
        <v>35</v>
      </c>
      <c r="FZ130" s="183">
        <v>17</v>
      </c>
      <c r="GA130" s="183">
        <v>38</v>
      </c>
      <c r="GB130" s="183">
        <v>9</v>
      </c>
      <c r="GC130" s="183">
        <v>18</v>
      </c>
      <c r="GD130" s="183">
        <v>1</v>
      </c>
      <c r="GE130" s="183">
        <v>22</v>
      </c>
      <c r="GF130" s="183">
        <v>8</v>
      </c>
      <c r="GG130" s="183">
        <v>20</v>
      </c>
      <c r="GH130" s="183">
        <v>38</v>
      </c>
      <c r="GI130" s="183">
        <v>59</v>
      </c>
      <c r="GJ130" s="183">
        <v>14</v>
      </c>
      <c r="GK130" s="183">
        <v>31</v>
      </c>
      <c r="GL130" s="183">
        <v>17</v>
      </c>
      <c r="GM130" s="183">
        <v>40</v>
      </c>
      <c r="GN130" s="183">
        <v>6</v>
      </c>
      <c r="GO130" s="183">
        <v>32</v>
      </c>
      <c r="GP130" s="183">
        <v>7</v>
      </c>
      <c r="GQ130" s="183">
        <v>22</v>
      </c>
      <c r="GR130" s="183">
        <v>9</v>
      </c>
      <c r="GS130" s="183">
        <v>33</v>
      </c>
      <c r="GT130" s="183">
        <v>11</v>
      </c>
      <c r="GU130" s="183">
        <v>36</v>
      </c>
      <c r="GV130" s="183">
        <v>21</v>
      </c>
      <c r="GW130" s="183">
        <v>33</v>
      </c>
      <c r="GX130" s="183">
        <v>20</v>
      </c>
      <c r="GY130" s="183">
        <v>30</v>
      </c>
      <c r="GZ130" s="28" t="s">
        <v>30</v>
      </c>
      <c r="HA130" s="28" t="s">
        <v>30</v>
      </c>
      <c r="HB130" s="183">
        <v>13</v>
      </c>
      <c r="HC130" s="183">
        <v>35</v>
      </c>
      <c r="HD130" s="183">
        <v>2</v>
      </c>
      <c r="HE130" s="183">
        <v>10</v>
      </c>
      <c r="HF130" s="183">
        <v>4</v>
      </c>
      <c r="HG130" s="183">
        <v>18</v>
      </c>
      <c r="HH130" s="183">
        <v>10</v>
      </c>
      <c r="HI130" s="183">
        <v>27</v>
      </c>
      <c r="HJ130" s="183">
        <v>7</v>
      </c>
      <c r="HK130" s="183">
        <v>15</v>
      </c>
      <c r="HL130" s="183">
        <v>9</v>
      </c>
      <c r="HM130" s="183">
        <v>16</v>
      </c>
      <c r="HN130" s="183">
        <v>9</v>
      </c>
      <c r="HO130" s="183">
        <v>12</v>
      </c>
      <c r="HP130" s="183">
        <v>15</v>
      </c>
      <c r="HQ130" s="183">
        <v>23</v>
      </c>
      <c r="HR130" s="183">
        <v>11</v>
      </c>
      <c r="HS130" s="183">
        <v>18</v>
      </c>
      <c r="HT130" s="183">
        <v>7</v>
      </c>
      <c r="HU130" s="183">
        <v>11</v>
      </c>
      <c r="HV130" s="183">
        <v>15</v>
      </c>
      <c r="HW130" s="183">
        <v>18</v>
      </c>
      <c r="HX130" s="183">
        <v>21</v>
      </c>
      <c r="HY130" s="183">
        <v>26</v>
      </c>
      <c r="HZ130" s="183">
        <v>21</v>
      </c>
      <c r="IA130" s="183">
        <v>28</v>
      </c>
      <c r="IB130" s="183">
        <v>14</v>
      </c>
      <c r="IC130" s="183">
        <v>19</v>
      </c>
      <c r="ID130" s="183">
        <v>8</v>
      </c>
      <c r="IE130" s="183">
        <v>16</v>
      </c>
      <c r="IF130" s="183">
        <v>14</v>
      </c>
      <c r="IG130" s="183">
        <v>22</v>
      </c>
      <c r="IH130" s="183">
        <v>10</v>
      </c>
      <c r="II130" s="183">
        <v>16</v>
      </c>
      <c r="IJ130" s="183">
        <v>12</v>
      </c>
      <c r="IK130" s="183">
        <v>32</v>
      </c>
      <c r="IL130" s="183">
        <v>9</v>
      </c>
      <c r="IM130" s="183">
        <v>19</v>
      </c>
      <c r="IN130" s="183">
        <v>24</v>
      </c>
      <c r="IO130" s="183">
        <v>36</v>
      </c>
      <c r="IP130" s="183">
        <v>31</v>
      </c>
      <c r="IQ130" s="183">
        <v>42</v>
      </c>
      <c r="IR130" s="183">
        <v>28</v>
      </c>
      <c r="IS130" s="183">
        <v>41</v>
      </c>
      <c r="IT130" s="183">
        <v>28</v>
      </c>
      <c r="IU130" s="183">
        <v>43</v>
      </c>
      <c r="IV130" s="183">
        <v>29</v>
      </c>
      <c r="IW130" s="183">
        <v>36</v>
      </c>
      <c r="IX130" s="183">
        <v>25</v>
      </c>
      <c r="IY130" s="183">
        <v>39</v>
      </c>
      <c r="IZ130" s="183">
        <v>19</v>
      </c>
      <c r="JA130" s="183">
        <v>26</v>
      </c>
      <c r="JB130" s="183">
        <v>29</v>
      </c>
      <c r="JC130" s="183">
        <v>37</v>
      </c>
      <c r="JD130" s="183">
        <v>15</v>
      </c>
      <c r="JE130" s="183">
        <v>25</v>
      </c>
    </row>
    <row r="131" spans="1:265" ht="29" x14ac:dyDescent="0.2">
      <c r="A131" s="181" t="s">
        <v>216</v>
      </c>
      <c r="B131" s="182" t="s">
        <v>217</v>
      </c>
      <c r="C131" s="183" t="s">
        <v>218</v>
      </c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183">
        <v>28</v>
      </c>
      <c r="BC131" s="183">
        <v>62</v>
      </c>
      <c r="BD131" s="183">
        <v>25</v>
      </c>
      <c r="BE131" s="183">
        <v>55</v>
      </c>
      <c r="BF131" s="183">
        <v>21</v>
      </c>
      <c r="BG131" s="183">
        <v>62</v>
      </c>
      <c r="BH131" s="183">
        <v>13</v>
      </c>
      <c r="BI131" s="183">
        <v>54</v>
      </c>
      <c r="BJ131" s="183">
        <v>17</v>
      </c>
      <c r="BK131" s="183">
        <v>58</v>
      </c>
      <c r="BL131" s="183">
        <v>13</v>
      </c>
      <c r="BM131" s="183">
        <v>63</v>
      </c>
      <c r="BN131" s="183">
        <v>30</v>
      </c>
      <c r="BO131" s="183">
        <v>62</v>
      </c>
      <c r="BP131" s="183">
        <v>23</v>
      </c>
      <c r="BQ131" s="183">
        <v>58</v>
      </c>
      <c r="BR131" s="183">
        <v>6</v>
      </c>
      <c r="BS131" s="183">
        <v>22</v>
      </c>
      <c r="BT131" s="183">
        <v>11</v>
      </c>
      <c r="BU131" s="183">
        <v>50</v>
      </c>
      <c r="BV131" s="183">
        <v>17</v>
      </c>
      <c r="BW131" s="183">
        <v>39</v>
      </c>
      <c r="BX131" s="183">
        <v>13</v>
      </c>
      <c r="BY131" s="183">
        <v>43</v>
      </c>
      <c r="BZ131" s="183">
        <v>18</v>
      </c>
      <c r="CA131" s="183">
        <v>56</v>
      </c>
      <c r="CB131" s="183">
        <v>22</v>
      </c>
      <c r="CC131" s="183">
        <v>48</v>
      </c>
      <c r="CD131" s="183">
        <v>29</v>
      </c>
      <c r="CE131" s="183">
        <v>74</v>
      </c>
      <c r="CF131" s="183">
        <v>23</v>
      </c>
      <c r="CG131" s="183">
        <v>61</v>
      </c>
      <c r="CH131" s="183">
        <v>30</v>
      </c>
      <c r="CI131" s="183">
        <v>73</v>
      </c>
      <c r="CJ131" s="183">
        <v>21</v>
      </c>
      <c r="CK131" s="183">
        <v>43</v>
      </c>
      <c r="CL131" s="183">
        <v>21</v>
      </c>
      <c r="CM131" s="183">
        <v>58</v>
      </c>
      <c r="CN131" s="183">
        <v>13</v>
      </c>
      <c r="CO131" s="183">
        <v>45</v>
      </c>
      <c r="CP131" s="183">
        <v>20</v>
      </c>
      <c r="CQ131" s="183">
        <v>52</v>
      </c>
      <c r="CR131" s="183">
        <v>23</v>
      </c>
      <c r="CS131" s="183">
        <v>57</v>
      </c>
      <c r="CT131" s="183">
        <v>19</v>
      </c>
      <c r="CU131" s="183">
        <v>46</v>
      </c>
      <c r="CV131" s="183">
        <v>18</v>
      </c>
      <c r="CW131" s="183">
        <v>60</v>
      </c>
      <c r="CX131" s="183">
        <v>20</v>
      </c>
      <c r="CY131" s="183">
        <v>50</v>
      </c>
      <c r="CZ131" s="183">
        <v>14</v>
      </c>
      <c r="DA131" s="183">
        <v>40</v>
      </c>
      <c r="DB131" s="183">
        <v>34</v>
      </c>
      <c r="DC131" s="183">
        <v>53</v>
      </c>
      <c r="DD131" s="183">
        <v>13</v>
      </c>
      <c r="DE131" s="183">
        <v>40</v>
      </c>
      <c r="DF131" s="183">
        <v>6</v>
      </c>
      <c r="DG131" s="183">
        <v>32</v>
      </c>
      <c r="DH131" s="183">
        <v>23</v>
      </c>
      <c r="DI131" s="183">
        <v>58</v>
      </c>
      <c r="DJ131" s="183">
        <v>19</v>
      </c>
      <c r="DK131" s="183">
        <v>46</v>
      </c>
      <c r="DL131" s="183">
        <v>17</v>
      </c>
      <c r="DM131" s="183">
        <v>45</v>
      </c>
      <c r="DN131" s="183">
        <v>18</v>
      </c>
      <c r="DO131" s="183">
        <v>40</v>
      </c>
      <c r="DP131" s="183">
        <v>12</v>
      </c>
      <c r="DQ131" s="183">
        <v>34</v>
      </c>
      <c r="DR131" s="183">
        <v>14</v>
      </c>
      <c r="DS131" s="183">
        <v>39</v>
      </c>
      <c r="DT131" s="183">
        <v>18</v>
      </c>
      <c r="DU131" s="183">
        <v>49</v>
      </c>
      <c r="DV131" s="183">
        <v>10</v>
      </c>
      <c r="DW131" s="183">
        <v>44</v>
      </c>
      <c r="DX131" s="183">
        <v>4</v>
      </c>
      <c r="DY131" s="183">
        <v>37</v>
      </c>
      <c r="DZ131" s="183">
        <v>2</v>
      </c>
      <c r="EA131" s="183">
        <v>38</v>
      </c>
      <c r="EB131" s="183">
        <v>7</v>
      </c>
      <c r="EC131" s="183">
        <v>48</v>
      </c>
      <c r="ED131" s="183">
        <v>15</v>
      </c>
      <c r="EE131" s="183">
        <v>45</v>
      </c>
      <c r="EF131" s="183">
        <v>7</v>
      </c>
      <c r="EG131" s="185">
        <v>42</v>
      </c>
      <c r="EH131" s="186">
        <v>11</v>
      </c>
      <c r="EI131" s="183">
        <v>39</v>
      </c>
      <c r="EJ131" s="183">
        <v>12</v>
      </c>
      <c r="EK131" s="183">
        <v>49</v>
      </c>
      <c r="EL131" s="183">
        <v>11</v>
      </c>
      <c r="EM131" s="183">
        <v>46</v>
      </c>
      <c r="EN131" s="183">
        <v>7</v>
      </c>
      <c r="EO131" s="183">
        <v>44</v>
      </c>
      <c r="EP131" s="183">
        <v>6</v>
      </c>
      <c r="EQ131" s="183">
        <v>41</v>
      </c>
      <c r="ER131" s="183">
        <v>7</v>
      </c>
      <c r="ES131" s="183">
        <v>30</v>
      </c>
      <c r="ET131" s="183">
        <v>8</v>
      </c>
      <c r="EU131" s="183">
        <v>33</v>
      </c>
      <c r="EV131" s="183">
        <v>4</v>
      </c>
      <c r="EW131" s="183">
        <v>33</v>
      </c>
      <c r="EX131" s="183">
        <v>8</v>
      </c>
      <c r="EY131" s="183">
        <v>47</v>
      </c>
      <c r="EZ131" s="183">
        <v>11</v>
      </c>
      <c r="FA131" s="183">
        <v>37</v>
      </c>
      <c r="FB131" s="183">
        <v>9</v>
      </c>
      <c r="FC131" s="183">
        <v>26</v>
      </c>
      <c r="FD131" s="183">
        <v>5</v>
      </c>
      <c r="FE131" s="183">
        <v>45</v>
      </c>
      <c r="FF131" s="183">
        <v>12</v>
      </c>
      <c r="FG131" s="183">
        <v>41</v>
      </c>
      <c r="FH131" s="183">
        <v>13</v>
      </c>
      <c r="FI131" s="183">
        <v>44</v>
      </c>
      <c r="FJ131" s="183">
        <v>10</v>
      </c>
      <c r="FK131" s="95">
        <v>38</v>
      </c>
      <c r="FL131" s="104">
        <v>38</v>
      </c>
      <c r="FM131" s="183">
        <v>38</v>
      </c>
      <c r="FN131" s="183">
        <v>19</v>
      </c>
      <c r="FO131" s="183">
        <v>59</v>
      </c>
      <c r="FP131" s="183">
        <v>9</v>
      </c>
      <c r="FQ131" s="183">
        <v>41</v>
      </c>
      <c r="FR131" s="183">
        <v>15</v>
      </c>
      <c r="FS131" s="183">
        <v>39</v>
      </c>
      <c r="FT131" s="183">
        <v>16</v>
      </c>
      <c r="FU131" s="183">
        <v>60</v>
      </c>
      <c r="FV131" s="183">
        <v>21</v>
      </c>
      <c r="FW131" s="183">
        <v>61</v>
      </c>
      <c r="FX131" s="183">
        <v>6</v>
      </c>
      <c r="FY131" s="183">
        <v>43</v>
      </c>
      <c r="FZ131" s="183">
        <v>6</v>
      </c>
      <c r="GA131" s="183">
        <v>41</v>
      </c>
      <c r="GB131" s="75"/>
      <c r="GC131" s="75"/>
      <c r="GD131" s="75"/>
      <c r="GE131" s="75"/>
      <c r="GF131" s="75"/>
      <c r="GG131" s="75"/>
      <c r="GH131" s="75"/>
      <c r="GI131" s="75"/>
      <c r="GJ131" s="75"/>
      <c r="GK131" s="75"/>
      <c r="GL131" s="75"/>
      <c r="GM131" s="75"/>
      <c r="GN131" s="75"/>
      <c r="GO131" s="75"/>
      <c r="GP131" s="75"/>
      <c r="GQ131" s="75"/>
      <c r="GR131" s="75"/>
      <c r="GS131" s="75"/>
      <c r="GT131" s="75"/>
      <c r="GU131" s="75"/>
      <c r="GV131" s="75"/>
      <c r="GW131" s="75"/>
      <c r="GX131" s="75"/>
      <c r="GY131" s="75"/>
      <c r="GZ131" s="75"/>
      <c r="HA131" s="75"/>
      <c r="HB131" s="75"/>
      <c r="HC131" s="75"/>
      <c r="HD131" s="75"/>
      <c r="HE131" s="75"/>
      <c r="HF131" s="75"/>
      <c r="HG131" s="75"/>
      <c r="HH131" s="75"/>
      <c r="HI131" s="75"/>
      <c r="HJ131" s="75"/>
      <c r="HK131" s="75"/>
      <c r="HL131" s="75"/>
      <c r="HM131" s="75"/>
      <c r="HN131" s="75"/>
      <c r="HO131" s="75"/>
      <c r="HP131" s="75"/>
      <c r="HQ131" s="75"/>
      <c r="HR131" s="75"/>
      <c r="HS131" s="75"/>
      <c r="HT131" s="75"/>
      <c r="HU131" s="75"/>
      <c r="HV131" s="75"/>
      <c r="HW131" s="75"/>
      <c r="HX131" s="75"/>
      <c r="HY131" s="75"/>
      <c r="HZ131" s="75"/>
      <c r="IA131" s="75"/>
      <c r="IB131" s="75"/>
      <c r="IC131" s="75"/>
      <c r="ID131" s="75"/>
      <c r="IE131" s="75"/>
      <c r="IF131" s="75"/>
      <c r="IG131" s="75"/>
      <c r="IH131" s="75"/>
      <c r="II131" s="75"/>
      <c r="IJ131" s="75"/>
      <c r="IK131" s="75"/>
      <c r="IL131" s="75"/>
      <c r="IM131" s="75"/>
      <c r="IN131" s="75"/>
      <c r="IO131" s="75"/>
      <c r="IP131" s="75"/>
      <c r="IQ131" s="75"/>
      <c r="IR131" s="75"/>
      <c r="IS131" s="75"/>
      <c r="IT131" s="75"/>
      <c r="IU131" s="75"/>
      <c r="IV131" s="75"/>
      <c r="IW131" s="75"/>
      <c r="IX131" s="75"/>
      <c r="IY131" s="75"/>
      <c r="IZ131" s="75"/>
      <c r="JA131" s="75"/>
      <c r="JB131" s="75"/>
      <c r="JC131" s="75"/>
      <c r="JD131" s="75"/>
      <c r="JE131" s="75"/>
    </row>
    <row r="132" spans="1:265" ht="29" x14ac:dyDescent="0.2">
      <c r="A132" s="181" t="s">
        <v>219</v>
      </c>
      <c r="B132" s="182" t="s">
        <v>220</v>
      </c>
      <c r="C132" s="183" t="s">
        <v>221</v>
      </c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183">
        <v>92</v>
      </c>
      <c r="BI132" s="183">
        <v>265</v>
      </c>
      <c r="BJ132" s="183">
        <v>0</v>
      </c>
      <c r="BK132" s="183">
        <v>0</v>
      </c>
      <c r="BL132" s="183">
        <f>22+1</f>
        <v>23</v>
      </c>
      <c r="BM132" s="183">
        <v>69</v>
      </c>
      <c r="BN132" s="183">
        <v>17</v>
      </c>
      <c r="BO132" s="183">
        <v>68</v>
      </c>
      <c r="BP132" s="183">
        <v>18</v>
      </c>
      <c r="BQ132" s="183">
        <v>73</v>
      </c>
      <c r="BR132" s="183">
        <v>19</v>
      </c>
      <c r="BS132" s="183">
        <v>66</v>
      </c>
      <c r="BT132" s="183">
        <v>23</v>
      </c>
      <c r="BU132" s="183">
        <v>73</v>
      </c>
      <c r="BV132" s="183">
        <v>27</v>
      </c>
      <c r="BW132" s="183">
        <v>82</v>
      </c>
      <c r="BX132" s="183">
        <v>11</v>
      </c>
      <c r="BY132" s="183">
        <v>52</v>
      </c>
      <c r="BZ132" s="183">
        <v>13</v>
      </c>
      <c r="CA132" s="183">
        <v>65</v>
      </c>
      <c r="CB132" s="183">
        <v>5</v>
      </c>
      <c r="CC132" s="183">
        <v>22</v>
      </c>
      <c r="CD132" s="183">
        <v>0</v>
      </c>
      <c r="CE132" s="183">
        <v>4</v>
      </c>
      <c r="CF132" s="183">
        <v>0</v>
      </c>
      <c r="CG132" s="183">
        <v>0</v>
      </c>
      <c r="CH132" s="183">
        <v>0</v>
      </c>
      <c r="CI132" s="183">
        <v>0</v>
      </c>
      <c r="CJ132" s="183">
        <v>0</v>
      </c>
      <c r="CK132" s="183">
        <v>0</v>
      </c>
      <c r="CL132" s="183">
        <v>0</v>
      </c>
      <c r="CM132" s="183">
        <v>0</v>
      </c>
      <c r="CN132" s="183">
        <v>0</v>
      </c>
      <c r="CO132" s="183">
        <v>0</v>
      </c>
      <c r="CP132" s="183">
        <v>0</v>
      </c>
      <c r="CQ132" s="183">
        <v>0</v>
      </c>
      <c r="CR132" s="183">
        <v>0</v>
      </c>
      <c r="CS132" s="183">
        <v>0</v>
      </c>
      <c r="CT132" s="183">
        <v>0</v>
      </c>
      <c r="CU132" s="183">
        <v>0</v>
      </c>
      <c r="CV132" s="183">
        <v>0</v>
      </c>
      <c r="CW132" s="183">
        <v>0</v>
      </c>
      <c r="CX132" s="183">
        <v>0</v>
      </c>
      <c r="CY132" s="183">
        <v>0</v>
      </c>
      <c r="CZ132" s="183">
        <v>0</v>
      </c>
      <c r="DA132" s="183">
        <v>0</v>
      </c>
      <c r="DB132" s="183">
        <v>0</v>
      </c>
      <c r="DC132" s="183">
        <v>0</v>
      </c>
      <c r="DD132" s="183">
        <v>0</v>
      </c>
      <c r="DE132" s="183">
        <v>0</v>
      </c>
      <c r="DF132" s="183">
        <v>0</v>
      </c>
      <c r="DG132" s="183">
        <v>0</v>
      </c>
      <c r="DH132" s="183">
        <v>0</v>
      </c>
      <c r="DI132" s="183">
        <v>0</v>
      </c>
      <c r="DJ132" s="183">
        <v>0</v>
      </c>
      <c r="DK132" s="183">
        <v>0</v>
      </c>
      <c r="DL132" s="183">
        <v>0</v>
      </c>
      <c r="DM132" s="183">
        <v>0</v>
      </c>
      <c r="DN132" s="183">
        <v>0</v>
      </c>
      <c r="DO132" s="183">
        <v>0</v>
      </c>
      <c r="DP132" s="183">
        <v>0</v>
      </c>
      <c r="DQ132" s="183">
        <v>0</v>
      </c>
      <c r="DR132" s="183">
        <v>0</v>
      </c>
      <c r="DS132" s="183">
        <v>0</v>
      </c>
      <c r="DT132" s="183">
        <v>0</v>
      </c>
      <c r="DU132" s="183">
        <v>0</v>
      </c>
      <c r="DV132" s="183">
        <v>0</v>
      </c>
      <c r="DW132" s="183">
        <v>0</v>
      </c>
      <c r="DX132" s="183">
        <v>0</v>
      </c>
      <c r="DY132" s="183">
        <v>0</v>
      </c>
      <c r="DZ132" s="183">
        <v>0</v>
      </c>
      <c r="EA132" s="183">
        <v>0</v>
      </c>
      <c r="EB132" s="183">
        <v>0</v>
      </c>
      <c r="EC132" s="183">
        <v>0</v>
      </c>
      <c r="ED132" s="183">
        <v>0</v>
      </c>
      <c r="EE132" s="183">
        <v>0</v>
      </c>
      <c r="EF132" s="183">
        <v>0</v>
      </c>
      <c r="EG132" s="185">
        <v>0</v>
      </c>
      <c r="EH132" s="186">
        <v>0</v>
      </c>
      <c r="EI132" s="183">
        <v>0</v>
      </c>
      <c r="EJ132" s="183">
        <v>0</v>
      </c>
      <c r="EK132" s="183">
        <v>0</v>
      </c>
      <c r="EL132" s="183">
        <v>0</v>
      </c>
      <c r="EM132" s="183">
        <v>0</v>
      </c>
      <c r="EN132" s="183">
        <v>0</v>
      </c>
      <c r="EO132" s="183">
        <v>0</v>
      </c>
      <c r="EP132" s="183">
        <v>0</v>
      </c>
      <c r="EQ132" s="183">
        <v>0</v>
      </c>
      <c r="ER132" s="183">
        <v>0</v>
      </c>
      <c r="ES132" s="183">
        <v>0</v>
      </c>
      <c r="ET132" s="183">
        <v>0</v>
      </c>
      <c r="EU132" s="183">
        <v>0</v>
      </c>
      <c r="EV132" s="73"/>
      <c r="EW132" s="73"/>
      <c r="EX132" s="73"/>
      <c r="EY132" s="73"/>
      <c r="EZ132" s="73"/>
      <c r="FA132" s="73"/>
      <c r="FB132" s="73"/>
      <c r="FC132" s="73"/>
      <c r="FD132" s="73"/>
      <c r="FE132" s="73"/>
      <c r="FF132" s="73"/>
      <c r="FG132" s="73"/>
      <c r="FH132" s="73"/>
      <c r="FI132" s="73"/>
      <c r="FJ132" s="73"/>
      <c r="FK132" s="104"/>
      <c r="FL132" s="104"/>
      <c r="FM132" s="73"/>
      <c r="FN132" s="75"/>
      <c r="FO132" s="75"/>
      <c r="FP132" s="75"/>
      <c r="FQ132" s="75"/>
      <c r="FR132" s="75"/>
      <c r="FS132" s="75"/>
      <c r="FT132" s="75"/>
      <c r="FU132" s="75"/>
      <c r="FV132" s="75"/>
      <c r="FW132" s="75"/>
      <c r="FX132" s="75"/>
      <c r="FY132" s="75"/>
      <c r="FZ132" s="75"/>
      <c r="GA132" s="75"/>
      <c r="GB132" s="75"/>
      <c r="GC132" s="75"/>
      <c r="GD132" s="75"/>
      <c r="GE132" s="75"/>
      <c r="GF132" s="75"/>
      <c r="GG132" s="75"/>
      <c r="GH132" s="75"/>
      <c r="GI132" s="75"/>
      <c r="GJ132" s="75"/>
      <c r="GK132" s="75"/>
      <c r="GL132" s="75"/>
      <c r="GM132" s="75"/>
      <c r="GN132" s="75"/>
      <c r="GO132" s="75"/>
      <c r="GP132" s="75"/>
      <c r="GQ132" s="75"/>
      <c r="GR132" s="75"/>
      <c r="GS132" s="75"/>
      <c r="GT132" s="75"/>
      <c r="GU132" s="75"/>
      <c r="GV132" s="75"/>
      <c r="GW132" s="75"/>
      <c r="GX132" s="75"/>
      <c r="GY132" s="75"/>
      <c r="GZ132" s="75"/>
      <c r="HA132" s="75"/>
      <c r="HB132" s="75"/>
      <c r="HC132" s="75"/>
      <c r="HD132" s="75"/>
      <c r="HE132" s="75"/>
      <c r="HF132" s="75"/>
      <c r="HG132" s="75"/>
      <c r="HH132" s="75"/>
      <c r="HI132" s="75"/>
      <c r="HJ132" s="75"/>
      <c r="HK132" s="75"/>
      <c r="HL132" s="75"/>
      <c r="HM132" s="75"/>
      <c r="HN132" s="75"/>
      <c r="HO132" s="75"/>
      <c r="HP132" s="75"/>
      <c r="HQ132" s="75"/>
      <c r="HR132" s="75"/>
      <c r="HS132" s="75"/>
      <c r="HT132" s="75"/>
      <c r="HU132" s="75"/>
      <c r="HV132" s="75"/>
      <c r="HW132" s="75"/>
      <c r="HX132" s="75"/>
      <c r="HY132" s="75"/>
      <c r="HZ132" s="75"/>
      <c r="IA132" s="75"/>
      <c r="IB132" s="75"/>
      <c r="IC132" s="75"/>
      <c r="ID132" s="75"/>
      <c r="IE132" s="75"/>
      <c r="IF132" s="75"/>
      <c r="IG132" s="75"/>
      <c r="IH132" s="75"/>
      <c r="II132" s="75"/>
      <c r="IJ132" s="75"/>
      <c r="IK132" s="75"/>
      <c r="IL132" s="75"/>
      <c r="IM132" s="75"/>
      <c r="IN132" s="75"/>
      <c r="IO132" s="75"/>
      <c r="IP132" s="75"/>
      <c r="IQ132" s="75"/>
      <c r="IR132" s="75"/>
      <c r="IS132" s="75"/>
      <c r="IT132" s="75"/>
      <c r="IU132" s="75"/>
      <c r="IV132" s="75"/>
      <c r="IW132" s="75"/>
      <c r="IX132" s="75"/>
      <c r="IY132" s="75"/>
      <c r="IZ132" s="75"/>
      <c r="JA132" s="75"/>
      <c r="JB132" s="75"/>
      <c r="JC132" s="75"/>
      <c r="JD132" s="75"/>
      <c r="JE132" s="75"/>
    </row>
    <row r="133" spans="1:265" ht="29" hidden="1" x14ac:dyDescent="0.2">
      <c r="A133" s="187" t="s">
        <v>222</v>
      </c>
      <c r="B133" s="188" t="s">
        <v>223</v>
      </c>
      <c r="C133" s="18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  <c r="DU133" s="73"/>
      <c r="DV133" s="73"/>
      <c r="DW133" s="73"/>
      <c r="DX133" s="73"/>
      <c r="DY133" s="73"/>
      <c r="DZ133" s="73"/>
      <c r="EA133" s="73"/>
      <c r="EB133" s="73"/>
      <c r="EC133" s="73"/>
      <c r="ED133" s="73"/>
      <c r="EE133" s="73"/>
      <c r="EF133" s="73"/>
      <c r="EG133" s="189"/>
      <c r="EH133" s="77"/>
      <c r="EI133" s="73"/>
      <c r="EJ133" s="73"/>
      <c r="EK133" s="73"/>
      <c r="EL133" s="73"/>
      <c r="EM133" s="73"/>
      <c r="EN133" s="73"/>
      <c r="EO133" s="73"/>
      <c r="EP133" s="73"/>
      <c r="EQ133" s="73"/>
      <c r="ER133" s="73"/>
      <c r="ES133" s="73"/>
      <c r="ET133" s="73"/>
      <c r="EU133" s="73"/>
      <c r="EV133" s="73"/>
      <c r="EW133" s="73"/>
      <c r="EX133" s="73"/>
      <c r="EY133" s="73"/>
      <c r="EZ133" s="73"/>
      <c r="FA133" s="73"/>
      <c r="FB133" s="73"/>
      <c r="FC133" s="73"/>
      <c r="FD133" s="73"/>
      <c r="FE133" s="73"/>
      <c r="FF133" s="73"/>
      <c r="FG133" s="73"/>
      <c r="FH133" s="73"/>
      <c r="FI133" s="73"/>
      <c r="FJ133" s="73"/>
      <c r="FK133" s="104"/>
      <c r="FL133" s="104"/>
      <c r="FM133" s="73"/>
      <c r="FN133" s="75"/>
      <c r="FO133" s="75"/>
      <c r="FP133" s="75"/>
      <c r="FQ133" s="75"/>
      <c r="FR133" s="75"/>
      <c r="FS133" s="75"/>
      <c r="FT133" s="75"/>
      <c r="FU133" s="75"/>
      <c r="FV133" s="75"/>
      <c r="FW133" s="75"/>
      <c r="FX133" s="75"/>
      <c r="FY133" s="75"/>
      <c r="FZ133" s="75"/>
      <c r="GA133" s="75"/>
      <c r="GB133" s="75"/>
      <c r="GC133" s="75"/>
      <c r="GD133" s="75"/>
      <c r="GE133" s="75"/>
      <c r="GF133" s="75"/>
      <c r="GG133" s="75"/>
      <c r="GH133" s="75"/>
      <c r="GI133" s="75"/>
      <c r="GJ133" s="75"/>
      <c r="GK133" s="75"/>
      <c r="GL133" s="75"/>
      <c r="GM133" s="75"/>
      <c r="GN133" s="75"/>
      <c r="GO133" s="75"/>
      <c r="GP133" s="75"/>
      <c r="GQ133" s="75"/>
      <c r="GR133" s="75"/>
      <c r="GS133" s="75"/>
      <c r="GT133" s="75"/>
      <c r="GU133" s="75"/>
      <c r="GV133" s="75"/>
      <c r="GW133" s="75"/>
      <c r="GX133" s="75"/>
      <c r="GY133" s="75"/>
      <c r="GZ133" s="75"/>
      <c r="HA133" s="75"/>
      <c r="HB133" s="75"/>
      <c r="HC133" s="75"/>
      <c r="HD133" s="75"/>
      <c r="HE133" s="75"/>
      <c r="HF133" s="75"/>
      <c r="HG133" s="75"/>
      <c r="HH133" s="75"/>
      <c r="HI133" s="75"/>
      <c r="HJ133" s="75"/>
      <c r="HK133" s="75"/>
      <c r="HL133" s="75"/>
      <c r="HM133" s="75"/>
      <c r="HN133" s="75"/>
      <c r="HO133" s="75"/>
      <c r="HP133" s="75"/>
      <c r="HQ133" s="75"/>
      <c r="HR133" s="75"/>
      <c r="HS133" s="75"/>
      <c r="HT133" s="75"/>
      <c r="HU133" s="75"/>
      <c r="HV133" s="75"/>
      <c r="HW133" s="75"/>
      <c r="HX133" s="75"/>
      <c r="HY133" s="75"/>
      <c r="HZ133" s="75"/>
      <c r="IA133" s="75"/>
      <c r="IB133" s="75"/>
      <c r="IC133" s="75"/>
      <c r="ID133" s="75"/>
      <c r="IE133" s="75"/>
      <c r="IF133" s="75"/>
      <c r="IG133" s="75"/>
      <c r="IH133" s="75"/>
      <c r="II133" s="75"/>
      <c r="IJ133" s="75"/>
      <c r="IK133" s="75"/>
      <c r="IL133" s="75"/>
      <c r="IM133" s="75"/>
      <c r="IN133" s="75"/>
      <c r="IO133" s="75"/>
      <c r="IP133" s="75"/>
      <c r="IQ133" s="75"/>
      <c r="IR133" s="75"/>
      <c r="IS133" s="75"/>
      <c r="IT133" s="75"/>
      <c r="IU133" s="75"/>
      <c r="IV133" s="75"/>
      <c r="IW133" s="75"/>
      <c r="IX133" s="75"/>
      <c r="IY133" s="75"/>
      <c r="IZ133" s="75"/>
      <c r="JA133" s="75"/>
      <c r="JB133" s="75"/>
      <c r="JC133" s="75"/>
      <c r="JD133" s="75"/>
      <c r="JE133" s="75"/>
    </row>
    <row r="134" spans="1:265" ht="57" x14ac:dyDescent="0.2">
      <c r="A134" s="181" t="s">
        <v>224</v>
      </c>
      <c r="B134" s="182" t="s">
        <v>18</v>
      </c>
      <c r="C134" s="182" t="s">
        <v>19</v>
      </c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3"/>
      <c r="DY134" s="73"/>
      <c r="DZ134" s="73"/>
      <c r="EA134" s="73"/>
      <c r="EB134" s="73"/>
      <c r="EC134" s="73"/>
      <c r="ED134" s="73"/>
      <c r="EE134" s="73"/>
      <c r="EF134" s="73"/>
      <c r="EG134" s="189"/>
      <c r="EH134" s="77"/>
      <c r="EI134" s="73"/>
      <c r="EJ134" s="73"/>
      <c r="EK134" s="73"/>
      <c r="EL134" s="73"/>
      <c r="EM134" s="73"/>
      <c r="EN134" s="73"/>
      <c r="EO134" s="73"/>
      <c r="EP134" s="73"/>
      <c r="EQ134" s="73"/>
      <c r="ER134" s="73"/>
      <c r="ES134" s="73"/>
      <c r="ET134" s="73"/>
      <c r="EU134" s="73"/>
      <c r="EV134" s="183">
        <v>2</v>
      </c>
      <c r="EW134" s="183">
        <v>55</v>
      </c>
      <c r="EX134" s="183">
        <v>2</v>
      </c>
      <c r="EY134" s="183">
        <v>22</v>
      </c>
      <c r="EZ134" s="183">
        <v>0</v>
      </c>
      <c r="FA134" s="183">
        <v>15</v>
      </c>
      <c r="FB134" s="183">
        <v>1</v>
      </c>
      <c r="FC134" s="183">
        <v>7</v>
      </c>
      <c r="FD134" s="183">
        <v>1</v>
      </c>
      <c r="FE134" s="183">
        <v>14</v>
      </c>
      <c r="FF134" s="183">
        <v>1</v>
      </c>
      <c r="FG134" s="183">
        <v>16</v>
      </c>
      <c r="FH134" s="183">
        <v>1</v>
      </c>
      <c r="FI134" s="183">
        <v>21</v>
      </c>
      <c r="FJ134" s="183">
        <v>0</v>
      </c>
      <c r="FK134" s="95">
        <v>27</v>
      </c>
      <c r="FL134" s="104">
        <v>27</v>
      </c>
      <c r="FM134" s="183">
        <v>27</v>
      </c>
      <c r="FN134" s="28" t="s">
        <v>30</v>
      </c>
      <c r="FO134" s="28" t="s">
        <v>30</v>
      </c>
      <c r="FP134" s="28" t="s">
        <v>30</v>
      </c>
      <c r="FQ134" s="28" t="s">
        <v>30</v>
      </c>
      <c r="FR134" s="28" t="s">
        <v>30</v>
      </c>
      <c r="FS134" s="28" t="s">
        <v>30</v>
      </c>
      <c r="FT134" s="28" t="s">
        <v>30</v>
      </c>
      <c r="FU134" s="28" t="s">
        <v>30</v>
      </c>
      <c r="FV134" s="28" t="s">
        <v>30</v>
      </c>
      <c r="FW134" s="28" t="s">
        <v>30</v>
      </c>
      <c r="FX134" s="28" t="s">
        <v>30</v>
      </c>
      <c r="FY134" s="28" t="s">
        <v>30</v>
      </c>
      <c r="FZ134" s="28" t="s">
        <v>30</v>
      </c>
      <c r="GA134" s="28" t="s">
        <v>30</v>
      </c>
      <c r="GB134" s="28" t="s">
        <v>30</v>
      </c>
      <c r="GC134" s="28" t="s">
        <v>30</v>
      </c>
      <c r="GD134" s="28" t="s">
        <v>30</v>
      </c>
      <c r="GE134" s="28" t="s">
        <v>30</v>
      </c>
      <c r="GF134" s="28" t="s">
        <v>30</v>
      </c>
      <c r="GG134" s="28" t="s">
        <v>30</v>
      </c>
      <c r="GH134" s="28" t="s">
        <v>30</v>
      </c>
      <c r="GI134" s="28" t="s">
        <v>30</v>
      </c>
      <c r="GJ134" s="28" t="s">
        <v>30</v>
      </c>
      <c r="GK134" s="28" t="s">
        <v>30</v>
      </c>
      <c r="GL134" s="28" t="s">
        <v>30</v>
      </c>
      <c r="GM134" s="28" t="s">
        <v>30</v>
      </c>
      <c r="GN134" s="28" t="s">
        <v>30</v>
      </c>
      <c r="GO134" s="28" t="s">
        <v>30</v>
      </c>
      <c r="GP134" s="28" t="s">
        <v>30</v>
      </c>
      <c r="GQ134" s="28" t="s">
        <v>30</v>
      </c>
      <c r="GR134" s="28" t="s">
        <v>30</v>
      </c>
      <c r="GS134" s="28" t="s">
        <v>30</v>
      </c>
      <c r="GT134" s="28" t="s">
        <v>30</v>
      </c>
      <c r="GU134" s="28" t="s">
        <v>30</v>
      </c>
      <c r="GV134" s="28" t="s">
        <v>30</v>
      </c>
      <c r="GW134" s="28" t="s">
        <v>30</v>
      </c>
      <c r="GX134" s="28" t="s">
        <v>30</v>
      </c>
      <c r="GY134" s="28" t="s">
        <v>30</v>
      </c>
      <c r="GZ134" s="28" t="s">
        <v>30</v>
      </c>
      <c r="HA134" s="28" t="s">
        <v>30</v>
      </c>
      <c r="HB134" s="28" t="s">
        <v>30</v>
      </c>
      <c r="HC134" s="28" t="s">
        <v>30</v>
      </c>
      <c r="HD134" s="28" t="s">
        <v>30</v>
      </c>
      <c r="HE134" s="28" t="s">
        <v>30</v>
      </c>
      <c r="HF134" s="28" t="s">
        <v>30</v>
      </c>
      <c r="HG134" s="28" t="s">
        <v>30</v>
      </c>
      <c r="HH134" s="28" t="s">
        <v>30</v>
      </c>
      <c r="HI134" s="28" t="s">
        <v>30</v>
      </c>
      <c r="HJ134" s="28" t="s">
        <v>30</v>
      </c>
      <c r="HK134" s="28" t="s">
        <v>30</v>
      </c>
      <c r="HL134" s="28" t="s">
        <v>30</v>
      </c>
      <c r="HM134" s="28" t="s">
        <v>30</v>
      </c>
      <c r="HN134" s="28" t="s">
        <v>30</v>
      </c>
      <c r="HO134" s="28" t="s">
        <v>30</v>
      </c>
      <c r="HP134" s="28" t="s">
        <v>30</v>
      </c>
      <c r="HQ134" s="28" t="s">
        <v>30</v>
      </c>
      <c r="HR134" s="28" t="s">
        <v>30</v>
      </c>
      <c r="HS134" s="28" t="s">
        <v>30</v>
      </c>
      <c r="HT134" s="28" t="s">
        <v>30</v>
      </c>
      <c r="HU134" s="28" t="s">
        <v>30</v>
      </c>
      <c r="HV134" s="28" t="s">
        <v>30</v>
      </c>
      <c r="HW134" s="28" t="s">
        <v>30</v>
      </c>
      <c r="HX134" s="28" t="s">
        <v>30</v>
      </c>
      <c r="HY134" s="28" t="s">
        <v>30</v>
      </c>
      <c r="HZ134" s="28" t="s">
        <v>30</v>
      </c>
      <c r="IA134" s="28" t="s">
        <v>30</v>
      </c>
      <c r="IB134" s="28" t="s">
        <v>30</v>
      </c>
      <c r="IC134" s="28" t="s">
        <v>30</v>
      </c>
      <c r="ID134" s="28" t="s">
        <v>30</v>
      </c>
      <c r="IE134" s="28" t="s">
        <v>30</v>
      </c>
      <c r="IF134" s="28" t="s">
        <v>30</v>
      </c>
      <c r="IG134" s="28" t="s">
        <v>30</v>
      </c>
      <c r="IH134" s="28" t="s">
        <v>30</v>
      </c>
      <c r="II134" s="28" t="s">
        <v>30</v>
      </c>
      <c r="IJ134" s="28" t="s">
        <v>30</v>
      </c>
      <c r="IK134" s="28" t="s">
        <v>30</v>
      </c>
      <c r="IL134" s="28" t="s">
        <v>30</v>
      </c>
      <c r="IM134" s="28" t="s">
        <v>30</v>
      </c>
      <c r="IN134" s="28" t="s">
        <v>30</v>
      </c>
      <c r="IO134" s="28" t="s">
        <v>30</v>
      </c>
      <c r="IP134" s="28" t="s">
        <v>30</v>
      </c>
      <c r="IQ134" s="28" t="s">
        <v>30</v>
      </c>
      <c r="IR134" s="28" t="s">
        <v>30</v>
      </c>
      <c r="IS134" s="28" t="s">
        <v>30</v>
      </c>
      <c r="IT134" s="28" t="s">
        <v>30</v>
      </c>
      <c r="IU134" s="28" t="s">
        <v>30</v>
      </c>
      <c r="IV134" s="28" t="s">
        <v>30</v>
      </c>
      <c r="IW134" s="28" t="s">
        <v>30</v>
      </c>
      <c r="IX134" s="28" t="s">
        <v>30</v>
      </c>
      <c r="IY134" s="28" t="s">
        <v>30</v>
      </c>
      <c r="IZ134" s="28" t="s">
        <v>30</v>
      </c>
      <c r="JA134" s="28" t="s">
        <v>30</v>
      </c>
      <c r="JB134" s="28" t="s">
        <v>30</v>
      </c>
      <c r="JC134" s="28" t="s">
        <v>30</v>
      </c>
      <c r="JD134" s="28" t="s">
        <v>30</v>
      </c>
      <c r="JE134" s="28" t="s">
        <v>30</v>
      </c>
    </row>
    <row r="135" spans="1:265" s="190" customFormat="1" x14ac:dyDescent="0.15">
      <c r="B135" s="190" t="s">
        <v>225</v>
      </c>
      <c r="AX135" s="190">
        <f>SUM(AX126:AX128)</f>
        <v>76</v>
      </c>
      <c r="AY135" s="190">
        <f>SUM(AY126:AY128)</f>
        <v>101</v>
      </c>
      <c r="AZ135" s="190">
        <f>SUM(AZ126:AZ129)</f>
        <v>42</v>
      </c>
      <c r="BA135" s="190">
        <f>SUM(BA126:BA129)</f>
        <v>90</v>
      </c>
      <c r="BB135" s="190">
        <f t="shared" ref="BB135:BG135" si="125">SUM(BB126:BB131)</f>
        <v>73</v>
      </c>
      <c r="BC135" s="190">
        <f t="shared" si="125"/>
        <v>131</v>
      </c>
      <c r="BD135" s="190">
        <f t="shared" si="125"/>
        <v>65</v>
      </c>
      <c r="BE135" s="190">
        <f t="shared" si="125"/>
        <v>141</v>
      </c>
      <c r="BF135" s="190">
        <f t="shared" si="125"/>
        <v>68</v>
      </c>
      <c r="BG135" s="190">
        <f t="shared" si="125"/>
        <v>138</v>
      </c>
      <c r="BH135" s="190">
        <f t="shared" ref="BH135:DA135" si="126">SUM(BH126:BH132)</f>
        <v>141</v>
      </c>
      <c r="BI135" s="190">
        <f t="shared" si="126"/>
        <v>383</v>
      </c>
      <c r="BJ135" s="190">
        <f t="shared" si="126"/>
        <v>44</v>
      </c>
      <c r="BK135" s="190">
        <f t="shared" si="126"/>
        <v>116</v>
      </c>
      <c r="BL135" s="190">
        <f t="shared" si="126"/>
        <v>58</v>
      </c>
      <c r="BM135" s="190">
        <f t="shared" si="126"/>
        <v>188</v>
      </c>
      <c r="BN135" s="190">
        <f t="shared" si="126"/>
        <v>93</v>
      </c>
      <c r="BO135" s="190">
        <f t="shared" si="126"/>
        <v>216</v>
      </c>
      <c r="BP135" s="190">
        <f t="shared" si="126"/>
        <v>79</v>
      </c>
      <c r="BQ135" s="190">
        <f t="shared" si="126"/>
        <v>203</v>
      </c>
      <c r="BR135" s="190">
        <f t="shared" si="126"/>
        <v>56</v>
      </c>
      <c r="BS135" s="190">
        <f t="shared" si="126"/>
        <v>166</v>
      </c>
      <c r="BT135" s="190">
        <f t="shared" si="126"/>
        <v>68</v>
      </c>
      <c r="BU135" s="190">
        <f t="shared" si="126"/>
        <v>208</v>
      </c>
      <c r="BV135" s="190">
        <f t="shared" si="126"/>
        <v>81</v>
      </c>
      <c r="BW135" s="190">
        <f t="shared" si="126"/>
        <v>193</v>
      </c>
      <c r="BX135" s="190">
        <f t="shared" si="126"/>
        <v>74</v>
      </c>
      <c r="BY135" s="190">
        <f t="shared" si="126"/>
        <v>209</v>
      </c>
      <c r="BZ135" s="190">
        <f t="shared" si="126"/>
        <v>84</v>
      </c>
      <c r="CA135" s="190">
        <f t="shared" si="126"/>
        <v>225</v>
      </c>
      <c r="CB135" s="190">
        <f t="shared" si="126"/>
        <v>66</v>
      </c>
      <c r="CC135" s="190">
        <f t="shared" si="126"/>
        <v>174</v>
      </c>
      <c r="CD135" s="190">
        <f t="shared" si="126"/>
        <v>77</v>
      </c>
      <c r="CE135" s="190">
        <f t="shared" si="126"/>
        <v>185</v>
      </c>
      <c r="CF135" s="190">
        <f t="shared" si="126"/>
        <v>70</v>
      </c>
      <c r="CG135" s="190">
        <f t="shared" si="126"/>
        <v>193</v>
      </c>
      <c r="CH135" s="190">
        <f t="shared" si="126"/>
        <v>69</v>
      </c>
      <c r="CI135" s="190">
        <f t="shared" si="126"/>
        <v>175</v>
      </c>
      <c r="CJ135" s="190">
        <f t="shared" si="126"/>
        <v>59</v>
      </c>
      <c r="CK135" s="190">
        <f t="shared" si="126"/>
        <v>132</v>
      </c>
      <c r="CL135" s="190">
        <f t="shared" si="126"/>
        <v>68</v>
      </c>
      <c r="CM135" s="190">
        <f t="shared" si="126"/>
        <v>164</v>
      </c>
      <c r="CN135" s="190">
        <f t="shared" si="126"/>
        <v>55</v>
      </c>
      <c r="CO135" s="190">
        <f t="shared" si="126"/>
        <v>133</v>
      </c>
      <c r="CP135" s="190">
        <f t="shared" si="126"/>
        <v>59</v>
      </c>
      <c r="CQ135" s="190">
        <f t="shared" si="126"/>
        <v>146</v>
      </c>
      <c r="CR135" s="190">
        <f t="shared" si="126"/>
        <v>72</v>
      </c>
      <c r="CS135" s="190">
        <f t="shared" si="126"/>
        <v>181</v>
      </c>
      <c r="CT135" s="190">
        <f t="shared" si="126"/>
        <v>56</v>
      </c>
      <c r="CU135" s="190">
        <f t="shared" si="126"/>
        <v>152</v>
      </c>
      <c r="CV135" s="190">
        <f t="shared" si="126"/>
        <v>70</v>
      </c>
      <c r="CW135" s="190">
        <f t="shared" si="126"/>
        <v>184</v>
      </c>
      <c r="CX135" s="190">
        <f t="shared" si="126"/>
        <v>50</v>
      </c>
      <c r="CY135" s="190">
        <f t="shared" si="126"/>
        <v>159</v>
      </c>
      <c r="CZ135" s="190">
        <f t="shared" si="126"/>
        <v>49</v>
      </c>
      <c r="DA135" s="190">
        <f t="shared" si="126"/>
        <v>138</v>
      </c>
      <c r="DB135" s="190">
        <f>SUM(DB126:DB132)</f>
        <v>94</v>
      </c>
      <c r="DC135" s="190">
        <f>SUM(DC126:DC132)</f>
        <v>198</v>
      </c>
      <c r="DD135" s="190">
        <f>SUM(DD126:DD132)</f>
        <v>45</v>
      </c>
      <c r="DE135" s="190">
        <f>SUM(DE126:DE132)</f>
        <v>175</v>
      </c>
      <c r="DF135" s="190">
        <f t="shared" ref="DF135:ER135" si="127">SUM(DF126:DF132)</f>
        <v>45</v>
      </c>
      <c r="DG135" s="190">
        <f t="shared" si="127"/>
        <v>147</v>
      </c>
      <c r="DH135" s="190">
        <f t="shared" si="127"/>
        <v>63</v>
      </c>
      <c r="DI135" s="190">
        <f t="shared" si="127"/>
        <v>200</v>
      </c>
      <c r="DJ135" s="190">
        <f t="shared" si="127"/>
        <v>60</v>
      </c>
      <c r="DK135" s="190">
        <f t="shared" si="127"/>
        <v>144</v>
      </c>
      <c r="DL135" s="190">
        <f t="shared" si="127"/>
        <v>48</v>
      </c>
      <c r="DM135" s="190">
        <f t="shared" si="127"/>
        <v>134</v>
      </c>
      <c r="DN135" s="190">
        <f t="shared" si="127"/>
        <v>60</v>
      </c>
      <c r="DO135" s="190">
        <f t="shared" si="127"/>
        <v>141</v>
      </c>
      <c r="DP135" s="190">
        <f t="shared" si="127"/>
        <v>54</v>
      </c>
      <c r="DQ135" s="190">
        <f t="shared" si="127"/>
        <v>150</v>
      </c>
      <c r="DR135" s="190">
        <f t="shared" si="127"/>
        <v>49</v>
      </c>
      <c r="DS135" s="190">
        <f t="shared" si="127"/>
        <v>125</v>
      </c>
      <c r="DT135" s="190">
        <f t="shared" si="127"/>
        <v>55</v>
      </c>
      <c r="DU135" s="190">
        <f t="shared" si="127"/>
        <v>153</v>
      </c>
      <c r="DV135" s="190">
        <f t="shared" si="127"/>
        <v>50</v>
      </c>
      <c r="DW135" s="190">
        <f t="shared" si="127"/>
        <v>171</v>
      </c>
      <c r="DX135" s="190">
        <f t="shared" si="127"/>
        <v>26</v>
      </c>
      <c r="DY135" s="190">
        <f t="shared" si="127"/>
        <v>109</v>
      </c>
      <c r="DZ135" s="190">
        <f t="shared" si="127"/>
        <v>38</v>
      </c>
      <c r="EA135" s="190">
        <f t="shared" si="127"/>
        <v>130</v>
      </c>
      <c r="EB135" s="190">
        <f t="shared" si="127"/>
        <v>24</v>
      </c>
      <c r="EC135" s="190">
        <f t="shared" si="127"/>
        <v>126</v>
      </c>
      <c r="ED135" s="190">
        <f t="shared" si="127"/>
        <v>41</v>
      </c>
      <c r="EE135" s="190">
        <f t="shared" si="127"/>
        <v>125</v>
      </c>
      <c r="EF135" s="190">
        <f t="shared" si="127"/>
        <v>27</v>
      </c>
      <c r="EG135" s="190">
        <f t="shared" si="127"/>
        <v>124</v>
      </c>
      <c r="EH135" s="191">
        <f t="shared" si="127"/>
        <v>36</v>
      </c>
      <c r="EI135" s="190">
        <f t="shared" si="127"/>
        <v>126</v>
      </c>
      <c r="EJ135" s="190">
        <f t="shared" si="127"/>
        <v>25</v>
      </c>
      <c r="EK135" s="190">
        <f t="shared" si="127"/>
        <v>115</v>
      </c>
      <c r="EL135" s="190">
        <f t="shared" si="127"/>
        <v>37</v>
      </c>
      <c r="EM135" s="190">
        <f t="shared" si="127"/>
        <v>131</v>
      </c>
      <c r="EN135" s="190">
        <f t="shared" si="127"/>
        <v>33</v>
      </c>
      <c r="EO135" s="190">
        <f t="shared" si="127"/>
        <v>119</v>
      </c>
      <c r="EP135" s="190">
        <f t="shared" si="127"/>
        <v>27</v>
      </c>
      <c r="EQ135" s="190">
        <f t="shared" si="127"/>
        <v>127</v>
      </c>
      <c r="ER135" s="190">
        <f t="shared" si="127"/>
        <v>20</v>
      </c>
      <c r="ES135" s="190">
        <f>SUM(ES126:ES132)</f>
        <v>102</v>
      </c>
      <c r="ET135" s="190">
        <f>SUM(ET126:ET132)</f>
        <v>27</v>
      </c>
      <c r="EU135" s="190">
        <f>SUM(EU126:EU132)</f>
        <v>126</v>
      </c>
      <c r="EV135" s="190">
        <f>SUM(EV126:EV134)</f>
        <v>18</v>
      </c>
      <c r="EW135" s="190">
        <f>SUM(EW126:EW134)</f>
        <v>151</v>
      </c>
      <c r="EX135" s="190">
        <f t="shared" ref="EX135:FJ135" si="128">SUM(EX126:EX134)</f>
        <v>34</v>
      </c>
      <c r="EY135" s="190">
        <f t="shared" si="128"/>
        <v>127</v>
      </c>
      <c r="EZ135" s="190">
        <f t="shared" si="128"/>
        <v>28</v>
      </c>
      <c r="FA135" s="190">
        <f t="shared" si="128"/>
        <v>105</v>
      </c>
      <c r="FB135" s="190">
        <f t="shared" si="128"/>
        <v>23</v>
      </c>
      <c r="FC135" s="190">
        <f t="shared" si="128"/>
        <v>82</v>
      </c>
      <c r="FD135" s="190">
        <f t="shared" si="128"/>
        <v>27</v>
      </c>
      <c r="FE135" s="190">
        <f t="shared" si="128"/>
        <v>121</v>
      </c>
      <c r="FF135" s="190">
        <f t="shared" si="128"/>
        <v>36</v>
      </c>
      <c r="FG135" s="190">
        <f t="shared" si="128"/>
        <v>107</v>
      </c>
      <c r="FH135" s="190">
        <f t="shared" si="128"/>
        <v>29</v>
      </c>
      <c r="FI135" s="190">
        <f t="shared" si="128"/>
        <v>115</v>
      </c>
      <c r="FJ135" s="190">
        <f t="shared" si="128"/>
        <v>40</v>
      </c>
      <c r="FK135" s="192">
        <f>SUM(FK126:FK134)</f>
        <v>128</v>
      </c>
      <c r="FL135" s="193">
        <f>SUM(FL126:FL134)</f>
        <v>133</v>
      </c>
      <c r="FM135" s="190">
        <f>SUM(FM126:FM134)</f>
        <v>137</v>
      </c>
      <c r="FN135" s="190">
        <f t="shared" ref="FN135:HY135" si="129">SUM(FN126:FN134)</f>
        <v>138</v>
      </c>
      <c r="FO135" s="190">
        <f t="shared" si="129"/>
        <v>259</v>
      </c>
      <c r="FP135" s="190">
        <f t="shared" si="129"/>
        <v>63</v>
      </c>
      <c r="FQ135" s="190">
        <f t="shared" si="129"/>
        <v>180</v>
      </c>
      <c r="FR135" s="190">
        <f t="shared" si="129"/>
        <v>47</v>
      </c>
      <c r="FS135" s="190">
        <f t="shared" si="129"/>
        <v>143</v>
      </c>
      <c r="FT135" s="190">
        <f t="shared" si="129"/>
        <v>51</v>
      </c>
      <c r="FU135" s="190">
        <f t="shared" si="129"/>
        <v>171</v>
      </c>
      <c r="FV135" s="190">
        <f t="shared" si="129"/>
        <v>137</v>
      </c>
      <c r="FW135" s="190">
        <f t="shared" si="129"/>
        <v>279</v>
      </c>
      <c r="FX135" s="190">
        <f t="shared" si="129"/>
        <v>83</v>
      </c>
      <c r="FY135" s="190">
        <f t="shared" si="129"/>
        <v>178</v>
      </c>
      <c r="FZ135" s="190">
        <f t="shared" si="129"/>
        <v>54</v>
      </c>
      <c r="GA135" s="190">
        <f t="shared" si="129"/>
        <v>128</v>
      </c>
      <c r="GB135" s="190">
        <f t="shared" si="129"/>
        <v>50</v>
      </c>
      <c r="GC135" s="190">
        <f t="shared" si="129"/>
        <v>68</v>
      </c>
      <c r="GD135" s="190">
        <f t="shared" si="129"/>
        <v>8</v>
      </c>
      <c r="GE135" s="190">
        <f t="shared" si="129"/>
        <v>144</v>
      </c>
      <c r="GF135" s="190">
        <f t="shared" si="129"/>
        <v>36</v>
      </c>
      <c r="GG135" s="190">
        <f t="shared" si="129"/>
        <v>60</v>
      </c>
      <c r="GH135" s="190">
        <f t="shared" si="129"/>
        <v>57</v>
      </c>
      <c r="GI135" s="190">
        <f t="shared" si="129"/>
        <v>93</v>
      </c>
      <c r="GJ135" s="190">
        <f t="shared" si="129"/>
        <v>22</v>
      </c>
      <c r="GK135" s="190">
        <f t="shared" si="129"/>
        <v>45</v>
      </c>
      <c r="GL135" s="190">
        <f t="shared" si="129"/>
        <v>31</v>
      </c>
      <c r="GM135" s="190">
        <f t="shared" si="129"/>
        <v>72</v>
      </c>
      <c r="GN135" s="190">
        <f t="shared" si="129"/>
        <v>8</v>
      </c>
      <c r="GO135" s="190">
        <f t="shared" si="129"/>
        <v>45</v>
      </c>
      <c r="GP135" s="190">
        <f t="shared" si="129"/>
        <v>15</v>
      </c>
      <c r="GQ135" s="190">
        <f t="shared" si="129"/>
        <v>42</v>
      </c>
      <c r="GR135" s="190">
        <f t="shared" si="129"/>
        <v>23</v>
      </c>
      <c r="GS135" s="190">
        <f t="shared" si="129"/>
        <v>53</v>
      </c>
      <c r="GT135" s="190">
        <f t="shared" si="129"/>
        <v>15</v>
      </c>
      <c r="GU135" s="190">
        <f t="shared" si="129"/>
        <v>54</v>
      </c>
      <c r="GV135" s="190">
        <f t="shared" si="129"/>
        <v>31</v>
      </c>
      <c r="GW135" s="190">
        <f t="shared" si="129"/>
        <v>46</v>
      </c>
      <c r="GX135" s="190">
        <f t="shared" si="129"/>
        <v>28</v>
      </c>
      <c r="GY135" s="190">
        <f t="shared" si="129"/>
        <v>47</v>
      </c>
      <c r="GZ135" s="190">
        <f t="shared" si="129"/>
        <v>0</v>
      </c>
      <c r="HA135" s="190">
        <f t="shared" si="129"/>
        <v>0</v>
      </c>
      <c r="HB135" s="190">
        <f t="shared" si="129"/>
        <v>67</v>
      </c>
      <c r="HC135" s="190">
        <f t="shared" si="129"/>
        <v>107</v>
      </c>
      <c r="HD135" s="190">
        <f t="shared" si="129"/>
        <v>10</v>
      </c>
      <c r="HE135" s="190">
        <f t="shared" si="129"/>
        <v>18</v>
      </c>
      <c r="HF135" s="190">
        <f t="shared" si="129"/>
        <v>36</v>
      </c>
      <c r="HG135" s="190">
        <f t="shared" si="129"/>
        <v>68</v>
      </c>
      <c r="HH135" s="190">
        <f t="shared" si="129"/>
        <v>91</v>
      </c>
      <c r="HI135" s="190">
        <f t="shared" si="129"/>
        <v>159</v>
      </c>
      <c r="HJ135" s="190">
        <f t="shared" si="129"/>
        <v>29</v>
      </c>
      <c r="HK135" s="190">
        <f t="shared" si="129"/>
        <v>61</v>
      </c>
      <c r="HL135" s="190">
        <f t="shared" si="129"/>
        <v>28</v>
      </c>
      <c r="HM135" s="190">
        <f t="shared" si="129"/>
        <v>42</v>
      </c>
      <c r="HN135" s="190">
        <f t="shared" si="129"/>
        <v>34</v>
      </c>
      <c r="HO135" s="190">
        <f t="shared" si="129"/>
        <v>49</v>
      </c>
      <c r="HP135" s="190">
        <f t="shared" si="129"/>
        <v>43</v>
      </c>
      <c r="HQ135" s="190">
        <f t="shared" si="129"/>
        <v>89</v>
      </c>
      <c r="HR135" s="190">
        <f t="shared" si="129"/>
        <v>30</v>
      </c>
      <c r="HS135" s="190">
        <f t="shared" si="129"/>
        <v>57</v>
      </c>
      <c r="HT135" s="190">
        <f t="shared" si="129"/>
        <v>44</v>
      </c>
      <c r="HU135" s="190">
        <f t="shared" si="129"/>
        <v>57</v>
      </c>
      <c r="HV135" s="190">
        <f>SUM(HV126:HV134)</f>
        <v>43</v>
      </c>
      <c r="HW135" s="190">
        <f t="shared" si="129"/>
        <v>59</v>
      </c>
      <c r="HX135" s="190">
        <f t="shared" si="129"/>
        <v>39</v>
      </c>
      <c r="HY135" s="190">
        <f t="shared" si="129"/>
        <v>78</v>
      </c>
      <c r="HZ135" s="190">
        <f t="shared" ref="HZ135:JE135" si="130">SUM(HZ126:HZ134)</f>
        <v>48</v>
      </c>
      <c r="IA135" s="190">
        <f t="shared" si="130"/>
        <v>68</v>
      </c>
      <c r="IB135" s="190">
        <f t="shared" si="130"/>
        <v>30</v>
      </c>
      <c r="IC135" s="190">
        <f t="shared" si="130"/>
        <v>48</v>
      </c>
      <c r="ID135" s="190">
        <f t="shared" si="130"/>
        <v>30</v>
      </c>
      <c r="IE135" s="190">
        <f t="shared" si="130"/>
        <v>51</v>
      </c>
      <c r="IF135" s="190">
        <f t="shared" si="130"/>
        <v>54</v>
      </c>
      <c r="IG135" s="190">
        <f t="shared" si="130"/>
        <v>93</v>
      </c>
      <c r="IH135" s="190">
        <f t="shared" si="130"/>
        <v>28</v>
      </c>
      <c r="II135" s="190">
        <f t="shared" si="130"/>
        <v>48</v>
      </c>
      <c r="IJ135" s="190">
        <f t="shared" si="130"/>
        <v>47</v>
      </c>
      <c r="IK135" s="190">
        <f t="shared" si="130"/>
        <v>85</v>
      </c>
      <c r="IL135" s="190">
        <f t="shared" si="130"/>
        <v>60</v>
      </c>
      <c r="IM135" s="190">
        <f t="shared" si="130"/>
        <v>103</v>
      </c>
      <c r="IN135" s="190">
        <f t="shared" si="130"/>
        <v>54</v>
      </c>
      <c r="IO135" s="190">
        <f t="shared" si="130"/>
        <v>94</v>
      </c>
      <c r="IP135" s="190">
        <f t="shared" si="130"/>
        <v>58</v>
      </c>
      <c r="IQ135" s="190">
        <f t="shared" si="130"/>
        <v>82</v>
      </c>
      <c r="IR135" s="190">
        <f t="shared" si="130"/>
        <v>55</v>
      </c>
      <c r="IS135" s="190">
        <f t="shared" si="130"/>
        <v>83</v>
      </c>
      <c r="IT135" s="190">
        <f t="shared" si="130"/>
        <v>69</v>
      </c>
      <c r="IU135" s="190">
        <f t="shared" si="130"/>
        <v>108</v>
      </c>
      <c r="IV135" s="190">
        <f t="shared" si="130"/>
        <v>43</v>
      </c>
      <c r="IW135" s="190">
        <f t="shared" si="130"/>
        <v>75</v>
      </c>
      <c r="IX135" s="190">
        <f t="shared" si="130"/>
        <v>42</v>
      </c>
      <c r="IY135" s="190">
        <f t="shared" si="130"/>
        <v>72</v>
      </c>
      <c r="IZ135" s="190">
        <f t="shared" si="130"/>
        <v>32</v>
      </c>
      <c r="JA135" s="190">
        <f t="shared" si="130"/>
        <v>52</v>
      </c>
      <c r="JB135" s="190">
        <f t="shared" si="130"/>
        <v>47</v>
      </c>
      <c r="JC135" s="190">
        <f t="shared" si="130"/>
        <v>74</v>
      </c>
      <c r="JD135" s="190">
        <f t="shared" si="130"/>
        <v>33</v>
      </c>
      <c r="JE135" s="190">
        <f t="shared" si="130"/>
        <v>68</v>
      </c>
    </row>
    <row r="136" spans="1:265" x14ac:dyDescent="0.15">
      <c r="AY136" s="175">
        <f>+AX135/AY135</f>
        <v>0.75247524752475248</v>
      </c>
      <c r="BA136" s="175">
        <f>+AZ135/BA135</f>
        <v>0.46666666666666667</v>
      </c>
      <c r="BC136" s="175">
        <f>+BB135/BC135</f>
        <v>0.5572519083969466</v>
      </c>
      <c r="BE136" s="175">
        <f>+BD135/BE135</f>
        <v>0.46099290780141844</v>
      </c>
      <c r="BG136" s="175">
        <f>+BF135/BG135</f>
        <v>0.49275362318840582</v>
      </c>
      <c r="BI136" s="175">
        <f>+BH135/BI135</f>
        <v>0.36814621409921672</v>
      </c>
      <c r="BK136" s="175">
        <f>+BJ135/BK135</f>
        <v>0.37931034482758619</v>
      </c>
      <c r="BM136" s="175">
        <f>+BL135/BM135</f>
        <v>0.30851063829787234</v>
      </c>
      <c r="BO136" s="175">
        <f>+BN135/BO135</f>
        <v>0.43055555555555558</v>
      </c>
      <c r="BQ136" s="175">
        <f>+BP135/BQ135</f>
        <v>0.3891625615763547</v>
      </c>
      <c r="BS136" s="175">
        <f>+BR135/BS135</f>
        <v>0.33734939759036142</v>
      </c>
      <c r="BU136" s="175">
        <f>+BT135/BU135</f>
        <v>0.32692307692307693</v>
      </c>
      <c r="BW136" s="175">
        <f>+BV135/BW135</f>
        <v>0.41968911917098445</v>
      </c>
      <c r="BY136" s="175">
        <f>+BX135/BY135</f>
        <v>0.35406698564593303</v>
      </c>
      <c r="CA136" s="175">
        <f>+BZ135/CA135</f>
        <v>0.37333333333333335</v>
      </c>
      <c r="CC136" s="175">
        <f>+CB135/CC135</f>
        <v>0.37931034482758619</v>
      </c>
      <c r="CE136" s="175">
        <f>+CD135/CE135</f>
        <v>0.41621621621621624</v>
      </c>
      <c r="CG136" s="175">
        <f>+CF135/CG135</f>
        <v>0.36269430051813473</v>
      </c>
      <c r="CI136" s="175">
        <f>+CH135/CI135</f>
        <v>0.39428571428571429</v>
      </c>
      <c r="CK136" s="175">
        <f>+CJ135/CK135</f>
        <v>0.44696969696969696</v>
      </c>
      <c r="CM136" s="194"/>
      <c r="CO136" s="194"/>
      <c r="CQ136" s="194"/>
      <c r="CS136" s="194"/>
      <c r="CU136" s="194"/>
      <c r="CV136"/>
      <c r="CW136" s="194"/>
      <c r="CX136"/>
      <c r="CY136" s="194"/>
      <c r="CZ136"/>
      <c r="DA136" s="194"/>
      <c r="DB136"/>
      <c r="DC136" s="194"/>
      <c r="DD136"/>
      <c r="DE136" s="194"/>
      <c r="DF136"/>
      <c r="DG136" s="194"/>
      <c r="DH136"/>
      <c r="DI136" s="194"/>
      <c r="DJ136"/>
      <c r="DK136" s="194"/>
      <c r="DL136"/>
      <c r="DM136" s="194"/>
      <c r="DN136"/>
      <c r="DO136" s="194"/>
      <c r="DP136"/>
      <c r="DQ136" s="194"/>
      <c r="DR136"/>
      <c r="DS136" s="194"/>
      <c r="DU136" s="194"/>
      <c r="DW136" s="194"/>
      <c r="DY136" s="194"/>
      <c r="EA136" s="194"/>
      <c r="EC136" s="194"/>
      <c r="EE136" s="194"/>
      <c r="EG136" s="194"/>
      <c r="EH136" s="170"/>
      <c r="EI136" s="195"/>
      <c r="EJ136" s="194"/>
      <c r="EK136" s="194"/>
      <c r="EL136" s="194"/>
      <c r="EM136" s="194"/>
      <c r="EN136" s="194"/>
      <c r="EO136" s="194"/>
      <c r="EP136" s="194"/>
      <c r="EQ136" s="194"/>
      <c r="ER136" s="194"/>
      <c r="ES136" s="194"/>
      <c r="ET136" s="194"/>
      <c r="EU136" s="194"/>
      <c r="EV136" s="194"/>
      <c r="EW136" s="194"/>
      <c r="EX136" s="194"/>
      <c r="EY136" s="194"/>
      <c r="EZ136" s="194"/>
      <c r="FA136" s="194"/>
      <c r="FB136" s="194"/>
      <c r="FC136" s="194"/>
      <c r="FD136" s="194"/>
      <c r="FE136" s="194"/>
      <c r="FF136" s="194"/>
      <c r="FG136" s="194"/>
      <c r="FH136" s="194"/>
      <c r="FI136" s="194"/>
      <c r="FJ136" s="194"/>
      <c r="FK136" s="194"/>
      <c r="FL136" s="194"/>
      <c r="FM136" s="194"/>
      <c r="FN136" s="194"/>
      <c r="FO136" s="194"/>
      <c r="FP136" s="194"/>
      <c r="FQ136" s="194"/>
      <c r="FR136" s="194"/>
      <c r="FS136" s="194"/>
      <c r="FT136" s="194"/>
      <c r="FU136" s="194"/>
      <c r="FV136" s="194"/>
      <c r="FW136" s="194"/>
      <c r="FX136" s="194"/>
      <c r="FY136" s="194"/>
      <c r="FZ136" s="194"/>
      <c r="GA136" s="194"/>
      <c r="GB136" s="194"/>
      <c r="GC136" s="194"/>
      <c r="GD136" s="194"/>
      <c r="GE136" s="194"/>
      <c r="GF136" s="194"/>
      <c r="GG136" s="194"/>
      <c r="GH136" s="194"/>
      <c r="GI136" s="194"/>
      <c r="GJ136" s="194"/>
      <c r="GK136" s="194"/>
      <c r="GL136" s="194"/>
      <c r="GM136" s="194"/>
      <c r="GN136" s="194"/>
      <c r="GO136" s="194"/>
      <c r="GP136" s="194"/>
      <c r="GQ136" s="194"/>
      <c r="GR136" s="194"/>
      <c r="GS136" s="194"/>
      <c r="GT136" s="194"/>
      <c r="GU136" s="194"/>
      <c r="GV136" s="194"/>
      <c r="GW136" s="194"/>
      <c r="GX136" s="194"/>
      <c r="GY136" s="194"/>
      <c r="GZ136" s="194"/>
      <c r="HA136" s="194"/>
      <c r="HB136" s="194"/>
      <c r="HC136" s="194"/>
      <c r="HD136" s="194"/>
      <c r="HE136" s="194"/>
      <c r="HF136" s="194"/>
      <c r="HG136" s="194"/>
      <c r="HH136" s="194"/>
      <c r="HI136" s="194"/>
      <c r="HJ136" s="194"/>
      <c r="HK136" s="194"/>
      <c r="HL136" s="194"/>
      <c r="HM136" s="194"/>
      <c r="HN136" s="194"/>
      <c r="HO136" s="194"/>
      <c r="HP136" s="194"/>
      <c r="HQ136" s="194"/>
      <c r="HR136" s="194"/>
      <c r="HS136" s="194"/>
      <c r="HT136" s="194"/>
      <c r="HU136" s="194"/>
      <c r="HV136" s="194"/>
      <c r="HW136" s="194"/>
      <c r="HX136" s="194"/>
      <c r="HY136" s="194"/>
      <c r="HZ136" s="194"/>
      <c r="IA136" s="194"/>
      <c r="IB136" s="194"/>
      <c r="IC136" s="194"/>
      <c r="ID136" s="194"/>
      <c r="IE136" s="194"/>
      <c r="IF136" s="194"/>
      <c r="IG136" s="194"/>
      <c r="IH136" s="194"/>
      <c r="II136" s="194"/>
      <c r="IJ136" s="194"/>
      <c r="IK136" s="194"/>
      <c r="IL136" s="194"/>
      <c r="IM136" s="194"/>
      <c r="IN136" s="194"/>
      <c r="IO136" s="194"/>
      <c r="IP136" s="194"/>
      <c r="IQ136" s="194"/>
      <c r="IR136" s="194"/>
      <c r="IS136" s="194"/>
      <c r="IT136" s="194"/>
      <c r="IU136" s="194"/>
      <c r="IV136" s="194"/>
      <c r="IW136" s="194"/>
      <c r="IX136" s="194"/>
      <c r="IY136" s="194"/>
      <c r="IZ136" s="194"/>
      <c r="JA136" s="194"/>
      <c r="JB136" s="194"/>
      <c r="JC136" s="194"/>
      <c r="JD136" s="194"/>
      <c r="JE136" s="194"/>
    </row>
    <row r="137" spans="1:265" x14ac:dyDescent="0.15">
      <c r="CO137" s="169"/>
      <c r="CQ137" s="169"/>
      <c r="CS137" s="169"/>
      <c r="CU137" s="169"/>
      <c r="CV137"/>
      <c r="CW137" s="169"/>
      <c r="CX137"/>
      <c r="CY137" s="169"/>
      <c r="CZ137"/>
      <c r="DA137" s="169"/>
      <c r="DB137"/>
      <c r="DC137" s="169"/>
      <c r="DD137"/>
      <c r="DE137" s="169"/>
      <c r="DF137"/>
      <c r="DG137" s="169"/>
      <c r="DH137"/>
      <c r="DI137" s="169"/>
      <c r="DJ137"/>
      <c r="DK137" s="169"/>
      <c r="DL137"/>
      <c r="DM137" s="169"/>
      <c r="DN137"/>
      <c r="DO137" s="169"/>
      <c r="DP137"/>
      <c r="DQ137" s="169"/>
      <c r="DR137"/>
      <c r="DS137" s="169"/>
      <c r="DU137" s="169"/>
      <c r="DW137" s="169"/>
      <c r="DY137" s="169"/>
      <c r="EA137" s="169"/>
      <c r="EC137" s="169"/>
      <c r="EE137" s="169"/>
      <c r="EG137" s="169"/>
      <c r="EH137" s="170"/>
      <c r="EI137" s="169"/>
      <c r="EJ137" s="169"/>
      <c r="EK137" s="169"/>
      <c r="EL137" s="169"/>
      <c r="EM137" s="169"/>
      <c r="EN137" s="169"/>
      <c r="EO137" s="169"/>
      <c r="EP137" s="169"/>
      <c r="EQ137" s="169"/>
      <c r="ER137" s="169"/>
      <c r="ES137" s="169"/>
      <c r="ET137" s="169"/>
      <c r="EU137" s="169"/>
      <c r="EV137" s="169"/>
      <c r="EW137" s="169"/>
      <c r="EX137" s="169"/>
      <c r="EY137" s="169"/>
      <c r="EZ137" s="169"/>
      <c r="FA137" s="169"/>
      <c r="FB137" s="169"/>
      <c r="FC137" s="169"/>
      <c r="FD137" s="169"/>
      <c r="FE137" s="169"/>
      <c r="FF137" s="169"/>
      <c r="FG137" s="169"/>
      <c r="FH137" s="169"/>
      <c r="FI137" s="169"/>
      <c r="FJ137" s="169"/>
      <c r="FK137" s="169"/>
      <c r="FL137" s="169"/>
      <c r="FM137" s="169"/>
      <c r="FN137" s="169"/>
      <c r="FO137" s="169"/>
      <c r="FP137" s="169"/>
      <c r="FQ137" s="169"/>
      <c r="FR137" s="169"/>
      <c r="FS137" s="169"/>
      <c r="FT137" s="169"/>
      <c r="FU137" s="169"/>
      <c r="FV137" s="169"/>
      <c r="FW137" s="169"/>
      <c r="FX137" s="169"/>
      <c r="FY137" s="169"/>
      <c r="FZ137" s="169"/>
      <c r="GA137" s="169"/>
      <c r="GB137" s="169"/>
      <c r="GC137" s="169"/>
      <c r="GD137" s="169"/>
      <c r="GE137" s="169"/>
      <c r="GF137" s="169"/>
      <c r="GG137" s="169"/>
      <c r="GH137" s="169"/>
      <c r="GI137" s="169"/>
      <c r="GJ137" s="169"/>
      <c r="GK137" s="169"/>
      <c r="GL137" s="169"/>
      <c r="GM137" s="169"/>
      <c r="GN137" s="169"/>
      <c r="GO137" s="169"/>
      <c r="GP137" s="169"/>
      <c r="GQ137" s="169"/>
      <c r="GR137" s="169"/>
      <c r="GS137" s="169"/>
      <c r="GT137" s="169"/>
      <c r="GU137" s="169"/>
      <c r="GV137" s="169"/>
      <c r="GW137" s="169"/>
      <c r="GX137" s="169"/>
      <c r="GY137" s="169"/>
      <c r="GZ137" s="169"/>
      <c r="HA137" s="169"/>
      <c r="HB137" s="169"/>
      <c r="HC137" s="169"/>
      <c r="HD137" s="169"/>
      <c r="HE137" s="169"/>
      <c r="HF137" s="169"/>
      <c r="HG137" s="169"/>
      <c r="HH137" s="169"/>
      <c r="HI137" s="169"/>
      <c r="HJ137" s="169"/>
      <c r="HK137" s="169"/>
      <c r="HL137" s="169"/>
      <c r="HM137" s="169"/>
      <c r="HN137" s="169"/>
      <c r="HO137" s="169"/>
      <c r="HP137" s="169"/>
      <c r="HQ137" s="169"/>
      <c r="HR137" s="169"/>
      <c r="HS137" s="169"/>
      <c r="HT137" s="169"/>
      <c r="HU137" s="169"/>
      <c r="HV137" s="169"/>
      <c r="HW137" s="169"/>
      <c r="HX137" s="169"/>
      <c r="HY137" s="169"/>
      <c r="HZ137" s="169"/>
      <c r="IA137" s="169"/>
      <c r="IB137" s="169"/>
      <c r="IC137" s="169"/>
      <c r="ID137" s="169"/>
      <c r="IE137" s="169"/>
      <c r="IF137" s="169"/>
      <c r="IG137" s="169"/>
      <c r="IH137" s="169"/>
      <c r="II137" s="169"/>
      <c r="IJ137" s="169"/>
      <c r="IK137" s="169"/>
      <c r="IL137" s="169"/>
      <c r="IM137" s="169"/>
      <c r="IN137" s="169"/>
      <c r="IO137" s="169"/>
      <c r="IP137" s="169"/>
      <c r="IQ137" s="169"/>
      <c r="IR137" s="169"/>
      <c r="IS137" s="169"/>
      <c r="IT137" s="169"/>
      <c r="IU137" s="169"/>
      <c r="IV137" s="169"/>
      <c r="IW137" s="169"/>
      <c r="IX137" s="169"/>
      <c r="IY137" s="169"/>
      <c r="IZ137" s="169"/>
      <c r="JA137" s="169"/>
      <c r="JB137" s="169"/>
      <c r="JC137" s="169"/>
      <c r="JD137" s="169"/>
      <c r="JE137" s="169"/>
    </row>
    <row r="138" spans="1:265" x14ac:dyDescent="0.15">
      <c r="AY138" s="175">
        <f>+(AX123+AX135)/(AY123+AY135)</f>
        <v>0.3125</v>
      </c>
      <c r="AZ138" s="175"/>
      <c r="BA138" s="175">
        <f>+(AZ123+AZ135)/(BA123+BA135)</f>
        <v>0.2527646129541864</v>
      </c>
      <c r="BB138" s="175"/>
      <c r="BC138" s="175">
        <f>+(BB123+BB135)/(BC123+BC135)</f>
        <v>0.29654255319148937</v>
      </c>
      <c r="BD138" s="175"/>
      <c r="BE138" s="175">
        <f>+(BD123+BD135)/(BE123+BE135)</f>
        <v>0.24748201438848921</v>
      </c>
      <c r="BG138" s="175">
        <f>+(BF123+BF135)/(BG123+BG135)</f>
        <v>0.20744081172491544</v>
      </c>
      <c r="BI138" s="175">
        <f>+(BH123+BH135)/(BI123+BI135)</f>
        <v>0.23712255772646537</v>
      </c>
      <c r="BK138" s="175">
        <f>+(BJ123+BJ135)/(BK123+BK135)</f>
        <v>0.15212981744421908</v>
      </c>
      <c r="BM138" s="175">
        <f>+(BL123+BL135)/(BM123+BM135)</f>
        <v>0.16914893617021276</v>
      </c>
      <c r="BO138" s="175">
        <f>+(BN123+BN135)/(BO123+BO135)</f>
        <v>0.19430051813471502</v>
      </c>
      <c r="BQ138" s="175">
        <f>+(BP123+BP135)/(BQ123+BQ135)</f>
        <v>0.16666666666666666</v>
      </c>
      <c r="BS138" s="175">
        <f>+(BR123+BR135)/(BS123+BS135)</f>
        <v>0.18674033149171271</v>
      </c>
      <c r="BU138" s="175">
        <f>+(BT123+BT135)/(BU123+BU135)</f>
        <v>0.16241496598639457</v>
      </c>
      <c r="BW138" s="175">
        <f>+(BV123+BV135)/(BW123+BW135)</f>
        <v>0.2348993288590604</v>
      </c>
      <c r="BY138" s="175">
        <f>+(BX123+BX135)/(BY123+BY135)</f>
        <v>0.23510638297872341</v>
      </c>
      <c r="CA138" s="175">
        <f>+(BZ123+BZ135)/(CA123+CA135)</f>
        <v>7.9397715618370598E-2</v>
      </c>
      <c r="CC138" s="175">
        <f>+(CB123+CB135)/(CC123+CC135)</f>
        <v>0.20307988450433109</v>
      </c>
      <c r="CE138" s="175">
        <f>+(CD123+CD135)/(CE123+CE135)</f>
        <v>0.19814241486068113</v>
      </c>
      <c r="CG138" s="175">
        <f>+(CF123+CF135)/(CG123+CG135)</f>
        <v>0.17932564330079856</v>
      </c>
      <c r="CI138" s="175">
        <f>+(CH123+CH135)/(CI123+CI135)</f>
        <v>0.19325153374233128</v>
      </c>
      <c r="CK138" s="175">
        <f>+(CJ123+CJ135)/(CK123+CK135)</f>
        <v>0.18532818532818532</v>
      </c>
      <c r="CL138" s="175"/>
      <c r="CM138" s="175">
        <f>+(CL123+CL135)/(CM123+CM135)</f>
        <v>0.18623737373737373</v>
      </c>
      <c r="CN138" s="175"/>
      <c r="CO138" s="175">
        <f>+(CN123+CN135)/(CO123+CO135)</f>
        <v>0.18355945730247406</v>
      </c>
      <c r="CP138" s="175"/>
      <c r="CQ138" s="175">
        <f>+(CP123+CP135)/(CQ123+CQ135)</f>
        <v>0.17466666666666666</v>
      </c>
      <c r="CR138" s="175"/>
      <c r="CS138" s="175">
        <f>+(CR123+CR135)/(CS123+CS135)</f>
        <v>0.17352537722908093</v>
      </c>
      <c r="CT138" s="175"/>
      <c r="CU138" s="175">
        <f>+(CT123+CT135)/(CU123+CU135)</f>
        <v>0.21650264950794854</v>
      </c>
      <c r="CV138" s="175"/>
      <c r="CW138" s="175">
        <f>+(CV123+CV135)/(CW123+CW135)</f>
        <v>0.21753039027511195</v>
      </c>
      <c r="CX138" s="175"/>
      <c r="CY138" s="175">
        <f>+(CX123+CX135)/(CY123+CY135)</f>
        <v>0.17006802721088435</v>
      </c>
      <c r="CZ138" s="175"/>
      <c r="DA138" s="175">
        <f>+(CZ123+CZ135)/(DA123+DA135)</f>
        <v>0.20668693009118541</v>
      </c>
      <c r="DB138" s="175"/>
      <c r="DC138" s="175">
        <f>+(DB123+DB135)/(DC123+DC135)</f>
        <v>0.23177366702937977</v>
      </c>
      <c r="DD138" s="175"/>
      <c r="DE138" s="175">
        <f>+(DD123+DD135)/(DE123+DE135)</f>
        <v>0.19215902816123689</v>
      </c>
      <c r="DF138" s="175"/>
      <c r="DG138" s="175">
        <f>+(DF123+DF135)/(DG123+DG135)</f>
        <v>0.22402358142962417</v>
      </c>
      <c r="DH138" s="175"/>
      <c r="DI138" s="175">
        <f>+(DH123+DH135)/(DI123+DI135)</f>
        <v>0.24608043626448534</v>
      </c>
      <c r="DJ138" s="175"/>
      <c r="DK138" s="175">
        <f>+(DJ123+DJ135)/(DK123+DK135)</f>
        <v>0.23345367027677497</v>
      </c>
      <c r="DM138" s="175">
        <f>+(DL123+DL135)/(DM123+DM135)</f>
        <v>0.2097944377267231</v>
      </c>
      <c r="DO138" s="175">
        <f>+(DN123+DN135)/(DO123+DO135)</f>
        <v>0.23525513585155733</v>
      </c>
      <c r="DQ138" s="175">
        <f>+(DP123+DP135)/(DQ123+DQ135)</f>
        <v>0.24503311258278146</v>
      </c>
      <c r="DS138" s="175">
        <f>+(DR123+DR135)/(DS123+DS135)</f>
        <v>0.21658327376697642</v>
      </c>
      <c r="DT138" s="175"/>
      <c r="DU138" s="175">
        <f>+(DT123+DT135)/(DU123+DU135)</f>
        <v>0.21913043478260869</v>
      </c>
      <c r="DV138" s="175"/>
      <c r="DW138" s="175">
        <f>+(DV123+DV135)/(DW123+DW135)</f>
        <v>0.14703832752613241</v>
      </c>
      <c r="DX138" s="175"/>
      <c r="DY138" s="175">
        <f>+(DX123+DX135)/(DY123+DY135)</f>
        <v>0.13832658569500675</v>
      </c>
      <c r="DZ138" s="175"/>
      <c r="EA138" s="175">
        <f>+(DZ123+DZ135)/(EA123+EA135)</f>
        <v>0.13618890719384955</v>
      </c>
      <c r="EB138" s="175"/>
      <c r="EC138" s="175">
        <f>+(EB123+EB135)/(EC123+EC135)</f>
        <v>0.19255381035485747</v>
      </c>
      <c r="ED138" s="175"/>
      <c r="EE138" s="175">
        <f>+(ED123+ED135)/(EE123+EE135)</f>
        <v>0.171875</v>
      </c>
      <c r="EF138" s="175"/>
      <c r="EG138" s="175">
        <f>+(EF123+EF135)/(EG123+EG135)</f>
        <v>0.12557077625570776</v>
      </c>
      <c r="EH138" s="176"/>
      <c r="EI138" s="177">
        <f>+(EH123+EH135)/(EI123+EI135)</f>
        <v>0.14774889029803423</v>
      </c>
      <c r="EJ138" s="175"/>
      <c r="EK138" s="175">
        <f>+(EJ123+EJ135)/(EK123+EK135)</f>
        <v>0.15572436245252305</v>
      </c>
      <c r="EL138" s="175"/>
      <c r="EM138" s="175">
        <f>+(EL123+EL135)/(EM123+EM135)</f>
        <v>0.15726290516206481</v>
      </c>
      <c r="EN138" s="175"/>
      <c r="EO138" s="175">
        <f>+(EN123+EN135)/(EO123+EO135)</f>
        <v>0.17440225035161744</v>
      </c>
      <c r="EP138" s="175"/>
      <c r="EQ138" s="175">
        <f>+(EP123+EP135)/(EQ123+EQ135)</f>
        <v>0.19621026894865526</v>
      </c>
      <c r="ER138" s="175"/>
      <c r="ES138" s="175">
        <f>(ER123+ER135)/(ES123+ES135)</f>
        <v>0.18154761904761904</v>
      </c>
      <c r="ET138" s="175"/>
      <c r="EU138" s="175">
        <f>(ET123+ET135)/(EU123+EU135)</f>
        <v>0.1683521713265913</v>
      </c>
      <c r="EV138" s="175"/>
      <c r="EW138" s="175">
        <f>(EV123+EV135)/(EW123+EW135)</f>
        <v>0.15729585006693442</v>
      </c>
      <c r="EX138" s="175"/>
      <c r="EY138" s="175">
        <f>(EX123+EX135)/(EY123+EY135)</f>
        <v>0.16527709661598822</v>
      </c>
      <c r="EZ138" s="175"/>
      <c r="FA138" s="175">
        <f>(EZ123+EZ135)/(FA123+FA135)</f>
        <v>0.17463617463617465</v>
      </c>
      <c r="FB138" s="175"/>
      <c r="FC138" s="175">
        <f>(FB123+FB135)/(FC123+FC135)</f>
        <v>0.19450672645739911</v>
      </c>
      <c r="FD138" s="175"/>
      <c r="FE138" s="175">
        <f>(FD123+FD135)/(FE123+FE135)</f>
        <v>0.1683765841882921</v>
      </c>
      <c r="FF138" s="175"/>
      <c r="FG138" s="175">
        <f>(FF123+FF135)/(FG123+FG135)</f>
        <v>0.19524913093858634</v>
      </c>
      <c r="FH138" s="175"/>
      <c r="FI138" s="175">
        <f>(FH123+FH135)/(FI123+FI135)</f>
        <v>0.17560175054704596</v>
      </c>
      <c r="FJ138" s="175"/>
      <c r="FK138" s="175"/>
      <c r="FL138" s="175"/>
      <c r="FM138" s="175">
        <f>(FJ123+FJ135)/(FM123+FM135)</f>
        <v>0.1563717306622148</v>
      </c>
      <c r="FN138" s="175"/>
      <c r="FO138" s="175">
        <f>(FN123+FN135)/(FO123+FO135)</f>
        <v>0.26315789473684209</v>
      </c>
      <c r="FP138" s="175"/>
      <c r="FQ138" s="175">
        <f>(FP123+FP135)/(FQ123+FQ135)</f>
        <v>0.2104089219330855</v>
      </c>
      <c r="FR138" s="175"/>
      <c r="FS138" s="175">
        <f t="shared" ref="FS138:GI138" si="131">(FR123+FR135)/(FS123+FS135)</f>
        <v>0.18436703483432457</v>
      </c>
      <c r="FT138" s="175"/>
      <c r="FU138" s="175">
        <f t="shared" si="131"/>
        <v>0.20669291338582677</v>
      </c>
      <c r="FV138" s="175"/>
      <c r="FW138" s="175">
        <f t="shared" si="131"/>
        <v>0.22368421052631579</v>
      </c>
      <c r="FX138" s="175"/>
      <c r="FY138" s="175">
        <f t="shared" si="131"/>
        <v>0.21063829787234042</v>
      </c>
      <c r="FZ138" s="175"/>
      <c r="GA138" s="175">
        <f t="shared" si="131"/>
        <v>0.1821138211382114</v>
      </c>
      <c r="GB138" s="175"/>
      <c r="GC138" s="175">
        <f t="shared" si="131"/>
        <v>0.18705035971223022</v>
      </c>
      <c r="GD138" s="175"/>
      <c r="GE138" s="175">
        <f t="shared" si="131"/>
        <v>0.13691376701966718</v>
      </c>
      <c r="GF138" s="175"/>
      <c r="GG138" s="175">
        <f t="shared" si="131"/>
        <v>0.2148014440433213</v>
      </c>
      <c r="GH138" s="175"/>
      <c r="GI138" s="175">
        <f t="shared" si="131"/>
        <v>0.19109311740890689</v>
      </c>
      <c r="GJ138" s="175"/>
      <c r="GK138" s="175">
        <f>(GJ123+GJ135)/(GK123+GK135)</f>
        <v>0.17536534446764093</v>
      </c>
      <c r="GL138" s="175"/>
      <c r="GM138" s="175">
        <f t="shared" ref="GM138" si="132">(GL123+GL135)/(GM123+GM135)</f>
        <v>0.17600574712643677</v>
      </c>
      <c r="GN138" s="175"/>
      <c r="GO138" s="175">
        <f>(GN123+GN135)/(GO123+GO135)</f>
        <v>0.16858496953283683</v>
      </c>
      <c r="GP138" s="175"/>
      <c r="GQ138" s="175">
        <f>IF(ISERROR((GP123+GP135)/(GQ123+GQ135)),0,(GP123+GP135)/(GQ123+GQ135))</f>
        <v>0.16881150643451931</v>
      </c>
      <c r="GR138" s="175"/>
      <c r="GS138" s="175">
        <f t="shared" ref="GS138" si="133">IF(ISERROR((GR123+GR135)/(GS123+GS135)),0,(GR123+GR135)/(GS123+GS135))</f>
        <v>0.1875</v>
      </c>
      <c r="GT138" s="175"/>
      <c r="GU138" s="175">
        <f>IF(ISERROR((GT123+GT135)/(GU123+GU135)),0,(GT123+GT135)/(GU123+GU135))</f>
        <v>0.18246687054026503</v>
      </c>
      <c r="GV138" s="175"/>
      <c r="GW138" s="175">
        <f t="shared" ref="GW138" si="134">IF(ISERROR((GV123+GV135)/(GW123+GW135)),0,(GV123+GV135)/(GW123+GW135))</f>
        <v>0.22844509948415623</v>
      </c>
      <c r="GX138" s="175"/>
      <c r="GY138" s="175">
        <f>IF(ISERROR((GX123+GX135)/(GY123+GY135)),0,(GX123+GX135)/(GY123+GY135))</f>
        <v>0.18640646029609689</v>
      </c>
      <c r="GZ138" s="175"/>
      <c r="HA138" s="175">
        <f t="shared" ref="HA138" si="135">IF(ISERROR((GZ123+GZ135)/(HA123+HA135)),0,(GZ123+GZ135)/(HA123+HA135))</f>
        <v>0.20744259699129058</v>
      </c>
      <c r="HB138" s="175"/>
      <c r="HC138" s="175">
        <f t="shared" ref="HC138" si="136">IF(ISERROR((HB123+HB135)/(HC123+HC135)),0,(HB123+HB135)/(HC123+HC135))</f>
        <v>0.22947925860547219</v>
      </c>
      <c r="HD138" s="175"/>
      <c r="HE138" s="175">
        <f t="shared" ref="HE138" si="137">IF(ISERROR((HD123+HD135)/(HE123+HE135)),0,(HD123+HD135)/(HE123+HE135))</f>
        <v>0.24951830443159922</v>
      </c>
      <c r="HF138" s="175"/>
      <c r="HG138" s="175">
        <f t="shared" ref="HG138" si="138">IF(ISERROR((HF123+HF135)/(HG123+HG135)),0,(HF123+HF135)/(HG123+HG135))</f>
        <v>0.26769230769230767</v>
      </c>
      <c r="HH138" s="175"/>
      <c r="HI138" s="175">
        <f t="shared" ref="HI138" si="139">IF(ISERROR((HH123+HH135)/(HI123+HI135)),0,(HH123+HH135)/(HI123+HI135))</f>
        <v>0.26037344398340251</v>
      </c>
      <c r="HJ138" s="175"/>
      <c r="HK138" s="175">
        <f t="shared" ref="HK138" si="140">IF(ISERROR((HJ123+HJ135)/(HK123+HK135)),0,(HJ123+HJ135)/(HK123+HK135))</f>
        <v>0.28174123337363965</v>
      </c>
      <c r="HL138" s="175"/>
      <c r="HM138" s="175">
        <f t="shared" ref="HM138" si="141">IF(ISERROR((HL123+HL135)/(HM123+HM135)),0,(HL123+HL135)/(HM123+HM135))</f>
        <v>0.20761245674740483</v>
      </c>
      <c r="HN138" s="175"/>
      <c r="HO138" s="175">
        <f t="shared" ref="HO138" si="142">IF(ISERROR((HN123+HN135)/(HO123+HO135)),0,(HN123+HN135)/(HO123+HO135))</f>
        <v>0.27574370709382151</v>
      </c>
      <c r="HP138" s="175"/>
      <c r="HQ138" s="175">
        <f t="shared" ref="HQ138" si="143">IF(ISERROR((HP123+HP135)/(HQ123+HQ135)),0,(HP123+HP135)/(HQ123+HQ135))</f>
        <v>0.19708737864077669</v>
      </c>
      <c r="HR138" s="175"/>
      <c r="HS138" s="175">
        <f>IF(ISERROR((HR123+HR135)/(HS123+HS135)),0,(HR123+HR135)/(HS123+HS135))</f>
        <v>0.25814863102998697</v>
      </c>
      <c r="HT138" s="175"/>
      <c r="HU138" s="175">
        <f t="shared" ref="HU138" si="144">IF(ISERROR((HT123+HT135)/(HU123+HU135)),0,(HT123+HT135)/(HU123+HU135))</f>
        <v>0.29534883720930233</v>
      </c>
      <c r="HV138" s="175"/>
      <c r="HW138" s="175">
        <f t="shared" ref="HW138" si="145">IF(ISERROR((HV123+HV135)/(HW123+HW135)),0,(HV123+HV135)/(HW123+HW135))</f>
        <v>0.30580137659783679</v>
      </c>
      <c r="HX138" s="175"/>
      <c r="HY138" s="175">
        <f>IF(ISERROR((HX123+HX135)/(HY123+HY135)),0,(HX123+HX135)/(HY123+HY135))</f>
        <v>0.27279999999999999</v>
      </c>
      <c r="HZ138" s="175"/>
      <c r="IA138" s="175">
        <f t="shared" ref="IA138" si="146">IF(ISERROR((HZ123+HZ135)/(IA123+IA135)),0,(HZ123+HZ135)/(IA123+IA135))</f>
        <v>0.29599999999999999</v>
      </c>
      <c r="IB138" s="175"/>
      <c r="IC138" s="175">
        <f t="shared" ref="IC138" si="147">IF(ISERROR((IB123+IB135)/(IC123+IC135)),0,(IB123+IB135)/(IC123+IC135))</f>
        <v>0.34055944055944054</v>
      </c>
      <c r="ID138" s="175"/>
      <c r="IE138" s="175">
        <f t="shared" ref="IE138" si="148">IF(ISERROR((ID123+ID135)/(IE123+IE135)),0,(ID123+ID135)/(IE123+IE135))</f>
        <v>0.34551495016611294</v>
      </c>
      <c r="IF138" s="175"/>
      <c r="IG138" s="175">
        <f t="shared" ref="IG138" si="149">IF(ISERROR((IF123+IF135)/(IG123+IG135)),0,(IF123+IF135)/(IG123+IG135))</f>
        <v>0.30257186081694404</v>
      </c>
      <c r="IH138" s="175"/>
      <c r="II138" s="175">
        <f t="shared" ref="II138" si="150">IF(ISERROR((IH123+IH135)/(II123+II135)),0,(IH123+IH135)/(II123+II135))</f>
        <v>0.3602996254681648</v>
      </c>
      <c r="IJ138" s="175"/>
      <c r="IK138" s="175">
        <f t="shared" ref="IK138" si="151">IF(ISERROR((IJ123+IJ135)/(IK123+IK135)),0,(IJ123+IJ135)/(IK123+IK135))</f>
        <v>0.4345070422535211</v>
      </c>
      <c r="IL138" s="175"/>
      <c r="IM138" s="175">
        <f t="shared" ref="IM138" si="152">IF(ISERROR((IL123+IL135)/(IM123+IM135)),0,(IL123+IL135)/(IM123+IM135))</f>
        <v>0.39494163424124512</v>
      </c>
      <c r="IN138" s="175"/>
      <c r="IO138" s="175">
        <f t="shared" ref="IO138" si="153">IF(ISERROR((IN123+IN135)/(IO123+IO135)),0,(IN123+IN135)/(IO123+IO135))</f>
        <v>0.43245469522240526</v>
      </c>
      <c r="IP138" s="175"/>
      <c r="IQ138" s="175">
        <f t="shared" ref="IQ138" si="154">IF(ISERROR((IP123+IP135)/(IQ123+IQ135)),0,(IP123+IP135)/(IQ123+IQ135))</f>
        <v>0.453125</v>
      </c>
      <c r="IR138" s="175"/>
      <c r="IS138" s="175">
        <f t="shared" ref="IS138" si="155">IF(ISERROR((IR123+IR135)/(IS123+IS135)),0,(IR123+IR135)/(IS123+IS135))</f>
        <v>0.40477121626906531</v>
      </c>
      <c r="IT138" s="175"/>
      <c r="IU138" s="175">
        <f t="shared" ref="IU138" si="156">IF(ISERROR((IT123+IT135)/(IU123+IU135)),0,(IT123+IT135)/(IU123+IU135))</f>
        <v>0.38406764574988872</v>
      </c>
      <c r="IV138" s="175"/>
      <c r="IW138" s="175">
        <f t="shared" ref="IW138" si="157">IF(ISERROR((IV123+IV135)/(IW123+IW135)),0,(IV123+IV135)/(IW123+IW135))</f>
        <v>0.41820076415422019</v>
      </c>
      <c r="IX138" s="175"/>
      <c r="IY138" s="175">
        <f t="shared" ref="IY138" si="158">IF(ISERROR((IX123+IX135)/(IY123+IY135)),0,(IX123+IX135)/(IY123+IY135))</f>
        <v>0.31053550640279393</v>
      </c>
      <c r="IZ138" s="175"/>
      <c r="JA138" s="175">
        <f t="shared" ref="JA138" si="159">IF(ISERROR((IZ123+IZ135)/(JA123+JA135)),0,(IZ123+IZ135)/(JA123+JA135))</f>
        <v>0.32598039215686275</v>
      </c>
      <c r="JB138" s="175"/>
      <c r="JC138" s="175">
        <f t="shared" ref="JC138" si="160">IF(ISERROR((JB123+JB135)/(JC123+JC135)),0,(JB123+JB135)/(JC123+JC135))</f>
        <v>0.30992885864522118</v>
      </c>
      <c r="JD138" s="175"/>
      <c r="JE138" s="175">
        <f t="shared" ref="JE138" si="161">IF(ISERROR((JD123+JD135)/(JE123+JE135)),0,(JD123+JD135)/(JE123+JE135))</f>
        <v>0.22717622080679406</v>
      </c>
    </row>
    <row r="139" spans="1:265" x14ac:dyDescent="0.15"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EH139" s="170"/>
      <c r="FK139" s="171"/>
    </row>
    <row r="140" spans="1:265" s="190" customFormat="1" x14ac:dyDescent="0.15">
      <c r="AX140" s="196">
        <f t="shared" ref="AX140:CH140" si="162">AX135+AX123</f>
        <v>260</v>
      </c>
      <c r="AY140" s="196">
        <f t="shared" si="162"/>
        <v>832</v>
      </c>
      <c r="AZ140" s="196">
        <f t="shared" si="162"/>
        <v>160</v>
      </c>
      <c r="BA140" s="196">
        <f t="shared" si="162"/>
        <v>633</v>
      </c>
      <c r="BB140" s="196">
        <f t="shared" si="162"/>
        <v>223</v>
      </c>
      <c r="BC140" s="196">
        <f t="shared" si="162"/>
        <v>752</v>
      </c>
      <c r="BD140" s="196">
        <f t="shared" si="162"/>
        <v>172</v>
      </c>
      <c r="BE140" s="196">
        <f t="shared" si="162"/>
        <v>695</v>
      </c>
      <c r="BF140" s="196">
        <f t="shared" si="162"/>
        <v>184</v>
      </c>
      <c r="BG140" s="196">
        <f t="shared" si="162"/>
        <v>887</v>
      </c>
      <c r="BH140" s="196">
        <f t="shared" si="162"/>
        <v>267</v>
      </c>
      <c r="BI140" s="196">
        <f t="shared" si="162"/>
        <v>1126</v>
      </c>
      <c r="BJ140" s="196">
        <f t="shared" si="162"/>
        <v>150</v>
      </c>
      <c r="BK140" s="196">
        <f t="shared" si="162"/>
        <v>986</v>
      </c>
      <c r="BL140" s="196">
        <f t="shared" si="162"/>
        <v>159</v>
      </c>
      <c r="BM140" s="196">
        <f t="shared" si="162"/>
        <v>940</v>
      </c>
      <c r="BN140" s="196">
        <f t="shared" si="162"/>
        <v>225</v>
      </c>
      <c r="BO140" s="196">
        <f t="shared" si="162"/>
        <v>1158</v>
      </c>
      <c r="BP140" s="196">
        <f t="shared" si="162"/>
        <v>173</v>
      </c>
      <c r="BQ140" s="196">
        <f t="shared" si="162"/>
        <v>1038</v>
      </c>
      <c r="BR140" s="196">
        <f t="shared" si="162"/>
        <v>169</v>
      </c>
      <c r="BS140" s="196">
        <f t="shared" si="162"/>
        <v>905</v>
      </c>
      <c r="BT140" s="196">
        <f t="shared" si="162"/>
        <v>191</v>
      </c>
      <c r="BU140" s="196">
        <f t="shared" si="162"/>
        <v>1176</v>
      </c>
      <c r="BV140" s="196">
        <f t="shared" si="162"/>
        <v>210</v>
      </c>
      <c r="BW140" s="196">
        <f t="shared" si="162"/>
        <v>894</v>
      </c>
      <c r="BX140" s="196">
        <f t="shared" si="162"/>
        <v>221</v>
      </c>
      <c r="BY140" s="196">
        <f t="shared" si="162"/>
        <v>940</v>
      </c>
      <c r="BZ140" s="196">
        <f t="shared" si="162"/>
        <v>84.161578555472829</v>
      </c>
      <c r="CA140" s="196">
        <f t="shared" si="162"/>
        <v>1060</v>
      </c>
      <c r="CB140" s="196">
        <f t="shared" si="162"/>
        <v>211</v>
      </c>
      <c r="CC140" s="196">
        <f t="shared" si="162"/>
        <v>1039</v>
      </c>
      <c r="CD140" s="196">
        <f t="shared" si="162"/>
        <v>256</v>
      </c>
      <c r="CE140" s="196">
        <f t="shared" si="162"/>
        <v>1292</v>
      </c>
      <c r="CF140" s="196">
        <f t="shared" si="162"/>
        <v>219.67391304347825</v>
      </c>
      <c r="CG140" s="196">
        <f t="shared" si="162"/>
        <v>1225</v>
      </c>
      <c r="CH140" s="196">
        <f t="shared" si="162"/>
        <v>252</v>
      </c>
      <c r="CI140" s="196">
        <f>CI135+CI123</f>
        <v>1304</v>
      </c>
      <c r="CJ140" s="196">
        <f>CJ116+CJ135</f>
        <v>192</v>
      </c>
      <c r="CK140" s="196">
        <f>CK135+CK123</f>
        <v>1036</v>
      </c>
      <c r="CL140" s="196">
        <f>CL116+CL135</f>
        <v>295</v>
      </c>
      <c r="CM140" s="196">
        <f>CM135+CM123</f>
        <v>1584</v>
      </c>
      <c r="CN140" s="196">
        <f>CN116+CN135</f>
        <v>230</v>
      </c>
      <c r="CO140" s="196">
        <f>CO135+CO123</f>
        <v>1253</v>
      </c>
      <c r="CP140" s="196">
        <f>CP135+CP123</f>
        <v>262</v>
      </c>
      <c r="CQ140" s="196">
        <f>CQ135+CQ116</f>
        <v>1500</v>
      </c>
      <c r="CR140" s="196">
        <f>CR135+CR123</f>
        <v>253</v>
      </c>
      <c r="CS140" s="196">
        <f>CS135+CS116</f>
        <v>1458</v>
      </c>
      <c r="CT140" s="196">
        <f>CT135+CT123</f>
        <v>286</v>
      </c>
      <c r="CU140" s="196">
        <f>CU135+CU116</f>
        <v>1321</v>
      </c>
      <c r="CV140" s="196">
        <f>CV135+CV123</f>
        <v>340</v>
      </c>
      <c r="CW140" s="196">
        <f>CW135+CW116</f>
        <v>1563</v>
      </c>
      <c r="CX140" s="196">
        <f>CX135+CX123</f>
        <v>225</v>
      </c>
      <c r="CY140" s="196">
        <f>CY135+CY116</f>
        <v>1323</v>
      </c>
      <c r="CZ140" s="196">
        <f>CZ135+CZ123</f>
        <v>272</v>
      </c>
      <c r="DA140" s="196">
        <f>DA135+DA116</f>
        <v>1316</v>
      </c>
      <c r="DB140" s="196">
        <f>DB135+DB123</f>
        <v>426</v>
      </c>
      <c r="DC140" s="196">
        <f>DC135+DC116</f>
        <v>1838</v>
      </c>
      <c r="DD140" s="196">
        <f>DD135+DD123</f>
        <v>348</v>
      </c>
      <c r="DE140" s="196">
        <f>DE135+DE116</f>
        <v>1811</v>
      </c>
      <c r="DF140" s="196">
        <f>DF135+DF123</f>
        <v>304</v>
      </c>
      <c r="DG140" s="196">
        <f>DG135+DG116</f>
        <v>1357</v>
      </c>
      <c r="DH140" s="196">
        <f>DH135+DH123</f>
        <v>361</v>
      </c>
      <c r="DI140" s="196">
        <f>DI135+DI116</f>
        <v>1467</v>
      </c>
      <c r="DJ140" s="196">
        <f>DJ135+DJ123</f>
        <v>388</v>
      </c>
      <c r="DK140" s="196">
        <f>DK135+DK116</f>
        <v>1662</v>
      </c>
      <c r="DL140" s="196">
        <f>DL135+DL123</f>
        <v>347</v>
      </c>
      <c r="DM140" s="196">
        <f>DM135+DM116</f>
        <v>1654</v>
      </c>
      <c r="DN140" s="196">
        <f>DN135+DN123</f>
        <v>355</v>
      </c>
      <c r="DO140" s="196">
        <f>DO135+DO116</f>
        <v>1509</v>
      </c>
      <c r="DP140" s="196">
        <f>DP135+DP123</f>
        <v>370</v>
      </c>
      <c r="DQ140" s="196">
        <f>DQ135+DQ116</f>
        <v>1510</v>
      </c>
      <c r="DR140" s="196">
        <f>DR135+DR123</f>
        <v>303</v>
      </c>
      <c r="DS140" s="196">
        <f>DS135+DS116</f>
        <v>1399</v>
      </c>
      <c r="DT140" s="196">
        <f>DT135+DT123</f>
        <v>378</v>
      </c>
      <c r="DU140" s="196">
        <f>DU135+DU116</f>
        <v>1725</v>
      </c>
      <c r="DV140" s="196">
        <f>DV135+DV123</f>
        <v>211</v>
      </c>
      <c r="DW140" s="196">
        <f>DW135+DW116</f>
        <v>1435</v>
      </c>
      <c r="DX140" s="196">
        <f>DX135+DX123</f>
        <v>205</v>
      </c>
      <c r="DY140" s="196">
        <f>DY135+DY116</f>
        <v>1482</v>
      </c>
      <c r="DZ140" s="196">
        <f>DZ135+DZ123</f>
        <v>248</v>
      </c>
      <c r="EA140" s="196">
        <f>EA135+EA116</f>
        <v>1821</v>
      </c>
      <c r="EB140" s="196">
        <f>EB135+EB123</f>
        <v>331</v>
      </c>
      <c r="EC140" s="196">
        <f>EC135+EC116</f>
        <v>1719</v>
      </c>
      <c r="ED140" s="196">
        <f>ED135+ED123</f>
        <v>253</v>
      </c>
      <c r="EE140" s="196">
        <f>EE135+EE116</f>
        <v>1472</v>
      </c>
      <c r="EF140" s="196">
        <f>EF135+EF123</f>
        <v>220</v>
      </c>
      <c r="EG140" s="196">
        <f>EG135+EG116</f>
        <v>1752</v>
      </c>
      <c r="EH140" s="197">
        <f t="shared" ref="EH140:FV140" si="163">EH135+EH123</f>
        <v>233</v>
      </c>
      <c r="EI140" s="196">
        <f t="shared" si="163"/>
        <v>1577</v>
      </c>
      <c r="EJ140" s="196">
        <f t="shared" si="163"/>
        <v>287</v>
      </c>
      <c r="EK140" s="196">
        <f t="shared" si="163"/>
        <v>1843</v>
      </c>
      <c r="EL140" s="196">
        <f t="shared" si="163"/>
        <v>262</v>
      </c>
      <c r="EM140" s="196">
        <f t="shared" si="163"/>
        <v>1666</v>
      </c>
      <c r="EN140" s="196">
        <f t="shared" si="163"/>
        <v>248</v>
      </c>
      <c r="EO140" s="196">
        <f t="shared" si="163"/>
        <v>1422</v>
      </c>
      <c r="EP140" s="196">
        <f t="shared" si="163"/>
        <v>321</v>
      </c>
      <c r="EQ140" s="196">
        <f t="shared" si="163"/>
        <v>1636</v>
      </c>
      <c r="ER140" s="196">
        <f t="shared" si="163"/>
        <v>305</v>
      </c>
      <c r="ES140" s="196">
        <f t="shared" si="163"/>
        <v>1680</v>
      </c>
      <c r="ET140" s="196">
        <f t="shared" si="163"/>
        <v>283</v>
      </c>
      <c r="EU140" s="196">
        <f t="shared" si="163"/>
        <v>1681</v>
      </c>
      <c r="EV140" s="196">
        <f>EV135+EV123</f>
        <v>235</v>
      </c>
      <c r="EW140" s="196">
        <f t="shared" si="163"/>
        <v>1494</v>
      </c>
      <c r="EX140" s="196">
        <f t="shared" si="163"/>
        <v>337</v>
      </c>
      <c r="EY140" s="196">
        <f t="shared" si="163"/>
        <v>2039</v>
      </c>
      <c r="EZ140" s="196">
        <f t="shared" si="163"/>
        <v>252</v>
      </c>
      <c r="FA140" s="196">
        <f t="shared" si="163"/>
        <v>1443</v>
      </c>
      <c r="FB140" s="196">
        <f t="shared" si="163"/>
        <v>347</v>
      </c>
      <c r="FC140" s="196">
        <f t="shared" si="163"/>
        <v>1784</v>
      </c>
      <c r="FD140" s="196">
        <f t="shared" si="163"/>
        <v>279</v>
      </c>
      <c r="FE140" s="196">
        <f t="shared" si="163"/>
        <v>1657</v>
      </c>
      <c r="FF140" s="196">
        <f t="shared" si="163"/>
        <v>337</v>
      </c>
      <c r="FG140" s="196">
        <f t="shared" si="163"/>
        <v>1726</v>
      </c>
      <c r="FH140" s="196">
        <f t="shared" si="163"/>
        <v>321</v>
      </c>
      <c r="FI140" s="196">
        <f t="shared" si="163"/>
        <v>1828</v>
      </c>
      <c r="FJ140" s="196">
        <f t="shared" si="163"/>
        <v>281</v>
      </c>
      <c r="FK140" s="198">
        <f t="shared" si="163"/>
        <v>1715</v>
      </c>
      <c r="FL140" s="199">
        <f t="shared" si="163"/>
        <v>1748</v>
      </c>
      <c r="FM140" s="196">
        <f t="shared" si="163"/>
        <v>1797</v>
      </c>
      <c r="FN140" s="196">
        <f t="shared" si="163"/>
        <v>370</v>
      </c>
      <c r="FO140" s="196">
        <f t="shared" si="163"/>
        <v>1406</v>
      </c>
      <c r="FP140" s="196">
        <f t="shared" si="163"/>
        <v>283</v>
      </c>
      <c r="FQ140" s="196">
        <f t="shared" si="163"/>
        <v>1345</v>
      </c>
      <c r="FR140" s="196">
        <f t="shared" si="163"/>
        <v>217</v>
      </c>
      <c r="FS140" s="196">
        <f t="shared" si="163"/>
        <v>1177</v>
      </c>
      <c r="FT140" s="196">
        <f t="shared" si="163"/>
        <v>315</v>
      </c>
      <c r="FU140" s="196">
        <f t="shared" si="163"/>
        <v>1524</v>
      </c>
      <c r="FV140" s="196">
        <f t="shared" si="163"/>
        <v>272</v>
      </c>
      <c r="FW140" s="196">
        <f>FW135+FW123</f>
        <v>1216</v>
      </c>
      <c r="FX140" s="196">
        <f t="shared" ref="FX140:GM140" si="164">FX135+FX123</f>
        <v>297</v>
      </c>
      <c r="FY140" s="196">
        <f>FY135+FY123</f>
        <v>1410</v>
      </c>
      <c r="FZ140" s="196">
        <f t="shared" si="164"/>
        <v>224</v>
      </c>
      <c r="GA140" s="196">
        <f t="shared" si="164"/>
        <v>1230</v>
      </c>
      <c r="GB140" s="196">
        <f t="shared" si="164"/>
        <v>260</v>
      </c>
      <c r="GC140" s="196">
        <f t="shared" si="164"/>
        <v>1390</v>
      </c>
      <c r="GD140" s="196">
        <f t="shared" si="164"/>
        <v>181</v>
      </c>
      <c r="GE140" s="196">
        <f t="shared" si="164"/>
        <v>1322</v>
      </c>
      <c r="GF140" s="196">
        <f t="shared" si="164"/>
        <v>238</v>
      </c>
      <c r="GG140" s="196">
        <f t="shared" si="164"/>
        <v>1108</v>
      </c>
      <c r="GH140" s="196">
        <f t="shared" si="164"/>
        <v>236</v>
      </c>
      <c r="GI140" s="196">
        <f t="shared" si="164"/>
        <v>1235</v>
      </c>
      <c r="GJ140" s="196">
        <f t="shared" si="164"/>
        <v>168</v>
      </c>
      <c r="GK140" s="196">
        <f t="shared" si="164"/>
        <v>958</v>
      </c>
      <c r="GL140" s="196">
        <f t="shared" si="164"/>
        <v>245</v>
      </c>
      <c r="GM140" s="196">
        <f t="shared" si="164"/>
        <v>1392</v>
      </c>
      <c r="GN140" s="196">
        <f>GN135+GN123</f>
        <v>249</v>
      </c>
      <c r="GO140" s="196">
        <f>GO135+GO123</f>
        <v>1477</v>
      </c>
      <c r="GP140" s="196">
        <f t="shared" ref="GP140:HH140" si="165">GP135+GP123</f>
        <v>223</v>
      </c>
      <c r="GQ140" s="196">
        <f t="shared" si="165"/>
        <v>1321</v>
      </c>
      <c r="GR140" s="196">
        <f t="shared" si="165"/>
        <v>240</v>
      </c>
      <c r="GS140" s="196">
        <f t="shared" si="165"/>
        <v>1280</v>
      </c>
      <c r="GT140" s="196">
        <f t="shared" si="165"/>
        <v>179</v>
      </c>
      <c r="GU140" s="196">
        <f t="shared" si="165"/>
        <v>981</v>
      </c>
      <c r="GV140" s="196">
        <f t="shared" si="165"/>
        <v>310</v>
      </c>
      <c r="GW140" s="196">
        <f t="shared" si="165"/>
        <v>1357</v>
      </c>
      <c r="GX140" s="196">
        <f t="shared" si="165"/>
        <v>277</v>
      </c>
      <c r="GY140" s="196">
        <f t="shared" si="165"/>
        <v>1486</v>
      </c>
      <c r="GZ140" s="196">
        <f t="shared" si="165"/>
        <v>262</v>
      </c>
      <c r="HA140" s="196">
        <f t="shared" si="165"/>
        <v>1263</v>
      </c>
      <c r="HB140" s="196">
        <f t="shared" si="165"/>
        <v>260</v>
      </c>
      <c r="HC140" s="196">
        <f t="shared" si="165"/>
        <v>1133</v>
      </c>
      <c r="HD140" s="196">
        <f t="shared" si="165"/>
        <v>259</v>
      </c>
      <c r="HE140" s="196">
        <f t="shared" si="165"/>
        <v>1038</v>
      </c>
      <c r="HF140" s="196">
        <f t="shared" si="165"/>
        <v>261</v>
      </c>
      <c r="HG140" s="196">
        <f t="shared" si="165"/>
        <v>975</v>
      </c>
      <c r="HH140" s="196">
        <f t="shared" si="165"/>
        <v>251</v>
      </c>
      <c r="HI140" s="196">
        <f>HI135+HI123</f>
        <v>964</v>
      </c>
      <c r="HJ140" s="196">
        <f t="shared" ref="HJ140:IQ140" si="166">HJ135+HJ123</f>
        <v>233</v>
      </c>
      <c r="HK140" s="196">
        <f t="shared" si="166"/>
        <v>827</v>
      </c>
      <c r="HL140" s="196">
        <f t="shared" si="166"/>
        <v>180</v>
      </c>
      <c r="HM140" s="196">
        <f t="shared" si="166"/>
        <v>867</v>
      </c>
      <c r="HN140" s="196">
        <f t="shared" si="166"/>
        <v>241</v>
      </c>
      <c r="HO140" s="196">
        <f t="shared" si="166"/>
        <v>874</v>
      </c>
      <c r="HP140" s="196">
        <f t="shared" si="166"/>
        <v>203</v>
      </c>
      <c r="HQ140" s="196">
        <f t="shared" si="166"/>
        <v>1030</v>
      </c>
      <c r="HR140" s="196">
        <f>HR135+HR123</f>
        <v>198</v>
      </c>
      <c r="HS140" s="196">
        <f t="shared" si="166"/>
        <v>767</v>
      </c>
      <c r="HT140" s="196">
        <f t="shared" si="166"/>
        <v>254</v>
      </c>
      <c r="HU140" s="196">
        <f t="shared" si="166"/>
        <v>860</v>
      </c>
      <c r="HV140" s="196">
        <f t="shared" si="166"/>
        <v>311</v>
      </c>
      <c r="HW140" s="196">
        <f t="shared" si="166"/>
        <v>1017</v>
      </c>
      <c r="HX140" s="196">
        <f t="shared" si="166"/>
        <v>341</v>
      </c>
      <c r="HY140" s="196">
        <f t="shared" si="166"/>
        <v>1250</v>
      </c>
      <c r="HZ140" s="196">
        <f t="shared" si="166"/>
        <v>370</v>
      </c>
      <c r="IA140" s="196">
        <f t="shared" si="166"/>
        <v>1250</v>
      </c>
      <c r="IB140" s="196">
        <f t="shared" si="166"/>
        <v>487</v>
      </c>
      <c r="IC140" s="196">
        <f t="shared" si="166"/>
        <v>1430</v>
      </c>
      <c r="ID140" s="196">
        <f t="shared" si="166"/>
        <v>416</v>
      </c>
      <c r="IE140" s="196">
        <f t="shared" si="166"/>
        <v>1204</v>
      </c>
      <c r="IF140" s="196">
        <f t="shared" si="166"/>
        <v>400</v>
      </c>
      <c r="IG140" s="196">
        <f t="shared" si="166"/>
        <v>1322</v>
      </c>
      <c r="IH140" s="196">
        <f t="shared" si="166"/>
        <v>481</v>
      </c>
      <c r="II140" s="196">
        <f t="shared" si="166"/>
        <v>1335</v>
      </c>
      <c r="IJ140" s="196">
        <f t="shared" si="166"/>
        <v>617</v>
      </c>
      <c r="IK140" s="196">
        <f t="shared" si="166"/>
        <v>1420</v>
      </c>
      <c r="IL140" s="196">
        <f t="shared" si="166"/>
        <v>609</v>
      </c>
      <c r="IM140" s="196">
        <f t="shared" si="166"/>
        <v>1542</v>
      </c>
      <c r="IN140" s="196">
        <f t="shared" si="166"/>
        <v>525</v>
      </c>
      <c r="IO140" s="196">
        <f t="shared" si="166"/>
        <v>1214</v>
      </c>
      <c r="IP140" s="196">
        <f t="shared" si="166"/>
        <v>522</v>
      </c>
      <c r="IQ140" s="196">
        <f t="shared" si="166"/>
        <v>1152</v>
      </c>
      <c r="IR140" s="196">
        <f>IR135+IR123</f>
        <v>1035</v>
      </c>
      <c r="IS140" s="196">
        <f t="shared" ref="IS140:JE140" si="167">IS135+IS123</f>
        <v>2557</v>
      </c>
      <c r="IT140" s="196">
        <f t="shared" si="167"/>
        <v>863</v>
      </c>
      <c r="IU140" s="196">
        <f t="shared" si="167"/>
        <v>2247</v>
      </c>
      <c r="IV140" s="196">
        <f t="shared" si="167"/>
        <v>1204</v>
      </c>
      <c r="IW140" s="196">
        <f t="shared" si="167"/>
        <v>2879</v>
      </c>
      <c r="IX140" s="196">
        <f t="shared" si="167"/>
        <v>1067</v>
      </c>
      <c r="IY140" s="196">
        <f t="shared" si="167"/>
        <v>3436</v>
      </c>
      <c r="IZ140" s="196">
        <f t="shared" si="167"/>
        <v>1064</v>
      </c>
      <c r="JA140" s="196">
        <f t="shared" si="167"/>
        <v>3264</v>
      </c>
      <c r="JB140" s="196">
        <f t="shared" si="167"/>
        <v>1002</v>
      </c>
      <c r="JC140" s="196">
        <f t="shared" si="167"/>
        <v>3233</v>
      </c>
      <c r="JD140" s="196">
        <f t="shared" si="167"/>
        <v>749</v>
      </c>
      <c r="JE140" s="196">
        <f t="shared" si="167"/>
        <v>3297</v>
      </c>
    </row>
    <row r="141" spans="1:265" x14ac:dyDescent="0.15">
      <c r="EG141" s="201"/>
      <c r="EH141" s="202"/>
    </row>
    <row r="142" spans="1:265" x14ac:dyDescent="0.15">
      <c r="EG142" s="203"/>
      <c r="EH142" s="170"/>
    </row>
    <row r="143" spans="1:265" ht="20" customHeight="1" x14ac:dyDescent="0.15">
      <c r="A143" s="204" t="s">
        <v>226</v>
      </c>
      <c r="B143" s="204" t="s">
        <v>227</v>
      </c>
      <c r="C143" s="205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3"/>
      <c r="DV143" s="206">
        <v>100</v>
      </c>
      <c r="DW143" s="206">
        <v>800</v>
      </c>
      <c r="DX143" s="206">
        <v>67</v>
      </c>
      <c r="DY143" s="206">
        <v>800</v>
      </c>
      <c r="DZ143" s="206">
        <v>78</v>
      </c>
      <c r="EA143" s="206">
        <v>800</v>
      </c>
      <c r="EB143" s="206">
        <v>51</v>
      </c>
      <c r="EC143" s="206">
        <v>800</v>
      </c>
      <c r="ED143" s="206">
        <v>113</v>
      </c>
      <c r="EE143" s="206">
        <v>700</v>
      </c>
      <c r="EF143" s="206">
        <v>58</v>
      </c>
      <c r="EG143" s="207">
        <v>700</v>
      </c>
      <c r="EH143" s="208">
        <v>54</v>
      </c>
      <c r="EI143" s="206">
        <v>700</v>
      </c>
      <c r="EJ143" s="206">
        <v>23</v>
      </c>
      <c r="EK143" s="206">
        <v>300</v>
      </c>
      <c r="EL143" s="206">
        <v>51</v>
      </c>
      <c r="EM143" s="206">
        <v>294</v>
      </c>
      <c r="EN143" s="206">
        <v>44</v>
      </c>
      <c r="EO143" s="206">
        <v>300</v>
      </c>
      <c r="EP143" s="206">
        <v>17</v>
      </c>
      <c r="EQ143" s="206">
        <v>200</v>
      </c>
      <c r="ER143" s="206">
        <v>26</v>
      </c>
      <c r="ES143" s="206">
        <v>300</v>
      </c>
      <c r="ET143" s="206">
        <v>51</v>
      </c>
      <c r="EU143" s="206">
        <v>200</v>
      </c>
      <c r="EV143" s="206">
        <v>20</v>
      </c>
      <c r="EW143" s="206">
        <v>100</v>
      </c>
      <c r="EX143" s="206">
        <v>22</v>
      </c>
      <c r="EY143" s="206">
        <v>100</v>
      </c>
      <c r="EZ143" s="206">
        <v>36</v>
      </c>
      <c r="FA143" s="206">
        <v>200</v>
      </c>
      <c r="FB143" s="206">
        <v>83</v>
      </c>
      <c r="FC143" s="206">
        <v>500</v>
      </c>
      <c r="FD143" s="206">
        <v>74</v>
      </c>
      <c r="FE143" s="206">
        <v>500</v>
      </c>
      <c r="FF143" s="206">
        <v>85</v>
      </c>
      <c r="FG143" s="206">
        <v>500</v>
      </c>
      <c r="FH143" s="206">
        <v>85</v>
      </c>
      <c r="FI143" s="206">
        <v>400</v>
      </c>
      <c r="FJ143" s="206">
        <v>117</v>
      </c>
      <c r="FK143" s="204"/>
      <c r="FL143" s="204"/>
      <c r="FM143" s="206">
        <v>600</v>
      </c>
      <c r="FN143" s="206">
        <v>101</v>
      </c>
      <c r="FO143" s="206">
        <v>600</v>
      </c>
      <c r="FP143" s="206">
        <v>91</v>
      </c>
      <c r="FQ143" s="206">
        <v>500</v>
      </c>
      <c r="FR143" s="206">
        <v>58</v>
      </c>
      <c r="FS143" s="206">
        <v>500</v>
      </c>
      <c r="FT143" s="206">
        <v>43</v>
      </c>
      <c r="FU143" s="206">
        <v>300</v>
      </c>
      <c r="FV143" s="206">
        <v>45</v>
      </c>
      <c r="FW143" s="206">
        <v>300</v>
      </c>
      <c r="FX143" s="206">
        <v>21</v>
      </c>
      <c r="FY143" s="206">
        <v>300</v>
      </c>
      <c r="FZ143" s="206">
        <v>31</v>
      </c>
      <c r="GA143" s="206">
        <v>300</v>
      </c>
      <c r="GB143" s="206">
        <v>23</v>
      </c>
      <c r="GC143" s="206">
        <v>200</v>
      </c>
      <c r="GD143" s="206">
        <v>32</v>
      </c>
      <c r="GE143" s="206">
        <v>300</v>
      </c>
      <c r="GF143" s="206">
        <v>47</v>
      </c>
      <c r="GG143" s="206">
        <v>300</v>
      </c>
      <c r="GH143" s="206">
        <v>38</v>
      </c>
      <c r="GI143" s="206">
        <v>200</v>
      </c>
      <c r="GJ143" s="206">
        <v>25</v>
      </c>
      <c r="GK143" s="206">
        <v>200</v>
      </c>
      <c r="GL143" s="206">
        <v>62</v>
      </c>
      <c r="GM143" s="206">
        <v>400</v>
      </c>
      <c r="GN143" s="206">
        <v>46</v>
      </c>
      <c r="GO143" s="206">
        <v>200</v>
      </c>
      <c r="GP143" s="206">
        <v>20</v>
      </c>
      <c r="GQ143" s="206">
        <v>200</v>
      </c>
      <c r="GR143" s="206">
        <v>25</v>
      </c>
      <c r="GS143" s="206">
        <v>200</v>
      </c>
      <c r="GT143" s="206">
        <v>25</v>
      </c>
      <c r="GU143" s="206">
        <v>200</v>
      </c>
      <c r="GV143" s="206">
        <v>30</v>
      </c>
      <c r="GW143" s="206">
        <v>200</v>
      </c>
      <c r="GX143" s="206">
        <v>35</v>
      </c>
      <c r="GY143" s="206">
        <v>200</v>
      </c>
      <c r="GZ143" s="206">
        <v>51</v>
      </c>
      <c r="HA143" s="206">
        <v>200</v>
      </c>
      <c r="HB143" s="206">
        <v>57</v>
      </c>
      <c r="HC143" s="206">
        <v>250</v>
      </c>
      <c r="HD143" s="206">
        <v>45</v>
      </c>
      <c r="HE143" s="206">
        <v>200</v>
      </c>
      <c r="HF143" s="206">
        <v>30</v>
      </c>
      <c r="HG143" s="206">
        <v>200</v>
      </c>
      <c r="HH143" s="206">
        <v>32</v>
      </c>
      <c r="HI143" s="206">
        <v>300</v>
      </c>
      <c r="HJ143" s="206">
        <v>48</v>
      </c>
      <c r="HK143" s="206">
        <v>300</v>
      </c>
      <c r="HL143" s="206">
        <v>48</v>
      </c>
      <c r="HM143" s="206">
        <v>300</v>
      </c>
      <c r="HN143" s="206">
        <v>58</v>
      </c>
      <c r="HO143" s="206">
        <v>300</v>
      </c>
      <c r="HP143" s="206">
        <v>71</v>
      </c>
      <c r="HQ143" s="206">
        <v>300</v>
      </c>
      <c r="HR143" s="206">
        <v>21</v>
      </c>
      <c r="HS143" s="206">
        <v>200</v>
      </c>
      <c r="HT143" s="206">
        <v>26</v>
      </c>
      <c r="HU143" s="206">
        <v>200</v>
      </c>
      <c r="HV143" s="206">
        <v>14</v>
      </c>
      <c r="HW143" s="206">
        <v>100</v>
      </c>
      <c r="HX143" s="206">
        <v>0</v>
      </c>
      <c r="HY143" s="206">
        <v>100</v>
      </c>
      <c r="HZ143" s="206">
        <v>0</v>
      </c>
      <c r="IA143" s="206">
        <v>100</v>
      </c>
      <c r="IB143" s="206">
        <v>16</v>
      </c>
      <c r="IC143" s="206">
        <v>100</v>
      </c>
      <c r="ID143" s="28" t="s">
        <v>30</v>
      </c>
      <c r="IE143" s="28" t="s">
        <v>30</v>
      </c>
      <c r="IF143" s="138"/>
      <c r="IG143" s="138"/>
      <c r="IH143" s="138"/>
      <c r="II143" s="138"/>
      <c r="IJ143" s="138"/>
      <c r="IK143" s="138"/>
      <c r="IL143" s="138"/>
      <c r="IM143" s="138"/>
      <c r="IN143" s="138"/>
      <c r="IO143" s="138"/>
      <c r="IP143" s="138"/>
      <c r="IQ143" s="138"/>
      <c r="IR143" s="138"/>
      <c r="IS143" s="138"/>
      <c r="IT143" s="138"/>
      <c r="IU143" s="138"/>
      <c r="IV143" s="138"/>
      <c r="IW143" s="138"/>
      <c r="IX143" s="138"/>
      <c r="IY143" s="138"/>
      <c r="IZ143" s="138"/>
      <c r="JA143" s="138"/>
      <c r="JB143" s="138"/>
      <c r="JC143" s="138"/>
      <c r="JD143" s="138"/>
      <c r="JE143" s="138"/>
    </row>
    <row r="144" spans="1:265" ht="20" customHeight="1" x14ac:dyDescent="0.15">
      <c r="A144" s="204" t="s">
        <v>228</v>
      </c>
      <c r="B144" s="204" t="s">
        <v>229</v>
      </c>
      <c r="C144" s="205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3"/>
      <c r="DV144" s="209"/>
      <c r="DW144" s="209"/>
      <c r="DX144" s="209"/>
      <c r="DY144" s="209"/>
      <c r="DZ144" s="209"/>
      <c r="EA144" s="209"/>
      <c r="EB144" s="209"/>
      <c r="EC144" s="209"/>
      <c r="ED144" s="209"/>
      <c r="EE144" s="209"/>
      <c r="EF144" s="209"/>
      <c r="EG144" s="210"/>
      <c r="EH144" s="211"/>
      <c r="EI144" s="209"/>
      <c r="EJ144" s="209"/>
      <c r="EK144" s="209"/>
      <c r="EL144" s="209"/>
      <c r="EM144" s="209"/>
      <c r="EN144" s="209"/>
      <c r="EO144" s="209"/>
      <c r="EP144" s="206">
        <v>409</v>
      </c>
      <c r="EQ144" s="206">
        <v>717</v>
      </c>
      <c r="ER144" s="206">
        <v>440</v>
      </c>
      <c r="ES144" s="206">
        <v>711</v>
      </c>
      <c r="ET144" s="206">
        <v>407</v>
      </c>
      <c r="EU144" s="206">
        <v>683</v>
      </c>
      <c r="EV144" s="206">
        <v>453</v>
      </c>
      <c r="EW144" s="206">
        <v>821</v>
      </c>
      <c r="EX144" s="206">
        <v>284</v>
      </c>
      <c r="EY144" s="206">
        <v>551</v>
      </c>
      <c r="EZ144" s="206">
        <v>340</v>
      </c>
      <c r="FA144" s="206">
        <v>542</v>
      </c>
      <c r="FB144" s="206">
        <v>591</v>
      </c>
      <c r="FC144" s="206">
        <v>894</v>
      </c>
      <c r="FD144" s="206">
        <v>624</v>
      </c>
      <c r="FE144" s="206">
        <v>999</v>
      </c>
      <c r="FF144" s="206">
        <v>638</v>
      </c>
      <c r="FG144" s="206">
        <v>878</v>
      </c>
      <c r="FH144" s="206">
        <v>704</v>
      </c>
      <c r="FI144" s="206">
        <v>1079</v>
      </c>
      <c r="FJ144" s="206">
        <v>628</v>
      </c>
      <c r="FK144" s="204"/>
      <c r="FL144" s="204"/>
      <c r="FM144" s="206">
        <v>932</v>
      </c>
      <c r="FN144" s="206">
        <v>690</v>
      </c>
      <c r="FO144" s="206">
        <v>1017</v>
      </c>
      <c r="FP144" s="206">
        <v>714</v>
      </c>
      <c r="FQ144" s="206">
        <v>1022</v>
      </c>
      <c r="FR144" s="206">
        <v>568</v>
      </c>
      <c r="FS144" s="206">
        <v>883</v>
      </c>
      <c r="FT144" s="206">
        <v>568</v>
      </c>
      <c r="FU144" s="206">
        <v>823</v>
      </c>
      <c r="FV144" s="206">
        <v>751</v>
      </c>
      <c r="FW144" s="206">
        <v>1107</v>
      </c>
      <c r="FX144" s="206">
        <v>684</v>
      </c>
      <c r="FY144" s="206">
        <v>1047</v>
      </c>
      <c r="FZ144" s="206">
        <v>693</v>
      </c>
      <c r="GA144" s="206">
        <v>1031</v>
      </c>
      <c r="GB144" s="206">
        <v>820</v>
      </c>
      <c r="GC144" s="206">
        <v>1254</v>
      </c>
      <c r="GD144" s="206">
        <v>841</v>
      </c>
      <c r="GE144" s="206">
        <v>1290</v>
      </c>
      <c r="GF144" s="206">
        <v>661</v>
      </c>
      <c r="GG144" s="206">
        <v>1091</v>
      </c>
      <c r="GH144" s="206">
        <v>689</v>
      </c>
      <c r="GI144" s="206">
        <v>931</v>
      </c>
      <c r="GJ144" s="206">
        <v>1370</v>
      </c>
      <c r="GK144" s="206">
        <v>3291</v>
      </c>
      <c r="GL144" s="206">
        <v>810</v>
      </c>
      <c r="GM144" s="206">
        <v>1227</v>
      </c>
      <c r="GN144" s="206">
        <v>847</v>
      </c>
      <c r="GO144" s="206">
        <v>1273</v>
      </c>
      <c r="GP144" s="206">
        <v>760</v>
      </c>
      <c r="GQ144" s="206">
        <v>1141</v>
      </c>
      <c r="GR144" s="206">
        <v>1255</v>
      </c>
      <c r="GS144" s="206">
        <v>1789</v>
      </c>
      <c r="GT144" s="206">
        <v>751</v>
      </c>
      <c r="GU144" s="206">
        <v>1287</v>
      </c>
      <c r="GV144" s="206">
        <v>913</v>
      </c>
      <c r="GW144" s="206">
        <v>1086</v>
      </c>
      <c r="GX144" s="206">
        <v>887</v>
      </c>
      <c r="GY144" s="206">
        <v>1165</v>
      </c>
      <c r="GZ144" s="206">
        <v>943</v>
      </c>
      <c r="HA144" s="206">
        <v>1186</v>
      </c>
      <c r="HB144" s="206">
        <v>1212</v>
      </c>
      <c r="HC144" s="206">
        <v>1375</v>
      </c>
      <c r="HD144" s="206">
        <v>1395</v>
      </c>
      <c r="HE144" s="206">
        <v>1474</v>
      </c>
      <c r="HF144" s="206">
        <v>1392</v>
      </c>
      <c r="HG144" s="206">
        <v>1389</v>
      </c>
      <c r="HH144" s="206">
        <v>1214</v>
      </c>
      <c r="HI144" s="206">
        <v>1296</v>
      </c>
      <c r="HJ144" s="206">
        <v>1771</v>
      </c>
      <c r="HK144" s="206">
        <v>1885</v>
      </c>
      <c r="HL144" s="206">
        <v>1462</v>
      </c>
      <c r="HM144" s="206">
        <v>1556</v>
      </c>
      <c r="HN144" s="206">
        <v>1216</v>
      </c>
      <c r="HO144" s="206">
        <v>1262</v>
      </c>
      <c r="HP144" s="206">
        <v>1245</v>
      </c>
      <c r="HQ144" s="206">
        <v>1298</v>
      </c>
      <c r="HR144" s="206">
        <v>1373</v>
      </c>
      <c r="HS144" s="206">
        <v>1473</v>
      </c>
      <c r="HT144" s="206">
        <v>1905</v>
      </c>
      <c r="HU144" s="206">
        <v>2021</v>
      </c>
      <c r="HV144" s="206">
        <v>2271</v>
      </c>
      <c r="HW144" s="206">
        <v>2457</v>
      </c>
      <c r="HX144" s="206">
        <v>1346</v>
      </c>
      <c r="HY144" s="206">
        <v>1429</v>
      </c>
      <c r="HZ144" s="206">
        <v>1299</v>
      </c>
      <c r="IA144" s="206">
        <v>1369</v>
      </c>
      <c r="IB144" s="206">
        <v>1112</v>
      </c>
      <c r="IC144" s="206">
        <v>1256</v>
      </c>
      <c r="ID144" s="206">
        <v>769</v>
      </c>
      <c r="IE144" s="206">
        <v>884</v>
      </c>
      <c r="IF144" s="206">
        <v>642</v>
      </c>
      <c r="IG144" s="206">
        <v>761</v>
      </c>
      <c r="IH144" s="206">
        <v>879</v>
      </c>
      <c r="II144" s="206">
        <v>1136</v>
      </c>
      <c r="IJ144" s="206">
        <v>455</v>
      </c>
      <c r="IK144" s="206">
        <v>556</v>
      </c>
      <c r="IL144" s="206">
        <v>592</v>
      </c>
      <c r="IM144" s="206">
        <v>679</v>
      </c>
      <c r="IN144" s="206">
        <v>727</v>
      </c>
      <c r="IO144" s="206">
        <v>923</v>
      </c>
      <c r="IP144" s="206">
        <v>923</v>
      </c>
      <c r="IQ144" s="206">
        <v>1239</v>
      </c>
      <c r="IR144" s="206">
        <v>919</v>
      </c>
      <c r="IS144" s="206">
        <v>1416</v>
      </c>
      <c r="IT144" s="206">
        <v>808</v>
      </c>
      <c r="IU144" s="206">
        <v>1296</v>
      </c>
      <c r="IV144" s="206">
        <v>4431</v>
      </c>
      <c r="IW144" s="206">
        <v>5384</v>
      </c>
      <c r="IX144" s="206">
        <v>1910</v>
      </c>
      <c r="IY144" s="206">
        <v>2453</v>
      </c>
      <c r="IZ144" s="206">
        <v>1327</v>
      </c>
      <c r="JA144" s="206">
        <v>1750</v>
      </c>
      <c r="JB144" s="206">
        <v>1139</v>
      </c>
      <c r="JC144" s="206">
        <v>1470</v>
      </c>
      <c r="JD144" s="206">
        <v>1304</v>
      </c>
      <c r="JE144" s="206">
        <v>1701</v>
      </c>
    </row>
    <row r="145" spans="1:265" ht="20" customHeight="1" x14ac:dyDescent="0.15">
      <c r="A145" s="204" t="s">
        <v>230</v>
      </c>
      <c r="B145" s="204" t="s">
        <v>231</v>
      </c>
      <c r="C145" s="205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209"/>
      <c r="DW145" s="209"/>
      <c r="DX145" s="209"/>
      <c r="DY145" s="209"/>
      <c r="DZ145" s="209"/>
      <c r="EA145" s="209"/>
      <c r="EB145" s="209"/>
      <c r="EC145" s="209"/>
      <c r="ED145" s="209"/>
      <c r="EE145" s="209"/>
      <c r="EF145" s="209"/>
      <c r="EG145" s="210"/>
      <c r="EH145" s="211"/>
      <c r="EI145" s="209"/>
      <c r="EJ145" s="209"/>
      <c r="EK145" s="209"/>
      <c r="EL145" s="209"/>
      <c r="EM145" s="209"/>
      <c r="EN145" s="209"/>
      <c r="EO145" s="209"/>
      <c r="EP145" s="209"/>
      <c r="EQ145" s="209"/>
      <c r="ER145" s="209"/>
      <c r="ES145" s="209"/>
      <c r="ET145" s="209"/>
      <c r="EU145" s="209"/>
      <c r="EV145" s="209"/>
      <c r="EW145" s="209"/>
      <c r="EX145" s="209"/>
      <c r="EY145" s="209"/>
      <c r="EZ145" s="209"/>
      <c r="FA145" s="209"/>
      <c r="FB145" s="209"/>
      <c r="FC145" s="209"/>
      <c r="FD145" s="209"/>
      <c r="FE145" s="209"/>
      <c r="FF145" s="209"/>
      <c r="FG145" s="209"/>
      <c r="FH145" s="209"/>
      <c r="FI145" s="209"/>
      <c r="FJ145" s="209"/>
      <c r="FK145" s="212"/>
      <c r="FL145" s="212"/>
      <c r="FM145" s="209"/>
      <c r="FN145" s="209"/>
      <c r="FO145" s="209"/>
      <c r="FP145" s="209"/>
      <c r="FQ145" s="209"/>
      <c r="FR145" s="209"/>
      <c r="FS145" s="209"/>
      <c r="FT145" s="209"/>
      <c r="FU145" s="209"/>
      <c r="FV145" s="209"/>
      <c r="FW145" s="209"/>
      <c r="FX145" s="209"/>
      <c r="FY145" s="209"/>
      <c r="FZ145" s="209"/>
      <c r="GA145" s="209"/>
      <c r="GB145" s="209"/>
      <c r="GC145" s="209"/>
      <c r="GD145" s="209"/>
      <c r="GE145" s="209"/>
      <c r="GF145" s="209"/>
      <c r="GG145" s="209"/>
      <c r="GH145" s="209"/>
      <c r="GI145" s="209"/>
      <c r="GJ145" s="209"/>
      <c r="GK145" s="209"/>
      <c r="GL145" s="206">
        <v>33</v>
      </c>
      <c r="GM145" s="206">
        <v>301</v>
      </c>
      <c r="GN145" s="206">
        <v>43</v>
      </c>
      <c r="GO145" s="206">
        <v>330</v>
      </c>
      <c r="GP145" s="206">
        <v>22</v>
      </c>
      <c r="GQ145" s="206">
        <v>308</v>
      </c>
      <c r="GR145" s="206">
        <v>30</v>
      </c>
      <c r="GS145" s="206">
        <v>248</v>
      </c>
      <c r="GT145" s="206">
        <v>29</v>
      </c>
      <c r="GU145" s="206">
        <v>278</v>
      </c>
      <c r="GV145" s="206">
        <v>21</v>
      </c>
      <c r="GW145" s="206">
        <v>279</v>
      </c>
      <c r="GX145" s="206">
        <v>23</v>
      </c>
      <c r="GY145" s="206">
        <v>262</v>
      </c>
      <c r="GZ145" s="206">
        <v>52</v>
      </c>
      <c r="HA145" s="206">
        <v>314</v>
      </c>
      <c r="HB145" s="206">
        <v>35</v>
      </c>
      <c r="HC145" s="206">
        <v>279</v>
      </c>
      <c r="HD145" s="206">
        <v>24</v>
      </c>
      <c r="HE145" s="206">
        <v>314</v>
      </c>
      <c r="HF145" s="206">
        <v>21</v>
      </c>
      <c r="HG145" s="206">
        <v>236</v>
      </c>
      <c r="HH145" s="206">
        <v>16</v>
      </c>
      <c r="HI145" s="206">
        <v>215</v>
      </c>
      <c r="HJ145" s="206">
        <v>26</v>
      </c>
      <c r="HK145" s="206">
        <v>207</v>
      </c>
      <c r="HL145" s="206">
        <v>22</v>
      </c>
      <c r="HM145" s="206">
        <v>181</v>
      </c>
      <c r="HN145" s="206">
        <v>30</v>
      </c>
      <c r="HO145" s="206">
        <v>200</v>
      </c>
      <c r="HP145" s="206">
        <v>26</v>
      </c>
      <c r="HQ145" s="206">
        <v>177</v>
      </c>
      <c r="HR145" s="206">
        <v>25</v>
      </c>
      <c r="HS145" s="206">
        <v>180</v>
      </c>
      <c r="HT145" s="206">
        <v>17</v>
      </c>
      <c r="HU145" s="206">
        <v>170</v>
      </c>
      <c r="HV145" s="206">
        <v>13</v>
      </c>
      <c r="HW145" s="206">
        <v>108</v>
      </c>
      <c r="HX145" s="206">
        <v>24</v>
      </c>
      <c r="HY145" s="206">
        <v>119</v>
      </c>
      <c r="HZ145" s="206">
        <v>15</v>
      </c>
      <c r="IA145" s="206">
        <v>132</v>
      </c>
      <c r="IB145" s="206">
        <v>42</v>
      </c>
      <c r="IC145" s="206">
        <v>212</v>
      </c>
      <c r="ID145" s="206">
        <v>45</v>
      </c>
      <c r="IE145" s="206">
        <v>225</v>
      </c>
      <c r="IF145" s="206">
        <v>33</v>
      </c>
      <c r="IG145" s="206">
        <v>237</v>
      </c>
      <c r="IH145" s="206">
        <v>52</v>
      </c>
      <c r="II145" s="206">
        <v>235</v>
      </c>
      <c r="IJ145" s="206">
        <v>36</v>
      </c>
      <c r="IK145" s="206">
        <v>195</v>
      </c>
      <c r="IL145" s="206">
        <v>24</v>
      </c>
      <c r="IM145" s="206">
        <v>162</v>
      </c>
      <c r="IN145" s="206">
        <v>34</v>
      </c>
      <c r="IO145" s="206">
        <v>170</v>
      </c>
      <c r="IP145" s="206">
        <v>54</v>
      </c>
      <c r="IQ145" s="206">
        <v>197</v>
      </c>
      <c r="IR145" s="206">
        <v>44</v>
      </c>
      <c r="IS145" s="206">
        <v>222</v>
      </c>
      <c r="IT145" s="206">
        <v>27</v>
      </c>
      <c r="IU145" s="206">
        <v>153</v>
      </c>
      <c r="IV145" s="206">
        <v>44</v>
      </c>
      <c r="IW145" s="206">
        <v>196</v>
      </c>
      <c r="IX145" s="206">
        <v>33</v>
      </c>
      <c r="IY145" s="206">
        <v>156</v>
      </c>
      <c r="IZ145" s="206">
        <v>31</v>
      </c>
      <c r="JA145" s="206">
        <v>190</v>
      </c>
      <c r="JB145" s="206">
        <v>51</v>
      </c>
      <c r="JC145" s="206">
        <v>216</v>
      </c>
      <c r="JD145" s="206">
        <v>42</v>
      </c>
      <c r="JE145" s="206">
        <v>201</v>
      </c>
    </row>
    <row r="146" spans="1:265" ht="20" customHeight="1" x14ac:dyDescent="0.15">
      <c r="A146" s="204" t="s">
        <v>232</v>
      </c>
      <c r="B146" s="204" t="s">
        <v>233</v>
      </c>
      <c r="C146" s="205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3"/>
      <c r="DV146" s="209"/>
      <c r="DW146" s="209"/>
      <c r="DX146" s="209"/>
      <c r="DY146" s="209"/>
      <c r="DZ146" s="209"/>
      <c r="EA146" s="209"/>
      <c r="EB146" s="209"/>
      <c r="EC146" s="209"/>
      <c r="ED146" s="209"/>
      <c r="EE146" s="209"/>
      <c r="EF146" s="209"/>
      <c r="EG146" s="210"/>
      <c r="EH146" s="211"/>
      <c r="EI146" s="209"/>
      <c r="EJ146" s="209"/>
      <c r="EK146" s="209"/>
      <c r="EL146" s="209"/>
      <c r="EM146" s="209"/>
      <c r="EN146" s="209"/>
      <c r="EO146" s="209"/>
      <c r="EP146" s="209"/>
      <c r="EQ146" s="209"/>
      <c r="ER146" s="209"/>
      <c r="ES146" s="209"/>
      <c r="ET146" s="209"/>
      <c r="EU146" s="209"/>
      <c r="EV146" s="209"/>
      <c r="EW146" s="209"/>
      <c r="EX146" s="209"/>
      <c r="EY146" s="209"/>
      <c r="EZ146" s="209"/>
      <c r="FA146" s="209"/>
      <c r="FB146" s="209"/>
      <c r="FC146" s="209"/>
      <c r="FD146" s="209"/>
      <c r="FE146" s="209"/>
      <c r="FF146" s="209"/>
      <c r="FG146" s="209"/>
      <c r="FH146" s="209"/>
      <c r="FI146" s="209"/>
      <c r="FJ146" s="209"/>
      <c r="FK146" s="212"/>
      <c r="FL146" s="212"/>
      <c r="FM146" s="209"/>
      <c r="FN146" s="209"/>
      <c r="FO146" s="209"/>
      <c r="FP146" s="209"/>
      <c r="FQ146" s="209"/>
      <c r="FR146" s="209"/>
      <c r="FS146" s="209"/>
      <c r="FT146" s="209"/>
      <c r="FU146" s="209"/>
      <c r="FV146" s="209"/>
      <c r="FW146" s="209"/>
      <c r="FX146" s="209"/>
      <c r="FY146" s="209"/>
      <c r="FZ146" s="209"/>
      <c r="GA146" s="209"/>
      <c r="GB146" s="206">
        <v>52</v>
      </c>
      <c r="GC146" s="206">
        <v>75</v>
      </c>
      <c r="GD146" s="206">
        <v>15</v>
      </c>
      <c r="GE146" s="206">
        <v>28</v>
      </c>
      <c r="GF146" s="206">
        <v>13</v>
      </c>
      <c r="GG146" s="206">
        <v>32</v>
      </c>
      <c r="GH146" s="206">
        <v>2</v>
      </c>
      <c r="GI146" s="206">
        <v>8</v>
      </c>
      <c r="GJ146" s="206">
        <v>4</v>
      </c>
      <c r="GK146" s="206">
        <v>5</v>
      </c>
      <c r="GL146" s="206">
        <v>1</v>
      </c>
      <c r="GM146" s="206">
        <v>2</v>
      </c>
      <c r="GN146" s="206">
        <v>0</v>
      </c>
      <c r="GO146" s="206">
        <v>1</v>
      </c>
      <c r="GP146" s="206">
        <v>10</v>
      </c>
      <c r="GQ146" s="206">
        <v>20</v>
      </c>
      <c r="GR146" s="206">
        <v>0</v>
      </c>
      <c r="GS146" s="206">
        <v>1</v>
      </c>
      <c r="GT146" s="206">
        <v>0</v>
      </c>
      <c r="GU146" s="206">
        <v>0</v>
      </c>
      <c r="GV146" s="206">
        <v>0</v>
      </c>
      <c r="GW146" s="206">
        <v>0</v>
      </c>
      <c r="GX146" s="206">
        <v>0</v>
      </c>
      <c r="GY146" s="206">
        <v>1</v>
      </c>
      <c r="GZ146" s="206">
        <v>0</v>
      </c>
      <c r="HA146" s="206">
        <v>0</v>
      </c>
      <c r="HB146" s="206">
        <v>0</v>
      </c>
      <c r="HC146" s="206">
        <v>0</v>
      </c>
      <c r="HD146" s="206">
        <v>0</v>
      </c>
      <c r="HE146" s="206">
        <v>0</v>
      </c>
      <c r="HF146" s="206">
        <v>0</v>
      </c>
      <c r="HG146" s="206">
        <v>1</v>
      </c>
      <c r="HH146" s="206">
        <v>0</v>
      </c>
      <c r="HI146" s="206">
        <v>1</v>
      </c>
      <c r="HJ146" s="206">
        <v>0</v>
      </c>
      <c r="HK146" s="206">
        <v>0</v>
      </c>
      <c r="HL146" s="206">
        <v>0</v>
      </c>
      <c r="HM146" s="206">
        <v>0</v>
      </c>
      <c r="HN146" s="206">
        <v>0</v>
      </c>
      <c r="HO146" s="206">
        <v>0</v>
      </c>
      <c r="HP146" s="206">
        <v>0</v>
      </c>
      <c r="HQ146" s="206">
        <v>0</v>
      </c>
      <c r="HR146" s="206">
        <v>0</v>
      </c>
      <c r="HS146" s="206">
        <v>0</v>
      </c>
      <c r="HT146" s="206">
        <v>0</v>
      </c>
      <c r="HU146" s="206">
        <v>0</v>
      </c>
      <c r="HV146" s="206">
        <v>0</v>
      </c>
      <c r="HW146" s="206">
        <v>0</v>
      </c>
      <c r="HX146" s="206">
        <v>0</v>
      </c>
      <c r="HY146" s="206">
        <v>0</v>
      </c>
      <c r="HZ146" s="206">
        <v>0</v>
      </c>
      <c r="IA146" s="206">
        <v>0</v>
      </c>
      <c r="IB146" s="206">
        <v>0</v>
      </c>
      <c r="IC146" s="206">
        <v>0</v>
      </c>
      <c r="ID146" s="206">
        <v>0</v>
      </c>
      <c r="IE146" s="206">
        <v>0</v>
      </c>
      <c r="IF146" s="206">
        <v>0</v>
      </c>
      <c r="IG146" s="206">
        <v>0</v>
      </c>
      <c r="IH146" s="206">
        <v>0</v>
      </c>
      <c r="II146" s="206">
        <v>0</v>
      </c>
      <c r="IJ146" s="206">
        <v>0</v>
      </c>
      <c r="IK146" s="206">
        <v>0</v>
      </c>
      <c r="IL146" s="206">
        <v>0</v>
      </c>
      <c r="IM146" s="206">
        <v>0</v>
      </c>
      <c r="IN146" s="206">
        <v>0</v>
      </c>
      <c r="IO146" s="206">
        <v>0</v>
      </c>
      <c r="IP146" s="206">
        <v>0</v>
      </c>
      <c r="IQ146" s="206">
        <v>0</v>
      </c>
      <c r="IR146" s="206">
        <v>0</v>
      </c>
      <c r="IS146" s="206">
        <v>0</v>
      </c>
      <c r="IT146" s="206">
        <v>0</v>
      </c>
      <c r="IU146" s="206">
        <v>0</v>
      </c>
      <c r="IV146" s="206">
        <v>0</v>
      </c>
      <c r="IW146" s="206">
        <v>0</v>
      </c>
      <c r="IX146" s="206">
        <v>0</v>
      </c>
      <c r="IY146" s="206">
        <v>1</v>
      </c>
      <c r="IZ146" s="206">
        <v>0</v>
      </c>
      <c r="JA146" s="206">
        <v>0</v>
      </c>
      <c r="JB146" s="206">
        <v>0</v>
      </c>
      <c r="JC146" s="206">
        <v>0</v>
      </c>
      <c r="JD146" s="206">
        <v>0</v>
      </c>
      <c r="JE146" s="206">
        <v>0</v>
      </c>
    </row>
    <row r="147" spans="1:265" ht="20" customHeight="1" x14ac:dyDescent="0.15">
      <c r="A147" s="204" t="s">
        <v>234</v>
      </c>
      <c r="B147" s="204" t="s">
        <v>235</v>
      </c>
      <c r="C147" s="205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3"/>
      <c r="DV147" s="209"/>
      <c r="DW147" s="209"/>
      <c r="DX147" s="209"/>
      <c r="DY147" s="209"/>
      <c r="DZ147" s="209"/>
      <c r="EA147" s="209"/>
      <c r="EB147" s="209"/>
      <c r="EC147" s="209"/>
      <c r="ED147" s="209"/>
      <c r="EE147" s="209"/>
      <c r="EF147" s="209"/>
      <c r="EG147" s="210"/>
      <c r="EH147" s="211"/>
      <c r="EI147" s="209"/>
      <c r="EJ147" s="209"/>
      <c r="EK147" s="209"/>
      <c r="EL147" s="209"/>
      <c r="EM147" s="209"/>
      <c r="EN147" s="209"/>
      <c r="EO147" s="209"/>
      <c r="EP147" s="209"/>
      <c r="EQ147" s="209"/>
      <c r="ER147" s="209"/>
      <c r="ES147" s="209"/>
      <c r="ET147" s="209"/>
      <c r="EU147" s="209"/>
      <c r="EV147" s="209"/>
      <c r="EW147" s="209"/>
      <c r="EX147" s="209"/>
      <c r="EY147" s="209"/>
      <c r="EZ147" s="209"/>
      <c r="FA147" s="209"/>
      <c r="FB147" s="209"/>
      <c r="FC147" s="209"/>
      <c r="FD147" s="209"/>
      <c r="FE147" s="209"/>
      <c r="FF147" s="209"/>
      <c r="FG147" s="209"/>
      <c r="FH147" s="209"/>
      <c r="FI147" s="209"/>
      <c r="FJ147" s="209"/>
      <c r="FK147" s="212"/>
      <c r="FL147" s="212"/>
      <c r="FM147" s="209"/>
      <c r="FN147" s="209"/>
      <c r="FO147" s="209"/>
      <c r="FP147" s="209"/>
      <c r="FQ147" s="209"/>
      <c r="FR147" s="209"/>
      <c r="FS147" s="209"/>
      <c r="FT147" s="209"/>
      <c r="FU147" s="209"/>
      <c r="FV147" s="209"/>
      <c r="FW147" s="209"/>
      <c r="FX147" s="209"/>
      <c r="FY147" s="209"/>
      <c r="FZ147" s="209"/>
      <c r="GA147" s="209"/>
      <c r="GB147" s="209"/>
      <c r="GC147" s="209"/>
      <c r="GD147" s="209"/>
      <c r="GE147" s="209"/>
      <c r="GF147" s="209"/>
      <c r="GG147" s="209"/>
      <c r="GH147" s="209"/>
      <c r="GI147" s="209"/>
      <c r="GJ147" s="209"/>
      <c r="GK147" s="209"/>
      <c r="GL147" s="209"/>
      <c r="GM147" s="209"/>
      <c r="GN147" s="209"/>
      <c r="GO147" s="209"/>
      <c r="GP147" s="209"/>
      <c r="GQ147" s="209"/>
      <c r="GR147" s="209"/>
      <c r="GS147" s="209"/>
      <c r="GT147" s="209"/>
      <c r="GU147" s="209"/>
      <c r="GV147" s="209"/>
      <c r="GW147" s="209"/>
      <c r="GX147" s="209"/>
      <c r="GY147" s="209"/>
      <c r="GZ147" s="209"/>
      <c r="HA147" s="209"/>
      <c r="HB147" s="209"/>
      <c r="HC147" s="209"/>
      <c r="HD147" s="209"/>
      <c r="HE147" s="209"/>
      <c r="HF147" s="209"/>
      <c r="HG147" s="209"/>
      <c r="HH147" s="206">
        <v>3</v>
      </c>
      <c r="HI147" s="206">
        <v>12</v>
      </c>
      <c r="HJ147" s="206">
        <v>4</v>
      </c>
      <c r="HK147" s="206">
        <v>16</v>
      </c>
      <c r="HL147" s="206">
        <v>2</v>
      </c>
      <c r="HM147" s="206">
        <v>13</v>
      </c>
      <c r="HN147" s="206">
        <v>3</v>
      </c>
      <c r="HO147" s="206">
        <v>12</v>
      </c>
      <c r="HP147" s="206">
        <v>4</v>
      </c>
      <c r="HQ147" s="206">
        <v>15</v>
      </c>
      <c r="HR147" s="206">
        <v>1</v>
      </c>
      <c r="HS147" s="206">
        <v>14</v>
      </c>
      <c r="HT147" s="206">
        <v>3</v>
      </c>
      <c r="HU147" s="206">
        <v>7</v>
      </c>
      <c r="HV147" s="206">
        <v>0</v>
      </c>
      <c r="HW147" s="206">
        <v>2</v>
      </c>
      <c r="HX147" s="206">
        <v>2</v>
      </c>
      <c r="HY147" s="206">
        <v>4</v>
      </c>
      <c r="HZ147" s="206">
        <v>4</v>
      </c>
      <c r="IA147" s="206">
        <v>10</v>
      </c>
      <c r="IB147" s="206">
        <v>1</v>
      </c>
      <c r="IC147" s="206">
        <v>6</v>
      </c>
      <c r="ID147" s="206">
        <v>1</v>
      </c>
      <c r="IE147" s="206">
        <v>7</v>
      </c>
      <c r="IF147" s="206">
        <v>3</v>
      </c>
      <c r="IG147" s="206">
        <v>8</v>
      </c>
      <c r="IH147" s="206">
        <v>3</v>
      </c>
      <c r="II147" s="206">
        <v>10</v>
      </c>
      <c r="IJ147" s="206">
        <v>5</v>
      </c>
      <c r="IK147" s="206">
        <v>10</v>
      </c>
      <c r="IL147" s="206">
        <v>3</v>
      </c>
      <c r="IM147" s="206">
        <v>4</v>
      </c>
      <c r="IN147" s="206">
        <v>2</v>
      </c>
      <c r="IO147" s="206">
        <v>6</v>
      </c>
      <c r="IP147" s="206">
        <v>4</v>
      </c>
      <c r="IQ147" s="206">
        <v>6</v>
      </c>
      <c r="IR147" s="206">
        <v>4</v>
      </c>
      <c r="IS147" s="206">
        <v>4</v>
      </c>
      <c r="IT147" s="206">
        <v>0</v>
      </c>
      <c r="IU147" s="206">
        <v>8</v>
      </c>
      <c r="IV147" s="206">
        <v>4</v>
      </c>
      <c r="IW147" s="206">
        <v>9</v>
      </c>
      <c r="IX147" s="206">
        <v>2</v>
      </c>
      <c r="IY147" s="206">
        <v>15</v>
      </c>
      <c r="IZ147" s="206">
        <v>2</v>
      </c>
      <c r="JA147" s="206">
        <v>11</v>
      </c>
      <c r="JB147" s="206">
        <v>1</v>
      </c>
      <c r="JC147" s="206">
        <v>11</v>
      </c>
      <c r="JD147" s="206">
        <v>4</v>
      </c>
      <c r="JE147" s="206">
        <v>12</v>
      </c>
    </row>
    <row r="148" spans="1:265" ht="20" customHeight="1" x14ac:dyDescent="0.15">
      <c r="A148" s="204" t="s">
        <v>236</v>
      </c>
      <c r="B148" s="204" t="s">
        <v>237</v>
      </c>
      <c r="C148" s="205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  <c r="DU148" s="73"/>
      <c r="DV148" s="209"/>
      <c r="DW148" s="209"/>
      <c r="DX148" s="209"/>
      <c r="DY148" s="209"/>
      <c r="DZ148" s="209"/>
      <c r="EA148" s="209"/>
      <c r="EB148" s="209"/>
      <c r="EC148" s="209"/>
      <c r="ED148" s="209"/>
      <c r="EE148" s="209"/>
      <c r="EF148" s="209"/>
      <c r="EG148" s="210"/>
      <c r="EH148" s="211"/>
      <c r="EI148" s="209"/>
      <c r="EJ148" s="209"/>
      <c r="EK148" s="209"/>
      <c r="EL148" s="209"/>
      <c r="EM148" s="209"/>
      <c r="EN148" s="209"/>
      <c r="EO148" s="209"/>
      <c r="EP148" s="209"/>
      <c r="EQ148" s="209"/>
      <c r="ER148" s="209"/>
      <c r="ES148" s="209"/>
      <c r="ET148" s="209"/>
      <c r="EU148" s="209"/>
      <c r="EV148" s="209"/>
      <c r="EW148" s="209"/>
      <c r="EX148" s="209"/>
      <c r="EY148" s="209"/>
      <c r="EZ148" s="209"/>
      <c r="FA148" s="209"/>
      <c r="FB148" s="209"/>
      <c r="FC148" s="209"/>
      <c r="FD148" s="209"/>
      <c r="FE148" s="209"/>
      <c r="FF148" s="209"/>
      <c r="FG148" s="209"/>
      <c r="FH148" s="209"/>
      <c r="FI148" s="209"/>
      <c r="FJ148" s="209"/>
      <c r="FK148" s="212"/>
      <c r="FL148" s="212"/>
      <c r="FM148" s="209"/>
      <c r="FN148" s="209"/>
      <c r="FO148" s="209"/>
      <c r="FP148" s="209"/>
      <c r="FQ148" s="209"/>
      <c r="FR148" s="209"/>
      <c r="FS148" s="209"/>
      <c r="FT148" s="209"/>
      <c r="FU148" s="209"/>
      <c r="FV148" s="209"/>
      <c r="FW148" s="209"/>
      <c r="FX148" s="209"/>
      <c r="FY148" s="209"/>
      <c r="FZ148" s="209"/>
      <c r="GA148" s="209"/>
      <c r="GB148" s="209"/>
      <c r="GC148" s="209"/>
      <c r="GD148" s="209"/>
      <c r="GE148" s="209"/>
      <c r="GF148" s="209"/>
      <c r="GG148" s="209"/>
      <c r="GH148" s="209"/>
      <c r="GI148" s="209"/>
      <c r="GJ148" s="209"/>
      <c r="GK148" s="209"/>
      <c r="GL148" s="209"/>
      <c r="GM148" s="209"/>
      <c r="GN148" s="209"/>
      <c r="GO148" s="209"/>
      <c r="GP148" s="209"/>
      <c r="GQ148" s="209"/>
      <c r="GR148" s="209"/>
      <c r="GS148" s="209"/>
      <c r="GT148" s="209"/>
      <c r="GU148" s="209"/>
      <c r="GV148" s="209"/>
      <c r="GW148" s="209"/>
      <c r="GX148" s="209"/>
      <c r="GY148" s="209"/>
      <c r="GZ148" s="209"/>
      <c r="HA148" s="209"/>
      <c r="HB148" s="209"/>
      <c r="HC148" s="209"/>
      <c r="HD148" s="209"/>
      <c r="HE148" s="209"/>
      <c r="HF148" s="209"/>
      <c r="HG148" s="209"/>
      <c r="HH148" s="209"/>
      <c r="HI148" s="209"/>
      <c r="HJ148" s="209"/>
      <c r="HK148" s="209"/>
      <c r="HL148" s="209"/>
      <c r="HM148" s="209"/>
      <c r="HN148" s="209"/>
      <c r="HO148" s="209"/>
      <c r="HP148" s="209"/>
      <c r="HQ148" s="209"/>
      <c r="HR148" s="206">
        <v>0</v>
      </c>
      <c r="HS148" s="206">
        <v>25</v>
      </c>
      <c r="HT148" s="28" t="s">
        <v>30</v>
      </c>
      <c r="HU148" s="28" t="s">
        <v>30</v>
      </c>
      <c r="HV148" s="28" t="s">
        <v>30</v>
      </c>
      <c r="HW148" s="28" t="s">
        <v>30</v>
      </c>
      <c r="HX148" s="28" t="s">
        <v>30</v>
      </c>
      <c r="HY148" s="28" t="s">
        <v>30</v>
      </c>
      <c r="HZ148" s="28" t="s">
        <v>30</v>
      </c>
      <c r="IA148" s="28" t="s">
        <v>30</v>
      </c>
      <c r="IB148" s="28" t="s">
        <v>30</v>
      </c>
      <c r="IC148" s="28" t="s">
        <v>30</v>
      </c>
      <c r="ID148" s="28" t="s">
        <v>30</v>
      </c>
      <c r="IE148" s="28" t="s">
        <v>30</v>
      </c>
      <c r="IF148" s="28" t="s">
        <v>30</v>
      </c>
      <c r="IG148" s="28" t="s">
        <v>30</v>
      </c>
      <c r="IH148" s="28" t="s">
        <v>30</v>
      </c>
      <c r="II148" s="28" t="s">
        <v>30</v>
      </c>
      <c r="IJ148" s="28" t="s">
        <v>30</v>
      </c>
      <c r="IK148" s="28" t="s">
        <v>30</v>
      </c>
      <c r="IL148" s="28" t="s">
        <v>30</v>
      </c>
      <c r="IM148" s="28" t="s">
        <v>30</v>
      </c>
      <c r="IN148" s="28" t="s">
        <v>30</v>
      </c>
      <c r="IO148" s="28" t="s">
        <v>30</v>
      </c>
      <c r="IP148" s="28" t="s">
        <v>30</v>
      </c>
      <c r="IQ148" s="28" t="s">
        <v>30</v>
      </c>
      <c r="IR148" s="28" t="s">
        <v>30</v>
      </c>
      <c r="IS148" s="28" t="s">
        <v>30</v>
      </c>
      <c r="IT148" s="28" t="s">
        <v>30</v>
      </c>
      <c r="IU148" s="28" t="s">
        <v>30</v>
      </c>
      <c r="IV148" s="28" t="s">
        <v>30</v>
      </c>
      <c r="IW148" s="28" t="s">
        <v>30</v>
      </c>
      <c r="IX148" s="28" t="s">
        <v>30</v>
      </c>
      <c r="IY148" s="28" t="s">
        <v>30</v>
      </c>
      <c r="IZ148" s="28" t="s">
        <v>30</v>
      </c>
      <c r="JA148" s="28" t="s">
        <v>30</v>
      </c>
      <c r="JB148" s="28" t="s">
        <v>30</v>
      </c>
      <c r="JC148" s="28" t="s">
        <v>30</v>
      </c>
      <c r="JD148" s="28" t="s">
        <v>30</v>
      </c>
      <c r="JE148" s="28" t="s">
        <v>30</v>
      </c>
    </row>
    <row r="149" spans="1:265" x14ac:dyDescent="0.15">
      <c r="DV149" s="190">
        <f>SUM(DV143:DV148)</f>
        <v>100</v>
      </c>
      <c r="DW149" s="190">
        <f t="shared" ref="DW149:FJ149" si="168">SUM(DW143:DW148)</f>
        <v>800</v>
      </c>
      <c r="DX149" s="190">
        <f t="shared" si="168"/>
        <v>67</v>
      </c>
      <c r="DY149" s="190">
        <f t="shared" si="168"/>
        <v>800</v>
      </c>
      <c r="DZ149" s="190">
        <f t="shared" si="168"/>
        <v>78</v>
      </c>
      <c r="EA149" s="190">
        <f t="shared" si="168"/>
        <v>800</v>
      </c>
      <c r="EB149" s="190">
        <f t="shared" si="168"/>
        <v>51</v>
      </c>
      <c r="EC149" s="190">
        <f t="shared" si="168"/>
        <v>800</v>
      </c>
      <c r="ED149" s="190">
        <f t="shared" si="168"/>
        <v>113</v>
      </c>
      <c r="EE149" s="190">
        <f t="shared" si="168"/>
        <v>700</v>
      </c>
      <c r="EF149" s="190">
        <f t="shared" si="168"/>
        <v>58</v>
      </c>
      <c r="EG149" s="213">
        <f t="shared" si="168"/>
        <v>700</v>
      </c>
      <c r="EH149" s="191">
        <f t="shared" si="168"/>
        <v>54</v>
      </c>
      <c r="EI149" s="190">
        <f t="shared" si="168"/>
        <v>700</v>
      </c>
      <c r="EJ149" s="190">
        <f t="shared" si="168"/>
        <v>23</v>
      </c>
      <c r="EK149" s="190">
        <f t="shared" si="168"/>
        <v>300</v>
      </c>
      <c r="EL149" s="190">
        <f t="shared" si="168"/>
        <v>51</v>
      </c>
      <c r="EM149" s="190">
        <f t="shared" si="168"/>
        <v>294</v>
      </c>
      <c r="EN149" s="190">
        <f t="shared" si="168"/>
        <v>44</v>
      </c>
      <c r="EO149" s="190">
        <f t="shared" si="168"/>
        <v>300</v>
      </c>
      <c r="EP149" s="190">
        <f t="shared" si="168"/>
        <v>426</v>
      </c>
      <c r="EQ149" s="190">
        <f t="shared" si="168"/>
        <v>917</v>
      </c>
      <c r="ER149" s="190">
        <f t="shared" si="168"/>
        <v>466</v>
      </c>
      <c r="ES149" s="190">
        <f t="shared" si="168"/>
        <v>1011</v>
      </c>
      <c r="ET149" s="190">
        <f t="shared" si="168"/>
        <v>458</v>
      </c>
      <c r="EU149" s="190">
        <f t="shared" si="168"/>
        <v>883</v>
      </c>
      <c r="EV149" s="190">
        <f t="shared" si="168"/>
        <v>473</v>
      </c>
      <c r="EW149" s="190">
        <f t="shared" si="168"/>
        <v>921</v>
      </c>
      <c r="EX149" s="190">
        <f t="shared" si="168"/>
        <v>306</v>
      </c>
      <c r="EY149" s="190">
        <f t="shared" si="168"/>
        <v>651</v>
      </c>
      <c r="EZ149" s="190">
        <f t="shared" si="168"/>
        <v>376</v>
      </c>
      <c r="FA149" s="190">
        <f t="shared" si="168"/>
        <v>742</v>
      </c>
      <c r="FB149" s="190">
        <f t="shared" si="168"/>
        <v>674</v>
      </c>
      <c r="FC149" s="190">
        <f t="shared" si="168"/>
        <v>1394</v>
      </c>
      <c r="FD149" s="190">
        <f t="shared" si="168"/>
        <v>698</v>
      </c>
      <c r="FE149" s="190">
        <f t="shared" si="168"/>
        <v>1499</v>
      </c>
      <c r="FF149" s="190">
        <f t="shared" si="168"/>
        <v>723</v>
      </c>
      <c r="FG149" s="190">
        <f t="shared" si="168"/>
        <v>1378</v>
      </c>
      <c r="FH149" s="190">
        <f t="shared" si="168"/>
        <v>789</v>
      </c>
      <c r="FI149" s="190">
        <f t="shared" si="168"/>
        <v>1479</v>
      </c>
      <c r="FJ149" s="190">
        <f t="shared" si="168"/>
        <v>745</v>
      </c>
      <c r="FK149" s="190"/>
      <c r="FL149" s="190"/>
      <c r="FM149" s="190">
        <f t="shared" ref="FM149:HX149" si="169">SUM(FM143:FM148)</f>
        <v>1532</v>
      </c>
      <c r="FN149" s="190">
        <f t="shared" si="169"/>
        <v>791</v>
      </c>
      <c r="FO149" s="190">
        <f t="shared" si="169"/>
        <v>1617</v>
      </c>
      <c r="FP149" s="190">
        <f t="shared" si="169"/>
        <v>805</v>
      </c>
      <c r="FQ149" s="190">
        <f t="shared" si="169"/>
        <v>1522</v>
      </c>
      <c r="FR149" s="190">
        <f t="shared" si="169"/>
        <v>626</v>
      </c>
      <c r="FS149" s="190">
        <f t="shared" si="169"/>
        <v>1383</v>
      </c>
      <c r="FT149" s="190">
        <f t="shared" si="169"/>
        <v>611</v>
      </c>
      <c r="FU149" s="190">
        <f t="shared" si="169"/>
        <v>1123</v>
      </c>
      <c r="FV149" s="190">
        <f t="shared" si="169"/>
        <v>796</v>
      </c>
      <c r="FW149" s="190">
        <f t="shared" si="169"/>
        <v>1407</v>
      </c>
      <c r="FX149" s="190">
        <f t="shared" si="169"/>
        <v>705</v>
      </c>
      <c r="FY149" s="190">
        <f t="shared" si="169"/>
        <v>1347</v>
      </c>
      <c r="FZ149" s="190">
        <f t="shared" si="169"/>
        <v>724</v>
      </c>
      <c r="GA149" s="190">
        <f t="shared" si="169"/>
        <v>1331</v>
      </c>
      <c r="GB149" s="190">
        <f t="shared" si="169"/>
        <v>895</v>
      </c>
      <c r="GC149" s="190">
        <f t="shared" si="169"/>
        <v>1529</v>
      </c>
      <c r="GD149" s="190">
        <f t="shared" si="169"/>
        <v>888</v>
      </c>
      <c r="GE149" s="190">
        <f t="shared" si="169"/>
        <v>1618</v>
      </c>
      <c r="GF149" s="190">
        <f t="shared" si="169"/>
        <v>721</v>
      </c>
      <c r="GG149" s="190">
        <f t="shared" si="169"/>
        <v>1423</v>
      </c>
      <c r="GH149" s="190">
        <f t="shared" si="169"/>
        <v>729</v>
      </c>
      <c r="GI149" s="190">
        <f t="shared" si="169"/>
        <v>1139</v>
      </c>
      <c r="GJ149" s="190">
        <f t="shared" si="169"/>
        <v>1399</v>
      </c>
      <c r="GK149" s="190">
        <f t="shared" si="169"/>
        <v>3496</v>
      </c>
      <c r="GL149" s="190">
        <f t="shared" si="169"/>
        <v>906</v>
      </c>
      <c r="GM149" s="190">
        <f t="shared" si="169"/>
        <v>1930</v>
      </c>
      <c r="GN149" s="190">
        <f t="shared" si="169"/>
        <v>936</v>
      </c>
      <c r="GO149" s="190">
        <f t="shared" si="169"/>
        <v>1804</v>
      </c>
      <c r="GP149" s="190">
        <f t="shared" si="169"/>
        <v>812</v>
      </c>
      <c r="GQ149" s="190">
        <f t="shared" si="169"/>
        <v>1669</v>
      </c>
      <c r="GR149" s="190">
        <f t="shared" si="169"/>
        <v>1310</v>
      </c>
      <c r="GS149" s="190">
        <f t="shared" si="169"/>
        <v>2238</v>
      </c>
      <c r="GT149" s="190">
        <f t="shared" si="169"/>
        <v>805</v>
      </c>
      <c r="GU149" s="190">
        <f t="shared" si="169"/>
        <v>1765</v>
      </c>
      <c r="GV149" s="190">
        <f t="shared" si="169"/>
        <v>964</v>
      </c>
      <c r="GW149" s="190">
        <f t="shared" si="169"/>
        <v>1565</v>
      </c>
      <c r="GX149" s="190">
        <f t="shared" si="169"/>
        <v>945</v>
      </c>
      <c r="GY149" s="190">
        <f t="shared" si="169"/>
        <v>1628</v>
      </c>
      <c r="GZ149" s="190">
        <f t="shared" si="169"/>
        <v>1046</v>
      </c>
      <c r="HA149" s="190">
        <f t="shared" si="169"/>
        <v>1700</v>
      </c>
      <c r="HB149" s="190">
        <f t="shared" si="169"/>
        <v>1304</v>
      </c>
      <c r="HC149" s="190">
        <f t="shared" si="169"/>
        <v>1904</v>
      </c>
      <c r="HD149" s="190">
        <f t="shared" si="169"/>
        <v>1464</v>
      </c>
      <c r="HE149" s="190">
        <f t="shared" si="169"/>
        <v>1988</v>
      </c>
      <c r="HF149" s="190">
        <f t="shared" si="169"/>
        <v>1443</v>
      </c>
      <c r="HG149" s="190">
        <f t="shared" si="169"/>
        <v>1826</v>
      </c>
      <c r="HH149" s="190">
        <f t="shared" si="169"/>
        <v>1265</v>
      </c>
      <c r="HI149" s="190">
        <f t="shared" si="169"/>
        <v>1824</v>
      </c>
      <c r="HJ149" s="190">
        <f t="shared" si="169"/>
        <v>1849</v>
      </c>
      <c r="HK149" s="190">
        <f t="shared" si="169"/>
        <v>2408</v>
      </c>
      <c r="HL149" s="190">
        <f t="shared" si="169"/>
        <v>1534</v>
      </c>
      <c r="HM149" s="190">
        <f t="shared" si="169"/>
        <v>2050</v>
      </c>
      <c r="HN149" s="190">
        <f t="shared" si="169"/>
        <v>1307</v>
      </c>
      <c r="HO149" s="190">
        <f t="shared" si="169"/>
        <v>1774</v>
      </c>
      <c r="HP149" s="190">
        <f t="shared" si="169"/>
        <v>1346</v>
      </c>
      <c r="HQ149" s="190">
        <f t="shared" si="169"/>
        <v>1790</v>
      </c>
      <c r="HR149" s="190">
        <f t="shared" si="169"/>
        <v>1420</v>
      </c>
      <c r="HS149" s="190">
        <f t="shared" si="169"/>
        <v>1892</v>
      </c>
      <c r="HT149" s="190">
        <f t="shared" si="169"/>
        <v>1951</v>
      </c>
      <c r="HU149" s="190">
        <f t="shared" si="169"/>
        <v>2398</v>
      </c>
      <c r="HV149" s="190">
        <f t="shared" si="169"/>
        <v>2298</v>
      </c>
      <c r="HW149" s="190">
        <f t="shared" si="169"/>
        <v>2667</v>
      </c>
      <c r="HX149" s="190">
        <f t="shared" si="169"/>
        <v>1372</v>
      </c>
      <c r="HY149" s="190">
        <f t="shared" ref="HY149:JE149" si="170">SUM(HY143:HY148)</f>
        <v>1652</v>
      </c>
      <c r="HZ149" s="190">
        <f t="shared" si="170"/>
        <v>1318</v>
      </c>
      <c r="IA149" s="190">
        <f t="shared" si="170"/>
        <v>1611</v>
      </c>
      <c r="IB149" s="190">
        <f t="shared" si="170"/>
        <v>1171</v>
      </c>
      <c r="IC149" s="190">
        <f t="shared" si="170"/>
        <v>1574</v>
      </c>
      <c r="ID149" s="190">
        <f t="shared" si="170"/>
        <v>815</v>
      </c>
      <c r="IE149" s="190">
        <f t="shared" si="170"/>
        <v>1116</v>
      </c>
      <c r="IF149" s="190">
        <f t="shared" si="170"/>
        <v>678</v>
      </c>
      <c r="IG149" s="190">
        <f t="shared" si="170"/>
        <v>1006</v>
      </c>
      <c r="IH149" s="190">
        <f t="shared" si="170"/>
        <v>934</v>
      </c>
      <c r="II149" s="190">
        <f t="shared" si="170"/>
        <v>1381</v>
      </c>
      <c r="IJ149" s="190">
        <f t="shared" si="170"/>
        <v>496</v>
      </c>
      <c r="IK149" s="190">
        <f t="shared" si="170"/>
        <v>761</v>
      </c>
      <c r="IL149" s="190">
        <f t="shared" si="170"/>
        <v>619</v>
      </c>
      <c r="IM149" s="190">
        <f t="shared" si="170"/>
        <v>845</v>
      </c>
      <c r="IN149" s="190">
        <f t="shared" si="170"/>
        <v>763</v>
      </c>
      <c r="IO149" s="190">
        <f t="shared" si="170"/>
        <v>1099</v>
      </c>
      <c r="IP149" s="190">
        <f t="shared" si="170"/>
        <v>981</v>
      </c>
      <c r="IQ149" s="190">
        <f t="shared" si="170"/>
        <v>1442</v>
      </c>
      <c r="IR149" s="190">
        <f t="shared" si="170"/>
        <v>967</v>
      </c>
      <c r="IS149" s="190">
        <f t="shared" si="170"/>
        <v>1642</v>
      </c>
      <c r="IT149" s="190">
        <f t="shared" si="170"/>
        <v>835</v>
      </c>
      <c r="IU149" s="190">
        <f t="shared" si="170"/>
        <v>1457</v>
      </c>
      <c r="IV149" s="190">
        <f t="shared" si="170"/>
        <v>4479</v>
      </c>
      <c r="IW149" s="190">
        <f t="shared" si="170"/>
        <v>5589</v>
      </c>
      <c r="IX149" s="190">
        <f t="shared" si="170"/>
        <v>1945</v>
      </c>
      <c r="IY149" s="190">
        <f t="shared" si="170"/>
        <v>2625</v>
      </c>
      <c r="IZ149" s="190">
        <f t="shared" si="170"/>
        <v>1360</v>
      </c>
      <c r="JA149" s="190">
        <f t="shared" si="170"/>
        <v>1951</v>
      </c>
      <c r="JB149" s="190">
        <f t="shared" si="170"/>
        <v>1191</v>
      </c>
      <c r="JC149" s="190">
        <f t="shared" si="170"/>
        <v>1697</v>
      </c>
      <c r="JD149" s="190">
        <f t="shared" si="170"/>
        <v>1350</v>
      </c>
      <c r="JE149" s="190">
        <f t="shared" si="170"/>
        <v>1914</v>
      </c>
    </row>
    <row r="150" spans="1:265" x14ac:dyDescent="0.15">
      <c r="EG150" s="203"/>
      <c r="EH150" s="170"/>
    </row>
    <row r="151" spans="1:265" x14ac:dyDescent="0.15">
      <c r="EG151" s="203"/>
      <c r="EH151" s="170"/>
    </row>
    <row r="152" spans="1:265" x14ac:dyDescent="0.15">
      <c r="DW152" s="175">
        <f>+(DV123+DV135+DV149)/(DW123+DW135+DW149)</f>
        <v>0.13914988814317675</v>
      </c>
      <c r="DX152" s="175"/>
      <c r="DY152" s="175">
        <f t="shared" ref="DY152:GI152" si="171">+(DX123+DX135+DX149)/(DY123+DY135+DY149)</f>
        <v>0.11919368974583698</v>
      </c>
      <c r="DZ152" s="175"/>
      <c r="EA152" s="175">
        <f t="shared" si="171"/>
        <v>0.12438000763067532</v>
      </c>
      <c r="EB152" s="175"/>
      <c r="EC152" s="175">
        <f t="shared" si="171"/>
        <v>0.15164747915839619</v>
      </c>
      <c r="ED152" s="175"/>
      <c r="EE152" s="175">
        <f t="shared" si="171"/>
        <v>0.16850828729281769</v>
      </c>
      <c r="EF152" s="175"/>
      <c r="EG152" s="214">
        <f t="shared" si="171"/>
        <v>0.1133768352365416</v>
      </c>
      <c r="EH152" s="176"/>
      <c r="EI152" s="175">
        <f t="shared" si="171"/>
        <v>0.12604303908651734</v>
      </c>
      <c r="EJ152" s="175"/>
      <c r="EK152" s="175">
        <f t="shared" si="171"/>
        <v>0.14465702286514232</v>
      </c>
      <c r="EL152" s="175"/>
      <c r="EM152" s="175">
        <f t="shared" si="171"/>
        <v>0.15969387755102041</v>
      </c>
      <c r="EN152" s="175"/>
      <c r="EO152" s="175">
        <f t="shared" si="171"/>
        <v>0.16957026713124274</v>
      </c>
      <c r="EP152" s="175"/>
      <c r="EQ152" s="175">
        <f t="shared" si="171"/>
        <v>0.29259694477085779</v>
      </c>
      <c r="ER152" s="175"/>
      <c r="ES152" s="175">
        <f t="shared" si="171"/>
        <v>0.28651059085841696</v>
      </c>
      <c r="ET152" s="175"/>
      <c r="EU152" s="175">
        <f>+(ET123+ET135+ET149)/(EU123+EU135+EU149)</f>
        <v>0.28900156006240252</v>
      </c>
      <c r="EV152" s="175"/>
      <c r="EW152" s="175">
        <f t="shared" si="171"/>
        <v>0.29316770186335406</v>
      </c>
      <c r="EX152" s="175"/>
      <c r="EY152" s="175">
        <f t="shared" si="171"/>
        <v>0.23903345724907063</v>
      </c>
      <c r="EZ152" s="175"/>
      <c r="FA152" s="175">
        <f t="shared" si="171"/>
        <v>0.28741418764302057</v>
      </c>
      <c r="FB152" s="175"/>
      <c r="FC152" s="175">
        <f t="shared" si="171"/>
        <v>0.32127123977344241</v>
      </c>
      <c r="FD152" s="175"/>
      <c r="FE152" s="175">
        <f t="shared" si="171"/>
        <v>0.30956907477820023</v>
      </c>
      <c r="FF152" s="175"/>
      <c r="FG152" s="175">
        <f t="shared" si="171"/>
        <v>0.34149484536082475</v>
      </c>
      <c r="FH152" s="175"/>
      <c r="FI152" s="175">
        <f t="shared" si="171"/>
        <v>0.33565164801935288</v>
      </c>
      <c r="FJ152" s="175"/>
      <c r="FK152" s="175">
        <f t="shared" si="171"/>
        <v>0.59825072886297381</v>
      </c>
      <c r="FL152" s="175">
        <f t="shared" si="171"/>
        <v>0.98112128146453093</v>
      </c>
      <c r="FM152" s="175">
        <f t="shared" si="171"/>
        <v>0.52508260738960644</v>
      </c>
      <c r="FN152" s="175"/>
      <c r="FO152" s="175">
        <f t="shared" si="171"/>
        <v>0.38405557393317896</v>
      </c>
      <c r="FP152" s="175"/>
      <c r="FQ152" s="175">
        <f t="shared" si="171"/>
        <v>0.37949075688873385</v>
      </c>
      <c r="FR152" s="175"/>
      <c r="FS152" s="175">
        <f t="shared" si="171"/>
        <v>0.32929687499999999</v>
      </c>
      <c r="FT152" s="175"/>
      <c r="FU152" s="175">
        <f t="shared" si="171"/>
        <v>0.34982999622213828</v>
      </c>
      <c r="FV152" s="175"/>
      <c r="FW152" s="175">
        <f t="shared" si="171"/>
        <v>0.40716736561189476</v>
      </c>
      <c r="FX152" s="175"/>
      <c r="FY152" s="175">
        <f t="shared" si="171"/>
        <v>0.3634385201305767</v>
      </c>
      <c r="FZ152" s="175"/>
      <c r="GA152" s="175">
        <f t="shared" si="171"/>
        <v>0.37016790316282699</v>
      </c>
      <c r="GB152" s="175"/>
      <c r="GC152" s="175">
        <f t="shared" si="171"/>
        <v>0.39568345323741005</v>
      </c>
      <c r="GD152" s="175"/>
      <c r="GE152" s="175">
        <f t="shared" si="171"/>
        <v>0.36360544217687074</v>
      </c>
      <c r="GF152" s="175"/>
      <c r="GG152" s="175">
        <f t="shared" si="171"/>
        <v>0.37890161991307786</v>
      </c>
      <c r="GH152" s="175"/>
      <c r="GI152" s="175">
        <f t="shared" si="171"/>
        <v>0.40648694187026119</v>
      </c>
      <c r="GJ152" s="175"/>
      <c r="GK152" s="175">
        <f t="shared" ref="GK152:HY152" si="172">+(GJ123+GJ135+GJ149)/(GK123+GK135+GK149)</f>
        <v>0.3518185900314324</v>
      </c>
      <c r="GL152" s="175"/>
      <c r="GM152" s="175">
        <f t="shared" si="172"/>
        <v>0.34647802528597232</v>
      </c>
      <c r="GN152" s="175"/>
      <c r="GO152" s="175">
        <f t="shared" si="172"/>
        <v>0.36117037488570558</v>
      </c>
      <c r="GP152" s="175"/>
      <c r="GQ152" s="175">
        <f t="shared" si="172"/>
        <v>0.34615384615384615</v>
      </c>
      <c r="GR152" s="175"/>
      <c r="GS152" s="175">
        <f t="shared" si="172"/>
        <v>0.44059124502558272</v>
      </c>
      <c r="GT152" s="175"/>
      <c r="GU152" s="175">
        <f t="shared" si="172"/>
        <v>0.35833940276766207</v>
      </c>
      <c r="GV152" s="175"/>
      <c r="GW152" s="175">
        <f t="shared" si="172"/>
        <v>0.43600273785078714</v>
      </c>
      <c r="GX152" s="175"/>
      <c r="GY152" s="175">
        <f t="shared" si="172"/>
        <v>0.39242132305716121</v>
      </c>
      <c r="GZ152" s="175"/>
      <c r="HA152" s="175">
        <f t="shared" si="172"/>
        <v>0.44144448194397568</v>
      </c>
      <c r="HB152" s="175"/>
      <c r="HC152" s="175">
        <f t="shared" si="172"/>
        <v>0.51498189002304906</v>
      </c>
      <c r="HD152" s="175"/>
      <c r="HE152" s="175">
        <f t="shared" si="172"/>
        <v>0.56939854593522798</v>
      </c>
      <c r="HF152" s="175"/>
      <c r="HG152" s="175">
        <f t="shared" si="172"/>
        <v>0.60835415922884684</v>
      </c>
      <c r="HH152" s="175"/>
      <c r="HI152" s="175">
        <f t="shared" si="172"/>
        <v>0.54375896700143467</v>
      </c>
      <c r="HJ152" s="175"/>
      <c r="HK152" s="175">
        <f t="shared" si="172"/>
        <v>0.6435857805255023</v>
      </c>
      <c r="HL152" s="175"/>
      <c r="HM152" s="175">
        <f t="shared" si="172"/>
        <v>0.58758998971546106</v>
      </c>
      <c r="HN152" s="175"/>
      <c r="HO152" s="175">
        <f t="shared" si="172"/>
        <v>0.5845921450151057</v>
      </c>
      <c r="HP152" s="175"/>
      <c r="HQ152" s="175">
        <f t="shared" si="172"/>
        <v>0.54929078014184396</v>
      </c>
      <c r="HR152" s="175"/>
      <c r="HS152" s="175">
        <f t="shared" si="172"/>
        <v>0.6084994358781497</v>
      </c>
      <c r="HT152" s="175"/>
      <c r="HU152" s="175">
        <f t="shared" si="172"/>
        <v>0.67679558011049723</v>
      </c>
      <c r="HV152" s="175"/>
      <c r="HW152" s="175">
        <f t="shared" si="172"/>
        <v>0.70819761129207381</v>
      </c>
      <c r="HX152" s="175"/>
      <c r="HY152" s="175">
        <f t="shared" si="172"/>
        <v>0.59028256374913857</v>
      </c>
      <c r="HZ152" s="175"/>
      <c r="IA152" s="175">
        <f>IF(ISERROR((HZ123+HZ135+HZ149)/(IA123+IA135+IA149)),0,(HZ123+HZ135+HZ149)/(IA123+IA135+IA149))</f>
        <v>0.59000349528137019</v>
      </c>
      <c r="IB152" s="175"/>
      <c r="IC152" s="175">
        <f t="shared" ref="IC152" si="173">IF(ISERROR((IB123+IB135+IB149)/(IC123+IC135+IC149)),0,(IB123+IB135+IB149)/(IC123+IC135+IC149))</f>
        <v>0.55193075898801602</v>
      </c>
      <c r="ID152" s="175"/>
      <c r="IE152" s="175">
        <f t="shared" ref="IE152" si="174">IF(ISERROR((ID123+ID135+ID149)/(IE123+IE135+IE149)),0,(ID123+ID135+ID149)/(IE123+IE135+IE149))</f>
        <v>0.53060344827586203</v>
      </c>
      <c r="IF152" s="175"/>
      <c r="IG152" s="175">
        <f t="shared" ref="IG152" si="175">IF(ISERROR((IF123+IF135+IF149)/(IG123+IG135+IG149)),0,(IF123+IF135+IF149)/(IG123+IG135+IG149))</f>
        <v>0.46305841924398627</v>
      </c>
      <c r="IH152" s="175"/>
      <c r="II152" s="175">
        <f t="shared" ref="II152" si="176">IF(ISERROR((IH123+IH135+IH149)/(II123+II135+II149)),0,(IH123+IH135+IH149)/(II123+II135+II149))</f>
        <v>0.52098674521354937</v>
      </c>
      <c r="IJ152" s="175"/>
      <c r="IK152" s="175">
        <f t="shared" ref="IK152" si="177">IF(ISERROR((IJ123+IJ135+IJ149)/(IK123+IK135+IK149)),0,(IJ123+IJ135+IJ149)/(IK123+IK135+IK149))</f>
        <v>0.51031636863823937</v>
      </c>
      <c r="IL152" s="175"/>
      <c r="IM152" s="175">
        <f t="shared" ref="IM152" si="178">IF(ISERROR((IL123+IL135+IL149)/(IM123+IM135+IM149)),0,(IL123+IL135+IL149)/(IM123+IM135+IM149))</f>
        <v>0.51445328864683704</v>
      </c>
      <c r="IN152" s="175"/>
      <c r="IO152" s="175">
        <f t="shared" ref="IO152" si="179">IF(ISERROR((IN123+IN135+IN149)/(IO123+IO135+IO149)),0,(IN123+IN135+IN149)/(IO123+IO135+IO149))</f>
        <v>0.55685257241677477</v>
      </c>
      <c r="IP152" s="175"/>
      <c r="IQ152" s="175">
        <f t="shared" ref="IQ152" si="180">IF(ISERROR((IP123+IP135+IP149)/(IQ123+IQ135+IQ149)),0,(IP123+IP135+IP149)/(IQ123+IQ135+IQ149))</f>
        <v>0.57941403238242095</v>
      </c>
      <c r="IR152" s="175"/>
      <c r="IS152" s="175">
        <f t="shared" ref="IS152" si="181">IF(ISERROR((IR123+IR135+IR149)/(IS123+IS135+IS149)),0,(IR123+IR135+IR149)/(IS123+IS135+IS149))</f>
        <v>0.47678018575851394</v>
      </c>
      <c r="IT152" s="175"/>
      <c r="IU152" s="175">
        <f t="shared" ref="IU152" si="182">IF(ISERROR((IT123+IT135+IT149)/(IU123+IU135+IU149)),0,(IT123+IT135+IT149)/(IU123+IU135+IU149))</f>
        <v>0.45842332613390929</v>
      </c>
      <c r="IV152" s="175"/>
      <c r="IW152" s="175">
        <f t="shared" ref="IW152" si="183">IF(ISERROR((IV123+IV135+IV149)/(IW123+IW135+IW149)),0,(IV123+IV135+IV149)/(IW123+IW135+IW149))</f>
        <v>0.67111478507321687</v>
      </c>
      <c r="IX152" s="175"/>
      <c r="IY152" s="175">
        <f t="shared" ref="IY152" si="184">IF(ISERROR((IX123+IX135+IX149)/(IY123+IY135+IY149)),0,(IX123+IX135+IX149)/(IY123+IY135+IY149))</f>
        <v>0.49694769839960401</v>
      </c>
      <c r="IZ152" s="175"/>
      <c r="JA152" s="175">
        <f t="shared" ref="JA152" si="185">IF(ISERROR((IZ123+IZ135+IZ149)/(JA123+JA135+JA149)),0,(IZ123+IZ135+IZ149)/(JA123+JA135+JA149))</f>
        <v>0.4648130393096836</v>
      </c>
      <c r="JB152" s="175"/>
      <c r="JC152" s="175">
        <f t="shared" ref="JC152" si="186">IF(ISERROR((JB123+JB135+JB149)/(JC123+JC135+JC149)),0,(JB123+JB135+JB149)/(JC123+JC135+JC149))</f>
        <v>0.44482758620689655</v>
      </c>
      <c r="JD152" s="175"/>
      <c r="JE152" s="175">
        <f t="shared" ref="JE152" si="187">IF(ISERROR((JD123+JD135+JD149)/(JE123+JE135+JE149)),0,(JD123+JD135+JD149)/(JE123+JE135+JE149))</f>
        <v>0.402801765496066</v>
      </c>
    </row>
    <row r="153" spans="1:265" x14ac:dyDescent="0.15">
      <c r="EG153" s="203"/>
      <c r="EH153" s="170"/>
    </row>
    <row r="154" spans="1:265" x14ac:dyDescent="0.15">
      <c r="DV154" s="196">
        <f>DV140+DV149</f>
        <v>311</v>
      </c>
      <c r="DW154" s="196">
        <f t="shared" ref="DW154:GH154" si="188">DW140+DW149</f>
        <v>2235</v>
      </c>
      <c r="DX154" s="196">
        <f t="shared" si="188"/>
        <v>272</v>
      </c>
      <c r="DY154" s="196">
        <f t="shared" si="188"/>
        <v>2282</v>
      </c>
      <c r="DZ154" s="196">
        <f t="shared" si="188"/>
        <v>326</v>
      </c>
      <c r="EA154" s="196">
        <f t="shared" si="188"/>
        <v>2621</v>
      </c>
      <c r="EB154" s="196">
        <f t="shared" si="188"/>
        <v>382</v>
      </c>
      <c r="EC154" s="196">
        <f t="shared" si="188"/>
        <v>2519</v>
      </c>
      <c r="ED154" s="196">
        <f t="shared" si="188"/>
        <v>366</v>
      </c>
      <c r="EE154" s="196">
        <f t="shared" si="188"/>
        <v>2172</v>
      </c>
      <c r="EF154" s="196">
        <f t="shared" si="188"/>
        <v>278</v>
      </c>
      <c r="EG154" s="215">
        <f t="shared" si="188"/>
        <v>2452</v>
      </c>
      <c r="EH154" s="197">
        <f t="shared" si="188"/>
        <v>287</v>
      </c>
      <c r="EI154" s="196">
        <f t="shared" si="188"/>
        <v>2277</v>
      </c>
      <c r="EJ154" s="196">
        <f t="shared" si="188"/>
        <v>310</v>
      </c>
      <c r="EK154" s="196">
        <f t="shared" si="188"/>
        <v>2143</v>
      </c>
      <c r="EL154" s="196">
        <f t="shared" si="188"/>
        <v>313</v>
      </c>
      <c r="EM154" s="196">
        <f t="shared" si="188"/>
        <v>1960</v>
      </c>
      <c r="EN154" s="196">
        <f t="shared" si="188"/>
        <v>292</v>
      </c>
      <c r="EO154" s="196">
        <f t="shared" si="188"/>
        <v>1722</v>
      </c>
      <c r="EP154" s="196">
        <f t="shared" si="188"/>
        <v>747</v>
      </c>
      <c r="EQ154" s="196">
        <f t="shared" si="188"/>
        <v>2553</v>
      </c>
      <c r="ER154" s="196">
        <f t="shared" si="188"/>
        <v>771</v>
      </c>
      <c r="ES154" s="196">
        <f t="shared" si="188"/>
        <v>2691</v>
      </c>
      <c r="ET154" s="196">
        <f t="shared" si="188"/>
        <v>741</v>
      </c>
      <c r="EU154" s="196">
        <f t="shared" si="188"/>
        <v>2564</v>
      </c>
      <c r="EV154" s="196">
        <f t="shared" si="188"/>
        <v>708</v>
      </c>
      <c r="EW154" s="196">
        <f t="shared" si="188"/>
        <v>2415</v>
      </c>
      <c r="EX154" s="196">
        <f t="shared" si="188"/>
        <v>643</v>
      </c>
      <c r="EY154" s="196">
        <f t="shared" si="188"/>
        <v>2690</v>
      </c>
      <c r="EZ154" s="196">
        <f t="shared" si="188"/>
        <v>628</v>
      </c>
      <c r="FA154" s="196">
        <f t="shared" si="188"/>
        <v>2185</v>
      </c>
      <c r="FB154" s="196">
        <f t="shared" si="188"/>
        <v>1021</v>
      </c>
      <c r="FC154" s="196">
        <f t="shared" si="188"/>
        <v>3178</v>
      </c>
      <c r="FD154" s="196">
        <f t="shared" si="188"/>
        <v>977</v>
      </c>
      <c r="FE154" s="196">
        <f t="shared" si="188"/>
        <v>3156</v>
      </c>
      <c r="FF154" s="196">
        <f t="shared" si="188"/>
        <v>1060</v>
      </c>
      <c r="FG154" s="196">
        <f t="shared" si="188"/>
        <v>3104</v>
      </c>
      <c r="FH154" s="196">
        <f t="shared" si="188"/>
        <v>1110</v>
      </c>
      <c r="FI154" s="196">
        <f t="shared" si="188"/>
        <v>3307</v>
      </c>
      <c r="FJ154" s="196">
        <f t="shared" si="188"/>
        <v>1026</v>
      </c>
      <c r="FK154" s="198">
        <f t="shared" si="188"/>
        <v>1715</v>
      </c>
      <c r="FL154" s="199">
        <f t="shared" si="188"/>
        <v>1748</v>
      </c>
      <c r="FM154" s="196">
        <f t="shared" si="188"/>
        <v>3329</v>
      </c>
      <c r="FN154" s="196">
        <f t="shared" si="188"/>
        <v>1161</v>
      </c>
      <c r="FO154" s="196">
        <f t="shared" si="188"/>
        <v>3023</v>
      </c>
      <c r="FP154" s="196">
        <f t="shared" si="188"/>
        <v>1088</v>
      </c>
      <c r="FQ154" s="196">
        <f t="shared" si="188"/>
        <v>2867</v>
      </c>
      <c r="FR154" s="196">
        <f t="shared" si="188"/>
        <v>843</v>
      </c>
      <c r="FS154" s="196">
        <f t="shared" si="188"/>
        <v>2560</v>
      </c>
      <c r="FT154" s="196">
        <f t="shared" si="188"/>
        <v>926</v>
      </c>
      <c r="FU154" s="196">
        <f t="shared" si="188"/>
        <v>2647</v>
      </c>
      <c r="FV154" s="196">
        <f t="shared" si="188"/>
        <v>1068</v>
      </c>
      <c r="FW154" s="196">
        <f t="shared" si="188"/>
        <v>2623</v>
      </c>
      <c r="FX154" s="196">
        <f t="shared" si="188"/>
        <v>1002</v>
      </c>
      <c r="FY154" s="196">
        <f t="shared" si="188"/>
        <v>2757</v>
      </c>
      <c r="FZ154" s="196">
        <f t="shared" si="188"/>
        <v>948</v>
      </c>
      <c r="GA154" s="196">
        <f t="shared" si="188"/>
        <v>2561</v>
      </c>
      <c r="GB154" s="196">
        <f t="shared" si="188"/>
        <v>1155</v>
      </c>
      <c r="GC154" s="196">
        <f t="shared" si="188"/>
        <v>2919</v>
      </c>
      <c r="GD154" s="196">
        <f t="shared" si="188"/>
        <v>1069</v>
      </c>
      <c r="GE154" s="196">
        <f t="shared" si="188"/>
        <v>2940</v>
      </c>
      <c r="GF154" s="196">
        <f t="shared" si="188"/>
        <v>959</v>
      </c>
      <c r="GG154" s="196">
        <f t="shared" si="188"/>
        <v>2531</v>
      </c>
      <c r="GH154" s="196">
        <f t="shared" si="188"/>
        <v>965</v>
      </c>
      <c r="GI154" s="196">
        <f t="shared" ref="GI154:IQ154" si="189">GI140+GI149</f>
        <v>2374</v>
      </c>
      <c r="GJ154" s="196">
        <f t="shared" si="189"/>
        <v>1567</v>
      </c>
      <c r="GK154" s="196">
        <f t="shared" si="189"/>
        <v>4454</v>
      </c>
      <c r="GL154" s="196">
        <f t="shared" si="189"/>
        <v>1151</v>
      </c>
      <c r="GM154" s="196">
        <f t="shared" si="189"/>
        <v>3322</v>
      </c>
      <c r="GN154" s="196">
        <f t="shared" si="189"/>
        <v>1185</v>
      </c>
      <c r="GO154" s="196">
        <f t="shared" si="189"/>
        <v>3281</v>
      </c>
      <c r="GP154" s="196">
        <f t="shared" si="189"/>
        <v>1035</v>
      </c>
      <c r="GQ154" s="196">
        <f t="shared" si="189"/>
        <v>2990</v>
      </c>
      <c r="GR154" s="196">
        <f t="shared" si="189"/>
        <v>1550</v>
      </c>
      <c r="GS154" s="196">
        <f t="shared" si="189"/>
        <v>3518</v>
      </c>
      <c r="GT154" s="196">
        <f t="shared" si="189"/>
        <v>984</v>
      </c>
      <c r="GU154" s="196">
        <f t="shared" si="189"/>
        <v>2746</v>
      </c>
      <c r="GV154" s="196">
        <f t="shared" si="189"/>
        <v>1274</v>
      </c>
      <c r="GW154" s="196">
        <f t="shared" si="189"/>
        <v>2922</v>
      </c>
      <c r="GX154" s="196">
        <f t="shared" si="189"/>
        <v>1222</v>
      </c>
      <c r="GY154" s="196">
        <f t="shared" si="189"/>
        <v>3114</v>
      </c>
      <c r="GZ154" s="196">
        <f t="shared" si="189"/>
        <v>1308</v>
      </c>
      <c r="HA154" s="196">
        <f t="shared" si="189"/>
        <v>2963</v>
      </c>
      <c r="HB154" s="196">
        <f t="shared" si="189"/>
        <v>1564</v>
      </c>
      <c r="HC154" s="196">
        <f t="shared" si="189"/>
        <v>3037</v>
      </c>
      <c r="HD154" s="196">
        <f t="shared" si="189"/>
        <v>1723</v>
      </c>
      <c r="HE154" s="196">
        <f t="shared" si="189"/>
        <v>3026</v>
      </c>
      <c r="HF154" s="196">
        <f t="shared" si="189"/>
        <v>1704</v>
      </c>
      <c r="HG154" s="196">
        <f>HG140+HG149</f>
        <v>2801</v>
      </c>
      <c r="HH154" s="196">
        <f t="shared" si="189"/>
        <v>1516</v>
      </c>
      <c r="HI154" s="196">
        <f t="shared" si="189"/>
        <v>2788</v>
      </c>
      <c r="HJ154" s="196">
        <f t="shared" si="189"/>
        <v>2082</v>
      </c>
      <c r="HK154" s="196">
        <f t="shared" si="189"/>
        <v>3235</v>
      </c>
      <c r="HL154" s="196">
        <f t="shared" si="189"/>
        <v>1714</v>
      </c>
      <c r="HM154" s="196">
        <f t="shared" si="189"/>
        <v>2917</v>
      </c>
      <c r="HN154" s="196">
        <f t="shared" si="189"/>
        <v>1548</v>
      </c>
      <c r="HO154" s="196">
        <f t="shared" si="189"/>
        <v>2648</v>
      </c>
      <c r="HP154" s="196">
        <f t="shared" si="189"/>
        <v>1549</v>
      </c>
      <c r="HQ154" s="196">
        <f t="shared" si="189"/>
        <v>2820</v>
      </c>
      <c r="HR154" s="196">
        <f t="shared" si="189"/>
        <v>1618</v>
      </c>
      <c r="HS154" s="196">
        <f t="shared" si="189"/>
        <v>2659</v>
      </c>
      <c r="HT154" s="196">
        <f t="shared" si="189"/>
        <v>2205</v>
      </c>
      <c r="HU154" s="196">
        <f t="shared" si="189"/>
        <v>3258</v>
      </c>
      <c r="HV154" s="196">
        <f t="shared" si="189"/>
        <v>2609</v>
      </c>
      <c r="HW154" s="196">
        <f t="shared" si="189"/>
        <v>3684</v>
      </c>
      <c r="HX154" s="196">
        <f t="shared" si="189"/>
        <v>1713</v>
      </c>
      <c r="HY154" s="196">
        <f t="shared" si="189"/>
        <v>2902</v>
      </c>
      <c r="HZ154" s="196">
        <f t="shared" si="189"/>
        <v>1688</v>
      </c>
      <c r="IA154" s="196">
        <f t="shared" si="189"/>
        <v>2861</v>
      </c>
      <c r="IB154" s="196">
        <f t="shared" si="189"/>
        <v>1658</v>
      </c>
      <c r="IC154" s="196">
        <f t="shared" si="189"/>
        <v>3004</v>
      </c>
      <c r="ID154" s="196">
        <f t="shared" si="189"/>
        <v>1231</v>
      </c>
      <c r="IE154" s="196">
        <f t="shared" si="189"/>
        <v>2320</v>
      </c>
      <c r="IF154" s="196">
        <f t="shared" si="189"/>
        <v>1078</v>
      </c>
      <c r="IG154" s="196">
        <f t="shared" si="189"/>
        <v>2328</v>
      </c>
      <c r="IH154" s="196">
        <f t="shared" si="189"/>
        <v>1415</v>
      </c>
      <c r="II154" s="196">
        <f t="shared" si="189"/>
        <v>2716</v>
      </c>
      <c r="IJ154" s="196">
        <f t="shared" si="189"/>
        <v>1113</v>
      </c>
      <c r="IK154" s="196">
        <f t="shared" si="189"/>
        <v>2181</v>
      </c>
      <c r="IL154" s="196">
        <f t="shared" si="189"/>
        <v>1228</v>
      </c>
      <c r="IM154" s="196">
        <f t="shared" si="189"/>
        <v>2387</v>
      </c>
      <c r="IN154" s="196">
        <f t="shared" si="189"/>
        <v>1288</v>
      </c>
      <c r="IO154" s="196">
        <f t="shared" si="189"/>
        <v>2313</v>
      </c>
      <c r="IP154" s="196">
        <f t="shared" si="189"/>
        <v>1503</v>
      </c>
      <c r="IQ154" s="196">
        <f t="shared" si="189"/>
        <v>2594</v>
      </c>
      <c r="IR154" s="196">
        <f>IR140+IR149</f>
        <v>2002</v>
      </c>
      <c r="IS154" s="196">
        <f t="shared" ref="IS154:JE154" si="190">IS140+IS149</f>
        <v>4199</v>
      </c>
      <c r="IT154" s="196">
        <f t="shared" si="190"/>
        <v>1698</v>
      </c>
      <c r="IU154" s="196">
        <f t="shared" si="190"/>
        <v>3704</v>
      </c>
      <c r="IV154" s="196">
        <f t="shared" si="190"/>
        <v>5683</v>
      </c>
      <c r="IW154" s="196">
        <f t="shared" si="190"/>
        <v>8468</v>
      </c>
      <c r="IX154" s="196">
        <f t="shared" si="190"/>
        <v>3012</v>
      </c>
      <c r="IY154" s="196">
        <f t="shared" si="190"/>
        <v>6061</v>
      </c>
      <c r="IZ154" s="196">
        <f t="shared" si="190"/>
        <v>2424</v>
      </c>
      <c r="JA154" s="196">
        <f t="shared" si="190"/>
        <v>5215</v>
      </c>
      <c r="JB154" s="196">
        <f t="shared" si="190"/>
        <v>2193</v>
      </c>
      <c r="JC154" s="196">
        <f t="shared" si="190"/>
        <v>4930</v>
      </c>
      <c r="JD154" s="196">
        <f t="shared" si="190"/>
        <v>2099</v>
      </c>
      <c r="JE154" s="196">
        <f t="shared" si="190"/>
        <v>5211</v>
      </c>
    </row>
    <row r="162" spans="58:58" x14ac:dyDescent="0.15">
      <c r="BF162" s="216"/>
    </row>
    <row r="163" spans="58:58" x14ac:dyDescent="0.15">
      <c r="BF163" s="216"/>
    </row>
  </sheetData>
  <mergeCells count="130">
    <mergeCell ref="P1:Q1"/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AN1:AO1"/>
    <mergeCell ref="AP1:AQ1"/>
    <mergeCell ref="AR1:AS1"/>
    <mergeCell ref="AT1:AU1"/>
    <mergeCell ref="AV1:AW1"/>
    <mergeCell ref="AX1:AY1"/>
    <mergeCell ref="AB1:AC1"/>
    <mergeCell ref="AD1:AE1"/>
    <mergeCell ref="AF1:AG1"/>
    <mergeCell ref="AH1:AI1"/>
    <mergeCell ref="AJ1:AK1"/>
    <mergeCell ref="AL1:AM1"/>
    <mergeCell ref="BL1:BM1"/>
    <mergeCell ref="BN1:BO1"/>
    <mergeCell ref="BP1:BQ1"/>
    <mergeCell ref="BR1:BS1"/>
    <mergeCell ref="BT1:BU1"/>
    <mergeCell ref="BV1:BW1"/>
    <mergeCell ref="AZ1:BA1"/>
    <mergeCell ref="BB1:BC1"/>
    <mergeCell ref="BD1:BE1"/>
    <mergeCell ref="BF1:BG1"/>
    <mergeCell ref="BH1:BI1"/>
    <mergeCell ref="BJ1:BK1"/>
    <mergeCell ref="CJ1:CK1"/>
    <mergeCell ref="CL1:CM1"/>
    <mergeCell ref="CN1:CO1"/>
    <mergeCell ref="CP1:CQ1"/>
    <mergeCell ref="CR1:CS1"/>
    <mergeCell ref="CT1:CU1"/>
    <mergeCell ref="BX1:BY1"/>
    <mergeCell ref="BZ1:CA1"/>
    <mergeCell ref="CB1:CC1"/>
    <mergeCell ref="CD1:CE1"/>
    <mergeCell ref="CF1:CG1"/>
    <mergeCell ref="CH1:CI1"/>
    <mergeCell ref="DH1:DI1"/>
    <mergeCell ref="DJ1:DK1"/>
    <mergeCell ref="DL1:DM1"/>
    <mergeCell ref="DN1:DO1"/>
    <mergeCell ref="DP1:DQ1"/>
    <mergeCell ref="DR1:DS1"/>
    <mergeCell ref="CV1:CW1"/>
    <mergeCell ref="CX1:CY1"/>
    <mergeCell ref="CZ1:DA1"/>
    <mergeCell ref="DB1:DC1"/>
    <mergeCell ref="DD1:DE1"/>
    <mergeCell ref="DF1:DG1"/>
    <mergeCell ref="EF1:EG1"/>
    <mergeCell ref="EH1:EI1"/>
    <mergeCell ref="EJ1:EK1"/>
    <mergeCell ref="EL1:EM1"/>
    <mergeCell ref="EN1:EO1"/>
    <mergeCell ref="EP1:EQ1"/>
    <mergeCell ref="DT1:DU1"/>
    <mergeCell ref="DV1:DW1"/>
    <mergeCell ref="DX1:DY1"/>
    <mergeCell ref="DZ1:EA1"/>
    <mergeCell ref="EB1:EC1"/>
    <mergeCell ref="ED1:EE1"/>
    <mergeCell ref="FD1:FE1"/>
    <mergeCell ref="FF1:FG1"/>
    <mergeCell ref="FH1:FI1"/>
    <mergeCell ref="FJ1:FM1"/>
    <mergeCell ref="FN1:FO1"/>
    <mergeCell ref="FP1:FQ1"/>
    <mergeCell ref="ER1:ES1"/>
    <mergeCell ref="ET1:EU1"/>
    <mergeCell ref="EV1:EW1"/>
    <mergeCell ref="EX1:EY1"/>
    <mergeCell ref="EZ1:FA1"/>
    <mergeCell ref="FB1:FC1"/>
    <mergeCell ref="GD1:GE1"/>
    <mergeCell ref="GF1:GG1"/>
    <mergeCell ref="GH1:GI1"/>
    <mergeCell ref="GJ1:GK1"/>
    <mergeCell ref="GL1:GM1"/>
    <mergeCell ref="GN1:GO1"/>
    <mergeCell ref="FR1:FS1"/>
    <mergeCell ref="FT1:FU1"/>
    <mergeCell ref="FV1:FW1"/>
    <mergeCell ref="FX1:FY1"/>
    <mergeCell ref="FZ1:GA1"/>
    <mergeCell ref="GB1:GC1"/>
    <mergeCell ref="HB1:HC1"/>
    <mergeCell ref="HD1:HE1"/>
    <mergeCell ref="HF1:HG1"/>
    <mergeCell ref="HH1:HI1"/>
    <mergeCell ref="HJ1:HK1"/>
    <mergeCell ref="HL1:HM1"/>
    <mergeCell ref="GP1:GQ1"/>
    <mergeCell ref="GR1:GS1"/>
    <mergeCell ref="GT1:GU1"/>
    <mergeCell ref="GV1:GW1"/>
    <mergeCell ref="GX1:GY1"/>
    <mergeCell ref="GZ1:HA1"/>
    <mergeCell ref="HZ1:IA1"/>
    <mergeCell ref="IB1:IC1"/>
    <mergeCell ref="ID1:IE1"/>
    <mergeCell ref="IF1:IG1"/>
    <mergeCell ref="IH1:II1"/>
    <mergeCell ref="IJ1:IK1"/>
    <mergeCell ref="HN1:HO1"/>
    <mergeCell ref="HP1:HQ1"/>
    <mergeCell ref="HR1:HS1"/>
    <mergeCell ref="HT1:HU1"/>
    <mergeCell ref="HV1:HW1"/>
    <mergeCell ref="HX1:HY1"/>
    <mergeCell ref="IX1:IY1"/>
    <mergeCell ref="IZ1:JA1"/>
    <mergeCell ref="JB1:JC1"/>
    <mergeCell ref="JD1:JE1"/>
    <mergeCell ref="IL1:IM1"/>
    <mergeCell ref="IN1:IO1"/>
    <mergeCell ref="IP1:IQ1"/>
    <mergeCell ref="IR1:IS1"/>
    <mergeCell ref="IT1:IU1"/>
    <mergeCell ref="IV1:IW1"/>
  </mergeCells>
  <pageMargins left="0.75" right="0.75" top="1" bottom="1" header="0.5" footer="0.5"/>
  <pageSetup paperSize="9" scale="10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D294-7098-409F-9804-74F2AC207668}">
  <sheetPr>
    <tabColor theme="4" tint="0.39997558519241921"/>
    <pageSetUpPr fitToPage="1"/>
  </sheetPr>
  <dimension ref="A1:EH146"/>
  <sheetViews>
    <sheetView zoomScale="90" zoomScaleNormal="90" workbookViewId="0">
      <pane xSplit="3" ySplit="1" topLeftCell="DU2" activePane="bottomRight" state="frozen"/>
      <selection activeCell="JI1" sqref="JI1"/>
      <selection pane="topRight" activeCell="JI1" sqref="JI1"/>
      <selection pane="bottomLeft" activeCell="JI1" sqref="JI1"/>
      <selection pane="bottomRight" activeCell="EH1" sqref="EH1"/>
    </sheetView>
  </sheetViews>
  <sheetFormatPr baseColWidth="10" defaultColWidth="50" defaultRowHeight="13" x14ac:dyDescent="0.15"/>
  <cols>
    <col min="1" max="1" width="14.6640625" style="221" bestFit="1" customWidth="1"/>
    <col min="2" max="2" width="56" style="221" customWidth="1"/>
    <col min="3" max="3" width="50" style="221" hidden="1" customWidth="1"/>
    <col min="4" max="5" width="9.1640625" style="221" hidden="1" customWidth="1"/>
    <col min="6" max="7" width="7" style="221" hidden="1" customWidth="1"/>
    <col min="8" max="8" width="6.6640625" style="221" hidden="1" customWidth="1"/>
    <col min="9" max="9" width="7.33203125" style="221" hidden="1" customWidth="1"/>
    <col min="10" max="10" width="6.83203125" style="221" hidden="1" customWidth="1"/>
    <col min="11" max="11" width="6.33203125" style="221" hidden="1" customWidth="1"/>
    <col min="12" max="13" width="7.1640625" style="221" hidden="1" customWidth="1"/>
    <col min="14" max="14" width="6.5" style="221" hidden="1" customWidth="1"/>
    <col min="15" max="16" width="8.5" style="221" hidden="1" customWidth="1"/>
    <col min="17" max="17" width="8.1640625" style="221" hidden="1" customWidth="1"/>
    <col min="18" max="64" width="8.5" style="221" hidden="1" customWidth="1"/>
    <col min="65" max="106" width="8.5" style="221" customWidth="1"/>
    <col min="107" max="108" width="8.83203125" style="221" bestFit="1" customWidth="1"/>
    <col min="109" max="133" width="8.83203125" style="221" customWidth="1"/>
    <col min="134" max="134" width="2.5" style="221" customWidth="1"/>
    <col min="135" max="137" width="10" style="364" customWidth="1"/>
    <col min="138" max="205" width="8.5" style="221" customWidth="1"/>
    <col min="206" max="16384" width="50" style="221"/>
  </cols>
  <sheetData>
    <row r="1" spans="1:138" ht="42" x14ac:dyDescent="0.15">
      <c r="A1" s="217"/>
      <c r="B1" s="217"/>
      <c r="C1" s="218"/>
      <c r="D1" s="219">
        <v>40513</v>
      </c>
      <c r="E1" s="219">
        <v>40544</v>
      </c>
      <c r="F1" s="219">
        <v>40575</v>
      </c>
      <c r="G1" s="219">
        <v>40603</v>
      </c>
      <c r="H1" s="219">
        <v>40634</v>
      </c>
      <c r="I1" s="219">
        <v>40664</v>
      </c>
      <c r="J1" s="219">
        <v>40695</v>
      </c>
      <c r="K1" s="219">
        <v>40725</v>
      </c>
      <c r="L1" s="219">
        <v>40756</v>
      </c>
      <c r="M1" s="219">
        <v>40787</v>
      </c>
      <c r="N1" s="219">
        <v>40817</v>
      </c>
      <c r="O1" s="219">
        <v>40848</v>
      </c>
      <c r="P1" s="219">
        <v>40878</v>
      </c>
      <c r="Q1" s="219">
        <v>40909</v>
      </c>
      <c r="R1" s="219">
        <v>40940</v>
      </c>
      <c r="S1" s="219">
        <v>40969</v>
      </c>
      <c r="T1" s="219">
        <v>41000</v>
      </c>
      <c r="U1" s="219">
        <v>41030</v>
      </c>
      <c r="V1" s="219">
        <v>41061</v>
      </c>
      <c r="W1" s="219">
        <v>41091</v>
      </c>
      <c r="X1" s="219">
        <v>41122</v>
      </c>
      <c r="Y1" s="219">
        <v>41153</v>
      </c>
      <c r="Z1" s="219">
        <v>41183</v>
      </c>
      <c r="AA1" s="219">
        <v>41214</v>
      </c>
      <c r="AB1" s="219">
        <v>41244</v>
      </c>
      <c r="AC1" s="219">
        <v>41275</v>
      </c>
      <c r="AD1" s="219">
        <v>41306</v>
      </c>
      <c r="AE1" s="219">
        <v>41334</v>
      </c>
      <c r="AF1" s="219">
        <v>41365</v>
      </c>
      <c r="AG1" s="219">
        <v>41395</v>
      </c>
      <c r="AH1" s="219">
        <v>41426</v>
      </c>
      <c r="AI1" s="219">
        <v>41456</v>
      </c>
      <c r="AJ1" s="219">
        <v>41487</v>
      </c>
      <c r="AK1" s="219">
        <v>41518</v>
      </c>
      <c r="AL1" s="219">
        <v>41548</v>
      </c>
      <c r="AM1" s="219">
        <v>41579</v>
      </c>
      <c r="AN1" s="219">
        <v>41609</v>
      </c>
      <c r="AO1" s="219">
        <v>41640</v>
      </c>
      <c r="AP1" s="219">
        <v>41671</v>
      </c>
      <c r="AQ1" s="219">
        <v>41699</v>
      </c>
      <c r="AR1" s="219">
        <v>41730</v>
      </c>
      <c r="AS1" s="219">
        <v>41760</v>
      </c>
      <c r="AT1" s="219">
        <v>41791</v>
      </c>
      <c r="AU1" s="219">
        <v>41821</v>
      </c>
      <c r="AV1" s="219">
        <v>41852</v>
      </c>
      <c r="AW1" s="219">
        <v>41883</v>
      </c>
      <c r="AX1" s="219">
        <v>41913</v>
      </c>
      <c r="AY1" s="219">
        <v>41944</v>
      </c>
      <c r="AZ1" s="219">
        <v>41974</v>
      </c>
      <c r="BA1" s="219">
        <v>42005</v>
      </c>
      <c r="BB1" s="219">
        <v>42036</v>
      </c>
      <c r="BC1" s="219">
        <v>42064</v>
      </c>
      <c r="BD1" s="219">
        <v>42095</v>
      </c>
      <c r="BE1" s="219">
        <v>42125</v>
      </c>
      <c r="BF1" s="219">
        <v>42156</v>
      </c>
      <c r="BG1" s="219">
        <v>42186</v>
      </c>
      <c r="BH1" s="219">
        <v>42217</v>
      </c>
      <c r="BI1" s="219">
        <v>42248</v>
      </c>
      <c r="BJ1" s="219">
        <v>42278</v>
      </c>
      <c r="BK1" s="219">
        <v>42309</v>
      </c>
      <c r="BL1" s="219">
        <v>42339</v>
      </c>
      <c r="BM1" s="219">
        <v>42370</v>
      </c>
      <c r="BN1" s="219">
        <v>42401</v>
      </c>
      <c r="BO1" s="219">
        <v>42430</v>
      </c>
      <c r="BP1" s="219">
        <v>42461</v>
      </c>
      <c r="BQ1" s="219">
        <v>42491</v>
      </c>
      <c r="BR1" s="219">
        <v>42522</v>
      </c>
      <c r="BS1" s="219">
        <v>42552</v>
      </c>
      <c r="BT1" s="219">
        <v>42583</v>
      </c>
      <c r="BU1" s="219">
        <v>42614</v>
      </c>
      <c r="BV1" s="219">
        <v>42644</v>
      </c>
      <c r="BW1" s="219">
        <v>42675</v>
      </c>
      <c r="BX1" s="219">
        <v>42705</v>
      </c>
      <c r="BY1" s="219">
        <v>42736</v>
      </c>
      <c r="BZ1" s="219">
        <v>42767</v>
      </c>
      <c r="CA1" s="219">
        <v>42795</v>
      </c>
      <c r="CB1" s="219">
        <v>42826</v>
      </c>
      <c r="CC1" s="219">
        <v>42856</v>
      </c>
      <c r="CD1" s="219">
        <v>42887</v>
      </c>
      <c r="CE1" s="219">
        <v>42917</v>
      </c>
      <c r="CF1" s="219">
        <v>42948</v>
      </c>
      <c r="CG1" s="219">
        <v>42979</v>
      </c>
      <c r="CH1" s="219">
        <v>43009</v>
      </c>
      <c r="CI1" s="219">
        <v>43040</v>
      </c>
      <c r="CJ1" s="219">
        <v>43070</v>
      </c>
      <c r="CK1" s="219">
        <v>43101</v>
      </c>
      <c r="CL1" s="219">
        <v>43132</v>
      </c>
      <c r="CM1" s="219">
        <v>43160</v>
      </c>
      <c r="CN1" s="219">
        <v>43191</v>
      </c>
      <c r="CO1" s="219">
        <v>43221</v>
      </c>
      <c r="CP1" s="219">
        <v>43252</v>
      </c>
      <c r="CQ1" s="219">
        <v>43282</v>
      </c>
      <c r="CR1" s="219">
        <v>43313</v>
      </c>
      <c r="CS1" s="219">
        <v>43344</v>
      </c>
      <c r="CT1" s="219">
        <v>43374</v>
      </c>
      <c r="CU1" s="219">
        <v>43405</v>
      </c>
      <c r="CV1" s="219">
        <v>43435</v>
      </c>
      <c r="CW1" s="219">
        <v>43466</v>
      </c>
      <c r="CX1" s="219">
        <v>43497</v>
      </c>
      <c r="CY1" s="219">
        <v>43525</v>
      </c>
      <c r="CZ1" s="219">
        <v>43556</v>
      </c>
      <c r="DA1" s="219">
        <v>43586</v>
      </c>
      <c r="DB1" s="219">
        <v>43617</v>
      </c>
      <c r="DC1" s="219">
        <v>43647</v>
      </c>
      <c r="DD1" s="219">
        <v>43678</v>
      </c>
      <c r="DE1" s="219">
        <v>43709</v>
      </c>
      <c r="DF1" s="219">
        <v>43739</v>
      </c>
      <c r="DG1" s="219">
        <v>43770</v>
      </c>
      <c r="DH1" s="219">
        <v>43800</v>
      </c>
      <c r="DI1" s="219">
        <v>43831</v>
      </c>
      <c r="DJ1" s="219">
        <v>43862</v>
      </c>
      <c r="DK1" s="219">
        <v>43891</v>
      </c>
      <c r="DL1" s="219">
        <v>43922</v>
      </c>
      <c r="DM1" s="219">
        <v>43952</v>
      </c>
      <c r="DN1" s="219">
        <v>43983</v>
      </c>
      <c r="DO1" s="219">
        <v>44013</v>
      </c>
      <c r="DP1" s="219">
        <v>44044</v>
      </c>
      <c r="DQ1" s="219">
        <v>44075</v>
      </c>
      <c r="DR1" s="219">
        <v>44105</v>
      </c>
      <c r="DS1" s="219">
        <v>44136</v>
      </c>
      <c r="DT1" s="219">
        <v>44166</v>
      </c>
      <c r="DU1" s="219">
        <v>44197</v>
      </c>
      <c r="DV1" s="219">
        <v>44228</v>
      </c>
      <c r="DW1" s="219">
        <v>44256</v>
      </c>
      <c r="DX1" s="219">
        <v>44287</v>
      </c>
      <c r="DY1" s="219">
        <v>44317</v>
      </c>
      <c r="DZ1" s="219">
        <v>44348</v>
      </c>
      <c r="EA1" s="219">
        <v>44378</v>
      </c>
      <c r="EB1" s="219">
        <v>44409</v>
      </c>
      <c r="EC1" s="219">
        <v>44440</v>
      </c>
      <c r="ED1" s="219"/>
      <c r="EE1" s="220" t="s">
        <v>238</v>
      </c>
      <c r="EF1" s="220" t="s">
        <v>239</v>
      </c>
      <c r="EG1" s="220" t="s">
        <v>240</v>
      </c>
    </row>
    <row r="2" spans="1:138" ht="25.5" customHeight="1" x14ac:dyDescent="0.15">
      <c r="A2" s="222">
        <v>1.1000000000000001</v>
      </c>
      <c r="B2" s="223" t="str">
        <f>'raw data'!B3</f>
        <v>Flex accounts with &gt;=2 cash credits (CR) &amp; at least 1 withdrawal (WD) in same day (occurred at least three times last month).</v>
      </c>
      <c r="C2" s="224" t="s">
        <v>241</v>
      </c>
      <c r="D2" s="225">
        <f>+'raw data'!D3/'raw data'!E3</f>
        <v>0.5</v>
      </c>
      <c r="E2" s="225">
        <f>+'raw data'!F3/'raw data'!G3</f>
        <v>0.3888888888888889</v>
      </c>
      <c r="F2" s="225">
        <f>+'raw data'!H3/'raw data'!I3</f>
        <v>0.36</v>
      </c>
      <c r="G2" s="225">
        <f>'raw data'!J3/'raw data'!K3</f>
        <v>0.26470588235294118</v>
      </c>
      <c r="H2" s="225">
        <f>'raw data'!L3/'raw data'!M3</f>
        <v>0.16363636363636364</v>
      </c>
      <c r="I2" s="225">
        <f>'raw data'!N3/'raw data'!O3</f>
        <v>0.27536231884057971</v>
      </c>
      <c r="J2" s="225">
        <f>'raw data'!P3/'raw data'!Q3</f>
        <v>0.15789473684210525</v>
      </c>
      <c r="K2" s="225">
        <f>'raw data'!R3/'raw data'!S3</f>
        <v>0.3253012048192771</v>
      </c>
      <c r="L2" s="225">
        <f>'raw data'!T3/'raw data'!U3</f>
        <v>0.23943661971830985</v>
      </c>
      <c r="M2" s="225">
        <f>'raw data'!V3/'raw data'!W3</f>
        <v>0.25333333333333335</v>
      </c>
      <c r="N2" s="225">
        <f>'raw data'!X3/'raw data'!Y3</f>
        <v>0.23880597014925373</v>
      </c>
      <c r="O2" s="225">
        <f>IF(ISERROR('raw data'!Z3/'raw data'!AA3),0,'raw data'!Z3/'raw data'!AA3)</f>
        <v>0.23728813559322035</v>
      </c>
      <c r="P2" s="225">
        <f>IF(ISERROR('raw data'!AB3/'raw data'!AC3),0,'raw data'!AB3/'raw data'!AC3)</f>
        <v>0.21333333333333335</v>
      </c>
      <c r="Q2" s="225">
        <f>IF(ISERROR('raw data'!AD3/'raw data'!AE3),0,'raw data'!AD3/'raw data'!AE3)</f>
        <v>0.16666666666666666</v>
      </c>
      <c r="R2" s="225">
        <f>IF(ISERROR('raw data'!AF3/'raw data'!AG3),0,'raw data'!AF3/'raw data'!AG3)</f>
        <v>0.22448979591836735</v>
      </c>
      <c r="S2" s="225">
        <f>IF(ISERROR('raw data'!AH3/'raw data'!AI3),0,'raw data'!AH3/'raw data'!AI3)</f>
        <v>0.27397260273972601</v>
      </c>
      <c r="T2" s="225">
        <f>IF(ISERROR('raw data'!AJ3/'raw data'!AK3),0,'raw data'!AJ3/'raw data'!AK3)</f>
        <v>0.37209302325581395</v>
      </c>
      <c r="U2" s="225">
        <f>IF(ISERROR('raw data'!AL3/'raw data'!AM3),0,'raw data'!AL3/'raw data'!AM3)</f>
        <v>0.13333333333333333</v>
      </c>
      <c r="V2" s="225">
        <f>IF(ISERROR('raw data'!AN3/'raw data'!AO3),0,'raw data'!AN3/'raw data'!AO3)</f>
        <v>0.26923076923076922</v>
      </c>
      <c r="W2" s="225">
        <f>IF(ISERROR('raw data'!AP3/'raw data'!AQ3),0,'raw data'!AP3/'raw data'!AQ3)</f>
        <v>0.28205128205128205</v>
      </c>
      <c r="X2" s="225">
        <f>IF(ISERROR('raw data'!AR3/'raw data'!AS3),0,'raw data'!AR3/'raw data'!AS3)</f>
        <v>0.45</v>
      </c>
      <c r="Y2" s="225">
        <f>IF(ISERROR('raw data'!AT3/'raw data'!AU3),0,'raw data'!AT3/'raw data'!AU3)</f>
        <v>0.36666666666666664</v>
      </c>
      <c r="Z2" s="225">
        <f>IF(ISERROR('raw data'!AV3/'raw data'!AW3),0,'raw data'!AV3/'raw data'!AW3)</f>
        <v>0.23809523809523808</v>
      </c>
      <c r="AA2" s="225">
        <f>IF(ISERROR('raw data'!AX3/'raw data'!AY3),0,'raw data'!AX3/'raw data'!AY3)</f>
        <v>0.18181818181818182</v>
      </c>
      <c r="AB2" s="225">
        <f>IF(ISERROR('raw data'!AZ3/'raw data'!BA3),0,'raw data'!AZ3/'raw data'!BA3)</f>
        <v>0.3</v>
      </c>
      <c r="AC2" s="225">
        <f>IF(ISERROR('raw data'!BB3/'raw data'!BC3),0,'raw data'!BB3/'raw data'!BC3)</f>
        <v>0.29729729729729731</v>
      </c>
      <c r="AD2" s="225">
        <f>IF(ISERROR('raw data'!BD3/'raw data'!BE3),0,'raw data'!BD3/'raw data'!BE3)</f>
        <v>0.41176470588235292</v>
      </c>
      <c r="AE2" s="225">
        <f>IF(ISERROR('raw data'!BF3/'raw data'!BG3),0,'raw data'!BF3/'raw data'!BG3)</f>
        <v>0.2857142857142857</v>
      </c>
      <c r="AF2" s="225">
        <f>IF(ISERROR('raw data'!BH3/'raw data'!BI3),0,'raw data'!BH3/'raw data'!BI3)</f>
        <v>0.33333333333333331</v>
      </c>
      <c r="AG2" s="225">
        <f>IF(ISERROR('raw data'!BJ3/'raw data'!BK3),0,'raw data'!BJ3/'raw data'!BK3)</f>
        <v>0.12903225806451613</v>
      </c>
      <c r="AH2" s="225">
        <f>IF(ISERROR('raw data'!BL3/'raw data'!BM3),0,'raw data'!BL3/'raw data'!BM3)</f>
        <v>0.14814814814814814</v>
      </c>
      <c r="AI2" s="225">
        <f>IF(ISERROR('raw data'!BN3/'raw data'!BO3),0,'raw data'!BN3/'raw data'!BO3)</f>
        <v>0.22500000000000001</v>
      </c>
      <c r="AJ2" s="225">
        <f>IF(ISERROR('raw data'!BP3/'raw data'!BQ3),0,'raw data'!BP3/'raw data'!BQ3)</f>
        <v>0.1</v>
      </c>
      <c r="AK2" s="225">
        <f>IF(ISERROR('raw data'!BR3/'raw data'!BS3),0,'raw data'!BR3/'raw data'!BS3)</f>
        <v>0.25</v>
      </c>
      <c r="AL2" s="225">
        <f>IF(ISERROR('raw data'!BT3/'raw data'!BU3),0,'raw data'!BT3/'raw data'!BU3)</f>
        <v>0.21739130434782608</v>
      </c>
      <c r="AM2" s="225">
        <f>IF(ISERROR('raw data'!BV3/'raw data'!BW3),0,'raw data'!BV3/'raw data'!BW3)</f>
        <v>0.25641025641025639</v>
      </c>
      <c r="AN2" s="225">
        <f>IF(ISERROR('raw data'!BX3/'raw data'!BY3),0,'raw data'!BX3/'raw data'!BY3)</f>
        <v>0.22222222222222221</v>
      </c>
      <c r="AO2" s="225">
        <f>IF(ISERROR('raw data'!BZ3/'raw data'!CA3),0,'raw data'!BZ3/'raw data'!CA3)</f>
        <v>0.20754716981132076</v>
      </c>
      <c r="AP2" s="225">
        <f>IF(ISERROR('raw data'!CB3/'raw data'!CC3),0,'raw data'!CB3/'raw data'!CC3)</f>
        <v>0.18181818181818182</v>
      </c>
      <c r="AQ2" s="225">
        <f>IF(ISERROR('raw data'!CD3/'raw data'!CE3),0,'raw data'!CD3/'raw data'!CE3)</f>
        <v>0.33333333333333331</v>
      </c>
      <c r="AR2" s="225">
        <f>IF(ISERROR('raw data'!CF3/'raw data'!CG3),0,'raw data'!CF3/'raw data'!CG3)</f>
        <v>0.33333333333333331</v>
      </c>
      <c r="AS2" s="225">
        <f>IF(ISERROR('raw data'!CH3/'raw data'!CI3),0,'raw data'!CH3/'raw data'!CI3)</f>
        <v>0.34693877551020408</v>
      </c>
      <c r="AT2" s="225">
        <f>IF(ISERROR('raw data'!CJ3/'raw data'!CK3),0,'raw data'!CJ3/'raw data'!CK3)</f>
        <v>0.23684210526315788</v>
      </c>
      <c r="AU2" s="225">
        <f>IF(ISERROR('raw data'!CL3/'raw data'!CM3),0,'raw data'!CL3/'raw data'!CM3)</f>
        <v>0.22807017543859648</v>
      </c>
      <c r="AV2" s="225">
        <f>IF(ISERROR('raw data'!CN3/'raw data'!CO3),0,'raw data'!CN3/'raw data'!CO3)</f>
        <v>0.28125</v>
      </c>
      <c r="AW2" s="225">
        <f>IF(ISERROR('raw data'!CP3/'raw data'!CQ3),0,'raw data'!CP3/'raw data'!CQ3)</f>
        <v>0.35483870967741937</v>
      </c>
      <c r="AX2" s="225">
        <f>IF(ISERROR('raw data'!CR3/'raw data'!CS3),0,'raw data'!CR3/'raw data'!CS3)</f>
        <v>0.25</v>
      </c>
      <c r="AY2" s="225">
        <f>IF(ISERROR('raw data'!CT3/'raw data'!CU3),0,'raw data'!CT3/'raw data'!CU3)</f>
        <v>0.30303030303030304</v>
      </c>
      <c r="AZ2" s="225">
        <f>IF(ISERROR('raw data'!CV3/'raw data'!CW3),0,'raw data'!CV3/'raw data'!CW3)</f>
        <v>0.3783783783783784</v>
      </c>
      <c r="BA2" s="225">
        <f>IF(ISERROR('raw data'!CX3/'raw data'!CY3),0,'raw data'!CX3/'raw data'!CY3)</f>
        <v>0.27027027027027029</v>
      </c>
      <c r="BB2" s="225">
        <f>IF(ISERROR('raw data'!CZ3/'raw data'!DA3),0,'raw data'!CZ3/'raw data'!DA3)</f>
        <v>0.43333333333333335</v>
      </c>
      <c r="BC2" s="225">
        <f>IF(ISERROR('raw data'!DB3/'raw data'!DC3),0,'raw data'!DB3/'raw data'!DC3)</f>
        <v>0.42499999999999999</v>
      </c>
      <c r="BD2" s="225">
        <v>0.36363636363636365</v>
      </c>
      <c r="BE2" s="225">
        <f>IF(ISERROR('raw data'!DF3/'raw data'!DG3),0,'raw data'!DF3/'raw data'!DG3)</f>
        <v>0.3</v>
      </c>
      <c r="BF2" s="225">
        <f>IF(ISERROR('raw data'!DH3/'raw data'!DI3),0,'raw data'!DH3/'raw data'!DI3)</f>
        <v>0.31578947368421051</v>
      </c>
      <c r="BG2" s="225">
        <f>IF(ISERROR('raw data'!DJ3/'raw data'!DK3),0,'raw data'!DJ3/'raw data'!DK3)</f>
        <v>0.34</v>
      </c>
      <c r="BH2" s="225">
        <f>IF(ISERROR('raw data'!DL3/'raw data'!DM3),0,'raw data'!DL3/'raw data'!DM3)</f>
        <v>0.28888888888888886</v>
      </c>
      <c r="BI2" s="225">
        <f>IF(ISERROR('raw data'!DN3/'raw data'!DO3),0,'raw data'!DN3/'raw data'!DO3)</f>
        <v>0.48979591836734693</v>
      </c>
      <c r="BJ2" s="225">
        <f>IF(ISERROR('raw data'!DP3/'raw data'!DQ3),0,'raw data'!DP3/'raw data'!DQ3)</f>
        <v>0.43103448275862066</v>
      </c>
      <c r="BK2" s="225">
        <f>IF(ISERROR('raw data'!DR3/'raw data'!DS3),0,'raw data'!DR3/'raw data'!DS3)</f>
        <v>0.35483870967741937</v>
      </c>
      <c r="BL2" s="225">
        <f>IF(ISERROR('raw data'!DT3/'raw data'!DU3),0,'raw data'!DT3/'raw data'!DU3)</f>
        <v>0.35897435897435898</v>
      </c>
      <c r="BM2" s="225">
        <f>IF(ISERROR('raw data'!DV3/'raw data'!DW3),0,'raw data'!DV3/'raw data'!DW3)</f>
        <v>0.23255813953488372</v>
      </c>
      <c r="BN2" s="225">
        <f>IF(ISERROR('raw data'!DX3/'raw data'!DY3),0,'raw data'!DX3/'raw data'!DY3)</f>
        <v>0.3235294117647059</v>
      </c>
      <c r="BO2" s="225">
        <f>IF(ISERROR('raw data'!DZ3/'raw data'!EA3),0,'raw data'!DZ3/'raw data'!EA3)</f>
        <v>0.17499999999999999</v>
      </c>
      <c r="BP2" s="225">
        <f>IF(ISERROR('raw data'!EB3/'raw data'!EC3),0,'raw data'!EB3/'raw data'!EC3)</f>
        <v>0.42857142857142855</v>
      </c>
      <c r="BQ2" s="225">
        <f>IF(ISERROR('raw data'!ED3/'raw data'!EE3),0,'raw data'!ED3/'raw data'!EE3)</f>
        <v>0.17948717948717949</v>
      </c>
      <c r="BR2" s="225">
        <f>IF(ISERROR('raw data'!EF3/'raw data'!EG3),0,'raw data'!EF3/'raw data'!EG3)</f>
        <v>0.30188679245283018</v>
      </c>
      <c r="BS2" s="225">
        <f>IF(ISERROR('raw data'!EH3/'raw data'!EI3),0,'raw data'!EH3/'raw data'!EI3)</f>
        <v>0.17777777777777778</v>
      </c>
      <c r="BT2" s="225">
        <f>IF(ISERROR('raw data'!EJ3/'raw data'!EK3),0,'raw data'!EJ3/'raw data'!EK3)</f>
        <v>0.25862068965517243</v>
      </c>
      <c r="BU2" s="225">
        <f>IF(ISERROR('raw data'!EL3/'raw data'!EM3),0,'raw data'!EL3/'raw data'!EM3)</f>
        <v>0.31428571428571428</v>
      </c>
      <c r="BV2" s="225">
        <f>IF(ISERROR('raw data'!EN3/'raw data'!EO3),0,'raw data'!EN3/'raw data'!EO3)</f>
        <v>0.30303030303030304</v>
      </c>
      <c r="BW2" s="225">
        <f>IF(ISERROR('raw data'!EP3/'raw data'!EQ3),0,'raw data'!EP3/'raw data'!EQ3)</f>
        <v>0.29268292682926828</v>
      </c>
      <c r="BX2" s="225">
        <f>IF(ISERROR('raw data'!ER3/'raw data'!ES3),0,'raw data'!ER3/'raw data'!ES3)</f>
        <v>0.43181818181818182</v>
      </c>
      <c r="BY2" s="225">
        <f>IF(ISERROR('raw data'!ET3/'raw data'!EU3),0,'raw data'!ET3/'raw data'!EU3)</f>
        <v>0.30555555555555558</v>
      </c>
      <c r="BZ2" s="225">
        <f>IF(ISERROR('raw data'!EV3/'raw data'!EW3),0,'raw data'!EV3/'raw data'!EW3)</f>
        <v>0.26470588235294118</v>
      </c>
      <c r="CA2" s="225">
        <f>IF(ISERROR('raw data'!EX3/'raw data'!EY3),0,'raw data'!EX3/'raw data'!EY3)</f>
        <v>0.29310344827586204</v>
      </c>
      <c r="CB2" s="225">
        <f>IF(ISERROR('raw data'!EZ3/'raw data'!FA3),0,'raw data'!EZ3/'raw data'!FA3)</f>
        <v>0.31707317073170732</v>
      </c>
      <c r="CC2" s="225">
        <f>IF(ISERROR('raw data'!FB3/'raw data'!FC3),0,'raw data'!FB3/'raw data'!FC3)</f>
        <v>0.27272727272727271</v>
      </c>
      <c r="CD2" s="225">
        <f>IF(ISERROR('raw data'!FD3/'raw data'!FE3),0,'raw data'!FD3/'raw data'!FE3)</f>
        <v>0.26415094339622641</v>
      </c>
      <c r="CE2" s="225">
        <f>IF(ISERROR('raw data'!FF3/'raw data'!FG3),0,'raw data'!FF3/'raw data'!FG3)</f>
        <v>0.36734693877551022</v>
      </c>
      <c r="CF2" s="225">
        <f>IF(ISERROR('raw data'!FH3/'raw data'!FI3),0,'raw data'!FH3/'raw data'!FI3)</f>
        <v>0.23255813953488372</v>
      </c>
      <c r="CG2" s="225">
        <f>IF(ISERROR('raw data'!FJ3/'raw data'!FM3),0,'raw data'!FJ3/'raw data'!FM3)</f>
        <v>0.2391304347826087</v>
      </c>
      <c r="CH2" s="225">
        <f>IF(ISERROR('raw data'!FN3/'raw data'!FO3),0,'raw data'!FN3/'raw data'!FO3)</f>
        <v>0.1</v>
      </c>
      <c r="CI2" s="225">
        <f>IF(ISERROR('raw data'!FP3/'raw data'!FQ3),0,'raw data'!FP3/'raw data'!FQ3)</f>
        <v>0.27777777777777779</v>
      </c>
      <c r="CJ2" s="225">
        <f>IF(ISERROR('raw data'!FR3/'raw data'!FS3),0,'raw data'!FR3/'raw data'!FS3)</f>
        <v>0.36363636363636365</v>
      </c>
      <c r="CK2" s="225">
        <f>IF(ISERROR('raw data'!FT3/'raw data'!FU3),0,'raw data'!FT3/'raw data'!FU3)</f>
        <v>0.38461538461538464</v>
      </c>
      <c r="CL2" s="225">
        <f>IF(ISERROR('raw data'!FV3/'raw data'!FW3),0,'raw data'!FV3/'raw data'!FW3)</f>
        <v>9.0909090909090912E-2</v>
      </c>
      <c r="CM2" s="225">
        <f>IF(ISERROR('raw data'!FX3/'raw data'!FY3),0,'raw data'!FX3/'raw data'!FY3)</f>
        <v>0.14285714285714285</v>
      </c>
      <c r="CN2" s="225">
        <f>IF(ISERROR('raw data'!FZ3/'raw data'!GA3),0,'raw data'!FZ3/'raw data'!GA3)</f>
        <v>0.2</v>
      </c>
      <c r="CO2" s="225">
        <f>IF(ISERROR('raw data'!GB3/'raw data'!GC3),0,'raw data'!GB3/'raw data'!GC3)</f>
        <v>0.33333333333333331</v>
      </c>
      <c r="CP2" s="225">
        <f>IF(ISERROR('raw data'!GD3/'raw data'!GE3),0,'raw data'!GD3/'raw data'!GE3)</f>
        <v>0.16666666666666666</v>
      </c>
      <c r="CQ2" s="225">
        <f>IF(ISERROR('raw data'!GF3/'raw data'!GG3),0,'raw data'!GF3/'raw data'!GG3)</f>
        <v>0.13333333333333333</v>
      </c>
      <c r="CR2" s="225">
        <f>IF(ISERROR('raw data'!GH3/'raw data'!GI3),0,'raw data'!GH3/'raw data'!GI3)</f>
        <v>0.4</v>
      </c>
      <c r="CS2" s="225">
        <f>IF(ISERROR('raw data'!GJ3/'raw data'!GK3),0,'raw data'!GJ3/'raw data'!GK3)</f>
        <v>0.25</v>
      </c>
      <c r="CT2" s="225">
        <f>IF(ISERROR('raw data'!GL3/'raw data'!GM3),0,'raw data'!GL3/'raw data'!GM3)</f>
        <v>0.33333333333333331</v>
      </c>
      <c r="CU2" s="225">
        <f>IF(ISERROR('raw data'!GN3/'raw data'!GO3),0,'raw data'!GN3/'raw data'!GO3)</f>
        <v>0.33333333333333331</v>
      </c>
      <c r="CV2" s="225">
        <f>IF(ISERROR('raw data'!GP3/'raw data'!GQ3),0,'raw data'!GP3/'raw data'!GQ3)</f>
        <v>0.33333333333333331</v>
      </c>
      <c r="CW2" s="225">
        <f>IF(ISERROR('raw data'!GR3/'raw data'!GS3),0,'raw data'!GR3/'raw data'!GS3)</f>
        <v>0.375</v>
      </c>
      <c r="CX2" s="225">
        <f>IF(ISERROR('raw data'!GT3/'raw data'!GU3),0,'raw data'!GT3/'raw data'!GU3)</f>
        <v>0.4</v>
      </c>
      <c r="CY2" s="225">
        <f>IF(ISERROR('raw data'!GV3/'raw data'!GW3),0,'raw data'!GV3/'raw data'!GW3)</f>
        <v>0.22222222222222221</v>
      </c>
      <c r="CZ2" s="225">
        <f>IF(ISERROR('raw data'!GX3/'raw data'!GY3),0,'raw data'!GX3/'raw data'!GY3)</f>
        <v>0.33333333333333331</v>
      </c>
      <c r="DA2" s="225">
        <f>IF(ISERROR('raw data'!GZ3/'raw data'!HA3),0,'raw data'!GZ3/'raw data'!HA3)</f>
        <v>0.5</v>
      </c>
      <c r="DB2" s="225">
        <f>IF(ISERROR('raw data'!HB3/'raw data'!HC3),0,'raw data'!HB3/'raw data'!HC3)</f>
        <v>0</v>
      </c>
      <c r="DC2" s="225">
        <f>IF(ISERROR('raw data'!HD3/'raw data'!HE3),0,'raw data'!HD3/'raw data'!HE3)</f>
        <v>0.125</v>
      </c>
      <c r="DD2" s="225">
        <f>IF(ISERROR('raw data'!HF3/'raw data'!HG3),0,'raw data'!HF3/'raw data'!HG3)</f>
        <v>0.25</v>
      </c>
      <c r="DE2" s="225">
        <f>IF(ISERROR('raw data'!HH3/'raw data'!HI3),0,'raw data'!HH3/'raw data'!HI3)</f>
        <v>0</v>
      </c>
      <c r="DF2" s="225">
        <f>IF(ISERROR('raw data'!HJ3/'raw data'!HK3),0,'raw data'!HJ3/'raw data'!HK3)</f>
        <v>0.33333333333333331</v>
      </c>
      <c r="DG2" s="225">
        <f>IF(ISERROR('raw data'!HL3/'raw data'!HM3),0,'raw data'!HL3/'raw data'!HM3)</f>
        <v>0.125</v>
      </c>
      <c r="DH2" s="225">
        <f>IF(ISERROR('raw data'!HN3/'raw data'!HO3),0,'raw data'!HN3/'raw data'!HO3)</f>
        <v>0.25</v>
      </c>
      <c r="DI2" s="225">
        <f>IF(ISERROR('raw data'!HP3/'raw data'!HQ3),0,'raw data'!HP3/'raw data'!HQ3)</f>
        <v>0.5714285714285714</v>
      </c>
      <c r="DJ2" s="225">
        <f>IF(ISERROR('raw data'!HR3/'raw data'!HS3),0,'raw data'!HR3/'raw data'!HS3)</f>
        <v>0.66666666666666663</v>
      </c>
      <c r="DK2" s="225">
        <f>IF(ISERROR('raw data'!HT3/'raw data'!HU3),0,'raw data'!HT3/'raw data'!HU3)</f>
        <v>0.33333333333333331</v>
      </c>
      <c r="DL2" s="225">
        <f>IF(ISERROR('raw data'!HV3/'raw data'!HW3),0,'raw data'!HV3/'raw data'!HW3)</f>
        <v>0.16666666666666666</v>
      </c>
      <c r="DM2" s="225">
        <f>IF(ISERROR('raw data'!HX3/'raw data'!HY3),0,'raw data'!HX3/'raw data'!HY3)</f>
        <v>9.0909090909090912E-2</v>
      </c>
      <c r="DN2" s="225">
        <f>IF(ISERROR('raw data'!HZ3/'raw data'!IA3),0,'raw data'!HZ3/'raw data'!IA3)</f>
        <v>8.3333333333333329E-2</v>
      </c>
      <c r="DO2" s="225">
        <f>IF(ISERROR('raw data'!IB3/'raw data'!IC3),0,'raw data'!IB3/'raw data'!IC3)</f>
        <v>0.2857142857142857</v>
      </c>
      <c r="DP2" s="225">
        <f>IF(ISERROR('raw data'!ID3/'raw data'!IE3),0,'raw data'!ID3/'raw data'!IE3)</f>
        <v>0.33333333333333331</v>
      </c>
      <c r="DQ2" s="225">
        <f>IF(ISERROR('raw data'!IF3/'raw data'!IG3),0,'raw data'!IF3/'raw data'!IG3)</f>
        <v>0.5714285714285714</v>
      </c>
      <c r="DR2" s="225">
        <f>IF(ISERROR('raw data'!IH3/'raw data'!II3),0,'raw data'!IH3/'raw data'!II3)</f>
        <v>0</v>
      </c>
      <c r="DS2" s="225">
        <f>IF(ISERROR('raw data'!IJ3/'raw data'!IK3),0,'raw data'!IJ3/'raw data'!IK3)</f>
        <v>0.2</v>
      </c>
      <c r="DT2" s="225">
        <f>IF(ISERROR('raw data'!IL3/'raw data'!IM3),0,'raw data'!IL3/'raw data'!IM3)</f>
        <v>1</v>
      </c>
      <c r="DU2" s="225">
        <f>IF(ISERROR('raw data'!IN3/'raw data'!IO3),0,'raw data'!IN3/'raw data'!IO3)</f>
        <v>1</v>
      </c>
      <c r="DV2" s="225">
        <f>IF(ISERROR('raw data'!IP3/'raw data'!IQ3),0,'raw data'!IP3/'raw data'!IQ3)</f>
        <v>0</v>
      </c>
      <c r="DW2" s="225">
        <f>IF(ISERROR('raw data'!IR3/'raw data'!IS3),0,'raw data'!IR3/'raw data'!IS3)</f>
        <v>1</v>
      </c>
      <c r="DX2" s="225">
        <f>IF(ISERROR('raw data'!IT3/'raw data'!IU3),0,'raw data'!IT3/'raw data'!IU3)</f>
        <v>0</v>
      </c>
      <c r="DY2" s="225">
        <f>IF(ISERROR('raw data'!IV3/'raw data'!IW3),0,'raw data'!IV3/'raw data'!IW3)</f>
        <v>0.33333333333333331</v>
      </c>
      <c r="DZ2" s="225">
        <f>IF(ISERROR('raw data'!IX3/'raw data'!IY3),0,'raw data'!IX3/'raw data'!IY3)</f>
        <v>0.75</v>
      </c>
      <c r="EA2" s="225">
        <f>IF(ISERROR('raw data'!IZ3/'raw data'!JA3),0,'raw data'!IZ3/'raw data'!JA3)</f>
        <v>0</v>
      </c>
      <c r="EB2" s="225">
        <f>IF(ISERROR('raw data'!JB3/'raw data'!JC3),0,'raw data'!JB3/'raw data'!JC3)</f>
        <v>0.5</v>
      </c>
      <c r="EC2" s="225">
        <f>IF(ISERROR('raw data'!JD3/'raw data'!JE3),0,'raw data'!JD3/'raw data'!JE3)</f>
        <v>0.5</v>
      </c>
      <c r="ED2" s="226"/>
      <c r="EE2" s="227">
        <v>13</v>
      </c>
      <c r="EF2" s="227">
        <v>32</v>
      </c>
      <c r="EG2" s="228">
        <f>IF(ISERROR(EE2/EF2),0,EE2/EF2)</f>
        <v>0.40625</v>
      </c>
      <c r="EH2" s="229"/>
    </row>
    <row r="3" spans="1:138" ht="25.5" customHeight="1" x14ac:dyDescent="0.15">
      <c r="A3" s="222">
        <v>1.2</v>
      </c>
      <c r="B3" s="223" t="str">
        <f>'raw data'!B4</f>
        <v>Savings accounts with &gt;=2 cash credits (CR) &amp; at least 1 withdrawal (WD) in same day (occurred at least three times in month).</v>
      </c>
      <c r="C3" s="224" t="s">
        <v>242</v>
      </c>
      <c r="D3" s="225">
        <f>+'raw data'!D4/'raw data'!E4</f>
        <v>0.53846153846153844</v>
      </c>
      <c r="E3" s="225">
        <f>+'raw data'!F4/'raw data'!G4</f>
        <v>0.35</v>
      </c>
      <c r="F3" s="225">
        <f>+'raw data'!H4/'raw data'!I4</f>
        <v>0.125</v>
      </c>
      <c r="G3" s="225">
        <f>'raw data'!J4/'raw data'!K4</f>
        <v>0.33333333333333331</v>
      </c>
      <c r="H3" s="225">
        <f>'raw data'!L4/'raw data'!M4</f>
        <v>0.32142857142857145</v>
      </c>
      <c r="I3" s="225">
        <f>'raw data'!N4/'raw data'!O4</f>
        <v>0.48780487804878048</v>
      </c>
      <c r="J3" s="225">
        <f>'raw data'!P4/'raw data'!Q4</f>
        <v>0</v>
      </c>
      <c r="K3" s="225">
        <f>'raw data'!R4/'raw data'!S4</f>
        <v>0.23809523809523808</v>
      </c>
      <c r="L3" s="225">
        <f>'raw data'!T4/'raw data'!U4</f>
        <v>0.18181818181818182</v>
      </c>
      <c r="M3" s="225">
        <f>'raw data'!V4/'raw data'!W4</f>
        <v>0.1875</v>
      </c>
      <c r="N3" s="225">
        <f>'raw data'!X4/'raw data'!Y4</f>
        <v>0.17391304347826086</v>
      </c>
      <c r="O3" s="225">
        <f>IF(ISERROR('raw data'!Z4/'raw data'!AA4),0,'raw data'!Z4/'raw data'!AA4)</f>
        <v>0.2</v>
      </c>
      <c r="P3" s="225">
        <f>IF(ISERROR('raw data'!AB4/'raw data'!AC4),0,'raw data'!AB4/'raw data'!AC4)</f>
        <v>0.32</v>
      </c>
      <c r="Q3" s="225">
        <f>IF(ISERROR('raw data'!AD4/'raw data'!AE4),0,'raw data'!AD4/'raw data'!AE4)</f>
        <v>0.30769230769230771</v>
      </c>
      <c r="R3" s="225">
        <f>IF(ISERROR('raw data'!AF4/'raw data'!AG4),0,'raw data'!AF4/'raw data'!AG4)</f>
        <v>0.13333333333333333</v>
      </c>
      <c r="S3" s="225">
        <f>IF(ISERROR('raw data'!AH4/'raw data'!AI4),0,'raw data'!AH4/'raw data'!AI4)</f>
        <v>0.15384615384615385</v>
      </c>
      <c r="T3" s="225">
        <f>IF(ISERROR('raw data'!AJ4/'raw data'!AK4),0,'raw data'!AJ4/'raw data'!AK4)</f>
        <v>0.23076923076923078</v>
      </c>
      <c r="U3" s="225">
        <f>IF(ISERROR('raw data'!AL4/'raw data'!AM4),0,'raw data'!AL4/'raw data'!AM4)</f>
        <v>6.6666666666666666E-2</v>
      </c>
      <c r="V3" s="225">
        <f>IF(ISERROR('raw data'!AN4/'raw data'!AO4),0,'raw data'!AN4/'raw data'!AO4)</f>
        <v>0.23076923076923078</v>
      </c>
      <c r="W3" s="225">
        <f>IF(ISERROR('raw data'!AP4/'raw data'!AQ4),0,'raw data'!AP4/'raw data'!AQ4)</f>
        <v>0.17647058823529413</v>
      </c>
      <c r="X3" s="225">
        <f>IF(ISERROR('raw data'!AR4/'raw data'!AS4),0,'raw data'!AR4/'raw data'!AS4)</f>
        <v>0.15384615384615385</v>
      </c>
      <c r="Y3" s="225">
        <f>IF(ISERROR('raw data'!AT4/'raw data'!AU4),0,'raw data'!AT4/'raw data'!AU4)</f>
        <v>0.2857142857142857</v>
      </c>
      <c r="Z3" s="225">
        <f>IF(ISERROR('raw data'!AV4/'raw data'!AW4),0,'raw data'!AV4/'raw data'!AW4)</f>
        <v>0.31578947368421051</v>
      </c>
      <c r="AA3" s="225">
        <f>IF(ISERROR('raw data'!AX4/'raw data'!AY4),0,'raw data'!AX4/'raw data'!AY4)</f>
        <v>0.27272727272727271</v>
      </c>
      <c r="AB3" s="225">
        <f>IF(ISERROR('raw data'!AZ4/'raw data'!BA4),0,'raw data'!AZ4/'raw data'!BA4)</f>
        <v>0.3</v>
      </c>
      <c r="AC3" s="225">
        <f>IF(ISERROR('raw data'!BB4/'raw data'!BC4),0,'raw data'!BB4/'raw data'!BC4)</f>
        <v>0.15384615384615385</v>
      </c>
      <c r="AD3" s="225">
        <f>IF(ISERROR('raw data'!BD4/'raw data'!BE4),0,'raw data'!BD4/'raw data'!BE4)</f>
        <v>0.33333333333333331</v>
      </c>
      <c r="AE3" s="225">
        <f>IF(ISERROR('raw data'!BF4/'raw data'!BG4),0,'raw data'!BF4/'raw data'!BG4)</f>
        <v>0.17647058823529413</v>
      </c>
      <c r="AF3" s="225">
        <f>IF(ISERROR('raw data'!BH4/'raw data'!BI4),0,'raw data'!BH4/'raw data'!BI4)</f>
        <v>0.375</v>
      </c>
      <c r="AG3" s="225">
        <f>IF(ISERROR('raw data'!BJ4/'raw data'!BK4),0,'raw data'!BJ4/'raw data'!BK4)</f>
        <v>0.125</v>
      </c>
      <c r="AH3" s="225">
        <f>IF(ISERROR('raw data'!BL4/'raw data'!BM4),0,'raw data'!BL4/'raw data'!BM4)</f>
        <v>7.407407407407407E-2</v>
      </c>
      <c r="AI3" s="225">
        <f>IF(ISERROR('raw data'!BN4/'raw data'!BO4),0,'raw data'!BN4/'raw data'!BO4)</f>
        <v>7.6923076923076927E-2</v>
      </c>
      <c r="AJ3" s="225">
        <f>IF(ISERROR('raw data'!BP4/'raw data'!BQ4),0,'raw data'!BP4/'raw data'!BQ4)</f>
        <v>0.18181818181818182</v>
      </c>
      <c r="AK3" s="225">
        <f>IF(ISERROR('raw data'!BR4/'raw data'!BS4),0,'raw data'!BR4/'raw data'!BS4)</f>
        <v>4.1666666666666664E-2</v>
      </c>
      <c r="AL3" s="225">
        <f>IF(ISERROR('raw data'!BT4/'raw data'!BU4),0,'raw data'!BT4/'raw data'!BU4)</f>
        <v>6.6666666666666666E-2</v>
      </c>
      <c r="AM3" s="225">
        <f>IF(ISERROR('raw data'!BV4/'raw data'!BW4),0,'raw data'!BV4/'raw data'!BW4)</f>
        <v>0.25</v>
      </c>
      <c r="AN3" s="225">
        <f>IF(ISERROR('raw data'!BX4/'raw data'!BY4),0,'raw data'!BX4/'raw data'!BY4)</f>
        <v>0.17647058823529413</v>
      </c>
      <c r="AO3" s="225">
        <f>IF(ISERROR('raw data'!BZ4/'raw data'!CA4),0,'raw data'!BZ4/'raw data'!CA4)</f>
        <v>0.1875</v>
      </c>
      <c r="AP3" s="225">
        <f>IF(ISERROR('raw data'!CB4/'raw data'!CC4),0,'raw data'!CB4/'raw data'!CC4)</f>
        <v>0.18181818181818182</v>
      </c>
      <c r="AQ3" s="225">
        <f>IF(ISERROR('raw data'!CD4/'raw data'!CE4),0,'raw data'!CD4/'raw data'!CE4)</f>
        <v>0.35294117647058826</v>
      </c>
      <c r="AR3" s="225">
        <f>IF(ISERROR('raw data'!CF4/'raw data'!CG4),0,'raw data'!CF4/'raw data'!CG4)</f>
        <v>0</v>
      </c>
      <c r="AS3" s="225">
        <f>IF(ISERROR('raw data'!CH4/'raw data'!CI4),0,'raw data'!CH4/'raw data'!CI4)</f>
        <v>0.29411764705882354</v>
      </c>
      <c r="AT3" s="225">
        <f>IF(ISERROR('raw data'!CJ4/'raw data'!CK4),0,'raw data'!CJ4/'raw data'!CK4)</f>
        <v>0.2</v>
      </c>
      <c r="AU3" s="225">
        <f>IF(ISERROR('raw data'!CL4/'raw data'!CM4),0,'raw data'!CL4/'raw data'!CM4)</f>
        <v>0.29411764705882354</v>
      </c>
      <c r="AV3" s="225">
        <f>IF(ISERROR('raw data'!CN4/'raw data'!CO4),0,'raw data'!CN4/'raw data'!CO4)</f>
        <v>0.2</v>
      </c>
      <c r="AW3" s="225">
        <f>IF(ISERROR('raw data'!CP4/'raw data'!CQ4),0,'raw data'!CP4/'raw data'!CQ4)</f>
        <v>7.1428571428571425E-2</v>
      </c>
      <c r="AX3" s="225">
        <f>IF(ISERROR('raw data'!CR4/'raw data'!CS4),0,'raw data'!CR4/'raw data'!CS4)</f>
        <v>0.15384615384615385</v>
      </c>
      <c r="AY3" s="225">
        <f>IF(ISERROR('raw data'!CT4/'raw data'!CU4),0,'raw data'!CT4/'raw data'!CU4)</f>
        <v>0.23529411764705882</v>
      </c>
      <c r="AZ3" s="225">
        <f>IF(ISERROR('raw data'!CV4/'raw data'!CW4),0,'raw data'!CV4/'raw data'!CW4)</f>
        <v>0.2608695652173913</v>
      </c>
      <c r="BA3" s="225">
        <f>IF(ISERROR('raw data'!CX4/'raw data'!CY4),0,'raw data'!CX4/'raw data'!CY4)</f>
        <v>0.1111111111111111</v>
      </c>
      <c r="BB3" s="225">
        <f>IF(ISERROR('raw data'!CZ4/'raw data'!DA4),0,'raw data'!CZ4/'raw data'!DA4)</f>
        <v>0.125</v>
      </c>
      <c r="BC3" s="225">
        <f>IF(ISERROR('raw data'!DB4/'raw data'!DC4),0,'raw data'!DB4/'raw data'!DC4)</f>
        <v>0.38461538461538464</v>
      </c>
      <c r="BD3" s="225">
        <v>0.18181818181818182</v>
      </c>
      <c r="BE3" s="225">
        <f>IF(ISERROR('raw data'!DF4/'raw data'!DG4),0,'raw data'!DF4/'raw data'!DG4)</f>
        <v>0.41666666666666669</v>
      </c>
      <c r="BF3" s="225">
        <f>IF(ISERROR('raw data'!DH4/'raw data'!DI4),0,'raw data'!DH4/'raw data'!DI4)</f>
        <v>0.23529411764705882</v>
      </c>
      <c r="BG3" s="230">
        <f>IF(ISERROR('raw data'!DJ4/'raw data'!DK4),0,'raw data'!DJ4/'raw data'!DK4)</f>
        <v>0.42105263157894735</v>
      </c>
      <c r="BH3" s="230">
        <f>IF(ISERROR('raw data'!DL4/'raw data'!DM4),0,'raw data'!DL4/'raw data'!DM4)</f>
        <v>0.35</v>
      </c>
      <c r="BI3" s="230">
        <f>IF(ISERROR('raw data'!DN4/'raw data'!DO4),0,'raw data'!DN4/'raw data'!DO4)</f>
        <v>0.15384615384615385</v>
      </c>
      <c r="BJ3" s="230">
        <f>IF(ISERROR('raw data'!DP4/'raw data'!DQ4),0,'raw data'!DP4/'raw data'!DQ4)</f>
        <v>0.46666666666666667</v>
      </c>
      <c r="BK3" s="230">
        <f>IF(ISERROR('raw data'!DR4/'raw data'!DS4),0,'raw data'!DR4/'raw data'!DS4)</f>
        <v>0.18181818181818182</v>
      </c>
      <c r="BL3" s="230">
        <f>IF(ISERROR('raw data'!DT4/'raw data'!DU4),0,'raw data'!DT4/'raw data'!DU4)</f>
        <v>0.23076923076923078</v>
      </c>
      <c r="BM3" s="230">
        <f>IF(ISERROR('raw data'!DV4/'raw data'!DW4),0,'raw data'!DV4/'raw data'!DW4)</f>
        <v>0.18181818181818182</v>
      </c>
      <c r="BN3" s="230">
        <f>IF(ISERROR('raw data'!DX4/'raw data'!DY4),0,'raw data'!DX4/'raw data'!DY4)</f>
        <v>0</v>
      </c>
      <c r="BO3" s="230">
        <f>IF(ISERROR('raw data'!DZ4/'raw data'!EA4),0,'raw data'!DZ4/'raw data'!EA4)</f>
        <v>5.5555555555555552E-2</v>
      </c>
      <c r="BP3" s="225">
        <f>IF(ISERROR('raw data'!EB4/'raw data'!EC4),0,'raw data'!EB4/'raw data'!EC4)</f>
        <v>0.2</v>
      </c>
      <c r="BQ3" s="225">
        <f>IF(ISERROR('raw data'!ED4/'raw data'!EE4),0,'raw data'!ED4/'raw data'!EE4)</f>
        <v>0.4</v>
      </c>
      <c r="BR3" s="225">
        <f>IF(ISERROR('raw data'!EF4/'raw data'!EG4),0,'raw data'!EF4/'raw data'!EG4)</f>
        <v>0.18181818181818182</v>
      </c>
      <c r="BS3" s="225">
        <f>IF(ISERROR('raw data'!EH4/'raw data'!EI4),0,'raw data'!EH4/'raw data'!EI4)</f>
        <v>0.18181818181818182</v>
      </c>
      <c r="BT3" s="225">
        <f>IF(ISERROR('raw data'!EJ4/'raw data'!EK4),0,'raw data'!EJ4/'raw data'!EK4)</f>
        <v>0.11764705882352941</v>
      </c>
      <c r="BU3" s="225">
        <f>IF(ISERROR('raw data'!EL4/'raw data'!EM4),0,'raw data'!EL4/'raw data'!EM4)</f>
        <v>0.18181818181818182</v>
      </c>
      <c r="BV3" s="225">
        <f>IF(ISERROR('raw data'!EN4/'raw data'!EO4),0,'raw data'!EN4/'raw data'!EO4)</f>
        <v>9.0909090909090912E-2</v>
      </c>
      <c r="BW3" s="225">
        <f>IF(ISERROR('raw data'!EP4/'raw data'!EQ4),0,'raw data'!EP4/'raw data'!EQ4)</f>
        <v>0.18181818181818182</v>
      </c>
      <c r="BX3" s="225">
        <f>IF(ISERROR('raw data'!ER4/'raw data'!ES4),0,'raw data'!ER4/'raw data'!ES4)</f>
        <v>0.45454545454545453</v>
      </c>
      <c r="BY3" s="225">
        <f>IF(ISERROR('raw data'!ET4/'raw data'!EU4),0,'raw data'!ET4/'raw data'!EU4)</f>
        <v>0.2</v>
      </c>
      <c r="BZ3" s="225">
        <f>IF(ISERROR('raw data'!EV4/'raw data'!EW4),0,'raw data'!EV4/'raw data'!EW4)</f>
        <v>0.16666666666666666</v>
      </c>
      <c r="CA3" s="225">
        <f>IF(ISERROR('raw data'!EX4/'raw data'!EY4),0,'raw data'!EX4/'raw data'!EY4)</f>
        <v>0.1111111111111111</v>
      </c>
      <c r="CB3" s="225">
        <f>IF(ISERROR('raw data'!EZ4/'raw data'!FA4),0,'raw data'!EZ4/'raw data'!FA4)</f>
        <v>0.16666666666666666</v>
      </c>
      <c r="CC3" s="225">
        <f>IF(ISERROR('raw data'!FB4/'raw data'!FC4),0,'raw data'!FB4/'raw data'!FC4)</f>
        <v>0.26666666666666666</v>
      </c>
      <c r="CD3" s="225">
        <f>IF(ISERROR('raw data'!FD4/'raw data'!FE4),0,'raw data'!FD4/'raw data'!FE4)</f>
        <v>8.3333333333333329E-2</v>
      </c>
      <c r="CE3" s="225">
        <f>IF(ISERROR('raw data'!FF4/'raw data'!FG4),0,'raw data'!FF4/'raw data'!FG4)</f>
        <v>0.44444444444444442</v>
      </c>
      <c r="CF3" s="225">
        <f>IF(ISERROR('raw data'!FH4/'raw data'!FI4),0,'raw data'!FH4/'raw data'!FI4)</f>
        <v>0.3</v>
      </c>
      <c r="CG3" s="225">
        <f>IF(ISERROR('raw data'!FJ4/'raw data'!FM4),0,'raw data'!FJ4/'raw data'!FM4)</f>
        <v>0.125</v>
      </c>
      <c r="CH3" s="225">
        <f>IF(ISERROR('raw data'!FN4/'raw data'!FO4),0,'raw data'!FN4/'raw data'!FO4)</f>
        <v>0</v>
      </c>
      <c r="CI3" s="225">
        <f>IF(ISERROR('raw data'!FP4/'raw data'!FQ4),0,'raw data'!FP4/'raw data'!FQ4)</f>
        <v>0</v>
      </c>
      <c r="CJ3" s="225">
        <f>IF(ISERROR('raw data'!FR4/'raw data'!FS4),0,'raw data'!FR4/'raw data'!FS4)</f>
        <v>0</v>
      </c>
      <c r="CK3" s="225">
        <f>IF(ISERROR('raw data'!FT4/'raw data'!FU4),0,'raw data'!FT4/'raw data'!FU4)</f>
        <v>0</v>
      </c>
      <c r="CL3" s="225">
        <f>IF(ISERROR('raw data'!FV4/'raw data'!FW4),0,'raw data'!FV4/'raw data'!FW4)</f>
        <v>0.6</v>
      </c>
      <c r="CM3" s="225">
        <f>IF(ISERROR('raw data'!FX4/'raw data'!FY4),0,'raw data'!FX4/'raw data'!FY4)</f>
        <v>0</v>
      </c>
      <c r="CN3" s="225">
        <f>IF(ISERROR('raw data'!FZ4/'raw data'!GA4),0,'raw data'!FZ4/'raw data'!GA4)</f>
        <v>0</v>
      </c>
      <c r="CO3" s="225">
        <f>IF(ISERROR('raw data'!GB4/'raw data'!GC4),0,'raw data'!GB4/'raw data'!GC4)</f>
        <v>0</v>
      </c>
      <c r="CP3" s="225">
        <f>IF(ISERROR('raw data'!GD4/'raw data'!GE4),0,'raw data'!GD4/'raw data'!GE4)</f>
        <v>0</v>
      </c>
      <c r="CQ3" s="225">
        <f>IF(ISERROR('raw data'!GF4/'raw data'!GG4),0,'raw data'!GF4/'raw data'!GG4)</f>
        <v>0.5</v>
      </c>
      <c r="CR3" s="225">
        <f>IF(ISERROR('raw data'!GH4/'raw data'!GI4),0,'raw data'!GH4/'raw data'!GI4)</f>
        <v>0</v>
      </c>
      <c r="CS3" s="225">
        <f>IF(ISERROR('raw data'!GJ4/'raw data'!GK4),0,'raw data'!GJ4/'raw data'!GK4)</f>
        <v>0</v>
      </c>
      <c r="CT3" s="225">
        <f>IF(ISERROR('raw data'!GL4/'raw data'!GM4),0,'raw data'!GL4/'raw data'!GM4)</f>
        <v>0.33333333333333331</v>
      </c>
      <c r="CU3" s="225">
        <f>IF(ISERROR('raw data'!GN4/'raw data'!GO4),0,'raw data'!GN4/'raw data'!GO4)</f>
        <v>0</v>
      </c>
      <c r="CV3" s="225">
        <f>IF(ISERROR('raw data'!GP4/'raw data'!GQ4),0,'raw data'!GP4/'raw data'!GQ4)</f>
        <v>0</v>
      </c>
      <c r="CW3" s="225">
        <f>IF(ISERROR('raw data'!GR4/'raw data'!GS4),0,'raw data'!GR4/'raw data'!GS4)</f>
        <v>0</v>
      </c>
      <c r="CX3" s="225">
        <f>IF(ISERROR('raw data'!GT4/'raw data'!GU4),0,'raw data'!GT4/'raw data'!GU4)</f>
        <v>0</v>
      </c>
      <c r="CY3" s="225">
        <f>IF(ISERROR('raw data'!GV4/'raw data'!GW4),0,'raw data'!GV4/'raw data'!GW4)</f>
        <v>0</v>
      </c>
      <c r="CZ3" s="225">
        <f>IF(ISERROR('raw data'!GX4/'raw data'!GY4),0,'raw data'!GX4/'raw data'!GY4)</f>
        <v>0</v>
      </c>
      <c r="DA3" s="225">
        <f>IF(ISERROR('raw data'!GZ4/'raw data'!HA4),0,'raw data'!GZ4/'raw data'!HA4)</f>
        <v>0</v>
      </c>
      <c r="DB3" s="225">
        <f>IF(ISERROR('raw data'!HB4/'raw data'!HC4),0,'raw data'!HB4/'raw data'!HC4)</f>
        <v>1</v>
      </c>
      <c r="DC3" s="225">
        <f>IF(ISERROR('raw data'!HD4/'raw data'!HE4),0,'raw data'!HD4/'raw data'!HE4)</f>
        <v>0</v>
      </c>
      <c r="DD3" s="225">
        <f>IF(ISERROR('raw data'!HF4/'raw data'!HG4),0,'raw data'!HF4/'raw data'!HG4)</f>
        <v>0</v>
      </c>
      <c r="DE3" s="225">
        <f>IF(ISERROR('raw data'!HH4/'raw data'!HI4),0,'raw data'!HH4/'raw data'!HI4)</f>
        <v>0</v>
      </c>
      <c r="DF3" s="225">
        <f>IF(ISERROR('raw data'!HJ4/'raw data'!HK4),0,'raw data'!HJ4/'raw data'!HK4)</f>
        <v>0</v>
      </c>
      <c r="DG3" s="225">
        <f>IF(ISERROR('raw data'!HL4/'raw data'!HM4),0,'raw data'!HL4/'raw data'!HM4)</f>
        <v>0</v>
      </c>
      <c r="DH3" s="225">
        <f>IF(ISERROR('raw data'!HN4/'raw data'!HO4),0,'raw data'!HN4/'raw data'!HO4)</f>
        <v>1</v>
      </c>
      <c r="DI3" s="225">
        <f>IF(ISERROR('raw data'!HP4/'raw data'!HQ4),0,'raw data'!HP4/'raw data'!HQ4)</f>
        <v>0</v>
      </c>
      <c r="DJ3" s="225">
        <f>IF(ISERROR('raw data'!HR4/'raw data'!HS4),0,'raw data'!HR4/'raw data'!HS4)</f>
        <v>0</v>
      </c>
      <c r="DK3" s="225">
        <f>IF(ISERROR('raw data'!HT4/'raw data'!HU4),0,'raw data'!HT4/'raw data'!HU4)</f>
        <v>0</v>
      </c>
      <c r="DL3" s="225">
        <f>IF(ISERROR('raw data'!HV4/'raw data'!HW4),0,'raw data'!HV4/'raw data'!HW4)</f>
        <v>0</v>
      </c>
      <c r="DM3" s="225">
        <f>IF(ISERROR('raw data'!HX4/'raw data'!HY4),0,'raw data'!HX4/'raw data'!HY4)</f>
        <v>0</v>
      </c>
      <c r="DN3" s="225">
        <f>IF(ISERROR('raw data'!HZ4/'raw data'!IA4),0,'raw data'!HZ4/'raw data'!IA4)</f>
        <v>0</v>
      </c>
      <c r="DO3" s="225">
        <f>IF(ISERROR('raw data'!IB4/'raw data'!IC4),0,'raw data'!IB4/'raw data'!IC4)</f>
        <v>0</v>
      </c>
      <c r="DP3" s="225">
        <f>IF(ISERROR('raw data'!ID4/'raw data'!IE4),0,'raw data'!ID4/'raw data'!IE4)</f>
        <v>0.5</v>
      </c>
      <c r="DQ3" s="225">
        <f>IF(ISERROR('raw data'!IF4/'raw data'!IG4),0,'raw data'!IF4/'raw data'!IG4)</f>
        <v>0</v>
      </c>
      <c r="DR3" s="225">
        <f>IF(ISERROR('raw data'!IH4/'raw data'!II4),0,'raw data'!IH4/'raw data'!II4)</f>
        <v>0</v>
      </c>
      <c r="DS3" s="225">
        <f>IF(ISERROR('raw data'!IJ4/'raw data'!IK4),0,'raw data'!IJ4/'raw data'!IK4)</f>
        <v>0</v>
      </c>
      <c r="DT3" s="225">
        <f>IF(ISERROR('raw data'!IL4/'raw data'!IM4),0,'raw data'!IL4/'raw data'!IM4)</f>
        <v>0</v>
      </c>
      <c r="DU3" s="225">
        <f>IF(ISERROR('raw data'!IN4/'raw data'!IO4),0,'raw data'!IN4/'raw data'!IO4)</f>
        <v>0</v>
      </c>
      <c r="DV3" s="225">
        <f>IF(ISERROR('raw data'!IP4/'raw data'!IQ4),0,'raw data'!IP4/'raw data'!IQ4)</f>
        <v>0</v>
      </c>
      <c r="DW3" s="225">
        <f>IF(ISERROR('raw data'!IR4/'raw data'!IS4),0,'raw data'!IR4/'raw data'!IS4)</f>
        <v>0</v>
      </c>
      <c r="DX3" s="225">
        <f>IF(ISERROR('raw data'!IT4/'raw data'!IU4),0,'raw data'!IT4/'raw data'!IU4)</f>
        <v>0</v>
      </c>
      <c r="DY3" s="225">
        <f>IF(ISERROR('raw data'!IV4/'raw data'!IW4),0,'raw data'!IV4/'raw data'!IW4)</f>
        <v>0</v>
      </c>
      <c r="DZ3" s="225">
        <f>IF(ISERROR('raw data'!IX4/'raw data'!IY4),0,'raw data'!IX4/'raw data'!IY4)</f>
        <v>0</v>
      </c>
      <c r="EA3" s="225">
        <f>IF(ISERROR('raw data'!IZ4/'raw data'!JA4),0,'raw data'!IZ4/'raw data'!JA4)</f>
        <v>0</v>
      </c>
      <c r="EB3" s="225">
        <f>IF(ISERROR('raw data'!JB4/'raw data'!JC4),0,'raw data'!JB4/'raw data'!JC4)</f>
        <v>0</v>
      </c>
      <c r="EC3" s="225">
        <f>IF(ISERROR('raw data'!JD4/'raw data'!JE4),0,'raw data'!JD4/'raw data'!JE4)</f>
        <v>0</v>
      </c>
      <c r="ED3" s="226"/>
      <c r="EE3" s="227">
        <v>0</v>
      </c>
      <c r="EF3" s="227">
        <v>3</v>
      </c>
      <c r="EG3" s="228">
        <f t="shared" ref="EG3:EG108" si="0">IF(ISERROR(EE3/EF3),0,EE3/EF3)</f>
        <v>0</v>
      </c>
      <c r="EH3" s="229"/>
    </row>
    <row r="4" spans="1:138" ht="25.5" customHeight="1" x14ac:dyDescent="0.15">
      <c r="A4" s="222">
        <v>1.3</v>
      </c>
      <c r="B4" s="223" t="str">
        <f>'raw data'!B5</f>
        <v>Flex accounts with large number (7+) of branches used (CR, CQ, WD) and min cash credits of £1k per month.</v>
      </c>
      <c r="C4" s="231" t="s">
        <v>9</v>
      </c>
      <c r="D4" s="225">
        <f>+'raw data'!D5/'raw data'!E5</f>
        <v>0.59259259259259256</v>
      </c>
      <c r="E4" s="225">
        <f>+'raw data'!F5/'raw data'!G5</f>
        <v>0.66666666666666663</v>
      </c>
      <c r="F4" s="225">
        <f>+'raw data'!H5/'raw data'!I5</f>
        <v>0.375</v>
      </c>
      <c r="G4" s="225">
        <f>'raw data'!J5/'raw data'!K5</f>
        <v>0.32142857142857145</v>
      </c>
      <c r="H4" s="225">
        <f>'raw data'!L5/'raw data'!M5</f>
        <v>0.21428571428571427</v>
      </c>
      <c r="I4" s="225">
        <f>'raw data'!N5/'raw data'!O5</f>
        <v>0.37037037037037035</v>
      </c>
      <c r="J4" s="225">
        <f>'raw data'!P5/'raw data'!Q5</f>
        <v>0.25</v>
      </c>
      <c r="K4" s="225">
        <f>'raw data'!R5/'raw data'!S5</f>
        <v>0.2608695652173913</v>
      </c>
      <c r="L4" s="225">
        <f>'raw data'!T5/'raw data'!U5</f>
        <v>0.39473684210526316</v>
      </c>
      <c r="M4" s="225">
        <f>'raw data'!V5/'raw data'!W5</f>
        <v>0.6428571428571429</v>
      </c>
      <c r="N4" s="225">
        <f>'raw data'!X5/'raw data'!Y5</f>
        <v>0.34482758620689657</v>
      </c>
      <c r="O4" s="225">
        <f>IF(ISERROR('raw data'!Z5/'raw data'!AA5),0,'raw data'!Z5/'raw data'!AA5)</f>
        <v>0.27027027027027029</v>
      </c>
      <c r="P4" s="225">
        <f>IF(ISERROR('raw data'!AB5/'raw data'!AC5),0,'raw data'!AB5/'raw data'!AC5)</f>
        <v>0.25925925925925924</v>
      </c>
      <c r="Q4" s="225">
        <f>IF(ISERROR('raw data'!AD5/'raw data'!AE5),0,'raw data'!AD5/'raw data'!AE5)</f>
        <v>0.44444444444444442</v>
      </c>
      <c r="R4" s="225">
        <f>IF(ISERROR('raw data'!AF5/'raw data'!AG5),0,'raw data'!AF5/'raw data'!AG5)</f>
        <v>0.61538461538461542</v>
      </c>
      <c r="S4" s="225">
        <f>IF(ISERROR('raw data'!AH5/'raw data'!AI5),0,'raw data'!AH5/'raw data'!AI5)</f>
        <v>0.47368421052631576</v>
      </c>
      <c r="T4" s="225">
        <f>IF(ISERROR('raw data'!AJ5/'raw data'!AK5),0,'raw data'!AJ5/'raw data'!AK5)</f>
        <v>0.33333333333333331</v>
      </c>
      <c r="U4" s="225">
        <f>IF(ISERROR('raw data'!AL5/'raw data'!AM5),0,'raw data'!AL5/'raw data'!AM5)</f>
        <v>0.46666666666666667</v>
      </c>
      <c r="V4" s="225">
        <f>IF(ISERROR('raw data'!AN5/'raw data'!AO5),0,'raw data'!AN5/'raw data'!AO5)</f>
        <v>0.4375</v>
      </c>
      <c r="W4" s="225">
        <f>IF(ISERROR('raw data'!AP5/'raw data'!AQ5),0,'raw data'!AP5/'raw data'!AQ5)</f>
        <v>0.52380952380952384</v>
      </c>
      <c r="X4" s="225">
        <f>IF(ISERROR('raw data'!AR5/'raw data'!AS5),0,'raw data'!AR5/'raw data'!AS5)</f>
        <v>0.5625</v>
      </c>
      <c r="Y4" s="225">
        <f>IF(ISERROR('raw data'!AT5/'raw data'!AU5),0,'raw data'!AT5/'raw data'!AU5)</f>
        <v>0.45</v>
      </c>
      <c r="Z4" s="225">
        <f>IF(ISERROR('raw data'!AV5/'raw data'!AW5),0,'raw data'!AV5/'raw data'!AW5)</f>
        <v>0.44642857142857145</v>
      </c>
      <c r="AA4" s="225">
        <f>IF(ISERROR('raw data'!AX5/'raw data'!AY5),0,'raw data'!AX5/'raw data'!AY5)</f>
        <v>0.52307692307692311</v>
      </c>
      <c r="AB4" s="225">
        <f>IF(ISERROR('raw data'!AZ5/'raw data'!BA5),0,'raw data'!AZ5/'raw data'!BA5)</f>
        <v>0.25531914893617019</v>
      </c>
      <c r="AC4" s="225">
        <f>IF(ISERROR('raw data'!BB5/'raw data'!BC5),0,'raw data'!BB5/'raw data'!BC5)</f>
        <v>0.55128205128205132</v>
      </c>
      <c r="AD4" s="225">
        <f>IF(ISERROR('raw data'!BD5/'raw data'!BE5),0,'raw data'!BD5/'raw data'!BE5)</f>
        <v>0.33898305084745761</v>
      </c>
      <c r="AE4" s="225">
        <f>IF(ISERROR('raw data'!BF5/'raw data'!BG5),0,'raw data'!BF5/'raw data'!BG5)</f>
        <v>0.40277777777777779</v>
      </c>
      <c r="AF4" s="225">
        <f>IF(ISERROR('raw data'!BH5/'raw data'!BI5),0,'raw data'!BH5/'raw data'!BI5)</f>
        <v>0.36842105263157893</v>
      </c>
      <c r="AG4" s="225">
        <f>IF(ISERROR('raw data'!BJ5/'raw data'!BK5),0,'raw data'!BJ5/'raw data'!BK5)</f>
        <v>0.30303030303030304</v>
      </c>
      <c r="AH4" s="225">
        <f>IF(ISERROR('raw data'!BL5/'raw data'!BM5),0,'raw data'!BL5/'raw data'!BM5)</f>
        <v>0.32307692307692309</v>
      </c>
      <c r="AI4" s="225">
        <f>IF(ISERROR('raw data'!BN5/'raw data'!BO5),0,'raw data'!BN5/'raw data'!BO5)</f>
        <v>0.34020618556701032</v>
      </c>
      <c r="AJ4" s="225">
        <f>IF(ISERROR('raw data'!BP5/'raw data'!BQ5),0,'raw data'!BP5/'raw data'!BQ5)</f>
        <v>0.31428571428571428</v>
      </c>
      <c r="AK4" s="225">
        <f>IF(ISERROR('raw data'!BR5/'raw data'!BS5),0,'raw data'!BR5/'raw data'!BS5)</f>
        <v>0.34285714285714286</v>
      </c>
      <c r="AL4" s="225">
        <f>IF(ISERROR('raw data'!BT5/'raw data'!BU5),0,'raw data'!BT5/'raw data'!BU5)</f>
        <v>0.28421052631578947</v>
      </c>
      <c r="AM4" s="225">
        <f>IF(ISERROR('raw data'!BV5/'raw data'!BW5),0,'raw data'!BV5/'raw data'!BW5)</f>
        <v>0.34848484848484851</v>
      </c>
      <c r="AN4" s="225">
        <f>IF(ISERROR('raw data'!BX5/'raw data'!BY5),0,'raw data'!BX5/'raw data'!BY5)</f>
        <v>0.42666666666666669</v>
      </c>
      <c r="AO4" s="225">
        <f>IF(ISERROR('raw data'!BZ5/'raw data'!CA5),0,'raw data'!BZ5/'raw data'!CA5)</f>
        <v>0.25806451612903225</v>
      </c>
      <c r="AP4" s="225">
        <f>IF(ISERROR('raw data'!CB5/'raw data'!CC5),0,'raw data'!CB5/'raw data'!CC5)</f>
        <v>0.30120481927710846</v>
      </c>
      <c r="AQ4" s="225">
        <f>IF(ISERROR('raw data'!CD5/'raw data'!CE5),0,'raw data'!CD5/'raw data'!CE5)</f>
        <v>0.45454545454545453</v>
      </c>
      <c r="AR4" s="225">
        <f>IF(ISERROR('raw data'!CF5/'raw data'!CG5),0,'raw data'!CF5/'raw data'!CG5)</f>
        <v>0.4</v>
      </c>
      <c r="AS4" s="225">
        <f>IF(ISERROR('raw data'!CH5/'raw data'!CI5),0,'raw data'!CH5/'raw data'!CI5)</f>
        <v>0.35064935064935066</v>
      </c>
      <c r="AT4" s="225">
        <f>IF(ISERROR('raw data'!CJ5/'raw data'!CK5),0,'raw data'!CJ5/'raw data'!CK5)</f>
        <v>0.31481481481481483</v>
      </c>
      <c r="AU4" s="225">
        <f>IF(ISERROR('raw data'!CL5/'raw data'!CM5),0,'raw data'!CL5/'raw data'!CM5)</f>
        <v>0.35714285714285715</v>
      </c>
      <c r="AV4" s="225">
        <f>IF(ISERROR('raw data'!CN5/'raw data'!CO5),0,'raw data'!CN5/'raw data'!CO5)</f>
        <v>0.3888888888888889</v>
      </c>
      <c r="AW4" s="225">
        <f>IF(ISERROR('raw data'!CP5/'raw data'!CQ5),0,'raw data'!CP5/'raw data'!CQ5)</f>
        <v>0.41</v>
      </c>
      <c r="AX4" s="225">
        <f>IF(ISERROR('raw data'!CR5/'raw data'!CS5),0,'raw data'!CR5/'raw data'!CS5)</f>
        <v>0.34782608695652173</v>
      </c>
      <c r="AY4" s="225">
        <f>IF(ISERROR('raw data'!CT5/'raw data'!CU5),0,'raw data'!CT5/'raw data'!CU5)</f>
        <v>0.43137254901960786</v>
      </c>
      <c r="AZ4" s="225">
        <f>IF(ISERROR('raw data'!CV5/'raw data'!CW5),0,'raw data'!CV5/'raw data'!CW5)</f>
        <v>0.46153846153846156</v>
      </c>
      <c r="BA4" s="225">
        <f>IF(ISERROR('raw data'!CX5/'raw data'!CY5),0,'raw data'!CX5/'raw data'!CY5)</f>
        <v>0.55421686746987953</v>
      </c>
      <c r="BB4" s="225">
        <f>IF(ISERROR('raw data'!CZ5/'raw data'!DA5),0,'raw data'!CZ5/'raw data'!DA5)</f>
        <v>0.55263157894736847</v>
      </c>
      <c r="BC4" s="225">
        <f>IF(ISERROR('raw data'!DB5/'raw data'!DC5),0,'raw data'!DB5/'raw data'!DC5)</f>
        <v>0.48695652173913045</v>
      </c>
      <c r="BD4" s="225">
        <v>0.55462184873949583</v>
      </c>
      <c r="BE4" s="225">
        <f>IF(ISERROR('raw data'!DF5/'raw data'!DG5),0,'raw data'!DF5/'raw data'!DG5)</f>
        <v>0.47872340425531917</v>
      </c>
      <c r="BF4" s="225">
        <f>IF(ISERROR('raw data'!DH5/'raw data'!DI5),0,'raw data'!DH5/'raw data'!DI5)</f>
        <v>0.56043956043956045</v>
      </c>
      <c r="BG4" s="230">
        <f>IF(ISERROR('raw data'!DJ5/'raw data'!DK5),0,'raw data'!DJ5/'raw data'!DK5)</f>
        <v>0.496</v>
      </c>
      <c r="BH4" s="230">
        <f>IF(ISERROR('raw data'!DL5/'raw data'!DM5),0,'raw data'!DL5/'raw data'!DM5)</f>
        <v>0.41538461538461541</v>
      </c>
      <c r="BI4" s="230">
        <f>IF(ISERROR('raw data'!DN5/'raw data'!DO5),0,'raw data'!DN5/'raw data'!DO5)</f>
        <v>0.44537815126050423</v>
      </c>
      <c r="BJ4" s="230">
        <f>IF(ISERROR('raw data'!DP5/'raw data'!DQ5),0,'raw data'!DP5/'raw data'!DQ5)</f>
        <v>0.51190476190476186</v>
      </c>
      <c r="BK4" s="230">
        <f>IF(ISERROR('raw data'!DR5/'raw data'!DS5),0,'raw data'!DR5/'raw data'!DS5)</f>
        <v>0.55844155844155841</v>
      </c>
      <c r="BL4" s="230">
        <f>IF(ISERROR('raw data'!DT5/'raw data'!DU5),0,'raw data'!DT5/'raw data'!DU5)</f>
        <v>0.64</v>
      </c>
      <c r="BM4" s="230">
        <f>IF(ISERROR('raw data'!DV5/'raw data'!DW5),0,'raw data'!DV5/'raw data'!DW5)</f>
        <v>0.38666666666666666</v>
      </c>
      <c r="BN4" s="230">
        <f>IF(ISERROR('raw data'!DX5/'raw data'!DY5),0,'raw data'!DX5/'raw data'!DY5)</f>
        <v>0.3611111111111111</v>
      </c>
      <c r="BO4" s="230">
        <f>IF(ISERROR('raw data'!DZ5/'raw data'!EA5),0,'raw data'!DZ5/'raw data'!EA5)</f>
        <v>0.38157894736842107</v>
      </c>
      <c r="BP4" s="225">
        <f>IF(ISERROR('raw data'!EB5/'raw data'!EC5),0,'raw data'!EB5/'raw data'!EC5)</f>
        <v>0.55045871559633031</v>
      </c>
      <c r="BQ4" s="225">
        <f>IF(ISERROR('raw data'!ED5/'raw data'!EE5),0,'raw data'!ED5/'raw data'!EE5)</f>
        <v>0.45</v>
      </c>
      <c r="BR4" s="225">
        <f>IF(ISERROR('raw data'!EF5/'raw data'!EG5),0,'raw data'!EF5/'raw data'!EG5)</f>
        <v>0.39603960396039606</v>
      </c>
      <c r="BS4" s="225">
        <f>IF(ISERROR('raw data'!EH5/'raw data'!EI5),0,'raw data'!EH5/'raw data'!EI5)</f>
        <v>0.40659340659340659</v>
      </c>
      <c r="BT4" s="225">
        <f>IF(ISERROR('raw data'!EJ5/'raw data'!EK5),0,'raw data'!EJ5/'raw data'!EK5)</f>
        <v>0.48695652173913045</v>
      </c>
      <c r="BU4" s="225">
        <f>IF(ISERROR('raw data'!EL5/'raw data'!EM5),0,'raw data'!EL5/'raw data'!EM5)</f>
        <v>0.35051546391752575</v>
      </c>
      <c r="BV4" s="225">
        <f>IF(ISERROR('raw data'!EN5/'raw data'!EO5),0,'raw data'!EN5/'raw data'!EO5)</f>
        <v>0.5490196078431373</v>
      </c>
      <c r="BW4" s="225">
        <f>IF(ISERROR('raw data'!EP5/'raw data'!EQ5),0,'raw data'!EP5/'raw data'!EQ5)</f>
        <v>0.55660377358490565</v>
      </c>
      <c r="BX4" s="225">
        <f>IF(ISERROR('raw data'!ER5/'raw data'!ES5),0,'raw data'!ER5/'raw data'!ES5)</f>
        <v>0.5</v>
      </c>
      <c r="BY4" s="225">
        <f>IF(ISERROR('raw data'!ET5/'raw data'!EU5),0,'raw data'!ET5/'raw data'!EU5)</f>
        <v>0.47945205479452052</v>
      </c>
      <c r="BZ4" s="225">
        <f>IF(ISERROR('raw data'!EV5/'raw data'!EW5),0,'raw data'!EV5/'raw data'!EW5)</f>
        <v>0.48979591836734693</v>
      </c>
      <c r="CA4" s="225">
        <f>IF(ISERROR('raw data'!EX5/'raw data'!EY5),0,'raw data'!EX5/'raw data'!EY5)</f>
        <v>0.47572815533980584</v>
      </c>
      <c r="CB4" s="225">
        <f>IF(ISERROR('raw data'!EZ5/'raw data'!FA5),0,'raw data'!EZ5/'raw data'!FA5)</f>
        <v>0.53030303030303028</v>
      </c>
      <c r="CC4" s="225">
        <f>IF(ISERROR('raw data'!FB5/'raw data'!FC5),0,'raw data'!FB5/'raw data'!FC5)</f>
        <v>0.46153846153846156</v>
      </c>
      <c r="CD4" s="225">
        <f>IF(ISERROR('raw data'!FD5/'raw data'!FE5),0,'raw data'!FD5/'raw data'!FE5)</f>
        <v>0.42424242424242425</v>
      </c>
      <c r="CE4" s="225">
        <f>IF(ISERROR('raw data'!FF5/'raw data'!FG5),0,'raw data'!FF5/'raw data'!FG5)</f>
        <v>0.52631578947368418</v>
      </c>
      <c r="CF4" s="225">
        <f>IF(ISERROR('raw data'!FH5/'raw data'!FI5),0,'raw data'!FH5/'raw data'!FI5)</f>
        <v>0.44047619047619047</v>
      </c>
      <c r="CG4" s="225">
        <f>IF(ISERROR('raw data'!FJ5/'raw data'!FM5),0,'raw data'!FJ5/'raw data'!FM5)</f>
        <v>0.46666666666666667</v>
      </c>
      <c r="CH4" s="225">
        <f>IF(ISERROR('raw data'!FN5/'raw data'!FO5),0,'raw data'!FN5/'raw data'!FO5)</f>
        <v>0.34905660377358488</v>
      </c>
      <c r="CI4" s="225">
        <f>IF(ISERROR('raw data'!FP5/'raw data'!FQ5),0,'raw data'!FP5/'raw data'!FQ5)</f>
        <v>0.48</v>
      </c>
      <c r="CJ4" s="225">
        <f>IF(ISERROR('raw data'!FR5/'raw data'!FS5),0,'raw data'!FR5/'raw data'!FS5)</f>
        <v>0.76470588235294112</v>
      </c>
      <c r="CK4" s="225">
        <f>IF(ISERROR('raw data'!FT5/'raw data'!FU5),0,'raw data'!FT5/'raw data'!FU5)</f>
        <v>0.38461538461538464</v>
      </c>
      <c r="CL4" s="225">
        <f>IF(ISERROR('raw data'!FV5/'raw data'!FW5),0,'raw data'!FV5/'raw data'!FW5)</f>
        <v>0.25</v>
      </c>
      <c r="CM4" s="225">
        <f>IF(ISERROR('raw data'!FX5/'raw data'!FY5),0,'raw data'!FX5/'raw data'!FY5)</f>
        <v>0.33333333333333331</v>
      </c>
      <c r="CN4" s="225">
        <f>IF(ISERROR('raw data'!FZ5/'raw data'!GA5),0,'raw data'!FZ5/'raw data'!GA5)</f>
        <v>0.66666666666666663</v>
      </c>
      <c r="CO4" s="225">
        <f>IF(ISERROR('raw data'!GB5/'raw data'!GC5),0,'raw data'!GB5/'raw data'!GC5)</f>
        <v>0</v>
      </c>
      <c r="CP4" s="225">
        <f>IF(ISERROR('raw data'!GD5/'raw data'!GE5),0,'raw data'!GD5/'raw data'!GE5)</f>
        <v>0</v>
      </c>
      <c r="CQ4" s="225">
        <f>IF(ISERROR('raw data'!GF5/'raw data'!GG5),0,'raw data'!GF5/'raw data'!GG5)</f>
        <v>0</v>
      </c>
      <c r="CR4" s="225">
        <f>IF(ISERROR('raw data'!GH5/'raw data'!GI5),0,'raw data'!GH5/'raw data'!GI5)</f>
        <v>0</v>
      </c>
      <c r="CS4" s="225">
        <f>IF(ISERROR('raw data'!GJ5/'raw data'!GK5),0,'raw data'!GJ5/'raw data'!GK5)</f>
        <v>0.5</v>
      </c>
      <c r="CT4" s="225">
        <f>IF(ISERROR('raw data'!GL5/'raw data'!GM5),0,'raw data'!GL5/'raw data'!GM5)</f>
        <v>0</v>
      </c>
      <c r="CU4" s="225">
        <f>IF(ISERROR('raw data'!GN5/'raw data'!GO5),0,'raw data'!GN5/'raw data'!GO5)</f>
        <v>0.2</v>
      </c>
      <c r="CV4" s="225">
        <f>IF(ISERROR('raw data'!GP5/'raw data'!GQ5),0,'raw data'!GP5/'raw data'!GQ5)</f>
        <v>0.5</v>
      </c>
      <c r="CW4" s="225">
        <f>IF(ISERROR('raw data'!GR5/'raw data'!GS5),0,'raw data'!GR5/'raw data'!GS5)</f>
        <v>0</v>
      </c>
      <c r="CX4" s="225">
        <f>IF(ISERROR('raw data'!GT5/'raw data'!GU5),0,'raw data'!GT5/'raw data'!GU5)</f>
        <v>0</v>
      </c>
      <c r="CY4" s="225">
        <f>IF(ISERROR('raw data'!GV5/'raw data'!GW5),0,'raw data'!GV5/'raw data'!GW5)</f>
        <v>0.5</v>
      </c>
      <c r="CZ4" s="225">
        <f>IF(ISERROR('raw data'!GX5/'raw data'!GY5),0,'raw data'!GX5/'raw data'!GY5)</f>
        <v>0</v>
      </c>
      <c r="DA4" s="225">
        <f>IF(ISERROR('raw data'!GZ5/'raw data'!HA5),0,'raw data'!GZ5/'raw data'!HA5)</f>
        <v>0</v>
      </c>
      <c r="DB4" s="225">
        <f>IF(ISERROR('raw data'!HB5/'raw data'!HC5),0,'raw data'!HB5/'raw data'!HC5)</f>
        <v>1</v>
      </c>
      <c r="DC4" s="225">
        <f>IF(ISERROR('raw data'!HD5/'raw data'!HE5),0,'raw data'!HD5/'raw data'!HE5)</f>
        <v>0</v>
      </c>
      <c r="DD4" s="225">
        <f>IF(ISERROR('raw data'!HF5/'raw data'!HG5),0,'raw data'!HF5/'raw data'!HG5)</f>
        <v>0</v>
      </c>
      <c r="DE4" s="225">
        <f>IF(ISERROR('raw data'!HH5/'raw data'!HI5),0,'raw data'!HH5/'raw data'!HI5)</f>
        <v>0</v>
      </c>
      <c r="DF4" s="225">
        <f>IF(ISERROR('raw data'!HJ5/'raw data'!HK5),0,'raw data'!HJ5/'raw data'!HK5)</f>
        <v>0.25</v>
      </c>
      <c r="DG4" s="225">
        <f>IF(ISERROR('raw data'!HL5/'raw data'!HM5),0,'raw data'!HL5/'raw data'!HM5)</f>
        <v>0</v>
      </c>
      <c r="DH4" s="225">
        <f>IF(ISERROR('raw data'!HN5/'raw data'!HO5),0,'raw data'!HN5/'raw data'!HO5)</f>
        <v>0</v>
      </c>
      <c r="DI4" s="225">
        <f>IF(ISERROR('raw data'!HP5/'raw data'!HQ5),0,'raw data'!HP5/'raw data'!HQ5)</f>
        <v>0.25</v>
      </c>
      <c r="DJ4" s="225">
        <f>IF(ISERROR('raw data'!HR5/'raw data'!HS5),0,'raw data'!HR5/'raw data'!HS5)</f>
        <v>0</v>
      </c>
      <c r="DK4" s="225">
        <f>IF(ISERROR('raw data'!HT5/'raw data'!HU5),0,'raw data'!HT5/'raw data'!HU5)</f>
        <v>1</v>
      </c>
      <c r="DL4" s="225">
        <f>IF(ISERROR('raw data'!HV5/'raw data'!HW5),0,'raw data'!HV5/'raw data'!HW5)</f>
        <v>0</v>
      </c>
      <c r="DM4" s="225">
        <f>IF(ISERROR('raw data'!HX5/'raw data'!HY5),0,'raw data'!HX5/'raw data'!HY5)</f>
        <v>0</v>
      </c>
      <c r="DN4" s="225">
        <f>IF(ISERROR('raw data'!HZ5/'raw data'!IA5),0,'raw data'!HZ5/'raw data'!IA5)</f>
        <v>0</v>
      </c>
      <c r="DO4" s="225">
        <f>IF(ISERROR('raw data'!IB5/'raw data'!IC5),0,'raw data'!IB5/'raw data'!IC5)</f>
        <v>0</v>
      </c>
      <c r="DP4" s="225">
        <f>IF(ISERROR('raw data'!ID5/'raw data'!IE5),0,'raw data'!ID5/'raw data'!IE5)</f>
        <v>0</v>
      </c>
      <c r="DQ4" s="225">
        <f>IF(ISERROR('raw data'!IF5/'raw data'!IG5),0,'raw data'!IF5/'raw data'!IG5)</f>
        <v>0</v>
      </c>
      <c r="DR4" s="225">
        <f>IF(ISERROR('raw data'!IH5/'raw data'!II5),0,'raw data'!IH5/'raw data'!II5)</f>
        <v>0</v>
      </c>
      <c r="DS4" s="225">
        <f>IF(ISERROR('raw data'!IJ5/'raw data'!IK5),0,'raw data'!IJ5/'raw data'!IK5)</f>
        <v>0</v>
      </c>
      <c r="DT4" s="225">
        <f>IF(ISERROR('raw data'!IL5/'raw data'!IM5),0,'raw data'!IL5/'raw data'!IM5)</f>
        <v>0</v>
      </c>
      <c r="DU4" s="225">
        <f>IF(ISERROR('raw data'!IN5/'raw data'!IO5),0,'raw data'!IN5/'raw data'!IO5)</f>
        <v>0</v>
      </c>
      <c r="DV4" s="225">
        <f>IF(ISERROR('raw data'!IP5/'raw data'!IQ5),0,'raw data'!IP5/'raw data'!IQ5)</f>
        <v>0</v>
      </c>
      <c r="DW4" s="225">
        <f>IF(ISERROR('raw data'!IR5/'raw data'!IS5),0,'raw data'!IR5/'raw data'!IS5)</f>
        <v>0</v>
      </c>
      <c r="DX4" s="225">
        <f>IF(ISERROR('raw data'!IT5/'raw data'!IU5),0,'raw data'!IT5/'raw data'!IU5)</f>
        <v>0</v>
      </c>
      <c r="DY4" s="225">
        <f>IF(ISERROR('raw data'!IV5/'raw data'!IW5),0,'raw data'!IV5/'raw data'!IW5)</f>
        <v>0</v>
      </c>
      <c r="DZ4" s="225">
        <f>IF(ISERROR('raw data'!IX5/'raw data'!IY5),0,'raw data'!IX5/'raw data'!IY5)</f>
        <v>0</v>
      </c>
      <c r="EA4" s="225">
        <f>IF(ISERROR('raw data'!IZ5/'raw data'!JA5),0,'raw data'!IZ5/'raw data'!JA5)</f>
        <v>0</v>
      </c>
      <c r="EB4" s="225">
        <f>IF(ISERROR('raw data'!JB5/'raw data'!JC5),0,'raw data'!JB5/'raw data'!JC5)</f>
        <v>0</v>
      </c>
      <c r="EC4" s="225">
        <f>IF(ISERROR('raw data'!JD5/'raw data'!JE5),0,'raw data'!JD5/'raw data'!JE5)</f>
        <v>0</v>
      </c>
      <c r="ED4" s="226"/>
      <c r="EE4" s="227">
        <v>0</v>
      </c>
      <c r="EF4" s="227">
        <v>0</v>
      </c>
      <c r="EG4" s="228">
        <f t="shared" si="0"/>
        <v>0</v>
      </c>
    </row>
    <row r="5" spans="1:138" ht="25.5" customHeight="1" x14ac:dyDescent="0.15">
      <c r="A5" s="222">
        <v>1.4</v>
      </c>
      <c r="B5" s="223" t="str">
        <f>'raw data'!B6</f>
        <v>Savings accounts with large number (7+) of branches used (CR, CQ, WD) and min cash credits of £1k per month.</v>
      </c>
      <c r="C5" s="231" t="s">
        <v>11</v>
      </c>
      <c r="D5" s="225">
        <f>+'raw data'!D6/'raw data'!E6</f>
        <v>0.3</v>
      </c>
      <c r="E5" s="225">
        <f>+'raw data'!F6/'raw data'!G6</f>
        <v>0.375</v>
      </c>
      <c r="F5" s="225">
        <f>+'raw data'!H6/'raw data'!I6</f>
        <v>0</v>
      </c>
      <c r="G5" s="225">
        <f>'raw data'!J6/'raw data'!K6</f>
        <v>0.29411764705882354</v>
      </c>
      <c r="H5" s="225">
        <f>'raw data'!L6/'raw data'!M6</f>
        <v>0.125</v>
      </c>
      <c r="I5" s="225">
        <f>'raw data'!N6/'raw data'!O6</f>
        <v>0.375</v>
      </c>
      <c r="J5" s="225">
        <f>'raw data'!P6/'raw data'!Q6</f>
        <v>0</v>
      </c>
      <c r="K5" s="225">
        <f>'raw data'!R6/'raw data'!S6</f>
        <v>0.15384615384615385</v>
      </c>
      <c r="L5" s="225">
        <f>'raw data'!T6/'raw data'!U6</f>
        <v>0.3</v>
      </c>
      <c r="M5" s="225">
        <f>'raw data'!V6/'raw data'!W6</f>
        <v>0.33333333333333331</v>
      </c>
      <c r="N5" s="225">
        <f>'raw data'!X6/'raw data'!Y6</f>
        <v>0.33333333333333331</v>
      </c>
      <c r="O5" s="225">
        <f>IF(ISERROR('raw data'!Z6/'raw data'!AA6),0,'raw data'!Z6/'raw data'!AA6)</f>
        <v>0.3</v>
      </c>
      <c r="P5" s="225">
        <f>IF(ISERROR('raw data'!AB6/'raw data'!AC6),0,'raw data'!AB6/'raw data'!AC6)</f>
        <v>0.42857142857142855</v>
      </c>
      <c r="Q5" s="225">
        <f>IF(ISERROR('raw data'!AD6/'raw data'!AE6),0,'raw data'!AD6/'raw data'!AE6)</f>
        <v>0.25</v>
      </c>
      <c r="R5" s="225">
        <f>IF(ISERROR('raw data'!AF6/'raw data'!AG6),0,'raw data'!AF6/'raw data'!AG6)</f>
        <v>0.4</v>
      </c>
      <c r="S5" s="225">
        <f>IF(ISERROR('raw data'!AH6/'raw data'!AI6),0,'raw data'!AH6/'raw data'!AI6)</f>
        <v>0.66666666666666663</v>
      </c>
      <c r="T5" s="225">
        <f>IF(ISERROR('raw data'!AJ6/'raw data'!AK6),0,'raw data'!AJ6/'raw data'!AK6)</f>
        <v>0.4</v>
      </c>
      <c r="U5" s="225">
        <f>IF(ISERROR('raw data'!AL6/'raw data'!AM6),0,'raw data'!AL6/'raw data'!AM6)</f>
        <v>0.2857142857142857</v>
      </c>
      <c r="V5" s="225">
        <f>IF(ISERROR('raw data'!AN6/'raw data'!AO6),0,'raw data'!AN6/'raw data'!AO6)</f>
        <v>0.25</v>
      </c>
      <c r="W5" s="225">
        <f>IF(ISERROR('raw data'!AP6/'raw data'!AQ6),0,'raw data'!AP6/'raw data'!AQ6)</f>
        <v>0.2857142857142857</v>
      </c>
      <c r="X5" s="225">
        <f>IF(ISERROR('raw data'!AR6/'raw data'!AS6),0,'raw data'!AR6/'raw data'!AS6)</f>
        <v>0</v>
      </c>
      <c r="Y5" s="225">
        <f>IF(ISERROR('raw data'!AT6/'raw data'!AU6),0,'raw data'!AT6/'raw data'!AU6)</f>
        <v>0.31578947368421051</v>
      </c>
      <c r="Z5" s="225">
        <f>IF(ISERROR('raw data'!AV6/'raw data'!AW6),0,'raw data'!AV6/'raw data'!AW6)</f>
        <v>0.31818181818181818</v>
      </c>
      <c r="AA5" s="225">
        <f>IF(ISERROR('raw data'!AX6/'raw data'!AY6),0,'raw data'!AX6/'raw data'!AY6)</f>
        <v>0.2</v>
      </c>
      <c r="AB5" s="225">
        <f>IF(ISERROR('raw data'!AZ6/'raw data'!BA6),0,'raw data'!AZ6/'raw data'!BA6)</f>
        <v>0.12</v>
      </c>
      <c r="AC5" s="225">
        <f>IF(ISERROR('raw data'!BB6/'raw data'!BC6),0,'raw data'!BB6/'raw data'!BC6)</f>
        <v>0.17142857142857143</v>
      </c>
      <c r="AD5" s="225">
        <f>IF(ISERROR('raw data'!BD6/'raw data'!BE6),0,'raw data'!BD6/'raw data'!BE6)</f>
        <v>0.26666666666666666</v>
      </c>
      <c r="AE5" s="225">
        <f>IF(ISERROR('raw data'!BF6/'raw data'!BG6),0,'raw data'!BF6/'raw data'!BG6)</f>
        <v>0.10638297872340426</v>
      </c>
      <c r="AF5" s="225">
        <f>IF(ISERROR('raw data'!BH6/'raw data'!BI6),0,'raw data'!BH6/'raw data'!BI6)</f>
        <v>3.3333333333333333E-2</v>
      </c>
      <c r="AG5" s="225">
        <f>IF(ISERROR('raw data'!BJ6/'raw data'!BK6),0,'raw data'!BJ6/'raw data'!BK6)</f>
        <v>6.25E-2</v>
      </c>
      <c r="AH5" s="225">
        <f>IF(ISERROR('raw data'!BL6/'raw data'!BM6),0,'raw data'!BL6/'raw data'!BM6)</f>
        <v>8.5714285714285715E-2</v>
      </c>
      <c r="AI5" s="225">
        <f>IF(ISERROR('raw data'!BN6/'raw data'!BO6),0,'raw data'!BN6/'raw data'!BO6)</f>
        <v>0.18421052631578946</v>
      </c>
      <c r="AJ5" s="225">
        <f>IF(ISERROR('raw data'!BP6/'raw data'!BQ6),0,'raw data'!BP6/'raw data'!BQ6)</f>
        <v>0.20689655172413793</v>
      </c>
      <c r="AK5" s="225">
        <f>IF(ISERROR('raw data'!BR6/'raw data'!BS6),0,'raw data'!BR6/'raw data'!BS6)</f>
        <v>0.14285714285714285</v>
      </c>
      <c r="AL5" s="225">
        <f>IF(ISERROR('raw data'!BT6/'raw data'!BU6),0,'raw data'!BT6/'raw data'!BU6)</f>
        <v>0.17499999999999999</v>
      </c>
      <c r="AM5" s="225">
        <f>IF(ISERROR('raw data'!BV6/'raw data'!BW6),0,'raw data'!BV6/'raw data'!BW6)</f>
        <v>0.15151515151515152</v>
      </c>
      <c r="AN5" s="225">
        <f>IF(ISERROR('raw data'!BX6/'raw data'!BY6),0,'raw data'!BX6/'raw data'!BY6)</f>
        <v>0.24324324324324326</v>
      </c>
      <c r="AO5" s="225">
        <f>IF(ISERROR('raw data'!BZ6/'raw data'!CA6),0,'raw data'!BZ6/'raw data'!CA6)</f>
        <v>0.18181818181818182</v>
      </c>
      <c r="AP5" s="225">
        <f>IF(ISERROR('raw data'!CB6/'raw data'!CC6),0,'raw data'!CB6/'raw data'!CC6)</f>
        <v>0.25925925925925924</v>
      </c>
      <c r="AQ5" s="225">
        <f>IF(ISERROR('raw data'!CD6/'raw data'!CE6),0,'raw data'!CD6/'raw data'!CE6)</f>
        <v>0.21052631578947367</v>
      </c>
      <c r="AR5" s="225">
        <f>IF(ISERROR('raw data'!CF6/'raw data'!CG6),0,'raw data'!CF6/'raw data'!CG6)</f>
        <v>0.30303030303030304</v>
      </c>
      <c r="AS5" s="225">
        <f>IF(ISERROR('raw data'!CH6/'raw data'!CI6),0,'raw data'!CH6/'raw data'!CI6)</f>
        <v>0.22222222222222221</v>
      </c>
      <c r="AT5" s="225">
        <f>IF(ISERROR('raw data'!CJ6/'raw data'!CK6),0,'raw data'!CJ6/'raw data'!CK6)</f>
        <v>8.3333333333333329E-2</v>
      </c>
      <c r="AU5" s="225">
        <f>IF(ISERROR('raw data'!CL6/'raw data'!CM6),0,'raw data'!CL6/'raw data'!CM6)</f>
        <v>0.35849056603773582</v>
      </c>
      <c r="AV5" s="225">
        <f>IF(ISERROR('raw data'!CN6/'raw data'!CO6),0,'raw data'!CN6/'raw data'!CO6)</f>
        <v>0.3</v>
      </c>
      <c r="AW5" s="225">
        <f>IF(ISERROR('raw data'!CP6/'raw data'!CQ6),0,'raw data'!CP6/'raw data'!CQ6)</f>
        <v>0.20588235294117646</v>
      </c>
      <c r="AX5" s="225">
        <f>IF(ISERROR('raw data'!CR6/'raw data'!CS6),0,'raw data'!CR6/'raw data'!CS6)</f>
        <v>9.7560975609756101E-2</v>
      </c>
      <c r="AY5" s="225">
        <f>IF(ISERROR('raw data'!CT6/'raw data'!CU6),0,'raw data'!CT6/'raw data'!CU6)</f>
        <v>0.3611111111111111</v>
      </c>
      <c r="AZ5" s="225">
        <f>IF(ISERROR('raw data'!CV6/'raw data'!CW6),0,'raw data'!CV6/'raw data'!CW6)</f>
        <v>0.11428571428571428</v>
      </c>
      <c r="BA5" s="225">
        <f>IF(ISERROR('raw data'!CX6/'raw data'!CY6),0,'raw data'!CX6/'raw data'!CY6)</f>
        <v>0.29268292682926828</v>
      </c>
      <c r="BB5" s="225">
        <f>IF(ISERROR('raw data'!CZ6/'raw data'!DA6),0,'raw data'!CZ6/'raw data'!DA6)</f>
        <v>0.36363636363636365</v>
      </c>
      <c r="BC5" s="225">
        <f>IF(ISERROR('raw data'!DB6/'raw data'!DC6),0,'raw data'!DB6/'raw data'!DC6)</f>
        <v>0.30434782608695654</v>
      </c>
      <c r="BD5" s="225">
        <v>0.17857142857142858</v>
      </c>
      <c r="BE5" s="225">
        <f>IF(ISERROR('raw data'!DF6/'raw data'!DG6),0,'raw data'!DF6/'raw data'!DG6)</f>
        <v>0.26315789473684209</v>
      </c>
      <c r="BF5" s="225">
        <f>IF(ISERROR('raw data'!DH6/'raw data'!DI6),0,'raw data'!DH6/'raw data'!DI6)</f>
        <v>0.28947368421052633</v>
      </c>
      <c r="BG5" s="230">
        <f>IF(ISERROR('raw data'!DJ6/'raw data'!DK6),0,'raw data'!DJ6/'raw data'!DK6)</f>
        <v>0.33333333333333331</v>
      </c>
      <c r="BH5" s="230">
        <f>IF(ISERROR('raw data'!DL6/'raw data'!DM6),0,'raw data'!DL6/'raw data'!DM6)</f>
        <v>0.30232558139534882</v>
      </c>
      <c r="BI5" s="230">
        <f>IF(ISERROR('raw data'!DN6/'raw data'!DO6),0,'raw data'!DN6/'raw data'!DO6)</f>
        <v>0.27906976744186046</v>
      </c>
      <c r="BJ5" s="230">
        <f>IF(ISERROR('raw data'!DP6/'raw data'!DQ6),0,'raw data'!DP6/'raw data'!DQ6)</f>
        <v>0.26470588235294118</v>
      </c>
      <c r="BK5" s="230">
        <f>IF(ISERROR('raw data'!DR6/'raw data'!DS6),0,'raw data'!DR6/'raw data'!DS6)</f>
        <v>0.22857142857142856</v>
      </c>
      <c r="BL5" s="230">
        <f>IF(ISERROR('raw data'!DT6/'raw data'!DU6),0,'raw data'!DT6/'raw data'!DU6)</f>
        <v>0.25</v>
      </c>
      <c r="BM5" s="230">
        <f>IF(ISERROR('raw data'!DV6/'raw data'!DW6),0,'raw data'!DV6/'raw data'!DW6)</f>
        <v>0.26666666666666666</v>
      </c>
      <c r="BN5" s="230">
        <f>IF(ISERROR('raw data'!DX6/'raw data'!DY6),0,'raw data'!DX6/'raw data'!DY6)</f>
        <v>0.15625</v>
      </c>
      <c r="BO5" s="230">
        <f>IF(ISERROR('raw data'!DZ6/'raw data'!EA6),0,'raw data'!DZ6/'raw data'!EA6)</f>
        <v>0.26666666666666666</v>
      </c>
      <c r="BP5" s="225">
        <f>IF(ISERROR('raw data'!EB6/'raw data'!EC6),0,'raw data'!EB6/'raw data'!EC6)</f>
        <v>0.2</v>
      </c>
      <c r="BQ5" s="225">
        <f>IF(ISERROR('raw data'!ED6/'raw data'!EE6),0,'raw data'!ED6/'raw data'!EE6)</f>
        <v>0.18181818181818182</v>
      </c>
      <c r="BR5" s="225">
        <f>IF(ISERROR('raw data'!EF6/'raw data'!EG6),0,'raw data'!EF6/'raw data'!EG6)</f>
        <v>0.10810810810810811</v>
      </c>
      <c r="BS5" s="225">
        <f>IF(ISERROR('raw data'!EH6/'raw data'!EI6),0,'raw data'!EH6/'raw data'!EI6)</f>
        <v>0.16666666666666666</v>
      </c>
      <c r="BT5" s="225">
        <f>IF(ISERROR('raw data'!EJ6/'raw data'!EK6),0,'raw data'!EJ6/'raw data'!EK6)</f>
        <v>0.1875</v>
      </c>
      <c r="BU5" s="225">
        <f>IF(ISERROR('raw data'!EL6/'raw data'!EM6),0,'raw data'!EL6/'raw data'!EM6)</f>
        <v>0.25714285714285712</v>
      </c>
      <c r="BV5" s="225">
        <f>IF(ISERROR('raw data'!EN6/'raw data'!EO6),0,'raw data'!EN6/'raw data'!EO6)</f>
        <v>9.6774193548387094E-2</v>
      </c>
      <c r="BW5" s="225">
        <f>IF(ISERROR('raw data'!EP6/'raw data'!EQ6),0,'raw data'!EP6/'raw data'!EQ6)</f>
        <v>0.22727272727272727</v>
      </c>
      <c r="BX5" s="225">
        <f>IF(ISERROR('raw data'!ER6/'raw data'!ES6),0,'raw data'!ER6/'raw data'!ES6)</f>
        <v>0.47368421052631576</v>
      </c>
      <c r="BY5" s="225">
        <f>IF(ISERROR('raw data'!ET6/'raw data'!EU6),0,'raw data'!ET6/'raw data'!EU6)</f>
        <v>0.28000000000000003</v>
      </c>
      <c r="BZ5" s="225">
        <f>IF(ISERROR('raw data'!EV6/'raw data'!EW6),0,'raw data'!EV6/'raw data'!EW6)</f>
        <v>5.7142857142857141E-2</v>
      </c>
      <c r="CA5" s="225">
        <f>IF(ISERROR('raw data'!EX6/'raw data'!EY6),0,'raw data'!EX6/'raw data'!EY6)</f>
        <v>0.22222222222222221</v>
      </c>
      <c r="CB5" s="225">
        <f>IF(ISERROR('raw data'!EZ6/'raw data'!FA6),0,'raw data'!EZ6/'raw data'!FA6)</f>
        <v>0.17241379310344829</v>
      </c>
      <c r="CC5" s="225">
        <f>IF(ISERROR('raw data'!FB6/'raw data'!FC6),0,'raw data'!FB6/'raw data'!FC6)</f>
        <v>0.32142857142857145</v>
      </c>
      <c r="CD5" s="225">
        <f>IF(ISERROR('raw data'!FD6/'raw data'!FE6),0,'raw data'!FD6/'raw data'!FE6)</f>
        <v>6.0606060606060608E-2</v>
      </c>
      <c r="CE5" s="225">
        <f>IF(ISERROR('raw data'!FF6/'raw data'!FG6),0,'raw data'!FF6/'raw data'!FG6)</f>
        <v>0.27659574468085107</v>
      </c>
      <c r="CF5" s="225">
        <f>IF(ISERROR('raw data'!FH6/'raw data'!FI6),0,'raw data'!FH6/'raw data'!FI6)</f>
        <v>0.13513513513513514</v>
      </c>
      <c r="CG5" s="225">
        <f>IF(ISERROR('raw data'!FJ6/'raw data'!FM6),0,'raw data'!FJ6/'raw data'!FM6)</f>
        <v>5.2631578947368418E-2</v>
      </c>
      <c r="CH5" s="225">
        <f>IF(ISERROR('raw data'!FN6/'raw data'!FO6),0,'raw data'!FN6/'raw data'!FO6)</f>
        <v>8.3333333333333329E-2</v>
      </c>
      <c r="CI5" s="225">
        <f>IF(ISERROR('raw data'!FP6/'raw data'!FQ6),0,'raw data'!FP6/'raw data'!FQ6)</f>
        <v>0.27272727272727271</v>
      </c>
      <c r="CJ5" s="225">
        <f>IF(ISERROR('raw data'!FR6/'raw data'!FS6),0,'raw data'!FR6/'raw data'!FS6)</f>
        <v>0.19047619047619047</v>
      </c>
      <c r="CK5" s="225">
        <f>IF(ISERROR('raw data'!FT6/'raw data'!FU6),0,'raw data'!FT6/'raw data'!FU6)</f>
        <v>3.125E-2</v>
      </c>
      <c r="CL5" s="225">
        <f>IF(ISERROR('raw data'!FV6/'raw data'!FW6),0,'raw data'!FV6/'raw data'!FW6)</f>
        <v>0.11764705882352941</v>
      </c>
      <c r="CM5" s="225">
        <f>IF(ISERROR('raw data'!FX6/'raw data'!FY6),0,'raw data'!FX6/'raw data'!FY6)</f>
        <v>0.15</v>
      </c>
      <c r="CN5" s="225">
        <f>IF(ISERROR('raw data'!FZ6/'raw data'!GA6),0,'raw data'!FZ6/'raw data'!GA6)</f>
        <v>0.1</v>
      </c>
      <c r="CO5" s="225">
        <f>IF(ISERROR('raw data'!GB6/'raw data'!GC6),0,'raw data'!GB6/'raw data'!GC6)</f>
        <v>0.1</v>
      </c>
      <c r="CP5" s="225">
        <f>IF(ISERROR('raw data'!GD6/'raw data'!GE6),0,'raw data'!GD6/'raw data'!GE6)</f>
        <v>0.27777777777777779</v>
      </c>
      <c r="CQ5" s="225">
        <f>IF(ISERROR('raw data'!GF6/'raw data'!GG6),0,'raw data'!GF6/'raw data'!GG6)</f>
        <v>0.15</v>
      </c>
      <c r="CR5" s="225">
        <f>IF(ISERROR('raw data'!GH6/'raw data'!GI6),0,'raw data'!GH6/'raw data'!GI6)</f>
        <v>0.26666666666666666</v>
      </c>
      <c r="CS5" s="225">
        <f>IF(ISERROR('raw data'!GJ6/'raw data'!GK6),0,'raw data'!GJ6/'raw data'!GK6)</f>
        <v>0</v>
      </c>
      <c r="CT5" s="225">
        <f>IF(ISERROR('raw data'!GL6/'raw data'!GM6),0,'raw data'!GL6/'raw data'!GM6)</f>
        <v>0.3125</v>
      </c>
      <c r="CU5" s="225">
        <f>IF(ISERROR('raw data'!GN6/'raw data'!GO6),0,'raw data'!GN6/'raw data'!GO6)</f>
        <v>6.25E-2</v>
      </c>
      <c r="CV5" s="225">
        <f>IF(ISERROR('raw data'!GP6/'raw data'!GQ6),0,'raw data'!GP6/'raw data'!GQ6)</f>
        <v>0</v>
      </c>
      <c r="CW5" s="225">
        <f>IF(ISERROR('raw data'!GR6/'raw data'!GS6),0,'raw data'!GR6/'raw data'!GS6)</f>
        <v>0.2</v>
      </c>
      <c r="CX5" s="225">
        <f>IF(ISERROR('raw data'!GT6/'raw data'!GU6),0,'raw data'!GT6/'raw data'!GU6)</f>
        <v>0</v>
      </c>
      <c r="CY5" s="225">
        <f>IF(ISERROR('raw data'!GV6/'raw data'!GW6),0,'raw data'!GV6/'raw data'!GW6)</f>
        <v>0.18181818181818182</v>
      </c>
      <c r="CZ5" s="225">
        <f>IF(ISERROR('raw data'!GX6/'raw data'!GY6),0,'raw data'!GX6/'raw data'!GY6)</f>
        <v>0.1111111111111111</v>
      </c>
      <c r="DA5" s="225">
        <f>IF(ISERROR('raw data'!GZ6/'raw data'!HA6),0,'raw data'!GZ6/'raw data'!HA6)</f>
        <v>0.1111111111111111</v>
      </c>
      <c r="DB5" s="225">
        <f>IF(ISERROR('raw data'!HB6/'raw data'!HC6),0,'raw data'!HB6/'raw data'!HC6)</f>
        <v>0.15384615384615385</v>
      </c>
      <c r="DC5" s="225">
        <f>IF(ISERROR('raw data'!HD6/'raw data'!HE6),0,'raw data'!HD6/'raw data'!HE6)</f>
        <v>0.1875</v>
      </c>
      <c r="DD5" s="225">
        <f>IF(ISERROR('raw data'!HF6/'raw data'!HG6),0,'raw data'!HF6/'raw data'!HG6)</f>
        <v>6.6666666666666666E-2</v>
      </c>
      <c r="DE5" s="225">
        <f>IF(ISERROR('raw data'!HH6/'raw data'!HI6),0,'raw data'!HH6/'raw data'!HI6)</f>
        <v>0</v>
      </c>
      <c r="DF5" s="225">
        <f>IF(ISERROR('raw data'!HJ6/'raw data'!HK6),0,'raw data'!HJ6/'raw data'!HK6)</f>
        <v>0.18181818181818182</v>
      </c>
      <c r="DG5" s="225">
        <f>IF(ISERROR('raw data'!HL6/'raw data'!HM6),0,'raw data'!HL6/'raw data'!HM6)</f>
        <v>0</v>
      </c>
      <c r="DH5" s="225">
        <f>IF(ISERROR('raw data'!HN6/'raw data'!HO6),0,'raw data'!HN6/'raw data'!HO6)</f>
        <v>0</v>
      </c>
      <c r="DI5" s="225">
        <f>IF(ISERROR('raw data'!HP6/'raw data'!HQ6),0,'raw data'!HP6/'raw data'!HQ6)</f>
        <v>0</v>
      </c>
      <c r="DJ5" s="225">
        <f>IF(ISERROR('raw data'!HR6/'raw data'!HS6),0,'raw data'!HR6/'raw data'!HS6)</f>
        <v>0.16666666666666666</v>
      </c>
      <c r="DK5" s="225">
        <f>IF(ISERROR('raw data'!HT6/'raw data'!HU6),0,'raw data'!HT6/'raw data'!HU6)</f>
        <v>0</v>
      </c>
      <c r="DL5" s="225">
        <f>IF(ISERROR('raw data'!HV6/'raw data'!HW6),0,'raw data'!HV6/'raw data'!HW6)</f>
        <v>0</v>
      </c>
      <c r="DM5" s="225">
        <f>IF(ISERROR('raw data'!HX6/'raw data'!HY6),0,'raw data'!HX6/'raw data'!HY6)</f>
        <v>0</v>
      </c>
      <c r="DN5" s="225">
        <f>IF(ISERROR('raw data'!HZ6/'raw data'!IA6),0,'raw data'!HZ6/'raw data'!IA6)</f>
        <v>0</v>
      </c>
      <c r="DO5" s="225">
        <f>IF(ISERROR('raw data'!IB6/'raw data'!IC6),0,'raw data'!IB6/'raw data'!IC6)</f>
        <v>0</v>
      </c>
      <c r="DP5" s="225">
        <f>IF(ISERROR('raw data'!ID6/'raw data'!IE6),0,'raw data'!ID6/'raw data'!IE6)</f>
        <v>1</v>
      </c>
      <c r="DQ5" s="225">
        <f>IF(ISERROR('raw data'!IF6/'raw data'!IG6),0,'raw data'!IF6/'raw data'!IG6)</f>
        <v>1</v>
      </c>
      <c r="DR5" s="225">
        <f>IF(ISERROR('raw data'!IH6/'raw data'!II6),0,'raw data'!IH6/'raw data'!II6)</f>
        <v>0</v>
      </c>
      <c r="DS5" s="225">
        <f>IF(ISERROR('raw data'!IJ6/'raw data'!IK6),0,'raw data'!IJ6/'raw data'!IK6)</f>
        <v>0</v>
      </c>
      <c r="DT5" s="225">
        <f>IF(ISERROR('raw data'!IL6/'raw data'!IM6),0,'raw data'!IL6/'raw data'!IM6)</f>
        <v>0</v>
      </c>
      <c r="DU5" s="225">
        <f>IF(ISERROR('raw data'!IN6/'raw data'!IO6),0,'raw data'!IN6/'raw data'!IO6)</f>
        <v>0</v>
      </c>
      <c r="DV5" s="225">
        <f>IF(ISERROR('raw data'!IP6/'raw data'!IQ6),0,'raw data'!IP6/'raw data'!IQ6)</f>
        <v>0</v>
      </c>
      <c r="DW5" s="225">
        <f>IF(ISERROR('raw data'!IR6/'raw data'!IS6),0,'raw data'!IR6/'raw data'!IS6)</f>
        <v>1</v>
      </c>
      <c r="DX5" s="225">
        <f>IF(ISERROR('raw data'!IT6/'raw data'!IU6),0,'raw data'!IT6/'raw data'!IU6)</f>
        <v>0</v>
      </c>
      <c r="DY5" s="225">
        <f>IF(ISERROR('raw data'!IV6/'raw data'!IW6),0,'raw data'!IV6/'raw data'!IW6)</f>
        <v>0.33333333333333331</v>
      </c>
      <c r="DZ5" s="225">
        <f>IF(ISERROR('raw data'!IX6/'raw data'!IY6),0,'raw data'!IX6/'raw data'!IY6)</f>
        <v>0</v>
      </c>
      <c r="EA5" s="225">
        <f>IF(ISERROR('raw data'!IZ6/'raw data'!JA6),0,'raw data'!IZ6/'raw data'!JA6)</f>
        <v>0</v>
      </c>
      <c r="EB5" s="225">
        <f>IF(ISERROR('raw data'!JB6/'raw data'!JC6),0,'raw data'!JB6/'raw data'!JC6)</f>
        <v>0</v>
      </c>
      <c r="EC5" s="225">
        <f>IF(ISERROR('raw data'!JD6/'raw data'!JE6),0,'raw data'!JD6/'raw data'!JE6)</f>
        <v>0</v>
      </c>
      <c r="ED5" s="226"/>
      <c r="EE5" s="227">
        <v>2</v>
      </c>
      <c r="EF5" s="227">
        <v>11</v>
      </c>
      <c r="EG5" s="228">
        <f t="shared" si="0"/>
        <v>0.18181818181818182</v>
      </c>
    </row>
    <row r="6" spans="1:138" ht="25.5" customHeight="1" x14ac:dyDescent="0.15">
      <c r="A6" s="222">
        <v>1.5</v>
      </c>
      <c r="B6" s="223" t="str">
        <f>'raw data'!B7</f>
        <v>Flex accounts with &gt;=5 £3k+ credits (CR,CQ) and &gt;=4 £3k+ withdrawals (W4,WR) last month.</v>
      </c>
      <c r="C6" s="224" t="s">
        <v>13</v>
      </c>
      <c r="D6" s="225">
        <f>+'raw data'!D7/'raw data'!E7</f>
        <v>0.27272727272727271</v>
      </c>
      <c r="E6" s="225">
        <f>+'raw data'!F7/'raw data'!G7</f>
        <v>0.5</v>
      </c>
      <c r="F6" s="225">
        <f>+'raw data'!H7/'raw data'!I7</f>
        <v>0.33333333333333331</v>
      </c>
      <c r="G6" s="225">
        <f>'raw data'!J7/'raw data'!K7</f>
        <v>0.21428571428571427</v>
      </c>
      <c r="H6" s="225">
        <f>'raw data'!L7/'raw data'!M7</f>
        <v>0.4</v>
      </c>
      <c r="I6" s="225">
        <f>'raw data'!N7/'raw data'!O7</f>
        <v>9.0909090909090912E-2</v>
      </c>
      <c r="J6" s="225">
        <f>'raw data'!P7/'raw data'!Q7</f>
        <v>0</v>
      </c>
      <c r="K6" s="225">
        <f>'raw data'!R7/'raw data'!S7</f>
        <v>0</v>
      </c>
      <c r="L6" s="225">
        <f>'raw data'!T7/'raw data'!U7</f>
        <v>0.23076923076923078</v>
      </c>
      <c r="M6" s="225">
        <f>'raw data'!V7/'raw data'!W7</f>
        <v>0.14285714285714285</v>
      </c>
      <c r="N6" s="225">
        <f>'raw data'!X7/'raw data'!Y7</f>
        <v>7.1428571428571425E-2</v>
      </c>
      <c r="O6" s="225">
        <f>IF(ISERROR('raw data'!Z7/'raw data'!AA7),0,'raw data'!Z7/'raw data'!AA7)</f>
        <v>0.33333333333333331</v>
      </c>
      <c r="P6" s="225">
        <f>IF(ISERROR('raw data'!AB7/'raw data'!AC7),0,'raw data'!AB7/'raw data'!AC7)</f>
        <v>9.0909090909090912E-2</v>
      </c>
      <c r="Q6" s="225">
        <f>IF(ISERROR('raw data'!AD7/'raw data'!AE7),0,'raw data'!AD7/'raw data'!AE7)</f>
        <v>0</v>
      </c>
      <c r="R6" s="225">
        <f>IF(ISERROR('raw data'!AF7/'raw data'!AG7),0,'raw data'!AF7/'raw data'!AG7)</f>
        <v>0</v>
      </c>
      <c r="S6" s="225">
        <f>IF(ISERROR('raw data'!AH7/'raw data'!AI7),0,'raw data'!AH7/'raw data'!AI7)</f>
        <v>0</v>
      </c>
      <c r="T6" s="225">
        <f>IF(ISERROR('raw data'!AJ7/'raw data'!AK7),0,'raw data'!AJ7/'raw data'!AK7)</f>
        <v>0</v>
      </c>
      <c r="U6" s="225">
        <f>IF(ISERROR('raw data'!AL7/'raw data'!AM7),0,'raw data'!AL7/'raw data'!AM7)</f>
        <v>0</v>
      </c>
      <c r="V6" s="225">
        <f>IF(ISERROR('raw data'!AN7/'raw data'!AO7),0,'raw data'!AN7/'raw data'!AO7)</f>
        <v>0</v>
      </c>
      <c r="W6" s="225">
        <f>IF(ISERROR('raw data'!AP7/'raw data'!AQ7),0,'raw data'!AP7/'raw data'!AQ7)</f>
        <v>0</v>
      </c>
      <c r="X6" s="225">
        <f>IF(ISERROR('raw data'!AR7/'raw data'!AS7),0,'raw data'!AR7/'raw data'!AS7)</f>
        <v>0.14285714285714285</v>
      </c>
      <c r="Y6" s="225">
        <f>IF(ISERROR('raw data'!AT7/'raw data'!AU7),0,'raw data'!AT7/'raw data'!AU7)</f>
        <v>0.125</v>
      </c>
      <c r="Z6" s="225">
        <f>IF(ISERROR('raw data'!AV7/'raw data'!AW7),0,'raw data'!AV7/'raw data'!AW7)</f>
        <v>0.18181818181818182</v>
      </c>
      <c r="AA6" s="225">
        <f>IF(ISERROR('raw data'!AX7/'raw data'!AY7),0,'raw data'!AX7/'raw data'!AY7)</f>
        <v>0.33333333333333331</v>
      </c>
      <c r="AB6" s="225">
        <f>IF(ISERROR('raw data'!AZ7/'raw data'!BA7),0,'raw data'!AZ7/'raw data'!BA7)</f>
        <v>0</v>
      </c>
      <c r="AC6" s="225">
        <f>IF(ISERROR('raw data'!BB7/'raw data'!BC7),0,'raw data'!BB7/'raw data'!BC7)</f>
        <v>0</v>
      </c>
      <c r="AD6" s="225">
        <f>IF(ISERROR('raw data'!BD7/'raw data'!BE7),0,'raw data'!BD7/'raw data'!BE7)</f>
        <v>1</v>
      </c>
      <c r="AE6" s="225">
        <f>IF(ISERROR('raw data'!BF7/'raw data'!BG7),0,'raw data'!BF7/'raw data'!BG7)</f>
        <v>0</v>
      </c>
      <c r="AF6" s="225">
        <f>IF(ISERROR('raw data'!BH7/'raw data'!BI7),0,'raw data'!BH7/'raw data'!BI7)</f>
        <v>0</v>
      </c>
      <c r="AG6" s="225">
        <f>IF(ISERROR('raw data'!BJ7/'raw data'!BK7),0,'raw data'!BJ7/'raw data'!BK7)</f>
        <v>0</v>
      </c>
      <c r="AH6" s="225">
        <f>IF(ISERROR('raw data'!BL7/'raw data'!BM7),0,'raw data'!BL7/'raw data'!BM7)</f>
        <v>0.16666666666666666</v>
      </c>
      <c r="AI6" s="225">
        <f>IF(ISERROR('raw data'!BN7/'raw data'!BO7),0,'raw data'!BN7/'raw data'!BO7)</f>
        <v>0.14285714285714285</v>
      </c>
      <c r="AJ6" s="225">
        <f>IF(ISERROR('raw data'!BP7/'raw data'!BQ7),0,'raw data'!BP7/'raw data'!BQ7)</f>
        <v>0</v>
      </c>
      <c r="AK6" s="225">
        <f>IF(ISERROR('raw data'!BR7/'raw data'!BS7),0,'raw data'!BR7/'raw data'!BS7)</f>
        <v>0</v>
      </c>
      <c r="AL6" s="225">
        <f>IF(ISERROR('raw data'!BT7/'raw data'!BU7),0,'raw data'!BT7/'raw data'!BU7)</f>
        <v>0.22222222222222221</v>
      </c>
      <c r="AM6" s="225">
        <f>IF(ISERROR('raw data'!BV7/'raw data'!BW7),0,'raw data'!BV7/'raw data'!BW7)</f>
        <v>0</v>
      </c>
      <c r="AN6" s="225">
        <f>IF(ISERROR('raw data'!BX7/'raw data'!BY7),0,'raw data'!BX7/'raw data'!BY7)</f>
        <v>0.25</v>
      </c>
      <c r="AO6" s="225">
        <f>IF(ISERROR('raw data'!BZ7/'raw data'!CA7),0,'raw data'!BZ7/'raw data'!CA7)</f>
        <v>0</v>
      </c>
      <c r="AP6" s="225">
        <f>IF(ISERROR('raw data'!CB7/'raw data'!CC7),0,'raw data'!CB7/'raw data'!CC7)</f>
        <v>0.5</v>
      </c>
      <c r="AQ6" s="225">
        <f>IF(ISERROR('raw data'!CD7/'raw data'!CE7),0,'raw data'!CD7/'raw data'!CE7)</f>
        <v>0.33333333333333331</v>
      </c>
      <c r="AR6" s="225">
        <f>IF(ISERROR('raw data'!CF7/'raw data'!CG7),0,'raw data'!CF7/'raw data'!CG7)</f>
        <v>0</v>
      </c>
      <c r="AS6" s="225">
        <f>IF(ISERROR('raw data'!CH7/'raw data'!CI7),0,'raw data'!CH7/'raw data'!CI7)</f>
        <v>0</v>
      </c>
      <c r="AT6" s="225">
        <f>IF(ISERROR('raw data'!CJ7/'raw data'!CK7),0,'raw data'!CJ7/'raw data'!CK7)</f>
        <v>0.2</v>
      </c>
      <c r="AU6" s="225">
        <f>IF(ISERROR('raw data'!CL7/'raw data'!CM7),0,'raw data'!CL7/'raw data'!CM7)</f>
        <v>0.2</v>
      </c>
      <c r="AV6" s="225">
        <f>IF(ISERROR('raw data'!CN7/'raw data'!CO7),0,'raw data'!CN7/'raw data'!CO7)</f>
        <v>0.1111111111111111</v>
      </c>
      <c r="AW6" s="225">
        <f>IF(ISERROR('raw data'!CP7/'raw data'!CQ7),0,'raw data'!CP7/'raw data'!CQ7)</f>
        <v>0</v>
      </c>
      <c r="AX6" s="225">
        <f>IF(ISERROR('raw data'!CR7/'raw data'!CS7),0,'raw data'!CR7/'raw data'!CS7)</f>
        <v>0.5</v>
      </c>
      <c r="AY6" s="225">
        <f>IF(ISERROR('raw data'!CT7/'raw data'!CU7),0,'raw data'!CT7/'raw data'!CU7)</f>
        <v>0</v>
      </c>
      <c r="AZ6" s="225">
        <f>IF(ISERROR('raw data'!CV7/'raw data'!CW7),0,'raw data'!CV7/'raw data'!CW7)</f>
        <v>0</v>
      </c>
      <c r="BA6" s="225">
        <f>IF(ISERROR('raw data'!CX7/'raw data'!CY7),0,'raw data'!CX7/'raw data'!CY7)</f>
        <v>0.2</v>
      </c>
      <c r="BB6" s="225">
        <f>IF(ISERROR('raw data'!CZ7/'raw data'!DA7),0,'raw data'!CZ7/'raw data'!DA7)</f>
        <v>0</v>
      </c>
      <c r="BC6" s="225">
        <f>IF(ISERROR('raw data'!DB7/'raw data'!DC7),0,'raw data'!DB7/'raw data'!DC7)</f>
        <v>0.2</v>
      </c>
      <c r="BD6" s="225">
        <v>0</v>
      </c>
      <c r="BE6" s="225">
        <f>IF(ISERROR('raw data'!DF7/'raw data'!DG7),0,'raw data'!DF7/'raw data'!DG7)</f>
        <v>0.33333333333333331</v>
      </c>
      <c r="BF6" s="225">
        <f>IF(ISERROR('raw data'!DH7/'raw data'!DI7),0,'raw data'!DH7/'raw data'!DI7)</f>
        <v>0.16666666666666666</v>
      </c>
      <c r="BG6" s="230">
        <f>IF(ISERROR('raw data'!DJ7/'raw data'!DK7),0,'raw data'!DJ7/'raw data'!DK7)</f>
        <v>0</v>
      </c>
      <c r="BH6" s="230">
        <f>IF(ISERROR('raw data'!DL7/'raw data'!DM7),0,'raw data'!DL7/'raw data'!DM7)</f>
        <v>0.2857142857142857</v>
      </c>
      <c r="BI6" s="230">
        <f>IF(ISERROR('raw data'!DN7/'raw data'!DO7),0,'raw data'!DN7/'raw data'!DO7)</f>
        <v>0</v>
      </c>
      <c r="BJ6" s="230">
        <f>IF(ISERROR('raw data'!DP7/'raw data'!DQ7),0,'raw data'!DP7/'raw data'!DQ7)</f>
        <v>0.33333333333333331</v>
      </c>
      <c r="BK6" s="230">
        <f>IF(ISERROR('raw data'!DR7/'raw data'!DS7),0,'raw data'!DR7/'raw data'!DS7)</f>
        <v>0</v>
      </c>
      <c r="BL6" s="230">
        <f>IF(ISERROR('raw data'!DT7/'raw data'!DU7),0,'raw data'!DT7/'raw data'!DU7)</f>
        <v>0.16666666666666666</v>
      </c>
      <c r="BM6" s="230">
        <f>IF(ISERROR('raw data'!DV7/'raw data'!DW7),0,'raw data'!DV7/'raw data'!DW7)</f>
        <v>0</v>
      </c>
      <c r="BN6" s="230">
        <f>IF(ISERROR('raw data'!DX7/'raw data'!DY7),0,'raw data'!DX7/'raw data'!DY7)</f>
        <v>0</v>
      </c>
      <c r="BO6" s="230">
        <f>IF(ISERROR('raw data'!DZ7/'raw data'!EA7),0,'raw data'!DZ7/'raw data'!EA7)</f>
        <v>0</v>
      </c>
      <c r="BP6" s="225">
        <f>IF(ISERROR('raw data'!EB7/'raw data'!EC7),0,'raw data'!EB7/'raw data'!EC7)</f>
        <v>0.16666666666666666</v>
      </c>
      <c r="BQ6" s="225">
        <f>IF(ISERROR('raw data'!ED7/'raw data'!EE7),0,'raw data'!ED7/'raw data'!EE7)</f>
        <v>0.2</v>
      </c>
      <c r="BR6" s="225">
        <f>IF(ISERROR('raw data'!EF7/'raw data'!EG7),0,'raw data'!EF7/'raw data'!EG7)</f>
        <v>0</v>
      </c>
      <c r="BS6" s="225">
        <f>IF(ISERROR('raw data'!EH7/'raw data'!EI7),0,'raw data'!EH7/'raw data'!EI7)</f>
        <v>0</v>
      </c>
      <c r="BT6" s="225">
        <f>IF(ISERROR('raw data'!EJ7/'raw data'!EK7),0,'raw data'!EJ7/'raw data'!EK7)</f>
        <v>0.125</v>
      </c>
      <c r="BU6" s="225">
        <f>IF(ISERROR('raw data'!EL7/'raw data'!EM7),0,'raw data'!EL7/'raw data'!EM7)</f>
        <v>0.33333333333333331</v>
      </c>
      <c r="BV6" s="225">
        <f>IF(ISERROR('raw data'!EN7/'raw data'!EO7),0,'raw data'!EN7/'raw data'!EO7)</f>
        <v>0</v>
      </c>
      <c r="BW6" s="225">
        <f>IF(ISERROR('raw data'!EP7/'raw data'!EQ7),0,'raw data'!EP7/'raw data'!EQ7)</f>
        <v>0</v>
      </c>
      <c r="BX6" s="225">
        <f>IF(ISERROR('raw data'!ER7/'raw data'!ES7),0,'raw data'!ER7/'raw data'!ES7)</f>
        <v>0</v>
      </c>
      <c r="BY6" s="225">
        <f>IF(ISERROR('raw data'!ET7/'raw data'!EU7),0,'raw data'!ET7/'raw data'!EU7)</f>
        <v>0.25</v>
      </c>
      <c r="BZ6" s="232" t="s">
        <v>243</v>
      </c>
      <c r="CA6" s="232" t="s">
        <v>243</v>
      </c>
      <c r="CB6" s="232" t="s">
        <v>243</v>
      </c>
      <c r="CC6" s="232" t="s">
        <v>243</v>
      </c>
      <c r="CD6" s="232" t="s">
        <v>243</v>
      </c>
      <c r="CE6" s="232" t="s">
        <v>243</v>
      </c>
      <c r="CF6" s="232" t="s">
        <v>243</v>
      </c>
      <c r="CG6" s="232" t="s">
        <v>243</v>
      </c>
      <c r="CH6" s="232" t="s">
        <v>243</v>
      </c>
      <c r="CI6" s="232" t="s">
        <v>243</v>
      </c>
      <c r="CJ6" s="232" t="s">
        <v>243</v>
      </c>
      <c r="CK6" s="232" t="s">
        <v>243</v>
      </c>
      <c r="CL6" s="232" t="s">
        <v>243</v>
      </c>
      <c r="CM6" s="232" t="s">
        <v>243</v>
      </c>
      <c r="CN6" s="232" t="s">
        <v>243</v>
      </c>
      <c r="CO6" s="232" t="s">
        <v>243</v>
      </c>
      <c r="CP6" s="232" t="s">
        <v>243</v>
      </c>
      <c r="CQ6" s="232" t="s">
        <v>243</v>
      </c>
      <c r="CR6" s="232" t="s">
        <v>243</v>
      </c>
      <c r="CS6" s="232" t="s">
        <v>243</v>
      </c>
      <c r="CT6" s="232" t="s">
        <v>243</v>
      </c>
      <c r="CU6" s="232" t="s">
        <v>243</v>
      </c>
      <c r="CV6" s="232" t="s">
        <v>243</v>
      </c>
      <c r="CW6" s="232" t="s">
        <v>243</v>
      </c>
      <c r="CX6" s="232" t="s">
        <v>243</v>
      </c>
      <c r="CY6" s="232" t="s">
        <v>243</v>
      </c>
      <c r="CZ6" s="232" t="s">
        <v>243</v>
      </c>
      <c r="DA6" s="232" t="s">
        <v>243</v>
      </c>
      <c r="DB6" s="232" t="s">
        <v>243</v>
      </c>
      <c r="DC6" s="232" t="s">
        <v>243</v>
      </c>
      <c r="DD6" s="232" t="s">
        <v>243</v>
      </c>
      <c r="DE6" s="232" t="s">
        <v>243</v>
      </c>
      <c r="DF6" s="232" t="s">
        <v>243</v>
      </c>
      <c r="DG6" s="232" t="s">
        <v>243</v>
      </c>
      <c r="DH6" s="232" t="s">
        <v>243</v>
      </c>
      <c r="DI6" s="232" t="s">
        <v>243</v>
      </c>
      <c r="DJ6" s="232" t="s">
        <v>243</v>
      </c>
      <c r="DK6" s="232" t="s">
        <v>243</v>
      </c>
      <c r="DL6" s="232" t="s">
        <v>243</v>
      </c>
      <c r="DM6" s="232" t="s">
        <v>243</v>
      </c>
      <c r="DN6" s="232" t="s">
        <v>243</v>
      </c>
      <c r="DO6" s="232" t="s">
        <v>243</v>
      </c>
      <c r="DP6" s="232" t="s">
        <v>243</v>
      </c>
      <c r="DQ6" s="232" t="s">
        <v>243</v>
      </c>
      <c r="DR6" s="232" t="s">
        <v>243</v>
      </c>
      <c r="DS6" s="232" t="s">
        <v>243</v>
      </c>
      <c r="DT6" s="232" t="s">
        <v>243</v>
      </c>
      <c r="DU6" s="232" t="s">
        <v>243</v>
      </c>
      <c r="DV6" s="232" t="s">
        <v>243</v>
      </c>
      <c r="DW6" s="232" t="s">
        <v>243</v>
      </c>
      <c r="DX6" s="232" t="s">
        <v>243</v>
      </c>
      <c r="DY6" s="232" t="s">
        <v>243</v>
      </c>
      <c r="DZ6" s="232" t="s">
        <v>243</v>
      </c>
      <c r="EA6" s="232" t="s">
        <v>243</v>
      </c>
      <c r="EB6" s="232" t="s">
        <v>243</v>
      </c>
      <c r="EC6" s="232" t="s">
        <v>243</v>
      </c>
      <c r="ED6" s="226"/>
      <c r="EE6" s="227">
        <v>0</v>
      </c>
      <c r="EF6" s="227">
        <v>0</v>
      </c>
      <c r="EG6" s="228">
        <f t="shared" si="0"/>
        <v>0</v>
      </c>
    </row>
    <row r="7" spans="1:138" ht="25.5" customHeight="1" x14ac:dyDescent="0.15">
      <c r="A7" s="222">
        <v>1.6</v>
      </c>
      <c r="B7" s="223" t="str">
        <f>'raw data'!B8</f>
        <v xml:space="preserve">Fixed term Bonds/ISAs closed within 6 months of opening, but after cooling-off period, and Nationwide cheque issued. </v>
      </c>
      <c r="C7" s="224" t="s">
        <v>244</v>
      </c>
      <c r="D7" s="225">
        <f>+'raw data'!D8/'raw data'!E8</f>
        <v>0</v>
      </c>
      <c r="E7" s="225">
        <f>+'raw data'!F8/'raw data'!G8</f>
        <v>0</v>
      </c>
      <c r="F7" s="225">
        <f>+'raw data'!H8/'raw data'!I8</f>
        <v>0</v>
      </c>
      <c r="G7" s="225">
        <f>'raw data'!J8/'raw data'!K8</f>
        <v>0</v>
      </c>
      <c r="H7" s="225">
        <f>'raw data'!L8/'raw data'!M8</f>
        <v>7.1428571428571425E-2</v>
      </c>
      <c r="I7" s="225">
        <f>'raw data'!N8/'raw data'!O8</f>
        <v>0</v>
      </c>
      <c r="J7" s="225">
        <f>'raw data'!P8/'raw data'!Q8</f>
        <v>0</v>
      </c>
      <c r="K7" s="225">
        <f>'raw data'!R8/'raw data'!S8</f>
        <v>0</v>
      </c>
      <c r="L7" s="225">
        <f>'raw data'!T8/'raw data'!U8</f>
        <v>0</v>
      </c>
      <c r="M7" s="225">
        <f>'raw data'!V8/'raw data'!W8</f>
        <v>0</v>
      </c>
      <c r="N7" s="225">
        <f>'raw data'!X8/'raw data'!Y8</f>
        <v>0</v>
      </c>
      <c r="O7" s="225">
        <f>IF(ISERROR('raw data'!Z8/'raw data'!AA8),0,'raw data'!Z8/'raw data'!AA8)</f>
        <v>0</v>
      </c>
      <c r="P7" s="225">
        <f>IF(ISERROR('raw data'!AB8/'raw data'!AC8),0,'raw data'!AB8/'raw data'!AC8)</f>
        <v>0</v>
      </c>
      <c r="Q7" s="225">
        <f>IF(ISERROR('raw data'!AD8/'raw data'!AE8),0,'raw data'!AD8/'raw data'!AE8)</f>
        <v>0</v>
      </c>
      <c r="R7" s="225">
        <f>IF(ISERROR('raw data'!AF8/'raw data'!AG8),0,'raw data'!AF8/'raw data'!AG8)</f>
        <v>0</v>
      </c>
      <c r="S7" s="225">
        <f>IF(ISERROR('raw data'!AH8/'raw data'!AI8),0,'raw data'!AH8/'raw data'!AI8)</f>
        <v>0</v>
      </c>
      <c r="T7" s="225">
        <f>IF(ISERROR('raw data'!AJ8/'raw data'!AK8),0,'raw data'!AJ8/'raw data'!AK8)</f>
        <v>0</v>
      </c>
      <c r="U7" s="225">
        <f>IF(ISERROR('raw data'!AL8/'raw data'!AM8),0,'raw data'!AL8/'raw data'!AM8)</f>
        <v>0</v>
      </c>
      <c r="V7" s="225">
        <f>IF(ISERROR('raw data'!AN8/'raw data'!AO8),0,'raw data'!AN8/'raw data'!AO8)</f>
        <v>0</v>
      </c>
      <c r="W7" s="225">
        <f>IF(ISERROR('raw data'!AP8/'raw data'!AQ8),0,'raw data'!AP8/'raw data'!AQ8)</f>
        <v>0</v>
      </c>
      <c r="X7" s="225">
        <f>IF(ISERROR('raw data'!AR8/'raw data'!AS8),0,'raw data'!AR8/'raw data'!AS8)</f>
        <v>0</v>
      </c>
      <c r="Y7" s="225">
        <f>IF(ISERROR('raw data'!AT8/'raw data'!AU8),0,'raw data'!AT8/'raw data'!AU8)</f>
        <v>0</v>
      </c>
      <c r="Z7" s="225">
        <f>IF(ISERROR('raw data'!AV8/'raw data'!AW8),0,'raw data'!AV8/'raw data'!AW8)</f>
        <v>0</v>
      </c>
      <c r="AA7" s="225">
        <f>IF(ISERROR('raw data'!AX8/'raw data'!AY8),0,'raw data'!AX8/'raw data'!AY8)</f>
        <v>0</v>
      </c>
      <c r="AB7" s="225">
        <f>IF(ISERROR('raw data'!AZ8/'raw data'!BA8),0,'raw data'!AZ8/'raw data'!BA8)</f>
        <v>0</v>
      </c>
      <c r="AC7" s="225">
        <f>IF(ISERROR('raw data'!BB8/'raw data'!BC8),0,'raw data'!BB8/'raw data'!BC8)</f>
        <v>0</v>
      </c>
      <c r="AD7" s="225">
        <f>IF(ISERROR('raw data'!BD8/'raw data'!BE8),0,'raw data'!BD8/'raw data'!BE8)</f>
        <v>0</v>
      </c>
      <c r="AE7" s="225">
        <f>IF(ISERROR('raw data'!BF8/'raw data'!BG8),0,'raw data'!BF8/'raw data'!BG8)</f>
        <v>0</v>
      </c>
      <c r="AF7" s="225">
        <f>IF(ISERROR('raw data'!BH8/'raw data'!BI8),0,'raw data'!BH8/'raw data'!BI8)</f>
        <v>0</v>
      </c>
      <c r="AG7" s="225">
        <f>IF(ISERROR('raw data'!BJ8/'raw data'!BK8),0,'raw data'!BJ8/'raw data'!BK8)</f>
        <v>0</v>
      </c>
      <c r="AH7" s="225">
        <f>IF(ISERROR('raw data'!BL8/'raw data'!BM8),0,'raw data'!BL8/'raw data'!BM8)</f>
        <v>0</v>
      </c>
      <c r="AI7" s="225">
        <f>IF(ISERROR('raw data'!BN8/'raw data'!BO8),0,'raw data'!BN8/'raw data'!BO8)</f>
        <v>0</v>
      </c>
      <c r="AJ7" s="225">
        <f>IF(ISERROR('raw data'!BP8/'raw data'!BQ8),0,'raw data'!BP8/'raw data'!BQ8)</f>
        <v>0</v>
      </c>
      <c r="AK7" s="225">
        <f>IF(ISERROR('raw data'!BR8/'raw data'!BS8),0,'raw data'!BR8/'raw data'!BS8)</f>
        <v>0</v>
      </c>
      <c r="AL7" s="225">
        <f>IF(ISERROR('raw data'!BT8/'raw data'!BU8),0,'raw data'!BT8/'raw data'!BU8)</f>
        <v>0</v>
      </c>
      <c r="AM7" s="225">
        <f>IF(ISERROR('raw data'!BV8/'raw data'!BW8),0,'raw data'!BV8/'raw data'!BW8)</f>
        <v>0</v>
      </c>
      <c r="AN7" s="225">
        <f>IF(ISERROR('raw data'!BX8/'raw data'!BY8),0,'raw data'!BX8/'raw data'!BY8)</f>
        <v>0</v>
      </c>
      <c r="AO7" s="225">
        <f>IF(ISERROR('raw data'!BZ8/'raw data'!CA8),0,'raw data'!BZ8/'raw data'!CA8)</f>
        <v>0</v>
      </c>
      <c r="AP7" s="225">
        <f>IF(ISERROR('raw data'!CB8/'raw data'!CC8),0,'raw data'!CB8/'raw data'!CC8)</f>
        <v>0</v>
      </c>
      <c r="AQ7" s="225">
        <f>IF(ISERROR('raw data'!CD8/'raw data'!CE8),0,'raw data'!CD8/'raw data'!CE8)</f>
        <v>9.7087378640776691E-3</v>
      </c>
      <c r="AR7" s="225">
        <f>IF(ISERROR('raw data'!CF8/'raw data'!CG8),0,'raw data'!CF8/'raw data'!CG8)</f>
        <v>0</v>
      </c>
      <c r="AS7" s="225">
        <f>IF(ISERROR('raw data'!CH8/'raw data'!CI8),0,'raw data'!CH8/'raw data'!CI8)</f>
        <v>2.2988505747126436E-2</v>
      </c>
      <c r="AT7" s="225">
        <f>IF(ISERROR('raw data'!CJ8/'raw data'!CK8),0,'raw data'!CJ8/'raw data'!CK8)</f>
        <v>1.0101010101010102E-2</v>
      </c>
      <c r="AU7" s="225">
        <f>IF(ISERROR('raw data'!CL8/'raw data'!CM8),0,'raw data'!CL8/'raw data'!CM8)</f>
        <v>0</v>
      </c>
      <c r="AV7" s="225">
        <f>IF(ISERROR('raw data'!CN8/'raw data'!CO8),0,'raw data'!CN8/'raw data'!CO8)</f>
        <v>1.3793103448275862E-2</v>
      </c>
      <c r="AW7" s="225">
        <f>IF(ISERROR('raw data'!CP8/'raw data'!CQ8),0,'raw data'!CP8/'raw data'!CQ8)</f>
        <v>6.1728395061728392E-3</v>
      </c>
      <c r="AX7" s="225">
        <f>IF(ISERROR('raw data'!CR8/'raw data'!CS8),0,'raw data'!CR8/'raw data'!CS8)</f>
        <v>0</v>
      </c>
      <c r="AY7" s="225">
        <f>IF(ISERROR('raw data'!CT8/'raw data'!CU8),0,'raw data'!CT8/'raw data'!CU8)</f>
        <v>7.3529411764705881E-3</v>
      </c>
      <c r="AZ7" s="225">
        <f>IF(ISERROR('raw data'!CV8/'raw data'!CW8),0,'raw data'!CV8/'raw data'!CW8)</f>
        <v>8.0000000000000002E-3</v>
      </c>
      <c r="BA7" s="225">
        <f>IF(ISERROR('raw data'!CX8/'raw data'!CY8),0,'raw data'!CX8/'raw data'!CY8)</f>
        <v>1.5625E-2</v>
      </c>
      <c r="BB7" s="225">
        <f>IF(ISERROR('raw data'!CZ8/'raw data'!DA8),0,'raw data'!CZ8/'raw data'!DA8)</f>
        <v>4.2918454935622317E-3</v>
      </c>
      <c r="BC7" s="225">
        <f>IF(ISERROR('raw data'!DB8/'raw data'!DC8),0,'raw data'!DB8/'raw data'!DC8)</f>
        <v>0</v>
      </c>
      <c r="BD7" s="225">
        <v>0</v>
      </c>
      <c r="BE7" s="232" t="s">
        <v>243</v>
      </c>
      <c r="BF7" s="232" t="s">
        <v>243</v>
      </c>
      <c r="BG7" s="232" t="s">
        <v>243</v>
      </c>
      <c r="BH7" s="232" t="s">
        <v>243</v>
      </c>
      <c r="BI7" s="232" t="s">
        <v>243</v>
      </c>
      <c r="BJ7" s="232" t="s">
        <v>243</v>
      </c>
      <c r="BK7" s="232" t="s">
        <v>243</v>
      </c>
      <c r="BL7" s="232" t="s">
        <v>243</v>
      </c>
      <c r="BM7" s="232" t="s">
        <v>243</v>
      </c>
      <c r="BN7" s="232" t="s">
        <v>243</v>
      </c>
      <c r="BO7" s="232" t="s">
        <v>243</v>
      </c>
      <c r="BP7" s="232" t="s">
        <v>243</v>
      </c>
      <c r="BQ7" s="232" t="s">
        <v>243</v>
      </c>
      <c r="BR7" s="232" t="s">
        <v>243</v>
      </c>
      <c r="BS7" s="232" t="s">
        <v>243</v>
      </c>
      <c r="BT7" s="232" t="s">
        <v>243</v>
      </c>
      <c r="BU7" s="232" t="s">
        <v>243</v>
      </c>
      <c r="BV7" s="232" t="s">
        <v>243</v>
      </c>
      <c r="BW7" s="232" t="s">
        <v>243</v>
      </c>
      <c r="BX7" s="232" t="s">
        <v>243</v>
      </c>
      <c r="BY7" s="232" t="s">
        <v>243</v>
      </c>
      <c r="BZ7" s="232" t="s">
        <v>243</v>
      </c>
      <c r="CA7" s="232" t="s">
        <v>243</v>
      </c>
      <c r="CB7" s="232" t="s">
        <v>243</v>
      </c>
      <c r="CC7" s="232" t="s">
        <v>243</v>
      </c>
      <c r="CD7" s="232" t="s">
        <v>243</v>
      </c>
      <c r="CE7" s="232" t="s">
        <v>243</v>
      </c>
      <c r="CF7" s="232" t="s">
        <v>243</v>
      </c>
      <c r="CG7" s="232" t="s">
        <v>243</v>
      </c>
      <c r="CH7" s="232" t="s">
        <v>243</v>
      </c>
      <c r="CI7" s="232" t="s">
        <v>243</v>
      </c>
      <c r="CJ7" s="232" t="s">
        <v>243</v>
      </c>
      <c r="CK7" s="232" t="s">
        <v>243</v>
      </c>
      <c r="CL7" s="232" t="s">
        <v>243</v>
      </c>
      <c r="CM7" s="232" t="s">
        <v>243</v>
      </c>
      <c r="CN7" s="232" t="s">
        <v>243</v>
      </c>
      <c r="CO7" s="232" t="s">
        <v>243</v>
      </c>
      <c r="CP7" s="232" t="s">
        <v>243</v>
      </c>
      <c r="CQ7" s="232" t="s">
        <v>243</v>
      </c>
      <c r="CR7" s="232" t="s">
        <v>243</v>
      </c>
      <c r="CS7" s="232" t="s">
        <v>243</v>
      </c>
      <c r="CT7" s="232" t="s">
        <v>243</v>
      </c>
      <c r="CU7" s="232" t="s">
        <v>243</v>
      </c>
      <c r="CV7" s="232" t="s">
        <v>243</v>
      </c>
      <c r="CW7" s="232" t="s">
        <v>243</v>
      </c>
      <c r="CX7" s="232" t="s">
        <v>243</v>
      </c>
      <c r="CY7" s="232" t="s">
        <v>243</v>
      </c>
      <c r="CZ7" s="232" t="s">
        <v>243</v>
      </c>
      <c r="DA7" s="232" t="s">
        <v>243</v>
      </c>
      <c r="DB7" s="232" t="s">
        <v>243</v>
      </c>
      <c r="DC7" s="232" t="s">
        <v>243</v>
      </c>
      <c r="DD7" s="232" t="s">
        <v>243</v>
      </c>
      <c r="DE7" s="232" t="s">
        <v>243</v>
      </c>
      <c r="DF7" s="232" t="s">
        <v>243</v>
      </c>
      <c r="DG7" s="232" t="s">
        <v>243</v>
      </c>
      <c r="DH7" s="232" t="s">
        <v>243</v>
      </c>
      <c r="DI7" s="232" t="s">
        <v>243</v>
      </c>
      <c r="DJ7" s="232" t="s">
        <v>243</v>
      </c>
      <c r="DK7" s="232" t="s">
        <v>243</v>
      </c>
      <c r="DL7" s="232" t="s">
        <v>243</v>
      </c>
      <c r="DM7" s="232" t="s">
        <v>243</v>
      </c>
      <c r="DN7" s="232" t="s">
        <v>243</v>
      </c>
      <c r="DO7" s="232" t="s">
        <v>243</v>
      </c>
      <c r="DP7" s="232" t="s">
        <v>243</v>
      </c>
      <c r="DQ7" s="232" t="s">
        <v>243</v>
      </c>
      <c r="DR7" s="232" t="s">
        <v>243</v>
      </c>
      <c r="DS7" s="232" t="s">
        <v>243</v>
      </c>
      <c r="DT7" s="232" t="s">
        <v>243</v>
      </c>
      <c r="DU7" s="232" t="s">
        <v>243</v>
      </c>
      <c r="DV7" s="232" t="s">
        <v>243</v>
      </c>
      <c r="DW7" s="232" t="s">
        <v>243</v>
      </c>
      <c r="DX7" s="232" t="s">
        <v>243</v>
      </c>
      <c r="DY7" s="232" t="s">
        <v>243</v>
      </c>
      <c r="DZ7" s="232" t="s">
        <v>243</v>
      </c>
      <c r="EA7" s="232" t="s">
        <v>243</v>
      </c>
      <c r="EB7" s="232" t="s">
        <v>243</v>
      </c>
      <c r="EC7" s="232" t="s">
        <v>243</v>
      </c>
      <c r="ED7" s="226"/>
      <c r="EE7" s="227">
        <v>0</v>
      </c>
      <c r="EF7" s="227">
        <v>0</v>
      </c>
      <c r="EG7" s="228">
        <f t="shared" si="0"/>
        <v>0</v>
      </c>
    </row>
    <row r="8" spans="1:138" ht="25.5" customHeight="1" x14ac:dyDescent="0.15">
      <c r="A8" s="222">
        <v>1.7</v>
      </c>
      <c r="B8" s="223" t="str">
        <f>'raw data'!B9</f>
        <v>Child accounts with &gt;1 credit (CR, CQ) and at least 1 debit (WA, WD, TW, W4), each £1k+, totalling at least £2k in &amp; £2.5k out last month.</v>
      </c>
      <c r="C8" s="224" t="s">
        <v>17</v>
      </c>
      <c r="D8" s="225">
        <f>+'raw data'!D9/'raw data'!E9</f>
        <v>0.31707317073170732</v>
      </c>
      <c r="E8" s="225">
        <f>+'raw data'!F9/'raw data'!G9</f>
        <v>0.13333333333333333</v>
      </c>
      <c r="F8" s="225">
        <f>+'raw data'!H9/'raw data'!I9</f>
        <v>0.21428571428571427</v>
      </c>
      <c r="G8" s="225">
        <f>'raw data'!J9/'raw data'!K9</f>
        <v>0.17777777777777778</v>
      </c>
      <c r="H8" s="225">
        <f>'raw data'!L9/'raw data'!M9</f>
        <v>0.23529411764705882</v>
      </c>
      <c r="I8" s="225">
        <f>'raw data'!N9/'raw data'!O9</f>
        <v>0.2</v>
      </c>
      <c r="J8" s="225">
        <f>'raw data'!P9/'raw data'!Q9</f>
        <v>0.4</v>
      </c>
      <c r="K8" s="225">
        <f>'raw data'!R9/'raw data'!S9</f>
        <v>0.27500000000000002</v>
      </c>
      <c r="L8" s="225">
        <f>'raw data'!T9/'raw data'!U9</f>
        <v>0.10714285714285714</v>
      </c>
      <c r="M8" s="225">
        <f>'raw data'!V9/'raw data'!W9</f>
        <v>0.24</v>
      </c>
      <c r="N8" s="225">
        <f>'raw data'!X9/'raw data'!Y9</f>
        <v>4.3478260869565216E-2</v>
      </c>
      <c r="O8" s="225">
        <f>IF(ISERROR('raw data'!Z9/'raw data'!AA9),0,'raw data'!Z9/'raw data'!AA9)</f>
        <v>2.8571428571428571E-2</v>
      </c>
      <c r="P8" s="225">
        <f>IF(ISERROR('raw data'!AB9/'raw data'!AC9),0,'raw data'!AB9/'raw data'!AC9)</f>
        <v>0.25925925925925924</v>
      </c>
      <c r="Q8" s="225">
        <f>IF(ISERROR('raw data'!AD9/'raw data'!AE9),0,'raw data'!AD9/'raw data'!AE9)</f>
        <v>7.1428571428571425E-2</v>
      </c>
      <c r="R8" s="225">
        <f>IF(ISERROR('raw data'!AF9/'raw data'!AG9),0,'raw data'!AF9/'raw data'!AG9)</f>
        <v>0.19230769230769232</v>
      </c>
      <c r="S8" s="225">
        <f>IF(ISERROR('raw data'!AH9/'raw data'!AI9),0,'raw data'!AH9/'raw data'!AI9)</f>
        <v>0.20930232558139536</v>
      </c>
      <c r="T8" s="225">
        <f>IF(ISERROR('raw data'!AJ9/'raw data'!AK9),0,'raw data'!AJ9/'raw data'!AK9)</f>
        <v>0.16</v>
      </c>
      <c r="U8" s="225">
        <f>IF(ISERROR('raw data'!AL9/'raw data'!AM9),0,'raw data'!AL9/'raw data'!AM9)</f>
        <v>0.1111111111111111</v>
      </c>
      <c r="V8" s="225">
        <f>IF(ISERROR('raw data'!AN9/'raw data'!AO9),0,'raw data'!AN9/'raw data'!AO9)</f>
        <v>0.17391304347826086</v>
      </c>
      <c r="W8" s="225">
        <f>IF(ISERROR('raw data'!AP9/'raw data'!AQ9),0,'raw data'!AP9/'raw data'!AQ9)</f>
        <v>7.3170731707317069E-2</v>
      </c>
      <c r="X8" s="225">
        <f>IF(ISERROR('raw data'!AR9/'raw data'!AS9),0,'raw data'!AR9/'raw data'!AS9)</f>
        <v>0.23333333333333334</v>
      </c>
      <c r="Y8" s="225">
        <f>IF(ISERROR('raw data'!AT9/'raw data'!AU9),0,'raw data'!AT9/'raw data'!AU9)</f>
        <v>0.16</v>
      </c>
      <c r="Z8" s="225">
        <f>IF(ISERROR('raw data'!AV9/'raw data'!AW9),0,'raw data'!AV9/'raw data'!AW9)</f>
        <v>0.15</v>
      </c>
      <c r="AA8" s="225">
        <f>IF(ISERROR('raw data'!AX9/'raw data'!AY9),0,'raw data'!AX9/'raw data'!AY9)</f>
        <v>0.22222222222222221</v>
      </c>
      <c r="AB8" s="225">
        <f>IF(ISERROR('raw data'!AZ9/'raw data'!BA9),0,'raw data'!AZ9/'raw data'!BA9)</f>
        <v>0.18181818181818182</v>
      </c>
      <c r="AC8" s="225">
        <f>IF(ISERROR('raw data'!BB9/'raw data'!BC9),0,'raw data'!BB9/'raw data'!BC9)</f>
        <v>0.27027027027027029</v>
      </c>
      <c r="AD8" s="225">
        <f>IF(ISERROR('raw data'!BD9/'raw data'!BE9),0,'raw data'!BD9/'raw data'!BE9)</f>
        <v>0.33333333333333331</v>
      </c>
      <c r="AE8" s="225">
        <f>IF(ISERROR('raw data'!BF9/'raw data'!BG9),0,'raw data'!BF9/'raw data'!BG9)</f>
        <v>0.33333333333333331</v>
      </c>
      <c r="AF8" s="225">
        <f>IF(ISERROR('raw data'!BH9/'raw data'!BI9),0,'raw data'!BH9/'raw data'!BI9)</f>
        <v>3.9215686274509803E-2</v>
      </c>
      <c r="AG8" s="225">
        <f>IF(ISERROR('raw data'!BJ9/'raw data'!BK9),0,'raw data'!BJ9/'raw data'!BK9)</f>
        <v>0.41666666666666669</v>
      </c>
      <c r="AH8" s="225">
        <f>IF(ISERROR('raw data'!BL9/'raw data'!BM9),0,'raw data'!BL9/'raw data'!BM9)</f>
        <v>0.1111111111111111</v>
      </c>
      <c r="AI8" s="225">
        <f>IF(ISERROR('raw data'!BN9/'raw data'!BO9),0,'raw data'!BN9/'raw data'!BO9)</f>
        <v>9.0909090909090912E-2</v>
      </c>
      <c r="AJ8" s="225">
        <f>IF(ISERROR('raw data'!BP9/'raw data'!BQ9),0,'raw data'!BP9/'raw data'!BQ9)</f>
        <v>0.2413793103448276</v>
      </c>
      <c r="AK8" s="225">
        <f>IF(ISERROR('raw data'!BR9/'raw data'!BS9),0,'raw data'!BR9/'raw data'!BS9)</f>
        <v>0.20833333333333334</v>
      </c>
      <c r="AL8" s="225">
        <f>IF(ISERROR('raw data'!BT9/'raw data'!BU9),0,'raw data'!BT9/'raw data'!BU9)</f>
        <v>0.12903225806451613</v>
      </c>
      <c r="AM8" s="225">
        <f>IF(ISERROR('raw data'!BV9/'raw data'!BW9),0,'raw data'!BV9/'raw data'!BW9)</f>
        <v>0.41379310344827586</v>
      </c>
      <c r="AN8" s="225">
        <f>IF(ISERROR('raw data'!BX9/'raw data'!BY9),0,'raw data'!BX9/'raw data'!BY9)</f>
        <v>0.53333333333333333</v>
      </c>
      <c r="AO8" s="225">
        <f>IF(ISERROR('raw data'!BZ9/'raw data'!CA9),0,'raw data'!BZ9/'raw data'!CA9)</f>
        <v>0.48148148148148145</v>
      </c>
      <c r="AP8" s="225">
        <f>IF(ISERROR('raw data'!CB9/'raw data'!CC9),0,'raw data'!CB9/'raw data'!CC9)</f>
        <v>0.44444444444444442</v>
      </c>
      <c r="AQ8" s="225">
        <f>IF(ISERROR('raw data'!CD9/'raw data'!CE9),0,'raw data'!CD9/'raw data'!CE9)</f>
        <v>8.6956521739130432E-2</v>
      </c>
      <c r="AR8" s="225">
        <f>IF(ISERROR('raw data'!CF9/'raw data'!CG9),0,'raw data'!CF9/'raw data'!CG9)</f>
        <v>0.16666666666666666</v>
      </c>
      <c r="AS8" s="225">
        <f>IF(ISERROR('raw data'!CH9/'raw data'!CI9),0,'raw data'!CH9/'raw data'!CI9)</f>
        <v>0.29032258064516131</v>
      </c>
      <c r="AT8" s="225">
        <f>IF(ISERROR('raw data'!CJ9/'raw data'!CK9),0,'raw data'!CJ9/'raw data'!CK9)</f>
        <v>0.36363636363636365</v>
      </c>
      <c r="AU8" s="225">
        <f>IF(ISERROR('raw data'!CL9/'raw data'!CM9),0,'raw data'!CL9/'raw data'!CM9)</f>
        <v>0.23809523809523808</v>
      </c>
      <c r="AV8" s="225">
        <f>IF(ISERROR('raw data'!CN9/'raw data'!CO9),0,'raw data'!CN9/'raw data'!CO9)</f>
        <v>0.16666666666666666</v>
      </c>
      <c r="AW8" s="225">
        <f>IF(ISERROR('raw data'!CP9/'raw data'!CQ9),0,'raw data'!CP9/'raw data'!CQ9)</f>
        <v>0.22222222222222221</v>
      </c>
      <c r="AX8" s="225">
        <f>IF(ISERROR('raw data'!CR9/'raw data'!CS9),0,'raw data'!CR9/'raw data'!CS9)</f>
        <v>0.17647058823529413</v>
      </c>
      <c r="AY8" s="225">
        <f>IF(ISERROR('raw data'!CT9/'raw data'!CU9),0,'raw data'!CT9/'raw data'!CU9)</f>
        <v>0.33333333333333331</v>
      </c>
      <c r="AZ8" s="225">
        <f>IF(ISERROR('raw data'!CV9/'raw data'!CW9),0,'raw data'!CV9/'raw data'!CW9)</f>
        <v>0.26315789473684209</v>
      </c>
      <c r="BA8" s="225">
        <f>IF(ISERROR('raw data'!CX9/'raw data'!CY9),0,'raw data'!CX9/'raw data'!CY9)</f>
        <v>0.13333333333333333</v>
      </c>
      <c r="BB8" s="225">
        <f>IF(ISERROR('raw data'!CZ9/'raw data'!DA9),0,'raw data'!CZ9/'raw data'!DA9)</f>
        <v>0.375</v>
      </c>
      <c r="BC8" s="225">
        <f>IF(ISERROR('raw data'!DB9/'raw data'!DC9),0,'raw data'!DB9/'raw data'!DC9)</f>
        <v>0.1</v>
      </c>
      <c r="BD8" s="225">
        <v>0.27272727272727271</v>
      </c>
      <c r="BE8" s="225">
        <f>IF(ISERROR('raw data'!DF9/'raw data'!DG9),0,'raw data'!DF9/'raw data'!DG9)</f>
        <v>0.33333333333333331</v>
      </c>
      <c r="BF8" s="225">
        <f>IF(ISERROR('raw data'!DH9/'raw data'!DI9),0,'raw data'!DH9/'raw data'!DI9)</f>
        <v>0.5</v>
      </c>
      <c r="BG8" s="230">
        <f>IF(ISERROR('raw data'!DJ9/'raw data'!DK9),0,'raw data'!DJ9/'raw data'!DK9)</f>
        <v>0</v>
      </c>
      <c r="BH8" s="230">
        <f>IF(ISERROR('raw data'!DL9/'raw data'!DM9),0,'raw data'!DL9/'raw data'!DM9)</f>
        <v>0.38095238095238093</v>
      </c>
      <c r="BI8" s="230">
        <f>IF(ISERROR('raw data'!DN9/'raw data'!DO9),0,'raw data'!DN9/'raw data'!DO9)</f>
        <v>0.21739130434782608</v>
      </c>
      <c r="BJ8" s="230">
        <f>IF(ISERROR('raw data'!DP9/'raw data'!DQ9),0,'raw data'!DP9/'raw data'!DQ9)</f>
        <v>0.30769230769230771</v>
      </c>
      <c r="BK8" s="230">
        <f>IF(ISERROR('raw data'!DR9/'raw data'!DS9),0,'raw data'!DR9/'raw data'!DS9)</f>
        <v>0.35294117647058826</v>
      </c>
      <c r="BL8" s="230">
        <f>IF(ISERROR('raw data'!DT9/'raw data'!DU9),0,'raw data'!DT9/'raw data'!DU9)</f>
        <v>0.33333333333333331</v>
      </c>
      <c r="BM8" s="230">
        <f>IF(ISERROR('raw data'!DV9/'raw data'!DW9),0,'raw data'!DV9/'raw data'!DW9)</f>
        <v>0.25</v>
      </c>
      <c r="BN8" s="230">
        <f>IF(ISERROR('raw data'!DX9/'raw data'!DY9),0,'raw data'!DX9/'raw data'!DY9)</f>
        <v>0.21428571428571427</v>
      </c>
      <c r="BO8" s="230">
        <f>IF(ISERROR('raw data'!DZ9/'raw data'!EA9),0,'raw data'!DZ9/'raw data'!EA9)</f>
        <v>0.16666666666666666</v>
      </c>
      <c r="BP8" s="225">
        <f>IF(ISERROR('raw data'!EB9/'raw data'!EC9),0,'raw data'!EB9/'raw data'!EC9)</f>
        <v>0.04</v>
      </c>
      <c r="BQ8" s="225">
        <f>IF(ISERROR('raw data'!ED9/'raw data'!EE9),0,'raw data'!ED9/'raw data'!EE9)</f>
        <v>0</v>
      </c>
      <c r="BR8" s="225">
        <f>IF(ISERROR('raw data'!EF9/'raw data'!EG9),0,'raw data'!EF9/'raw data'!EG9)</f>
        <v>6.25E-2</v>
      </c>
      <c r="BS8" s="225">
        <f>IF(ISERROR('raw data'!EH9/'raw data'!EI9),0,'raw data'!EH9/'raw data'!EI9)</f>
        <v>0.11764705882352941</v>
      </c>
      <c r="BT8" s="225">
        <f>IF(ISERROR('raw data'!EJ9/'raw data'!EK9),0,'raw data'!EJ9/'raw data'!EK9)</f>
        <v>0.14285714285714285</v>
      </c>
      <c r="BU8" s="225">
        <f>IF(ISERROR('raw data'!EL9/'raw data'!EM9),0,'raw data'!EL9/'raw data'!EM9)</f>
        <v>0</v>
      </c>
      <c r="BV8" s="225">
        <f>IF(ISERROR('raw data'!EN9/'raw data'!EO9),0,'raw data'!EN9/'raw data'!EO9)</f>
        <v>0</v>
      </c>
      <c r="BW8" s="225">
        <f>IF(ISERROR('raw data'!EP9/'raw data'!EQ9),0,'raw data'!EP9/'raw data'!EQ9)</f>
        <v>0</v>
      </c>
      <c r="BX8" s="225">
        <f>IF(ISERROR('raw data'!ER9/'raw data'!ES9),0,'raw data'!ER9/'raw data'!ES9)</f>
        <v>0.23076923076923078</v>
      </c>
      <c r="BY8" s="225">
        <f>IF(ISERROR('raw data'!ET9/'raw data'!EU9),0,'raw data'!ET9/'raw data'!EU9)</f>
        <v>0.3125</v>
      </c>
      <c r="BZ8" s="225">
        <f>IF(ISERROR('raw data'!EV9/'raw data'!EW9),0,'raw data'!EV9/'raw data'!EW9)</f>
        <v>0</v>
      </c>
      <c r="CA8" s="225">
        <f>IF(ISERROR('raw data'!EX9/'raw data'!EY9),0,'raw data'!EX9/'raw data'!EY9)</f>
        <v>0.21428571428571427</v>
      </c>
      <c r="CB8" s="225">
        <f>IF(ISERROR('raw data'!EZ9/'raw data'!FA9),0,'raw data'!EZ9/'raw data'!FA9)</f>
        <v>7.6923076923076927E-2</v>
      </c>
      <c r="CC8" s="225">
        <f>IF(ISERROR('raw data'!FB9/'raw data'!FC9),0,'raw data'!FB9/'raw data'!FC9)</f>
        <v>0.33333333333333331</v>
      </c>
      <c r="CD8" s="225">
        <f>IF(ISERROR('raw data'!FD9/'raw data'!FE9),0,'raw data'!FD9/'raw data'!FE9)</f>
        <v>0.2</v>
      </c>
      <c r="CE8" s="225">
        <f>IF(ISERROR('raw data'!FF9/'raw data'!FG9),0,'raw data'!FF9/'raw data'!FG9)</f>
        <v>0.33333333333333331</v>
      </c>
      <c r="CF8" s="225">
        <f>IF(ISERROR('raw data'!FH9/'raw data'!FI9),0,'raw data'!FH9/'raw data'!FI9)</f>
        <v>0.05</v>
      </c>
      <c r="CG8" s="225">
        <f>IF(ISERROR('raw data'!FJ9/'raw data'!FM9),0,'raw data'!FJ9/'raw data'!FM9)</f>
        <v>0.2</v>
      </c>
      <c r="CH8" s="225">
        <f>IF(ISERROR('raw data'!FN9/'raw data'!FO9),0,'raw data'!FN9/'raw data'!FO9)</f>
        <v>0.23076923076923078</v>
      </c>
      <c r="CI8" s="225">
        <f>IF(ISERROR('raw data'!FP9/'raw data'!FQ9),0,'raw data'!FP9/'raw data'!FQ9)</f>
        <v>0.44444444444444442</v>
      </c>
      <c r="CJ8" s="225">
        <f>IF(ISERROR('raw data'!FR9/'raw data'!FS9),0,'raw data'!FR9/'raw data'!FS9)</f>
        <v>0.22222222222222221</v>
      </c>
      <c r="CK8" s="225">
        <f>IF(ISERROR('raw data'!FT9/'raw data'!FU9),0,'raw data'!FT9/'raw data'!FU9)</f>
        <v>0.31578947368421051</v>
      </c>
      <c r="CL8" s="225">
        <f>IF(ISERROR('raw data'!FV9/'raw data'!FW9),0,'raw data'!FV9/'raw data'!FW9)</f>
        <v>0.1</v>
      </c>
      <c r="CM8" s="225">
        <f>IF(ISERROR('raw data'!FX9/'raw data'!FY9),0,'raw data'!FX9/'raw data'!FY9)</f>
        <v>0.2</v>
      </c>
      <c r="CN8" s="225">
        <f>IF(ISERROR('raw data'!FZ9/'raw data'!GA9),0,'raw data'!FZ9/'raw data'!GA9)</f>
        <v>0</v>
      </c>
      <c r="CO8" s="225">
        <f>IF(ISERROR('raw data'!GB9/'raw data'!GC9),0,'raw data'!GB9/'raw data'!GC9)</f>
        <v>0</v>
      </c>
      <c r="CP8" s="225">
        <f>IF(ISERROR('raw data'!GD9/'raw data'!GE9),0,'raw data'!GD9/'raw data'!GE9)</f>
        <v>0.2</v>
      </c>
      <c r="CQ8" s="225">
        <f>IF(ISERROR('raw data'!GF9/'raw data'!GG9),0,'raw data'!GF9/'raw data'!GG9)</f>
        <v>0</v>
      </c>
      <c r="CR8" s="225">
        <f>IF(ISERROR('raw data'!GH9/'raw data'!GI9),0,'raw data'!GH9/'raw data'!GI9)</f>
        <v>0.1</v>
      </c>
      <c r="CS8" s="225">
        <f>IF(ISERROR('raw data'!GJ9/'raw data'!GK9),0,'raw data'!GJ9/'raw data'!GK9)</f>
        <v>0</v>
      </c>
      <c r="CT8" s="225">
        <f>IF(ISERROR('raw data'!GL9/'raw data'!GM9),0,'raw data'!GL9/'raw data'!GM9)</f>
        <v>0.1875</v>
      </c>
      <c r="CU8" s="225">
        <f>IF(ISERROR('raw data'!GN9/'raw data'!GO9),0,'raw data'!GN9/'raw data'!GO9)</f>
        <v>0</v>
      </c>
      <c r="CV8" s="225">
        <f>IF(ISERROR('raw data'!GP9/'raw data'!GQ9),0,'raw data'!GP9/'raw data'!GQ9)</f>
        <v>0.25</v>
      </c>
      <c r="CW8" s="225">
        <f>IF(ISERROR('raw data'!GR9/'raw data'!GS9),0,'raw data'!GR9/'raw data'!GS9)</f>
        <v>0.18181818181818182</v>
      </c>
      <c r="CX8" s="225">
        <f>IF(ISERROR('raw data'!GT9/'raw data'!GU9),0,'raw data'!GT9/'raw data'!GU9)</f>
        <v>0.1111111111111111</v>
      </c>
      <c r="CY8" s="225">
        <f>IF(ISERROR('raw data'!GV9/'raw data'!GW9),0,'raw data'!GV9/'raw data'!GW9)</f>
        <v>0</v>
      </c>
      <c r="CZ8" s="225">
        <f>IF(ISERROR('raw data'!GX9/'raw data'!GY9),0,'raw data'!GX9/'raw data'!GY9)</f>
        <v>5.8823529411764705E-2</v>
      </c>
      <c r="DA8" s="225">
        <f>IF(ISERROR('raw data'!GZ9/'raw data'!HA9),0,'raw data'!GZ9/'raw data'!HA9)</f>
        <v>0</v>
      </c>
      <c r="DB8" s="225">
        <f>IF(ISERROR('raw data'!HB9/'raw data'!HC9),0,'raw data'!HB9/'raw data'!HC9)</f>
        <v>0.33333333333333331</v>
      </c>
      <c r="DC8" s="225">
        <f>IF(ISERROR('raw data'!HD9/'raw data'!HE9),0,'raw data'!HD9/'raw data'!HE9)</f>
        <v>7.1428571428571425E-2</v>
      </c>
      <c r="DD8" s="225">
        <f>IF(ISERROR('raw data'!HF9/'raw data'!HG9),0,'raw data'!HF9/'raw data'!HG9)</f>
        <v>0.125</v>
      </c>
      <c r="DE8" s="225">
        <f>IF(ISERROR('raw data'!HH9/'raw data'!HI9),0,'raw data'!HH9/'raw data'!HI9)</f>
        <v>0.375</v>
      </c>
      <c r="DF8" s="225">
        <f>IF(ISERROR('raw data'!HJ9/'raw data'!HK9),0,'raw data'!HJ9/'raw data'!HK9)</f>
        <v>0.33333333333333331</v>
      </c>
      <c r="DG8" s="225">
        <f>IF(ISERROR('raw data'!HL9/'raw data'!HM9),0,'raw data'!HL9/'raw data'!HM9)</f>
        <v>0</v>
      </c>
      <c r="DH8" s="225">
        <f>IF(ISERROR('raw data'!HN9/'raw data'!HO9),0,'raw data'!HN9/'raw data'!HO9)</f>
        <v>0</v>
      </c>
      <c r="DI8" s="225">
        <f>IF(ISERROR('raw data'!HP9/'raw data'!HQ9),0,'raw data'!HP9/'raw data'!HQ9)</f>
        <v>0</v>
      </c>
      <c r="DJ8" s="225">
        <f>IF(ISERROR('raw data'!HR9/'raw data'!HS9),0,'raw data'!HR9/'raw data'!HS9)</f>
        <v>0.33333333333333331</v>
      </c>
      <c r="DK8" s="225">
        <f>IF(ISERROR('raw data'!HT9/'raw data'!HU9),0,'raw data'!HT9/'raw data'!HU9)</f>
        <v>0</v>
      </c>
      <c r="DL8" s="225">
        <f>IF(ISERROR('raw data'!HV9/'raw data'!HW9),0,'raw data'!HV9/'raw data'!HW9)</f>
        <v>0</v>
      </c>
      <c r="DM8" s="225">
        <f>IF(ISERROR('raw data'!HX9/'raw data'!HY9),0,'raw data'!HX9/'raw data'!HY9)</f>
        <v>0</v>
      </c>
      <c r="DN8" s="225">
        <f>IF(ISERROR('raw data'!HZ9/'raw data'!IA9),0,'raw data'!HZ9/'raw data'!IA9)</f>
        <v>0</v>
      </c>
      <c r="DO8" s="225">
        <f>IF(ISERROR('raw data'!IB9/'raw data'!IC9),0,'raw data'!IB9/'raw data'!IC9)</f>
        <v>0.25</v>
      </c>
      <c r="DP8" s="225">
        <f>IF(ISERROR('raw data'!ID9/'raw data'!IE9),0,'raw data'!ID9/'raw data'!IE9)</f>
        <v>0</v>
      </c>
      <c r="DQ8" s="225">
        <f>IF(ISERROR('raw data'!IF9/'raw data'!IG9),0,'raw data'!IF9/'raw data'!IG9)</f>
        <v>0.3</v>
      </c>
      <c r="DR8" s="225">
        <f>IF(ISERROR('raw data'!IH9/'raw data'!II9),0,'raw data'!IH9/'raw data'!II9)</f>
        <v>0.25</v>
      </c>
      <c r="DS8" s="225">
        <f>IF(ISERROR('raw data'!IJ9/'raw data'!IK9),0,'raw data'!IJ9/'raw data'!IK9)</f>
        <v>0.33333333333333331</v>
      </c>
      <c r="DT8" s="225">
        <f>IF(ISERROR('raw data'!IL9/'raw data'!IM9),0,'raw data'!IL9/'raw data'!IM9)</f>
        <v>0.14285714285714285</v>
      </c>
      <c r="DU8" s="225">
        <f>IF(ISERROR('raw data'!IN9/'raw data'!IO9),0,'raw data'!IN9/'raw data'!IO9)</f>
        <v>1</v>
      </c>
      <c r="DV8" s="225">
        <f>IF(ISERROR('raw data'!IP9/'raw data'!IQ9),0,'raw data'!IP9/'raw data'!IQ9)</f>
        <v>0</v>
      </c>
      <c r="DW8" s="225">
        <f>IF(ISERROR('raw data'!IR9/'raw data'!IS9),0,'raw data'!IR9/'raw data'!IS9)</f>
        <v>0.25</v>
      </c>
      <c r="DX8" s="225">
        <f>IF(ISERROR('raw data'!IT9/'raw data'!IU9),0,'raw data'!IT9/'raw data'!IU9)</f>
        <v>0.625</v>
      </c>
      <c r="DY8" s="225">
        <f>IF(ISERROR('raw data'!IV9/'raw data'!IW9),0,'raw data'!IV9/'raw data'!IW9)</f>
        <v>0.2</v>
      </c>
      <c r="DZ8" s="225">
        <f>IF(ISERROR('raw data'!IX9/'raw data'!IY9),0,'raw data'!IX9/'raw data'!IY9)</f>
        <v>0</v>
      </c>
      <c r="EA8" s="225">
        <f>IF(ISERROR('raw data'!IZ9/'raw data'!JA9),0,'raw data'!IZ9/'raw data'!JA9)</f>
        <v>0.5</v>
      </c>
      <c r="EB8" s="225">
        <f>IF(ISERROR('raw data'!JB9/'raw data'!JC9),0,'raw data'!JB9/'raw data'!JC9)</f>
        <v>0</v>
      </c>
      <c r="EC8" s="225">
        <f>IF(ISERROR('raw data'!JD9/'raw data'!JE9),0,'raw data'!JD9/'raw data'!JE9)</f>
        <v>0.375</v>
      </c>
      <c r="ED8" s="226"/>
      <c r="EE8" s="227">
        <v>19</v>
      </c>
      <c r="EF8" s="227">
        <v>63</v>
      </c>
      <c r="EG8" s="228">
        <f t="shared" si="0"/>
        <v>0.30158730158730157</v>
      </c>
    </row>
    <row r="9" spans="1:138" ht="25.5" customHeight="1" x14ac:dyDescent="0.15">
      <c r="A9" s="233">
        <v>1.1100000000000001</v>
      </c>
      <c r="B9" s="223" t="str">
        <f>'raw data'!B10</f>
        <v>Flex accounts of Eastern Europeans, possibly benefits paid (Child Benefit, JSA etc) and may live abroad (2 or more VW in last 3 months).</v>
      </c>
      <c r="C9" s="234" t="s">
        <v>19</v>
      </c>
      <c r="D9" s="235"/>
      <c r="E9" s="235"/>
      <c r="F9" s="235"/>
      <c r="G9" s="235"/>
      <c r="H9" s="235"/>
      <c r="I9" s="235"/>
      <c r="J9" s="225">
        <f>'raw data'!P10/'raw data'!Q10</f>
        <v>0.10294117647058823</v>
      </c>
      <c r="K9" s="235"/>
      <c r="L9" s="225">
        <f>'raw data'!T10/'raw data'!U10</f>
        <v>0.18181818181818182</v>
      </c>
      <c r="M9" s="225">
        <f>'raw data'!V10/'raw data'!W10</f>
        <v>0.3</v>
      </c>
      <c r="N9" s="225">
        <f>'raw data'!X10/'raw data'!Y10</f>
        <v>0.30769230769230771</v>
      </c>
      <c r="O9" s="225">
        <f>IF(ISERROR('raw data'!Z10/'raw data'!AA10),0,'raw data'!Z10/'raw data'!AA10)</f>
        <v>0.16666666666666666</v>
      </c>
      <c r="P9" s="225">
        <f>IF(ISERROR('raw data'!AB10/'raw data'!AC10),0,'raw data'!AB10/'raw data'!AC10)</f>
        <v>0</v>
      </c>
      <c r="Q9" s="225">
        <f>IF(ISERROR('raw data'!AD10/'raw data'!AE10),0,'raw data'!AD10/'raw data'!AE10)</f>
        <v>0</v>
      </c>
      <c r="R9" s="225">
        <f>IF(ISERROR('raw data'!AF10/'raw data'!AG10),0,'raw data'!AF10/'raw data'!AG10)</f>
        <v>0</v>
      </c>
      <c r="S9" s="225">
        <f>IF(ISERROR('raw data'!AH10/'raw data'!AI10),0,'raw data'!AH10/'raw data'!AI10)</f>
        <v>0.125</v>
      </c>
      <c r="T9" s="225">
        <f>IF(ISERROR('raw data'!AJ10/'raw data'!AK10),0,'raw data'!AJ10/'raw data'!AK10)</f>
        <v>0.33333333333333331</v>
      </c>
      <c r="U9" s="225">
        <f>IF(ISERROR('raw data'!AL10/'raw data'!AM10),0,'raw data'!AL10/'raw data'!AM10)</f>
        <v>0</v>
      </c>
      <c r="V9" s="225">
        <f>IF(ISERROR('raw data'!AN10/'raw data'!AO10),0,'raw data'!AN10/'raw data'!AO10)</f>
        <v>0.45454545454545453</v>
      </c>
      <c r="W9" s="225">
        <f>IF(ISERROR('raw data'!AP10/'raw data'!AQ10),0,'raw data'!AP10/'raw data'!AQ10)</f>
        <v>0.25</v>
      </c>
      <c r="X9" s="225">
        <f>IF(ISERROR('raw data'!AR10/'raw data'!AS10),0,'raw data'!AR10/'raw data'!AS10)</f>
        <v>0</v>
      </c>
      <c r="Y9" s="225">
        <f>IF(ISERROR('raw data'!AT10/'raw data'!AU10),0,'raw data'!AT10/'raw data'!AU10)</f>
        <v>0.33333333333333331</v>
      </c>
      <c r="Z9" s="225">
        <f>IF(ISERROR('raw data'!AV10/'raw data'!AW10),0,'raw data'!AV10/'raw data'!AW10)</f>
        <v>0.4</v>
      </c>
      <c r="AA9" s="225">
        <f>IF(ISERROR('raw data'!AX10/'raw data'!AY10),0,'raw data'!AX10/'raw data'!AY10)</f>
        <v>0.5</v>
      </c>
      <c r="AB9" s="225">
        <f>IF(ISERROR('raw data'!AZ10/'raw data'!BA10),0,'raw data'!AZ10/'raw data'!BA10)</f>
        <v>0</v>
      </c>
      <c r="AC9" s="225">
        <f>IF(ISERROR('raw data'!BB10/'raw data'!BC10),0,'raw data'!BB10/'raw data'!BC10)</f>
        <v>0</v>
      </c>
      <c r="AD9" s="225">
        <f>IF(ISERROR('raw data'!BD10/'raw data'!BE10),0,'raw data'!BD10/'raw data'!BE10)</f>
        <v>0</v>
      </c>
      <c r="AE9" s="225">
        <f>IF(ISERROR('raw data'!BF10/'raw data'!BG10),0,'raw data'!BF10/'raw data'!BG10)</f>
        <v>0.66666666666666663</v>
      </c>
      <c r="AF9" s="225">
        <f>IF(ISERROR('raw data'!BH10/'raw data'!BI10),0,'raw data'!BH10/'raw data'!BI10)</f>
        <v>0</v>
      </c>
      <c r="AG9" s="225">
        <f>IF(ISERROR('raw data'!BJ10/'raw data'!BK10),0,'raw data'!BJ10/'raw data'!BK10)</f>
        <v>1</v>
      </c>
      <c r="AH9" s="225">
        <f>IF(ISERROR('raw data'!BL10/'raw data'!BM10),0,'raw data'!BL10/'raw data'!BM10)</f>
        <v>0.5</v>
      </c>
      <c r="AI9" s="225">
        <f>IF(ISERROR('raw data'!BN10/'raw data'!BO10),0,'raw data'!BN10/'raw data'!BO10)</f>
        <v>0</v>
      </c>
      <c r="AJ9" s="225">
        <f>IF(ISERROR('raw data'!BP10/'raw data'!BQ10),0,'raw data'!BP10/'raw data'!BQ10)</f>
        <v>0.14285714285714285</v>
      </c>
      <c r="AK9" s="225">
        <f>IF(ISERROR('raw data'!BR10/'raw data'!BS10),0,'raw data'!BR10/'raw data'!BS10)</f>
        <v>0</v>
      </c>
      <c r="AL9" s="225">
        <f>IF(ISERROR('raw data'!BT10/'raw data'!BU10),0,'raw data'!BT10/'raw data'!BU10)</f>
        <v>0.1875</v>
      </c>
      <c r="AM9" s="225">
        <f>IF(ISERROR('raw data'!BV10/'raw data'!BW10),0,'raw data'!BV10/'raw data'!BW10)</f>
        <v>0.1111111111111111</v>
      </c>
      <c r="AN9" s="225">
        <f>IF(ISERROR('raw data'!BX10/'raw data'!BY10),0,'raw data'!BX10/'raw data'!BY10)</f>
        <v>0.26666666666666666</v>
      </c>
      <c r="AO9" s="225">
        <f>IF(ISERROR('raw data'!BZ10/'raw data'!CA10),0,'raw data'!BZ10/'raw data'!CA10)</f>
        <v>0.75</v>
      </c>
      <c r="AP9" s="225">
        <f>IF(ISERROR('raw data'!CB10/'raw data'!CC10),0,'raw data'!CB10/'raw data'!CC10)</f>
        <v>0.75</v>
      </c>
      <c r="AQ9" s="225">
        <f>IF(ISERROR('raw data'!CD10/'raw data'!CE10),0,'raw data'!CD10/'raw data'!CE10)</f>
        <v>0</v>
      </c>
      <c r="AR9" s="225">
        <f>IF(ISERROR('raw data'!CF10/'raw data'!CG10),0,'raw data'!CF10/'raw data'!CG10)</f>
        <v>0.66666666666666663</v>
      </c>
      <c r="AS9" s="225">
        <f>IF(ISERROR('raw data'!CH10/'raw data'!CI10),0,'raw data'!CH10/'raw data'!CI10)</f>
        <v>0</v>
      </c>
      <c r="AT9" s="225">
        <f>IF(ISERROR('raw data'!CJ10/'raw data'!CK10),0,'raw data'!CJ10/'raw data'!CK10)</f>
        <v>0</v>
      </c>
      <c r="AU9" s="225">
        <f>IF(ISERROR('raw data'!CL10/'raw data'!CM10),0,'raw data'!CL10/'raw data'!CM10)</f>
        <v>0</v>
      </c>
      <c r="AV9" s="225">
        <f>IF(ISERROR('raw data'!CN10/'raw data'!CO10),0,'raw data'!CN10/'raw data'!CO10)</f>
        <v>0.81818181818181823</v>
      </c>
      <c r="AW9" s="225">
        <f>IF(ISERROR('raw data'!CP10/'raw data'!CQ10),0,'raw data'!CP10/'raw data'!CQ10)</f>
        <v>0.45454545454545453</v>
      </c>
      <c r="AX9" s="225">
        <f>IF(ISERROR('raw data'!CR10/'raw data'!CS10),0,'raw data'!CR10/'raw data'!CS10)</f>
        <v>0.5</v>
      </c>
      <c r="AY9" s="225">
        <f>IF(ISERROR('raw data'!CT10/'raw data'!CU10),0,'raw data'!CT10/'raw data'!CU10)</f>
        <v>1</v>
      </c>
      <c r="AZ9" s="225">
        <f>IF(ISERROR('raw data'!CV10/'raw data'!CW10),0,'raw data'!CV10/'raw data'!CW10)</f>
        <v>0.6</v>
      </c>
      <c r="BA9" s="225">
        <f>IF(ISERROR('raw data'!CX10/'raw data'!CY10),0,'raw data'!CX10/'raw data'!CY10)</f>
        <v>0.4</v>
      </c>
      <c r="BB9" s="225">
        <f>IF(ISERROR('raw data'!CZ10/'raw data'!DA10),0,'raw data'!CZ10/'raw data'!DA10)</f>
        <v>0.6</v>
      </c>
      <c r="BC9" s="225">
        <f>IF(ISERROR('raw data'!DB10/'raw data'!DC10),0,'raw data'!DB10/'raw data'!DC10)</f>
        <v>0.5714285714285714</v>
      </c>
      <c r="BD9" s="225">
        <v>0</v>
      </c>
      <c r="BE9" s="225">
        <f>IF(ISERROR('raw data'!DF10/'raw data'!DG10),0,'raw data'!DF10/'raw data'!DG10)</f>
        <v>0</v>
      </c>
      <c r="BF9" s="225">
        <f>IF(ISERROR('raw data'!DH10/'raw data'!DI10),0,'raw data'!DH10/'raw data'!DI10)</f>
        <v>0</v>
      </c>
      <c r="BG9" s="230">
        <f>IF(ISERROR('raw data'!DJ10/'raw data'!DK10),0,'raw data'!DJ10/'raw data'!DK10)</f>
        <v>0</v>
      </c>
      <c r="BH9" s="230">
        <f>IF(ISERROR('raw data'!DL10/'raw data'!DM10),0,'raw data'!DL10/'raw data'!DM10)</f>
        <v>0</v>
      </c>
      <c r="BI9" s="230">
        <f>IF(ISERROR('raw data'!DN10/'raw data'!DO10),0,'raw data'!DN10/'raw data'!DO10)</f>
        <v>0</v>
      </c>
      <c r="BJ9" s="230">
        <f>IF(ISERROR('raw data'!DP10/'raw data'!DQ10),0,'raw data'!DP10/'raw data'!DQ10)</f>
        <v>0</v>
      </c>
      <c r="BK9" s="230">
        <f>IF(ISERROR('raw data'!DR10/'raw data'!DS10),0,'raw data'!DR10/'raw data'!DS10)</f>
        <v>0.58823529411764708</v>
      </c>
      <c r="BL9" s="230">
        <f>IF(ISERROR('raw data'!DT10/'raw data'!DU10),0,'raw data'!DT10/'raw data'!DU10)</f>
        <v>0.42857142857142855</v>
      </c>
      <c r="BM9" s="230">
        <f>IF(ISERROR('raw data'!DV10/'raw data'!DW10),0,'raw data'!DV10/'raw data'!DW10)</f>
        <v>0.5</v>
      </c>
      <c r="BN9" s="230">
        <f>IF(ISERROR('raw data'!DX10/'raw data'!DY10),0,'raw data'!DX10/'raw data'!DY10)</f>
        <v>0.2</v>
      </c>
      <c r="BO9" s="230">
        <f>IF(ISERROR('raw data'!DZ10/'raw data'!EA10),0,'raw data'!DZ10/'raw data'!EA10)</f>
        <v>0.18181818181818182</v>
      </c>
      <c r="BP9" s="225">
        <f>IF(ISERROR('raw data'!EB10/'raw data'!EC10),0,'raw data'!EB10/'raw data'!EC10)</f>
        <v>0</v>
      </c>
      <c r="BQ9" s="225">
        <f>IF(ISERROR('raw data'!ED10/'raw data'!EE10),0,'raw data'!ED10/'raw data'!EE10)</f>
        <v>0.14285714285714285</v>
      </c>
      <c r="BR9" s="225">
        <f>IF(ISERROR('raw data'!EF10/'raw data'!EG10),0,'raw data'!EF10/'raw data'!EG10)</f>
        <v>0</v>
      </c>
      <c r="BS9" s="225">
        <f>IF(ISERROR('raw data'!EH10/'raw data'!EI10),0,'raw data'!EH10/'raw data'!EI10)</f>
        <v>6.6666666666666666E-2</v>
      </c>
      <c r="BT9" s="225">
        <f>IF(ISERROR('raw data'!EJ10/'raw data'!EK10),0,'raw data'!EJ10/'raw data'!EK10)</f>
        <v>0.13043478260869565</v>
      </c>
      <c r="BU9" s="225">
        <f>IF(ISERROR('raw data'!EL10/'raw data'!EM10),0,'raw data'!EL10/'raw data'!EM10)</f>
        <v>9.0909090909090912E-2</v>
      </c>
      <c r="BV9" s="225">
        <f>IF(ISERROR('raw data'!EN10/'raw data'!EO10),0,'raw data'!EN10/'raw data'!EO10)</f>
        <v>9.0909090909090912E-2</v>
      </c>
      <c r="BW9" s="225">
        <f>IF(ISERROR('raw data'!EP10/'raw data'!EQ10),0,'raw data'!EP10/'raw data'!EQ10)</f>
        <v>0.14285714285714285</v>
      </c>
      <c r="BX9" s="225">
        <f>IF(ISERROR('raw data'!ER10/'raw data'!ES10),0,'raw data'!ER10/'raw data'!ES10)</f>
        <v>4.3478260869565216E-2</v>
      </c>
      <c r="BY9" s="225">
        <f>IF(ISERROR('raw data'!ET10/'raw data'!EU10),0,'raw data'!ET10/'raw data'!EU10)</f>
        <v>5.8823529411764705E-2</v>
      </c>
      <c r="BZ9" s="232" t="s">
        <v>243</v>
      </c>
      <c r="CA9" s="232" t="s">
        <v>243</v>
      </c>
      <c r="CB9" s="232" t="s">
        <v>243</v>
      </c>
      <c r="CC9" s="232" t="s">
        <v>243</v>
      </c>
      <c r="CD9" s="232" t="s">
        <v>243</v>
      </c>
      <c r="CE9" s="232" t="s">
        <v>243</v>
      </c>
      <c r="CF9" s="232" t="s">
        <v>243</v>
      </c>
      <c r="CG9" s="232" t="s">
        <v>243</v>
      </c>
      <c r="CH9" s="232" t="s">
        <v>243</v>
      </c>
      <c r="CI9" s="232" t="s">
        <v>243</v>
      </c>
      <c r="CJ9" s="232" t="s">
        <v>243</v>
      </c>
      <c r="CK9" s="232" t="s">
        <v>243</v>
      </c>
      <c r="CL9" s="232" t="s">
        <v>243</v>
      </c>
      <c r="CM9" s="232" t="s">
        <v>243</v>
      </c>
      <c r="CN9" s="232" t="s">
        <v>243</v>
      </c>
      <c r="CO9" s="232" t="s">
        <v>243</v>
      </c>
      <c r="CP9" s="232" t="s">
        <v>243</v>
      </c>
      <c r="CQ9" s="232" t="s">
        <v>243</v>
      </c>
      <c r="CR9" s="232" t="s">
        <v>243</v>
      </c>
      <c r="CS9" s="232" t="s">
        <v>243</v>
      </c>
      <c r="CT9" s="232" t="s">
        <v>243</v>
      </c>
      <c r="CU9" s="232" t="s">
        <v>243</v>
      </c>
      <c r="CV9" s="232" t="s">
        <v>243</v>
      </c>
      <c r="CW9" s="232" t="s">
        <v>243</v>
      </c>
      <c r="CX9" s="232" t="s">
        <v>243</v>
      </c>
      <c r="CY9" s="232" t="s">
        <v>243</v>
      </c>
      <c r="CZ9" s="232" t="s">
        <v>243</v>
      </c>
      <c r="DA9" s="232" t="s">
        <v>243</v>
      </c>
      <c r="DB9" s="232" t="s">
        <v>243</v>
      </c>
      <c r="DC9" s="232" t="s">
        <v>243</v>
      </c>
      <c r="DD9" s="232" t="s">
        <v>243</v>
      </c>
      <c r="DE9" s="232" t="s">
        <v>243</v>
      </c>
      <c r="DF9" s="232" t="s">
        <v>243</v>
      </c>
      <c r="DG9" s="232" t="s">
        <v>243</v>
      </c>
      <c r="DH9" s="232" t="s">
        <v>243</v>
      </c>
      <c r="DI9" s="232" t="s">
        <v>243</v>
      </c>
      <c r="DJ9" s="232" t="s">
        <v>243</v>
      </c>
      <c r="DK9" s="232" t="s">
        <v>243</v>
      </c>
      <c r="DL9" s="232" t="s">
        <v>243</v>
      </c>
      <c r="DM9" s="232" t="s">
        <v>243</v>
      </c>
      <c r="DN9" s="232" t="s">
        <v>243</v>
      </c>
      <c r="DO9" s="232" t="s">
        <v>243</v>
      </c>
      <c r="DP9" s="232" t="s">
        <v>243</v>
      </c>
      <c r="DQ9" s="232" t="s">
        <v>243</v>
      </c>
      <c r="DR9" s="232" t="s">
        <v>243</v>
      </c>
      <c r="DS9" s="232" t="s">
        <v>243</v>
      </c>
      <c r="DT9" s="232" t="s">
        <v>243</v>
      </c>
      <c r="DU9" s="232" t="s">
        <v>243</v>
      </c>
      <c r="DV9" s="232" t="s">
        <v>243</v>
      </c>
      <c r="DW9" s="232" t="s">
        <v>243</v>
      </c>
      <c r="DX9" s="232" t="s">
        <v>243</v>
      </c>
      <c r="DY9" s="232" t="s">
        <v>243</v>
      </c>
      <c r="DZ9" s="232" t="s">
        <v>243</v>
      </c>
      <c r="EA9" s="232" t="s">
        <v>243</v>
      </c>
      <c r="EB9" s="232" t="s">
        <v>243</v>
      </c>
      <c r="EC9" s="232" t="s">
        <v>243</v>
      </c>
      <c r="ED9" s="226"/>
      <c r="EE9" s="227">
        <v>0</v>
      </c>
      <c r="EF9" s="227">
        <v>0</v>
      </c>
      <c r="EG9" s="228">
        <f t="shared" si="0"/>
        <v>0</v>
      </c>
      <c r="EH9" s="229"/>
    </row>
    <row r="10" spans="1:138" ht="25.5" customHeight="1" x14ac:dyDescent="0.15">
      <c r="A10" s="222">
        <v>1.1200000000000001</v>
      </c>
      <c r="B10" s="223" t="str">
        <f>'raw data'!B11</f>
        <v>Debit cards with £2k+ monthly spend on virtual games (includes Second Life, Eve Online and Blizzard).</v>
      </c>
      <c r="C10" s="224" t="s">
        <v>245</v>
      </c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25">
        <f>IF(ISERROR('raw data'!AB11/'raw data'!AC11),0,'raw data'!AB11/'raw data'!AC11)</f>
        <v>0</v>
      </c>
      <c r="Q10" s="225">
        <f>IF(ISERROR('raw data'!AD11/'raw data'!AE11),0,'raw data'!AD11/'raw data'!AE11)</f>
        <v>0</v>
      </c>
      <c r="R10" s="225">
        <f>IF(ISERROR('raw data'!AF11/'raw data'!AG11),0,'raw data'!AF11/'raw data'!AG11)</f>
        <v>0</v>
      </c>
      <c r="S10" s="225">
        <f>IF(ISERROR('raw data'!AH11/'raw data'!AI11),0,'raw data'!AH11/'raw data'!AI11)</f>
        <v>0.2</v>
      </c>
      <c r="T10" s="225">
        <f>IF(ISERROR('raw data'!AJ11/'raw data'!AK11),0,'raw data'!AJ11/'raw data'!AK11)</f>
        <v>0</v>
      </c>
      <c r="U10" s="225">
        <f>IF(ISERROR('raw data'!AL11/'raw data'!AM11),0,'raw data'!AL11/'raw data'!AM11)</f>
        <v>0</v>
      </c>
      <c r="V10" s="225">
        <f>IF(ISERROR('raw data'!AN11/'raw data'!AO11),0,'raw data'!AN11/'raw data'!AO11)</f>
        <v>0</v>
      </c>
      <c r="W10" s="225">
        <f>IF(ISERROR('raw data'!AP11/'raw data'!AQ11),0,'raw data'!AP11/'raw data'!AQ11)</f>
        <v>0</v>
      </c>
      <c r="X10" s="225">
        <f>IF(ISERROR('raw data'!AR11/'raw data'!AS11),0,'raw data'!AR11/'raw data'!AS11)</f>
        <v>0</v>
      </c>
      <c r="Y10" s="225">
        <f>IF(ISERROR('raw data'!AT11/'raw data'!AU11),0,'raw data'!AT11/'raw data'!AU11)</f>
        <v>0.25</v>
      </c>
      <c r="Z10" s="225">
        <f>IF(ISERROR('raw data'!AV11/'raw data'!AW11),0,'raw data'!AV11/'raw data'!AW11)</f>
        <v>0</v>
      </c>
      <c r="AA10" s="225">
        <f>IF(ISERROR('raw data'!AX11/'raw data'!AY11),0,'raw data'!AX11/'raw data'!AY11)</f>
        <v>0.25</v>
      </c>
      <c r="AB10" s="225">
        <f>IF(ISERROR('raw data'!AZ11/'raw data'!BA11),0,'raw data'!AZ11/'raw data'!BA11)</f>
        <v>0.25</v>
      </c>
      <c r="AC10" s="225">
        <f>IF(ISERROR('raw data'!BB11/'raw data'!BC11),0,'raw data'!BB11/'raw data'!BC11)</f>
        <v>0</v>
      </c>
      <c r="AD10" s="225">
        <f>IF(ISERROR('raw data'!BD11/'raw data'!BE11),0,'raw data'!BD11/'raw data'!BE11)</f>
        <v>0</v>
      </c>
      <c r="AE10" s="225">
        <f>IF(ISERROR('raw data'!BF11/'raw data'!BG11),0,'raw data'!BF11/'raw data'!BG11)</f>
        <v>0</v>
      </c>
      <c r="AF10" s="225">
        <f>IF(ISERROR('raw data'!BH11/'raw data'!BI11),0,'raw data'!BH11/'raw data'!BI11)</f>
        <v>0</v>
      </c>
      <c r="AG10" s="225">
        <f>IF(ISERROR('raw data'!BJ11/'raw data'!BK11),0,'raw data'!BJ11/'raw data'!BK11)</f>
        <v>0</v>
      </c>
      <c r="AH10" s="225">
        <f>IF(ISERROR('raw data'!BL11/'raw data'!BM11),0,'raw data'!BL11/'raw data'!BM11)</f>
        <v>0</v>
      </c>
      <c r="AI10" s="225">
        <f>IF(ISERROR('raw data'!BN11/'raw data'!BO11),0,'raw data'!BN11/'raw data'!BO11)</f>
        <v>0</v>
      </c>
      <c r="AJ10" s="225">
        <f>IF(ISERROR('raw data'!BP11/'raw data'!BQ11),0,'raw data'!BP11/'raw data'!BQ11)</f>
        <v>0</v>
      </c>
      <c r="AK10" s="225">
        <f>IF(ISERROR('raw data'!BR11/'raw data'!BS11),0,'raw data'!BR11/'raw data'!BS11)</f>
        <v>0</v>
      </c>
      <c r="AL10" s="225">
        <f>IF(ISERROR('raw data'!BT11/'raw data'!BU11),0,'raw data'!BT11/'raw data'!BU11)</f>
        <v>0</v>
      </c>
      <c r="AM10" s="225">
        <f>IF(ISERROR('raw data'!BV11/'raw data'!BW11),0,'raw data'!BV11/'raw data'!BW11)</f>
        <v>0</v>
      </c>
      <c r="AN10" s="225">
        <f>IF(ISERROR('raw data'!BX11/'raw data'!BY11),0,'raw data'!BX11/'raw data'!BY11)</f>
        <v>0</v>
      </c>
      <c r="AO10" s="225">
        <f>IF(ISERROR('raw data'!BZ11/'raw data'!CA11),0,'raw data'!BZ11/'raw data'!CA11)</f>
        <v>0</v>
      </c>
      <c r="AP10" s="225">
        <f>IF(ISERROR('raw data'!CB11/'raw data'!CC11),0,'raw data'!CB11/'raw data'!CC11)</f>
        <v>0</v>
      </c>
      <c r="AQ10" s="225">
        <f>IF(ISERROR('raw data'!CD11/'raw data'!CE11),0,'raw data'!CD11/'raw data'!CE11)</f>
        <v>0</v>
      </c>
      <c r="AR10" s="225">
        <f>IF(ISERROR('raw data'!CF11/'raw data'!CG11),0,'raw data'!CF11/'raw data'!CG11)</f>
        <v>0</v>
      </c>
      <c r="AS10" s="225">
        <f>IF(ISERROR('raw data'!CH11/'raw data'!CI11),0,'raw data'!CH11/'raw data'!CI11)</f>
        <v>0</v>
      </c>
      <c r="AT10" s="225">
        <f>IF(ISERROR('raw data'!CJ11/'raw data'!CK11),0,'raw data'!CJ11/'raw data'!CK11)</f>
        <v>0</v>
      </c>
      <c r="AU10" s="225">
        <f>IF(ISERROR('raw data'!CL11/'raw data'!CM11),0,'raw data'!CL11/'raw data'!CM11)</f>
        <v>0</v>
      </c>
      <c r="AV10" s="225">
        <f>IF(ISERROR('raw data'!CN11/'raw data'!CO11),0,'raw data'!CN11/'raw data'!CO11)</f>
        <v>0</v>
      </c>
      <c r="AW10" s="225">
        <f>IF(ISERROR('raw data'!CP11/'raw data'!CQ11),0,'raw data'!CP11/'raw data'!CQ11)</f>
        <v>0</v>
      </c>
      <c r="AX10" s="225">
        <f>IF(ISERROR('raw data'!CR11/'raw data'!CS11),0,'raw data'!CR11/'raw data'!CS11)</f>
        <v>0</v>
      </c>
      <c r="AY10" s="225">
        <f>IF(ISERROR('raw data'!CT11/'raw data'!CU11),0,'raw data'!CT11/'raw data'!CU11)</f>
        <v>0</v>
      </c>
      <c r="AZ10" s="225">
        <f>IF(ISERROR('raw data'!CV11/'raw data'!CW11),0,'raw data'!CV11/'raw data'!CW11)</f>
        <v>0</v>
      </c>
      <c r="BA10" s="225">
        <f>IF(ISERROR('raw data'!CX11/'raw data'!CY11),0,'raw data'!CX11/'raw data'!CY11)</f>
        <v>0</v>
      </c>
      <c r="BB10" s="225">
        <f>IF(ISERROR('raw data'!CZ11/'raw data'!DA11),0,'raw data'!CZ11/'raw data'!DA11)</f>
        <v>0</v>
      </c>
      <c r="BC10" s="225">
        <f>IF(ISERROR('raw data'!DB11/'raw data'!DC11),0,'raw data'!DB11/'raw data'!DC11)</f>
        <v>0</v>
      </c>
      <c r="BD10" s="225">
        <v>0</v>
      </c>
      <c r="BE10" s="225">
        <f>IF(ISERROR('raw data'!DF11/'raw data'!DG11),0,'raw data'!DF11/'raw data'!DG11)</f>
        <v>0</v>
      </c>
      <c r="BF10" s="225">
        <f>IF(ISERROR('raw data'!DH11/'raw data'!DI11),0,'raw data'!DH11/'raw data'!DI11)</f>
        <v>0</v>
      </c>
      <c r="BG10" s="230">
        <f>IF(ISERROR('raw data'!DJ11/'raw data'!DK11),0,'raw data'!DJ11/'raw data'!DK11)</f>
        <v>0</v>
      </c>
      <c r="BH10" s="230">
        <f>IF(ISERROR('raw data'!DL11/'raw data'!DM11),0,'raw data'!DL11/'raw data'!DM11)</f>
        <v>0</v>
      </c>
      <c r="BI10" s="230">
        <f>IF(ISERROR('raw data'!DN11/'raw data'!DO11),0,'raw data'!DN11/'raw data'!DO11)</f>
        <v>0</v>
      </c>
      <c r="BJ10" s="230">
        <f>IF(ISERROR('raw data'!DP11/'raw data'!DQ11),0,'raw data'!DP11/'raw data'!DQ11)</f>
        <v>0</v>
      </c>
      <c r="BK10" s="230">
        <f>IF(ISERROR('raw data'!DR11/'raw data'!DS11),0,'raw data'!DR11/'raw data'!DS11)</f>
        <v>0</v>
      </c>
      <c r="BL10" s="230">
        <f>IF(ISERROR('raw data'!DT11/'raw data'!DU11),0,'raw data'!DT11/'raw data'!DU11)</f>
        <v>0</v>
      </c>
      <c r="BM10" s="230">
        <f>IF(ISERROR('raw data'!DV11/'raw data'!DW11),0,'raw data'!DV11/'raw data'!DW11)</f>
        <v>0</v>
      </c>
      <c r="BN10" s="230">
        <f>IF(ISERROR('raw data'!DX11/'raw data'!DY11),0,'raw data'!DX11/'raw data'!DY11)</f>
        <v>0</v>
      </c>
      <c r="BO10" s="230">
        <f>IF(ISERROR('raw data'!DZ11/'raw data'!EA11),0,'raw data'!DZ11/'raw data'!EA11)</f>
        <v>0</v>
      </c>
      <c r="BP10" s="225">
        <f>IF(ISERROR('raw data'!EB11/'raw data'!EC11),0,'raw data'!EB11/'raw data'!EC11)</f>
        <v>0</v>
      </c>
      <c r="BQ10" s="225">
        <f>IF(ISERROR('raw data'!ED11/'raw data'!EE11),0,'raw data'!ED11/'raw data'!EE11)</f>
        <v>0</v>
      </c>
      <c r="BR10" s="225">
        <f>IF(ISERROR('raw data'!EF11/'raw data'!EG11),0,'raw data'!EF11/'raw data'!EG11)</f>
        <v>0</v>
      </c>
      <c r="BS10" s="225">
        <f>IF(ISERROR('raw data'!EH11/'raw data'!EI11),0,'raw data'!EH11/'raw data'!EI11)</f>
        <v>0</v>
      </c>
      <c r="BT10" s="225">
        <f>IF(ISERROR('raw data'!EJ11/'raw data'!EK11),0,'raw data'!EJ11/'raw data'!EK11)</f>
        <v>0</v>
      </c>
      <c r="BU10" s="225">
        <f>IF(ISERROR('raw data'!EL11/'raw data'!EM11),0,'raw data'!EL11/'raw data'!EM11)</f>
        <v>0</v>
      </c>
      <c r="BV10" s="225">
        <f>IF(ISERROR('raw data'!EN11/'raw data'!EO11),0,'raw data'!EN11/'raw data'!EO11)</f>
        <v>0</v>
      </c>
      <c r="BW10" s="225">
        <f>IF(ISERROR('raw data'!EP11/'raw data'!EQ11),0,'raw data'!EP11/'raw data'!EQ11)</f>
        <v>0</v>
      </c>
      <c r="BX10" s="225">
        <f>IF(ISERROR('raw data'!ER11/'raw data'!ES11),0,'raw data'!ER11/'raw data'!ES11)</f>
        <v>0</v>
      </c>
      <c r="BY10" s="232" t="s">
        <v>243</v>
      </c>
      <c r="BZ10" s="232" t="s">
        <v>243</v>
      </c>
      <c r="CA10" s="232" t="s">
        <v>243</v>
      </c>
      <c r="CB10" s="232" t="s">
        <v>243</v>
      </c>
      <c r="CC10" s="232" t="s">
        <v>243</v>
      </c>
      <c r="CD10" s="232" t="s">
        <v>243</v>
      </c>
      <c r="CE10" s="232" t="s">
        <v>243</v>
      </c>
      <c r="CF10" s="232" t="s">
        <v>243</v>
      </c>
      <c r="CG10" s="232" t="s">
        <v>243</v>
      </c>
      <c r="CH10" s="232" t="s">
        <v>243</v>
      </c>
      <c r="CI10" s="232" t="s">
        <v>243</v>
      </c>
      <c r="CJ10" s="232" t="s">
        <v>243</v>
      </c>
      <c r="CK10" s="232" t="s">
        <v>243</v>
      </c>
      <c r="CL10" s="232" t="s">
        <v>243</v>
      </c>
      <c r="CM10" s="232" t="s">
        <v>243</v>
      </c>
      <c r="CN10" s="232" t="s">
        <v>243</v>
      </c>
      <c r="CO10" s="232" t="s">
        <v>243</v>
      </c>
      <c r="CP10" s="232" t="s">
        <v>243</v>
      </c>
      <c r="CQ10" s="232" t="s">
        <v>243</v>
      </c>
      <c r="CR10" s="232" t="s">
        <v>243</v>
      </c>
      <c r="CS10" s="232" t="s">
        <v>243</v>
      </c>
      <c r="CT10" s="232" t="s">
        <v>243</v>
      </c>
      <c r="CU10" s="232" t="s">
        <v>243</v>
      </c>
      <c r="CV10" s="232" t="s">
        <v>243</v>
      </c>
      <c r="CW10" s="232" t="s">
        <v>243</v>
      </c>
      <c r="CX10" s="232" t="s">
        <v>243</v>
      </c>
      <c r="CY10" s="232" t="s">
        <v>243</v>
      </c>
      <c r="CZ10" s="232" t="s">
        <v>243</v>
      </c>
      <c r="DA10" s="232" t="s">
        <v>243</v>
      </c>
      <c r="DB10" s="232" t="s">
        <v>243</v>
      </c>
      <c r="DC10" s="232" t="s">
        <v>243</v>
      </c>
      <c r="DD10" s="232" t="s">
        <v>243</v>
      </c>
      <c r="DE10" s="232" t="s">
        <v>243</v>
      </c>
      <c r="DF10" s="232" t="s">
        <v>243</v>
      </c>
      <c r="DG10" s="232" t="s">
        <v>243</v>
      </c>
      <c r="DH10" s="232" t="s">
        <v>243</v>
      </c>
      <c r="DI10" s="232" t="s">
        <v>243</v>
      </c>
      <c r="DJ10" s="232" t="s">
        <v>243</v>
      </c>
      <c r="DK10" s="232" t="s">
        <v>243</v>
      </c>
      <c r="DL10" s="232" t="s">
        <v>243</v>
      </c>
      <c r="DM10" s="232" t="s">
        <v>243</v>
      </c>
      <c r="DN10" s="232" t="s">
        <v>243</v>
      </c>
      <c r="DO10" s="232" t="s">
        <v>243</v>
      </c>
      <c r="DP10" s="232" t="s">
        <v>243</v>
      </c>
      <c r="DQ10" s="232" t="s">
        <v>243</v>
      </c>
      <c r="DR10" s="232" t="s">
        <v>243</v>
      </c>
      <c r="DS10" s="232" t="s">
        <v>243</v>
      </c>
      <c r="DT10" s="232" t="s">
        <v>243</v>
      </c>
      <c r="DU10" s="232" t="s">
        <v>243</v>
      </c>
      <c r="DV10" s="232" t="s">
        <v>243</v>
      </c>
      <c r="DW10" s="232" t="s">
        <v>243</v>
      </c>
      <c r="DX10" s="232" t="s">
        <v>243</v>
      </c>
      <c r="DY10" s="232" t="s">
        <v>243</v>
      </c>
      <c r="DZ10" s="232" t="s">
        <v>243</v>
      </c>
      <c r="EA10" s="232" t="s">
        <v>243</v>
      </c>
      <c r="EB10" s="232" t="s">
        <v>243</v>
      </c>
      <c r="EC10" s="232" t="s">
        <v>243</v>
      </c>
      <c r="ED10" s="226"/>
      <c r="EE10" s="227">
        <v>0</v>
      </c>
      <c r="EF10" s="227">
        <v>0</v>
      </c>
      <c r="EG10" s="228">
        <f t="shared" si="0"/>
        <v>0</v>
      </c>
    </row>
    <row r="11" spans="1:138" ht="25.5" customHeight="1" x14ac:dyDescent="0.15">
      <c r="A11" s="222">
        <v>1.1299999999999999</v>
      </c>
      <c r="B11" s="223" t="str">
        <f>'raw data'!B12</f>
        <v>Flex accounts receiving 5 or more £3k+ cash credits last month.</v>
      </c>
      <c r="C11" s="224" t="s">
        <v>23</v>
      </c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25">
        <f>IF(ISERROR('raw data'!AD12/'raw data'!AE12),0,'raw data'!AD12/'raw data'!AE12)</f>
        <v>0.22033898305084745</v>
      </c>
      <c r="R11" s="225">
        <f>IF(ISERROR('raw data'!AF12/'raw data'!AG12),0,'raw data'!AF12/'raw data'!AG12)</f>
        <v>4.5454545454545456E-2</v>
      </c>
      <c r="S11" s="225">
        <f>IF(ISERROR('raw data'!AH12/'raw data'!AI12),0,'raw data'!AH12/'raw data'!AI12)</f>
        <v>0.2857142857142857</v>
      </c>
      <c r="T11" s="225">
        <f>IF(ISERROR('raw data'!AJ12/'raw data'!AK12),0,'raw data'!AJ12/'raw data'!AK12)</f>
        <v>7.3170731707317069E-2</v>
      </c>
      <c r="U11" s="225">
        <f>IF(ISERROR('raw data'!AL12/'raw data'!AM12),0,'raw data'!AL12/'raw data'!AM12)</f>
        <v>0.25</v>
      </c>
      <c r="V11" s="225">
        <f>IF(ISERROR('raw data'!AN12/'raw data'!AO12),0,'raw data'!AN12/'raw data'!AO12)</f>
        <v>0.2857142857142857</v>
      </c>
      <c r="W11" s="225">
        <f>IF(ISERROR('raw data'!AP12/'raw data'!AQ12),0,'raw data'!AP12/'raw data'!AQ12)</f>
        <v>7.3170731707317069E-2</v>
      </c>
      <c r="X11" s="225">
        <f>IF(ISERROR('raw data'!AR12/'raw data'!AS12),0,'raw data'!AR12/'raw data'!AS12)</f>
        <v>0.17391304347826086</v>
      </c>
      <c r="Y11" s="225">
        <f>IF(ISERROR('raw data'!AT12/'raw data'!AU12),0,'raw data'!AT12/'raw data'!AU12)</f>
        <v>7.407407407407407E-2</v>
      </c>
      <c r="Z11" s="225">
        <f>IF(ISERROR('raw data'!AV12/'raw data'!AW12),0,'raw data'!AV12/'raw data'!AW12)</f>
        <v>9.6153846153846159E-2</v>
      </c>
      <c r="AA11" s="225">
        <f>IF(ISERROR('raw data'!AX12/'raw data'!AY12),0,'raw data'!AX12/'raw data'!AY12)</f>
        <v>0.24</v>
      </c>
      <c r="AB11" s="225">
        <f>IF(ISERROR('raw data'!AZ12/'raw data'!BA12),0,'raw data'!AZ12/'raw data'!BA12)</f>
        <v>0.1</v>
      </c>
      <c r="AC11" s="225">
        <f>IF(ISERROR('raw data'!BB12/'raw data'!BC12),0,'raw data'!BB12/'raw data'!BC12)</f>
        <v>7.407407407407407E-2</v>
      </c>
      <c r="AD11" s="225">
        <f>IF(ISERROR('raw data'!BD12/'raw data'!BE12),0,'raw data'!BD12/'raw data'!BE12)</f>
        <v>0.2</v>
      </c>
      <c r="AE11" s="225">
        <f>IF(ISERROR('raw data'!BF12/'raw data'!BG12),0,'raw data'!BF12/'raw data'!BG12)</f>
        <v>0.2608695652173913</v>
      </c>
      <c r="AF11" s="225">
        <f>IF(ISERROR('raw data'!BH12/'raw data'!BI12),0,'raw data'!BH12/'raw data'!BI12)</f>
        <v>9.5238095238095233E-2</v>
      </c>
      <c r="AG11" s="225">
        <f>IF(ISERROR('raw data'!BJ12/'raw data'!BK12),0,'raw data'!BJ12/'raw data'!BK12)</f>
        <v>0.08</v>
      </c>
      <c r="AH11" s="225">
        <f>IF(ISERROR('raw data'!BL12/'raw data'!BM12),0,'raw data'!BL12/'raw data'!BM12)</f>
        <v>0.25</v>
      </c>
      <c r="AI11" s="225">
        <f>IF(ISERROR('raw data'!BN12/'raw data'!BO12),0,'raw data'!BN12/'raw data'!BO12)</f>
        <v>0.1276595744680851</v>
      </c>
      <c r="AJ11" s="225">
        <f>IF(ISERROR('raw data'!BP12/'raw data'!BQ12),0,'raw data'!BP12/'raw data'!BQ12)</f>
        <v>0.08</v>
      </c>
      <c r="AK11" s="225">
        <f>IF(ISERROR('raw data'!BR12/'raw data'!BS12),0,'raw data'!BR12/'raw data'!BS12)</f>
        <v>0.19230769230769232</v>
      </c>
      <c r="AL11" s="225">
        <f>IF(ISERROR('raw data'!BT12/'raw data'!BU12),0,'raw data'!BT12/'raw data'!BU12)</f>
        <v>0.125</v>
      </c>
      <c r="AM11" s="225">
        <f>IF(ISERROR('raw data'!BV12/'raw data'!BW12),0,'raw data'!BV12/'raw data'!BW12)</f>
        <v>0.12121212121212122</v>
      </c>
      <c r="AN11" s="225">
        <f>IF(ISERROR('raw data'!BX12/'raw data'!BY12),0,'raw data'!BX12/'raw data'!BY12)</f>
        <v>0.15625</v>
      </c>
      <c r="AO11" s="225">
        <f>IF(ISERROR('raw data'!BZ12/'raw data'!CA12),0,'raw data'!BZ12/'raw data'!CA12)</f>
        <v>8.3333333333333329E-2</v>
      </c>
      <c r="AP11" s="225">
        <f>IF(ISERROR('raw data'!CB12/'raw data'!CC12),0,'raw data'!CB12/'raw data'!CC12)</f>
        <v>0.27777777777777779</v>
      </c>
      <c r="AQ11" s="225">
        <f>IF(ISERROR('raw data'!CD12/'raw data'!CE12),0,'raw data'!CD12/'raw data'!CE12)</f>
        <v>0.17142857142857143</v>
      </c>
      <c r="AR11" s="225">
        <f>IF(ISERROR('raw data'!CF12/'raw data'!CG12),0,'raw data'!CF12/'raw data'!CG12)</f>
        <v>4.4444444444444446E-2</v>
      </c>
      <c r="AS11" s="225">
        <f>IF(ISERROR('raw data'!CH12/'raw data'!CI12),0,'raw data'!CH12/'raw data'!CI12)</f>
        <v>0.18518518518518517</v>
      </c>
      <c r="AT11" s="225">
        <f>IF(ISERROR('raw data'!CJ12/'raw data'!CK12),0,'raw data'!CJ12/'raw data'!CK12)</f>
        <v>0.16</v>
      </c>
      <c r="AU11" s="225">
        <f>IF(ISERROR('raw data'!CL12/'raw data'!CM12),0,'raw data'!CL12/'raw data'!CM12)</f>
        <v>8.5714285714285715E-2</v>
      </c>
      <c r="AV11" s="225">
        <f>IF(ISERROR('raw data'!CN12/'raw data'!CO12),0,'raw data'!CN12/'raw data'!CO12)</f>
        <v>0.1875</v>
      </c>
      <c r="AW11" s="225">
        <f>IF(ISERROR('raw data'!CP12/'raw data'!CQ12),0,'raw data'!CP12/'raw data'!CQ12)</f>
        <v>0.14893617021276595</v>
      </c>
      <c r="AX11" s="225">
        <f>IF(ISERROR('raw data'!CR12/'raw data'!CS12),0,'raw data'!CR12/'raw data'!CS12)</f>
        <v>0.21052631578947367</v>
      </c>
      <c r="AY11" s="225">
        <f>IF(ISERROR('raw data'!CT12/'raw data'!CU12),0,'raw data'!CT12/'raw data'!CU12)</f>
        <v>0.32142857142857145</v>
      </c>
      <c r="AZ11" s="225">
        <f>IF(ISERROR('raw data'!CV12/'raw data'!CW12),0,'raw data'!CV12/'raw data'!CW12)</f>
        <v>0.22222222222222221</v>
      </c>
      <c r="BA11" s="225">
        <f>IF(ISERROR('raw data'!CX12/'raw data'!CY12),0,'raw data'!CX12/'raw data'!CY12)</f>
        <v>0.125</v>
      </c>
      <c r="BB11" s="225">
        <f>IF(ISERROR('raw data'!CZ12/'raw data'!DA12),0,'raw data'!CZ12/'raw data'!DA12)</f>
        <v>0.33333333333333331</v>
      </c>
      <c r="BC11" s="225">
        <f>IF(ISERROR('raw data'!DB12/'raw data'!DC12),0,'raw data'!DB12/'raw data'!DC12)</f>
        <v>0.21951219512195122</v>
      </c>
      <c r="BD11" s="225">
        <v>0.20454545454545456</v>
      </c>
      <c r="BE11" s="225">
        <f>IF(ISERROR('raw data'!DF12/'raw data'!DG12),0,'raw data'!DF12/'raw data'!DG12)</f>
        <v>0.28000000000000003</v>
      </c>
      <c r="BF11" s="225">
        <f>IF(ISERROR('raw data'!DH12/'raw data'!DI12),0,'raw data'!DH12/'raw data'!DI12)</f>
        <v>0.20930232558139536</v>
      </c>
      <c r="BG11" s="230">
        <f>IF(ISERROR('raw data'!DJ12/'raw data'!DK12),0,'raw data'!DJ12/'raw data'!DK12)</f>
        <v>0.10714285714285714</v>
      </c>
      <c r="BH11" s="230">
        <f>IF(ISERROR('raw data'!DL12/'raw data'!DM12),0,'raw data'!DL12/'raw data'!DM12)</f>
        <v>0.20512820512820512</v>
      </c>
      <c r="BI11" s="230">
        <f>IF(ISERROR('raw data'!DN12/'raw data'!DO12),0,'raw data'!DN12/'raw data'!DO12)</f>
        <v>0.30303030303030304</v>
      </c>
      <c r="BJ11" s="230">
        <f>IF(ISERROR('raw data'!DP12/'raw data'!DQ12),0,'raw data'!DP12/'raw data'!DQ12)</f>
        <v>0.4</v>
      </c>
      <c r="BK11" s="230">
        <f>IF(ISERROR('raw data'!DR12/'raw data'!DS12),0,'raw data'!DR12/'raw data'!DS12)</f>
        <v>0.23076923076923078</v>
      </c>
      <c r="BL11" s="230">
        <f>IF(ISERROR('raw data'!DT12/'raw data'!DU12),0,'raw data'!DT12/'raw data'!DU12)</f>
        <v>0.2</v>
      </c>
      <c r="BM11" s="230">
        <f>IF(ISERROR('raw data'!DV12/'raw data'!DW12),0,'raw data'!DV12/'raw data'!DW12)</f>
        <v>0.10526315789473684</v>
      </c>
      <c r="BN11" s="230">
        <f>IF(ISERROR('raw data'!DX12/'raw data'!DY12),0,'raw data'!DX12/'raw data'!DY12)</f>
        <v>0.1</v>
      </c>
      <c r="BO11" s="230">
        <f>IF(ISERROR('raw data'!DZ12/'raw data'!EA12),0,'raw data'!DZ12/'raw data'!EA12)</f>
        <v>5.2631578947368418E-2</v>
      </c>
      <c r="BP11" s="225">
        <f>IF(ISERROR('raw data'!EB12/'raw data'!EC12),0,'raw data'!EB12/'raw data'!EC12)</f>
        <v>0.42499999999999999</v>
      </c>
      <c r="BQ11" s="225">
        <f>IF(ISERROR('raw data'!ED12/'raw data'!EE12),0,'raw data'!ED12/'raw data'!EE12)</f>
        <v>0.15909090909090909</v>
      </c>
      <c r="BR11" s="225">
        <f>IF(ISERROR('raw data'!EF12/'raw data'!EG12),0,'raw data'!EF12/'raw data'!EG12)</f>
        <v>3.2258064516129031E-2</v>
      </c>
      <c r="BS11" s="225">
        <f>IF(ISERROR('raw data'!EH12/'raw data'!EI12),0,'raw data'!EH12/'raw data'!EI12)</f>
        <v>5.2631578947368418E-2</v>
      </c>
      <c r="BT11" s="225">
        <f>IF(ISERROR('raw data'!EJ12/'raw data'!EK12),0,'raw data'!EJ12/'raw data'!EK12)</f>
        <v>0.10810810810810811</v>
      </c>
      <c r="BU11" s="225">
        <f>IF(ISERROR('raw data'!EL12/'raw data'!EM12),0,'raw data'!EL12/'raw data'!EM12)</f>
        <v>0.1</v>
      </c>
      <c r="BV11" s="225">
        <f>IF(ISERROR('raw data'!EN12/'raw data'!EO12),0,'raw data'!EN12/'raw data'!EO12)</f>
        <v>0.21052631578947367</v>
      </c>
      <c r="BW11" s="225">
        <f>IF(ISERROR('raw data'!EP12/'raw data'!EQ12),0,'raw data'!EP12/'raw data'!EQ12)</f>
        <v>0.46666666666666667</v>
      </c>
      <c r="BX11" s="225">
        <f>IF(ISERROR('raw data'!ER12/'raw data'!ES12),0,'raw data'!ER12/'raw data'!ES12)</f>
        <v>0.38461538461538464</v>
      </c>
      <c r="BY11" s="225">
        <f>IF(ISERROR('raw data'!ET12/'raw data'!EU12),0,'raw data'!ET12/'raw data'!EU12)</f>
        <v>0.21212121212121213</v>
      </c>
      <c r="BZ11" s="225">
        <f>IF(ISERROR('raw data'!EV12/'raw data'!EW12),0,'raw data'!EV12/'raw data'!EW12)</f>
        <v>6.6666666666666666E-2</v>
      </c>
      <c r="CA11" s="225">
        <f>IF(ISERROR('raw data'!EX12/'raw data'!EY12),0,'raw data'!EX12/'raw data'!EY12)</f>
        <v>0.15384615384615385</v>
      </c>
      <c r="CB11" s="225">
        <f>IF(ISERROR('raw data'!EZ12/'raw data'!FA12),0,'raw data'!EZ12/'raw data'!FA12)</f>
        <v>0.25</v>
      </c>
      <c r="CC11" s="225">
        <f>IF(ISERROR('raw data'!FB12/'raw data'!FC12),0,'raw data'!FB12/'raw data'!FC12)</f>
        <v>0.18181818181818182</v>
      </c>
      <c r="CD11" s="225">
        <f>IF(ISERROR('raw data'!FD12/'raw data'!FE12),0,'raw data'!FD12/'raw data'!FE12)</f>
        <v>8.6956521739130432E-2</v>
      </c>
      <c r="CE11" s="225">
        <f>IF(ISERROR('raw data'!FF12/'raw data'!FG12),0,'raw data'!FF12/'raw data'!FG12)</f>
        <v>0.3</v>
      </c>
      <c r="CF11" s="225">
        <f>IF(ISERROR('raw data'!FH12/'raw data'!FI12),0,'raw data'!FH12/'raw data'!FI12)</f>
        <v>0.16</v>
      </c>
      <c r="CG11" s="225">
        <f>IF(ISERROR('raw data'!FJ12/'raw data'!FM12),0,'raw data'!FJ12/'raw data'!FM12)</f>
        <v>0.30434782608695654</v>
      </c>
      <c r="CH11" s="225">
        <f>IF(ISERROR('raw data'!FN12/'raw data'!FO12),0,'raw data'!FN12/'raw data'!FO12)</f>
        <v>0.2</v>
      </c>
      <c r="CI11" s="225">
        <f>IF(ISERROR('raw data'!FP12/'raw data'!FQ12),0,'raw data'!FP12/'raw data'!FQ12)</f>
        <v>0.27272727272727271</v>
      </c>
      <c r="CJ11" s="225">
        <f>IF(ISERROR('raw data'!FR12/'raw data'!FS12),0,'raw data'!FR12/'raw data'!FS12)</f>
        <v>0.26923076923076922</v>
      </c>
      <c r="CK11" s="225">
        <f>IF(ISERROR('raw data'!FT12/'raw data'!FU12),0,'raw data'!FT12/'raw data'!FU12)</f>
        <v>0.27586206896551724</v>
      </c>
      <c r="CL11" s="225">
        <f>IF(ISERROR('raw data'!FV12/'raw data'!FW12),0,'raw data'!FV12/'raw data'!FW12)</f>
        <v>0.12</v>
      </c>
      <c r="CM11" s="225">
        <f>IF(ISERROR('raw data'!FX12/'raw data'!FY12),0,'raw data'!FX12/'raw data'!FY12)</f>
        <v>0.22222222222222221</v>
      </c>
      <c r="CN11" s="225">
        <f>IF(ISERROR('raw data'!FZ12/'raw data'!GA12),0,'raw data'!FZ12/'raw data'!GA12)</f>
        <v>6.6666666666666666E-2</v>
      </c>
      <c r="CO11" s="225">
        <f>IF(ISERROR('raw data'!GB12/'raw data'!GC12),0,'raw data'!GB12/'raw data'!GC12)</f>
        <v>8.3333333333333329E-2</v>
      </c>
      <c r="CP11" s="225">
        <f>IF(ISERROR('raw data'!GD12/'raw data'!GE12),0,'raw data'!GD12/'raw data'!GE12)</f>
        <v>0.22222222222222221</v>
      </c>
      <c r="CQ11" s="225">
        <f>IF(ISERROR('raw data'!GF12/'raw data'!GG12),0,'raw data'!GF12/'raw data'!GG12)</f>
        <v>0.22222222222222221</v>
      </c>
      <c r="CR11" s="225">
        <f>IF(ISERROR('raw data'!GH12/'raw data'!GI12),0,'raw data'!GH12/'raw data'!GI12)</f>
        <v>0.2</v>
      </c>
      <c r="CS11" s="225">
        <f>IF(ISERROR('raw data'!GJ12/'raw data'!GK12),0,'raw data'!GJ12/'raw data'!GK12)</f>
        <v>0.22222222222222221</v>
      </c>
      <c r="CT11" s="225">
        <f>IF(ISERROR('raw data'!GL12/'raw data'!GM12),0,'raw data'!GL12/'raw data'!GM12)</f>
        <v>0.14285714285714285</v>
      </c>
      <c r="CU11" s="225">
        <f>IF(ISERROR('raw data'!GN12/'raw data'!GO12),0,'raw data'!GN12/'raw data'!GO12)</f>
        <v>0</v>
      </c>
      <c r="CV11" s="225">
        <f>IF(ISERROR('raw data'!GP12/'raw data'!GQ12),0,'raw data'!GP12/'raw data'!GQ12)</f>
        <v>0.13333333333333333</v>
      </c>
      <c r="CW11" s="225">
        <f>IF(ISERROR('raw data'!GR12/'raw data'!GS12),0,'raw data'!GR12/'raw data'!GS12)</f>
        <v>0.16666666666666666</v>
      </c>
      <c r="CX11" s="225">
        <f>IF(ISERROR('raw data'!GT12/'raw data'!GU12),0,'raw data'!GT12/'raw data'!GU12)</f>
        <v>0.27272727272727271</v>
      </c>
      <c r="CY11" s="225">
        <f>IF(ISERROR('raw data'!GV12/'raw data'!GW12),0,'raw data'!GV12/'raw data'!GW12)</f>
        <v>8.3333333333333329E-2</v>
      </c>
      <c r="CZ11" s="225">
        <f>IF(ISERROR('raw data'!GX12/'raw data'!GY12),0,'raw data'!GX12/'raw data'!GY12)</f>
        <v>0.19230769230769232</v>
      </c>
      <c r="DA11" s="225">
        <f>IF(ISERROR('raw data'!GZ12/'raw data'!HA12),0,'raw data'!GZ12/'raw data'!HA12)</f>
        <v>0.23809523809523808</v>
      </c>
      <c r="DB11" s="225">
        <f>IF(ISERROR('raw data'!HB12/'raw data'!HC12),0,'raw data'!HB12/'raw data'!HC12)</f>
        <v>0.16666666666666666</v>
      </c>
      <c r="DC11" s="225">
        <f>IF(ISERROR('raw data'!HD12/'raw data'!HE12),0,'raw data'!HD12/'raw data'!HE12)</f>
        <v>0.2</v>
      </c>
      <c r="DD11" s="225">
        <f>IF(ISERROR('raw data'!HF12/'raw data'!HG12),0,'raw data'!HF12/'raw data'!HG12)</f>
        <v>5.8823529411764705E-2</v>
      </c>
      <c r="DE11" s="225">
        <f>IF(ISERROR('raw data'!HH12/'raw data'!HI12),0,'raw data'!HH12/'raw data'!HI12)</f>
        <v>0</v>
      </c>
      <c r="DF11" s="225">
        <f>IF(ISERROR('raw data'!HJ12/'raw data'!HK12),0,'raw data'!HJ12/'raw data'!HK12)</f>
        <v>0.25</v>
      </c>
      <c r="DG11" s="225">
        <f>IF(ISERROR('raw data'!HL12/'raw data'!HM12),0,'raw data'!HL12/'raw data'!HM12)</f>
        <v>0</v>
      </c>
      <c r="DH11" s="225">
        <f>IF(ISERROR('raw data'!HN12/'raw data'!HO12),0,'raw data'!HN12/'raw data'!HO12)</f>
        <v>0.23529411764705882</v>
      </c>
      <c r="DI11" s="225">
        <f>IF(ISERROR('raw data'!HP12/'raw data'!HQ12),0,'raw data'!HP12/'raw data'!HQ12)</f>
        <v>7.6923076923076927E-2</v>
      </c>
      <c r="DJ11" s="225">
        <f>IF(ISERROR('raw data'!HR12/'raw data'!HS12),0,'raw data'!HR12/'raw data'!HS12)</f>
        <v>7.6923076923076927E-2</v>
      </c>
      <c r="DK11" s="225">
        <f>IF(ISERROR('raw data'!HT12/'raw data'!HU12),0,'raw data'!HT12/'raw data'!HU12)</f>
        <v>0.23076923076923078</v>
      </c>
      <c r="DL11" s="225">
        <f>IF(ISERROR('raw data'!HV12/'raw data'!HW12),0,'raw data'!HV12/'raw data'!HW12)</f>
        <v>0.16666666666666666</v>
      </c>
      <c r="DM11" s="225">
        <f>IF(ISERROR('raw data'!HX12/'raw data'!HY12),0,'raw data'!HX12/'raw data'!HY12)</f>
        <v>0.16666666666666666</v>
      </c>
      <c r="DN11" s="225">
        <f>IF(ISERROR('raw data'!HZ12/'raw data'!IA12),0,'raw data'!HZ12/'raw data'!IA12)</f>
        <v>0.1</v>
      </c>
      <c r="DO11" s="225">
        <f>IF(ISERROR('raw data'!IB12/'raw data'!IC12),0,'raw data'!IB12/'raw data'!IC12)</f>
        <v>0.30769230769230771</v>
      </c>
      <c r="DP11" s="225">
        <f>IF(ISERROR('raw data'!ID12/'raw data'!IE12),0,'raw data'!ID12/'raw data'!IE12)</f>
        <v>0.4</v>
      </c>
      <c r="DQ11" s="225">
        <f>IF(ISERROR('raw data'!IF12/'raw data'!IG12),0,'raw data'!IF12/'raw data'!IG12)</f>
        <v>0</v>
      </c>
      <c r="DR11" s="225">
        <f>IF(ISERROR('raw data'!IH12/'raw data'!II12),0,'raw data'!IH12/'raw data'!II12)</f>
        <v>0</v>
      </c>
      <c r="DS11" s="225">
        <f>IF(ISERROR('raw data'!IJ12/'raw data'!IK12),0,'raw data'!IJ12/'raw data'!IK12)</f>
        <v>0.22222222222222221</v>
      </c>
      <c r="DT11" s="225">
        <f>IF(ISERROR('raw data'!IL12/'raw data'!IM12),0,'raw data'!IL12/'raw data'!IM12)</f>
        <v>0.1</v>
      </c>
      <c r="DU11" s="225">
        <f>IF(ISERROR('raw data'!IN12/'raw data'!IO12),0,'raw data'!IN12/'raw data'!IO12)</f>
        <v>0.33333333333333331</v>
      </c>
      <c r="DV11" s="225">
        <f>IF(ISERROR('raw data'!IP12/'raw data'!IQ12),0,'raw data'!IP12/'raw data'!IQ12)</f>
        <v>0.2857142857142857</v>
      </c>
      <c r="DW11" s="225">
        <f>IF(ISERROR('raw data'!IR12/'raw data'!IS12),0,'raw data'!IR12/'raw data'!IS12)</f>
        <v>0.6</v>
      </c>
      <c r="DX11" s="225">
        <f>IF(ISERROR('raw data'!IT12/'raw data'!IU12),0,'raw data'!IT12/'raw data'!IU12)</f>
        <v>0.5</v>
      </c>
      <c r="DY11" s="225">
        <f>IF(ISERROR('raw data'!IV12/'raw data'!IW12),0,'raw data'!IV12/'raw data'!IW12)</f>
        <v>0</v>
      </c>
      <c r="DZ11" s="225">
        <f>IF(ISERROR('raw data'!IX12/'raw data'!IY12),0,'raw data'!IX12/'raw data'!IY12)</f>
        <v>0.2</v>
      </c>
      <c r="EA11" s="225">
        <f>IF(ISERROR('raw data'!IZ12/'raw data'!JA12),0,'raw data'!IZ12/'raw data'!JA12)</f>
        <v>0.25</v>
      </c>
      <c r="EB11" s="225">
        <f>IF(ISERROR('raw data'!JB12/'raw data'!JC12),0,'raw data'!JB12/'raw data'!JC12)</f>
        <v>0.4</v>
      </c>
      <c r="EC11" s="225">
        <f>IF(ISERROR('raw data'!JD12/'raw data'!JE12),0,'raw data'!JD12/'raw data'!JE12)</f>
        <v>0.75</v>
      </c>
      <c r="ED11" s="226"/>
      <c r="EE11" s="227">
        <v>39</v>
      </c>
      <c r="EF11" s="227">
        <v>111</v>
      </c>
      <c r="EG11" s="228">
        <f t="shared" si="0"/>
        <v>0.35135135135135137</v>
      </c>
    </row>
    <row r="12" spans="1:138" ht="25.5" customHeight="1" x14ac:dyDescent="0.15">
      <c r="A12" s="222">
        <v>1.1399999999999999</v>
      </c>
      <c r="B12" s="223" t="str">
        <f>'raw data'!B13</f>
        <v xml:space="preserve">Flex accounts where 5+ branches used (CR) and transactions total £2k+ last month. </v>
      </c>
      <c r="C12" s="224" t="s">
        <v>246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25">
        <f>IF(ISERROR('raw data'!AD13/'raw data'!AE13),0,'raw data'!AD13/'raw data'!AE13)</f>
        <v>0.40425531914893614</v>
      </c>
      <c r="R12" s="225">
        <f>IF(ISERROR('raw data'!AF13/'raw data'!AG13),0,'raw data'!AF13/'raw data'!AG13)</f>
        <v>0.5</v>
      </c>
      <c r="S12" s="225">
        <f>IF(ISERROR('raw data'!AH13/'raw data'!AI13),0,'raw data'!AH13/'raw data'!AI13)</f>
        <v>0.56666666666666665</v>
      </c>
      <c r="T12" s="225">
        <f>IF(ISERROR('raw data'!AJ13/'raw data'!AK13),0,'raw data'!AJ13/'raw data'!AK13)</f>
        <v>0.47619047619047616</v>
      </c>
      <c r="U12" s="225">
        <f>IF(ISERROR('raw data'!AL13/'raw data'!AM13),0,'raw data'!AL13/'raw data'!AM13)</f>
        <v>0.40277777777777779</v>
      </c>
      <c r="V12" s="225">
        <f>IF(ISERROR('raw data'!AN13/'raw data'!AO13),0,'raw data'!AN13/'raw data'!AO13)</f>
        <v>0.57446808510638303</v>
      </c>
      <c r="W12" s="225">
        <f>IF(ISERROR('raw data'!AP13/'raw data'!AQ13),0,'raw data'!AP13/'raw data'!AQ13)</f>
        <v>0.45</v>
      </c>
      <c r="X12" s="225">
        <f>IF(ISERROR('raw data'!AR13/'raw data'!AS13),0,'raw data'!AR13/'raw data'!AS13)</f>
        <v>0.28301886792452829</v>
      </c>
      <c r="Y12" s="225">
        <f>IF(ISERROR('raw data'!AT13/'raw data'!AU13),0,'raw data'!AT13/'raw data'!AU13)</f>
        <v>0.52325581395348841</v>
      </c>
      <c r="Z12" s="225">
        <f>IF(ISERROR('raw data'!AV13/'raw data'!AW13),0,'raw data'!AV13/'raw data'!AW13)</f>
        <v>0.42857142857142855</v>
      </c>
      <c r="AA12" s="225">
        <f>IF(ISERROR('raw data'!AX13/'raw data'!AY13),0,'raw data'!AX13/'raw data'!AY13)</f>
        <v>0.44897959183673469</v>
      </c>
      <c r="AB12" s="225">
        <f>IF(ISERROR('raw data'!AZ13/'raw data'!BA13),0,'raw data'!AZ13/'raw data'!BA13)</f>
        <v>0.45454545454545453</v>
      </c>
      <c r="AC12" s="225">
        <f>IF(ISERROR('raw data'!BB13/'raw data'!BC13),0,'raw data'!BB13/'raw data'!BC13)</f>
        <v>0.46296296296296297</v>
      </c>
      <c r="AD12" s="225">
        <f>IF(ISERROR('raw data'!BD13/'raw data'!BE13),0,'raw data'!BD13/'raw data'!BE13)</f>
        <v>0.40350877192982454</v>
      </c>
      <c r="AE12" s="225">
        <f>IF(ISERROR('raw data'!BF13/'raw data'!BG13),0,'raw data'!BF13/'raw data'!BG13)</f>
        <v>0.35849056603773582</v>
      </c>
      <c r="AF12" s="225">
        <f>IF(ISERROR('raw data'!BH13/'raw data'!BI13),0,'raw data'!BH13/'raw data'!BI13)</f>
        <v>0.38805970149253732</v>
      </c>
      <c r="AG12" s="225">
        <f>IF(ISERROR('raw data'!BJ13/'raw data'!BK13),0,'raw data'!BJ13/'raw data'!BK13)</f>
        <v>0.22500000000000001</v>
      </c>
      <c r="AH12" s="225">
        <f>IF(ISERROR('raw data'!BL13/'raw data'!BM13),0,'raw data'!BL13/'raw data'!BM13)</f>
        <v>0.44067796610169491</v>
      </c>
      <c r="AI12" s="225">
        <f>IF(ISERROR('raw data'!BN13/'raw data'!BO13),0,'raw data'!BN13/'raw data'!BO13)</f>
        <v>0.33783783783783783</v>
      </c>
      <c r="AJ12" s="225">
        <f>IF(ISERROR('raw data'!BP13/'raw data'!BQ13),0,'raw data'!BP13/'raw data'!BQ13)</f>
        <v>0.3235294117647059</v>
      </c>
      <c r="AK12" s="225">
        <f>IF(ISERROR('raw data'!BR13/'raw data'!BS13),0,'raw data'!BR13/'raw data'!BS13)</f>
        <v>0.30645161290322581</v>
      </c>
      <c r="AL12" s="225">
        <f>IF(ISERROR('raw data'!BT13/'raw data'!BU13),0,'raw data'!BT13/'raw data'!BU13)</f>
        <v>0.379746835443038</v>
      </c>
      <c r="AM12" s="225">
        <f>IF(ISERROR('raw data'!BV13/'raw data'!BW13),0,'raw data'!BV13/'raw data'!BW13)</f>
        <v>0.44897959183673469</v>
      </c>
      <c r="AN12" s="225">
        <f>IF(ISERROR('raw data'!BX13/'raw data'!BY13),0,'raw data'!BX13/'raw data'!BY13)</f>
        <v>0.41379310344827586</v>
      </c>
      <c r="AO12" s="225">
        <f>IF(ISERROR('raw data'!BZ13/'raw data'!CA13),0,'raw data'!BZ13/'raw data'!CA13)</f>
        <v>0.33333333333333331</v>
      </c>
      <c r="AP12" s="225">
        <f>IF(ISERROR('raw data'!CB13/'raw data'!CC13),0,'raw data'!CB13/'raw data'!CC13)</f>
        <v>0.48484848484848486</v>
      </c>
      <c r="AQ12" s="225">
        <f>IF(ISERROR('raw data'!CD13/'raw data'!CE13),0,'raw data'!CD13/'raw data'!CE13)</f>
        <v>0.41860465116279072</v>
      </c>
      <c r="AR12" s="225">
        <f>IF(ISERROR('raw data'!CF13/'raw data'!CG13),0,'raw data'!CF13/'raw data'!CG13)</f>
        <v>0.43076923076923079</v>
      </c>
      <c r="AS12" s="225">
        <f>IF(ISERROR('raw data'!CH13/'raw data'!CI13),0,'raw data'!CH13/'raw data'!CI13)</f>
        <v>0.51898734177215189</v>
      </c>
      <c r="AT12" s="225">
        <f>IF(ISERROR('raw data'!CJ13/'raw data'!CK13),0,'raw data'!CJ13/'raw data'!CK13)</f>
        <v>0.36764705882352944</v>
      </c>
      <c r="AU12" s="225">
        <f>IF(ISERROR('raw data'!CL13/'raw data'!CM13),0,'raw data'!CL13/'raw data'!CM13)</f>
        <v>0.45652173913043476</v>
      </c>
      <c r="AV12" s="225">
        <f>IF(ISERROR('raw data'!CN13/'raw data'!CO13),0,'raw data'!CN13/'raw data'!CO13)</f>
        <v>0.47272727272727272</v>
      </c>
      <c r="AW12" s="225">
        <f>IF(ISERROR('raw data'!CP13/'raw data'!CQ13),0,'raw data'!CP13/'raw data'!CQ13)</f>
        <v>0.50588235294117645</v>
      </c>
      <c r="AX12" s="225">
        <f>IF(ISERROR('raw data'!CR13/'raw data'!CS13),0,'raw data'!CR13/'raw data'!CS13)</f>
        <v>0.51351351351351349</v>
      </c>
      <c r="AY12" s="225">
        <f>IF(ISERROR('raw data'!CT13/'raw data'!CU13),0,'raw data'!CT13/'raw data'!CU13)</f>
        <v>0.60563380281690138</v>
      </c>
      <c r="AZ12" s="225">
        <f>IF(ISERROR('raw data'!CV13/'raw data'!CW13),0,'raw data'!CV13/'raw data'!CW13)</f>
        <v>0.60227272727272729</v>
      </c>
      <c r="BA12" s="225">
        <f>IF(ISERROR('raw data'!CX13/'raw data'!CY13),0,'raw data'!CX13/'raw data'!CY13)</f>
        <v>0.43548387096774194</v>
      </c>
      <c r="BB12" s="225">
        <f>IF(ISERROR('raw data'!CZ13/'raw data'!DA13),0,'raw data'!CZ13/'raw data'!DA13)</f>
        <v>0.54545454545454541</v>
      </c>
      <c r="BC12" s="225">
        <f>IF(ISERROR('raw data'!DB13/'raw data'!DC13),0,'raw data'!DB13/'raw data'!DC13)</f>
        <v>0.55844155844155841</v>
      </c>
      <c r="BD12" s="225">
        <v>0.57954545454545459</v>
      </c>
      <c r="BE12" s="225">
        <f>IF(ISERROR('raw data'!DF13/'raw data'!DG13),0,'raw data'!DF13/'raw data'!DG13)</f>
        <v>0.51086956521739135</v>
      </c>
      <c r="BF12" s="225">
        <f>IF(ISERROR('raw data'!DH13/'raw data'!DI13),0,'raw data'!DH13/'raw data'!DI13)</f>
        <v>0.48837209302325579</v>
      </c>
      <c r="BG12" s="230">
        <f>IF(ISERROR('raw data'!DJ13/'raw data'!DK13),0,'raw data'!DJ13/'raw data'!DK13)</f>
        <v>0.47058823529411764</v>
      </c>
      <c r="BH12" s="230">
        <f>IF(ISERROR('raw data'!DL13/'raw data'!DM13),0,'raw data'!DL13/'raw data'!DM13)</f>
        <v>0.52040816326530615</v>
      </c>
      <c r="BI12" s="230">
        <f>IF(ISERROR('raw data'!DN13/'raw data'!DO13),0,'raw data'!DN13/'raw data'!DO13)</f>
        <v>0.61904761904761907</v>
      </c>
      <c r="BJ12" s="230">
        <f>IF(ISERROR('raw data'!DP13/'raw data'!DQ13),0,'raw data'!DP13/'raw data'!DQ13)</f>
        <v>0.69230769230769229</v>
      </c>
      <c r="BK12" s="230">
        <f>IF(ISERROR('raw data'!DR13/'raw data'!DS13),0,'raw data'!DR13/'raw data'!DS13)</f>
        <v>0.57692307692307687</v>
      </c>
      <c r="BL12" s="230">
        <f>IF(ISERROR('raw data'!DT13/'raw data'!DU13),0,'raw data'!DT13/'raw data'!DU13)</f>
        <v>0.4861111111111111</v>
      </c>
      <c r="BM12" s="230">
        <f>IF(ISERROR('raw data'!DV13/'raw data'!DW13),0,'raw data'!DV13/'raw data'!DW13)</f>
        <v>0.44736842105263158</v>
      </c>
      <c r="BN12" s="230">
        <f>IF(ISERROR('raw data'!DX13/'raw data'!DY13),0,'raw data'!DX13/'raw data'!DY13)</f>
        <v>0.37333333333333335</v>
      </c>
      <c r="BO12" s="230">
        <f>IF(ISERROR('raw data'!DZ13/'raw data'!EA13),0,'raw data'!DZ13/'raw data'!EA13)</f>
        <v>0.38202247191011235</v>
      </c>
      <c r="BP12" s="225">
        <f>IF(ISERROR('raw data'!EB13/'raw data'!EC13),0,'raw data'!EB13/'raw data'!EC13)</f>
        <v>0.5161290322580645</v>
      </c>
      <c r="BQ12" s="225">
        <f>IF(ISERROR('raw data'!ED13/'raw data'!EE13),0,'raw data'!ED13/'raw data'!EE13)</f>
        <v>0.54838709677419351</v>
      </c>
      <c r="BR12" s="225">
        <f>IF(ISERROR('raw data'!EF13/'raw data'!EG13),0,'raw data'!EF13/'raw data'!EG13)</f>
        <v>0.36363636363636365</v>
      </c>
      <c r="BS12" s="225">
        <f>IF(ISERROR('raw data'!EH13/'raw data'!EI13),0,'raw data'!EH13/'raw data'!EI13)</f>
        <v>0.41584158415841582</v>
      </c>
      <c r="BT12" s="225">
        <f>IF(ISERROR('raw data'!EJ13/'raw data'!EK13),0,'raw data'!EJ13/'raw data'!EK13)</f>
        <v>0.53409090909090906</v>
      </c>
      <c r="BU12" s="225">
        <f>IF(ISERROR('raw data'!EL13/'raw data'!EM13),0,'raw data'!EL13/'raw data'!EM13)</f>
        <v>0.43518518518518517</v>
      </c>
      <c r="BV12" s="225">
        <f>IF(ISERROR('raw data'!EN13/'raw data'!EO13),0,'raw data'!EN13/'raw data'!EO13)</f>
        <v>0.43373493975903615</v>
      </c>
      <c r="BW12" s="225">
        <f>IF(ISERROR('raw data'!EP13/'raw data'!EQ13),0,'raw data'!EP13/'raw data'!EQ13)</f>
        <v>0.64210526315789473</v>
      </c>
      <c r="BX12" s="225">
        <f>IF(ISERROR('raw data'!ER13/'raw data'!ES13),0,'raw data'!ER13/'raw data'!ES13)</f>
        <v>0.58974358974358976</v>
      </c>
      <c r="BY12" s="225">
        <f>IF(ISERROR('raw data'!ET13/'raw data'!EU13),0,'raw data'!ET13/'raw data'!EU13)</f>
        <v>0.5161290322580645</v>
      </c>
      <c r="BZ12" s="225">
        <f>IF(ISERROR('raw data'!EV13/'raw data'!EW13),0,'raw data'!EV13/'raw data'!EW13)</f>
        <v>0.50724637681159424</v>
      </c>
      <c r="CA12" s="225">
        <f>IF(ISERROR('raw data'!EX13/'raw data'!EY13),0,'raw data'!EX13/'raw data'!EY13)</f>
        <v>0.60416666666666663</v>
      </c>
      <c r="CB12" s="225">
        <f>IF(ISERROR('raw data'!EZ13/'raw data'!FA13),0,'raw data'!EZ13/'raw data'!FA13)</f>
        <v>0.5</v>
      </c>
      <c r="CC12" s="225">
        <f>IF(ISERROR('raw data'!FB13/'raw data'!FC13),0,'raw data'!FB13/'raw data'!FC13)</f>
        <v>0.5730337078651685</v>
      </c>
      <c r="CD12" s="225">
        <f>IF(ISERROR('raw data'!FD13/'raw data'!FE13),0,'raw data'!FD13/'raw data'!FE13)</f>
        <v>0.42857142857142855</v>
      </c>
      <c r="CE12" s="225">
        <f>IF(ISERROR('raw data'!FF13/'raw data'!FG13),0,'raw data'!FF13/'raw data'!FG13)</f>
        <v>0.44791666666666669</v>
      </c>
      <c r="CF12" s="225">
        <f>IF(ISERROR('raw data'!FH13/'raw data'!FI13),0,'raw data'!FH13/'raw data'!FI13)</f>
        <v>0.5730337078651685</v>
      </c>
      <c r="CG12" s="225">
        <f>IF(ISERROR('raw data'!FJ13/'raw data'!FM13),0,'raw data'!FJ13/'raw data'!FM13)</f>
        <v>0.37623762376237624</v>
      </c>
      <c r="CH12" s="225">
        <f>IF(ISERROR('raw data'!FN13/'raw data'!FO13),0,'raw data'!FN13/'raw data'!FO13)</f>
        <v>0.49074074074074076</v>
      </c>
      <c r="CI12" s="225">
        <f>IF(ISERROR('raw data'!FP13/'raw data'!FQ13),0,'raw data'!FP13/'raw data'!FQ13)</f>
        <v>0.41025641025641024</v>
      </c>
      <c r="CJ12" s="225">
        <f>IF(ISERROR('raw data'!FR13/'raw data'!FS13),0,'raw data'!FR13/'raw data'!FS13)</f>
        <v>0.52459016393442626</v>
      </c>
      <c r="CK12" s="225">
        <f>IF(ISERROR('raw data'!FT13/'raw data'!FU13),0,'raw data'!FT13/'raw data'!FU13)</f>
        <v>0.5089285714285714</v>
      </c>
      <c r="CL12" s="225">
        <f>IF(ISERROR('raw data'!FV13/'raw data'!FW13),0,'raw data'!FV13/'raw data'!FW13)</f>
        <v>0.42682926829268292</v>
      </c>
      <c r="CM12" s="225">
        <f>IF(ISERROR('raw data'!FX13/'raw data'!FY13),0,'raw data'!FX13/'raw data'!FY13)</f>
        <v>0.4642857142857143</v>
      </c>
      <c r="CN12" s="225">
        <f>IF(ISERROR('raw data'!FZ13/'raw data'!GA13),0,'raw data'!FZ13/'raw data'!GA13)</f>
        <v>0.21052631578947367</v>
      </c>
      <c r="CO12" s="225">
        <f>IF(ISERROR('raw data'!GB13/'raw data'!GC13),0,'raw data'!GB13/'raw data'!GC13)</f>
        <v>0.42857142857142855</v>
      </c>
      <c r="CP12" s="225">
        <f>IF(ISERROR('raw data'!GD13/'raw data'!GE13),0,'raw data'!GD13/'raw data'!GE13)</f>
        <v>0.3888888888888889</v>
      </c>
      <c r="CQ12" s="225">
        <f>IF(ISERROR('raw data'!GF13/'raw data'!GG13),0,'raw data'!GF13/'raw data'!GG13)</f>
        <v>0.3125</v>
      </c>
      <c r="CR12" s="225">
        <f>IF(ISERROR('raw data'!GH13/'raw data'!GI13),0,'raw data'!GH13/'raw data'!GI13)</f>
        <v>0.2</v>
      </c>
      <c r="CS12" s="225">
        <f>IF(ISERROR('raw data'!GJ13/'raw data'!GK13),0,'raw data'!GJ13/'raw data'!GK13)</f>
        <v>0.27272727272727271</v>
      </c>
      <c r="CT12" s="225">
        <f>IF(ISERROR('raw data'!GL13/'raw data'!GM13),0,'raw data'!GL13/'raw data'!GM13)</f>
        <v>0.1875</v>
      </c>
      <c r="CU12" s="225">
        <f>IF(ISERROR('raw data'!GN13/'raw data'!GO13),0,'raw data'!GN13/'raw data'!GO13)</f>
        <v>0.23076923076923078</v>
      </c>
      <c r="CV12" s="225">
        <f>IF(ISERROR('raw data'!GP13/'raw data'!GQ13),0,'raw data'!GP13/'raw data'!GQ13)</f>
        <v>0.41666666666666669</v>
      </c>
      <c r="CW12" s="225">
        <f>IF(ISERROR('raw data'!GR13/'raw data'!GS13),0,'raw data'!GR13/'raw data'!GS13)</f>
        <v>0.27272727272727271</v>
      </c>
      <c r="CX12" s="225">
        <f>IF(ISERROR('raw data'!GT13/'raw data'!GU13),0,'raw data'!GT13/'raw data'!GU13)</f>
        <v>0.25</v>
      </c>
      <c r="CY12" s="225">
        <f>IF(ISERROR('raw data'!GV13/'raw data'!GW13),0,'raw data'!GV13/'raw data'!GW13)</f>
        <v>0.26315789473684209</v>
      </c>
      <c r="CZ12" s="225">
        <f>IF(ISERROR('raw data'!GX13/'raw data'!GY13),0,'raw data'!GX13/'raw data'!GY13)</f>
        <v>0.18181818181818182</v>
      </c>
      <c r="DA12" s="225">
        <f>IF(ISERROR('raw data'!GZ13/'raw data'!HA13),0,'raw data'!GZ13/'raw data'!HA13)</f>
        <v>0.2</v>
      </c>
      <c r="DB12" s="225">
        <f>IF(ISERROR('raw data'!HB13/'raw data'!HC13),0,'raw data'!HB13/'raw data'!HC13)</f>
        <v>0.21428571428571427</v>
      </c>
      <c r="DC12" s="225">
        <f>IF(ISERROR('raw data'!HD13/'raw data'!HE13),0,'raw data'!HD13/'raw data'!HE13)</f>
        <v>0.125</v>
      </c>
      <c r="DD12" s="225">
        <f>IF(ISERROR('raw data'!HF13/'raw data'!HG13),0,'raw data'!HF13/'raw data'!HG13)</f>
        <v>0.3125</v>
      </c>
      <c r="DE12" s="225">
        <f>IF(ISERROR('raw data'!HH13/'raw data'!HI13),0,'raw data'!HH13/'raw data'!HI13)</f>
        <v>0.35714285714285715</v>
      </c>
      <c r="DF12" s="225">
        <f>IF(ISERROR('raw data'!HJ13/'raw data'!HK13),0,'raw data'!HJ13/'raw data'!HK13)</f>
        <v>0.33333333333333331</v>
      </c>
      <c r="DG12" s="225">
        <f>IF(ISERROR('raw data'!HL13/'raw data'!HM13),0,'raw data'!HL13/'raw data'!HM13)</f>
        <v>9.0909090909090912E-2</v>
      </c>
      <c r="DH12" s="225">
        <f>IF(ISERROR('raw data'!HN13/'raw data'!HO13),0,'raw data'!HN13/'raw data'!HO13)</f>
        <v>0.35294117647058826</v>
      </c>
      <c r="DI12" s="225">
        <f>IF(ISERROR('raw data'!HP13/'raw data'!HQ13),0,'raw data'!HP13/'raw data'!HQ13)</f>
        <v>0.3125</v>
      </c>
      <c r="DJ12" s="225">
        <f>IF(ISERROR('raw data'!HR13/'raw data'!HS13),0,'raw data'!HR13/'raw data'!HS13)</f>
        <v>0.21428571428571427</v>
      </c>
      <c r="DK12" s="225">
        <f>IF(ISERROR('raw data'!HT13/'raw data'!HU13),0,'raw data'!HT13/'raw data'!HU13)</f>
        <v>0.14285714285714285</v>
      </c>
      <c r="DL12" s="225">
        <f>IF(ISERROR('raw data'!HV13/'raw data'!HW13),0,'raw data'!HV13/'raw data'!HW13)</f>
        <v>1</v>
      </c>
      <c r="DM12" s="225">
        <f>IF(ISERROR('raw data'!HX13/'raw data'!HY13),0,'raw data'!HX13/'raw data'!HY13)</f>
        <v>0</v>
      </c>
      <c r="DN12" s="225">
        <f>IF(ISERROR('raw data'!HZ13/'raw data'!IA13),0,'raw data'!HZ13/'raw data'!IA13)</f>
        <v>0.2857142857142857</v>
      </c>
      <c r="DO12" s="225">
        <f>IF(ISERROR('raw data'!IB13/'raw data'!IC13),0,'raw data'!IB13/'raw data'!IC13)</f>
        <v>0.42857142857142855</v>
      </c>
      <c r="DP12" s="225">
        <f>IF(ISERROR('raw data'!ID13/'raw data'!IE13),0,'raw data'!ID13/'raw data'!IE13)</f>
        <v>0.33333333333333331</v>
      </c>
      <c r="DQ12" s="225">
        <f>IF(ISERROR('raw data'!IF13/'raw data'!IG13),0,'raw data'!IF13/'raw data'!IG13)</f>
        <v>0.2</v>
      </c>
      <c r="DR12" s="225">
        <f>IF(ISERROR('raw data'!IH13/'raw data'!II13),0,'raw data'!IH13/'raw data'!II13)</f>
        <v>0.8</v>
      </c>
      <c r="DS12" s="225">
        <f>IF(ISERROR('raw data'!IJ13/'raw data'!IK13),0,'raw data'!IJ13/'raw data'!IK13)</f>
        <v>0.25</v>
      </c>
      <c r="DT12" s="225">
        <f>IF(ISERROR('raw data'!IL13/'raw data'!IM13),0,'raw data'!IL13/'raw data'!IM13)</f>
        <v>0.5</v>
      </c>
      <c r="DU12" s="225">
        <f>IF(ISERROR('raw data'!IN13/'raw data'!IO13),0,'raw data'!IN13/'raw data'!IO13)</f>
        <v>0.5</v>
      </c>
      <c r="DV12" s="225">
        <f>IF(ISERROR('raw data'!IP13/'raw data'!IQ13),0,'raw data'!IP13/'raw data'!IQ13)</f>
        <v>0</v>
      </c>
      <c r="DW12" s="225">
        <f>IF(ISERROR('raw data'!IR13/'raw data'!IS13),0,'raw data'!IR13/'raw data'!IS13)</f>
        <v>0</v>
      </c>
      <c r="DX12" s="225">
        <f>IF(ISERROR('raw data'!IT13/'raw data'!IU13),0,'raw data'!IT13/'raw data'!IU13)</f>
        <v>0.33333333333333331</v>
      </c>
      <c r="DY12" s="225">
        <f>IF(ISERROR('raw data'!IV13/'raw data'!IW13),0,'raw data'!IV13/'raw data'!IW13)</f>
        <v>0.5</v>
      </c>
      <c r="DZ12" s="225">
        <f>IF(ISERROR('raw data'!IX13/'raw data'!IY13),0,'raw data'!IX13/'raw data'!IY13)</f>
        <v>0.55555555555555558</v>
      </c>
      <c r="EA12" s="225">
        <f>IF(ISERROR('raw data'!IZ13/'raw data'!JA13),0,'raw data'!IZ13/'raw data'!JA13)</f>
        <v>0</v>
      </c>
      <c r="EB12" s="225">
        <f>IF(ISERROR('raw data'!JB13/'raw data'!JC13),0,'raw data'!JB13/'raw data'!JC13)</f>
        <v>0</v>
      </c>
      <c r="EC12" s="225">
        <f>IF(ISERROR('raw data'!JD13/'raw data'!JE13),0,'raw data'!JD13/'raw data'!JE13)</f>
        <v>0.5714285714285714</v>
      </c>
      <c r="ED12" s="226"/>
      <c r="EE12" s="227">
        <v>20</v>
      </c>
      <c r="EF12" s="227">
        <v>44</v>
      </c>
      <c r="EG12" s="228">
        <f t="shared" si="0"/>
        <v>0.45454545454545453</v>
      </c>
    </row>
    <row r="13" spans="1:138" ht="25.5" customHeight="1" x14ac:dyDescent="0.15">
      <c r="A13" s="222">
        <v>1.1499999999999999</v>
      </c>
      <c r="B13" s="223" t="str">
        <f>'raw data'!B14</f>
        <v>Savings accounts where 5+ branches used (CR) and transactions total £2k+ last month.</v>
      </c>
      <c r="C13" s="224" t="s">
        <v>247</v>
      </c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25">
        <f>IF(ISERROR('raw data'!AD14/'raw data'!AE14),0,'raw data'!AD14/'raw data'!AE14)</f>
        <v>0.38461538461538464</v>
      </c>
      <c r="R13" s="225">
        <f>IF(ISERROR('raw data'!AF14/'raw data'!AG14),0,'raw data'!AF14/'raw data'!AG14)</f>
        <v>0.1891891891891892</v>
      </c>
      <c r="S13" s="225">
        <f>IF(ISERROR('raw data'!AH14/'raw data'!AI14),0,'raw data'!AH14/'raw data'!AI14)</f>
        <v>0.22857142857142856</v>
      </c>
      <c r="T13" s="225">
        <f>IF(ISERROR('raw data'!AJ14/'raw data'!AK14),0,'raw data'!AJ14/'raw data'!AK14)</f>
        <v>0.31707317073170732</v>
      </c>
      <c r="U13" s="225">
        <f>IF(ISERROR('raw data'!AL14/'raw data'!AM14),0,'raw data'!AL14/'raw data'!AM14)</f>
        <v>0.4</v>
      </c>
      <c r="V13" s="225">
        <f>IF(ISERROR('raw data'!AN14/'raw data'!AO14),0,'raw data'!AN14/'raw data'!AO14)</f>
        <v>0.39393939393939392</v>
      </c>
      <c r="W13" s="225">
        <f>IF(ISERROR('raw data'!AP14/'raw data'!AQ14),0,'raw data'!AP14/'raw data'!AQ14)</f>
        <v>0.41935483870967744</v>
      </c>
      <c r="X13" s="225">
        <f>IF(ISERROR('raw data'!AR14/'raw data'!AS14),0,'raw data'!AR14/'raw data'!AS14)</f>
        <v>0.31428571428571428</v>
      </c>
      <c r="Y13" s="225">
        <f>IF(ISERROR('raw data'!AT14/'raw data'!AU14),0,'raw data'!AT14/'raw data'!AU14)</f>
        <v>0.32692307692307693</v>
      </c>
      <c r="Z13" s="225">
        <f>IF(ISERROR('raw data'!AV14/'raw data'!AW14),0,'raw data'!AV14/'raw data'!AW14)</f>
        <v>0.234375</v>
      </c>
      <c r="AA13" s="225">
        <f>IF(ISERROR('raw data'!AX14/'raw data'!AY14),0,'raw data'!AX14/'raw data'!AY14)</f>
        <v>0.22413793103448276</v>
      </c>
      <c r="AB13" s="225">
        <f>IF(ISERROR('raw data'!AZ14/'raw data'!BA14),0,'raw data'!AZ14/'raw data'!BA14)</f>
        <v>0.23404255319148937</v>
      </c>
      <c r="AC13" s="225">
        <f>IF(ISERROR('raw data'!BB14/'raw data'!BC14),0,'raw data'!BB14/'raw data'!BC14)</f>
        <v>0.32653061224489793</v>
      </c>
      <c r="AD13" s="225">
        <f>IF(ISERROR('raw data'!BD14/'raw data'!BE14),0,'raw data'!BD14/'raw data'!BE14)</f>
        <v>0.27659574468085107</v>
      </c>
      <c r="AE13" s="225">
        <f>IF(ISERROR('raw data'!BF14/'raw data'!BG14),0,'raw data'!BF14/'raw data'!BG14)</f>
        <v>0.1111111111111111</v>
      </c>
      <c r="AF13" s="225">
        <f>IF(ISERROR('raw data'!BH14/'raw data'!BI14),0,'raw data'!BH14/'raw data'!BI14)</f>
        <v>0.25423728813559321</v>
      </c>
      <c r="AG13" s="225">
        <f>IF(ISERROR('raw data'!BJ14/'raw data'!BK14),0,'raw data'!BJ14/'raw data'!BK14)</f>
        <v>0.16666666666666666</v>
      </c>
      <c r="AH13" s="225">
        <f>IF(ISERROR('raw data'!BL14/'raw data'!BM14),0,'raw data'!BL14/'raw data'!BM14)</f>
        <v>0.14754098360655737</v>
      </c>
      <c r="AI13" s="225">
        <f>IF(ISERROR('raw data'!BN14/'raw data'!BO14),0,'raw data'!BN14/'raw data'!BO14)</f>
        <v>0.11475409836065574</v>
      </c>
      <c r="AJ13" s="225">
        <f>IF(ISERROR('raw data'!BP14/'raw data'!BQ14),0,'raw data'!BP14/'raw data'!BQ14)</f>
        <v>0.18571428571428572</v>
      </c>
      <c r="AK13" s="225">
        <f>IF(ISERROR('raw data'!BR14/'raw data'!BS14),0,'raw data'!BR14/'raw data'!BS14)</f>
        <v>0.23809523809523808</v>
      </c>
      <c r="AL13" s="225">
        <f>IF(ISERROR('raw data'!BT14/'raw data'!BU14),0,'raw data'!BT14/'raw data'!BU14)</f>
        <v>9.2592592592592587E-2</v>
      </c>
      <c r="AM13" s="225">
        <f>IF(ISERROR('raw data'!BV14/'raw data'!BW14),0,'raw data'!BV14/'raw data'!BW14)</f>
        <v>9.3023255813953487E-2</v>
      </c>
      <c r="AN13" s="225">
        <f>IF(ISERROR('raw data'!BX14/'raw data'!BY14),0,'raw data'!BX14/'raw data'!BY14)</f>
        <v>0.27083333333333331</v>
      </c>
      <c r="AO13" s="225">
        <f>IF(ISERROR('raw data'!BZ14/'raw data'!CA14),0,'raw data'!BZ14/'raw data'!CA14)</f>
        <v>0.31578947368421051</v>
      </c>
      <c r="AP13" s="225">
        <f>IF(ISERROR('raw data'!CB14/'raw data'!CC14),0,'raw data'!CB14/'raw data'!CC14)</f>
        <v>0.34883720930232559</v>
      </c>
      <c r="AQ13" s="225">
        <f>IF(ISERROR('raw data'!CD14/'raw data'!CE14),0,'raw data'!CD14/'raw data'!CE14)</f>
        <v>0.1702127659574468</v>
      </c>
      <c r="AR13" s="225">
        <f>IF(ISERROR('raw data'!CF14/'raw data'!CG14),0,'raw data'!CF14/'raw data'!CG14)</f>
        <v>0.22222222222222221</v>
      </c>
      <c r="AS13" s="225">
        <f>IF(ISERROR('raw data'!CH14/'raw data'!CI14),0,'raw data'!CH14/'raw data'!CI14)</f>
        <v>0.23076923076923078</v>
      </c>
      <c r="AT13" s="225">
        <f>IF(ISERROR('raw data'!CJ14/'raw data'!CK14),0,'raw data'!CJ14/'raw data'!CK14)</f>
        <v>0.20930232558139536</v>
      </c>
      <c r="AU13" s="225">
        <f>IF(ISERROR('raw data'!CL14/'raw data'!CM14),0,'raw data'!CL14/'raw data'!CM14)</f>
        <v>0.13333333333333333</v>
      </c>
      <c r="AV13" s="225">
        <f>IF(ISERROR('raw data'!CN14/'raw data'!CO14),0,'raw data'!CN14/'raw data'!CO14)</f>
        <v>0.19354838709677419</v>
      </c>
      <c r="AW13" s="225">
        <f>IF(ISERROR('raw data'!CP14/'raw data'!CQ14),0,'raw data'!CP14/'raw data'!CQ14)</f>
        <v>0.10416666666666667</v>
      </c>
      <c r="AX13" s="225">
        <f>IF(ISERROR('raw data'!CR14/'raw data'!CS14),0,'raw data'!CR14/'raw data'!CS14)</f>
        <v>8.3333333333333329E-2</v>
      </c>
      <c r="AY13" s="225">
        <f>IF(ISERROR('raw data'!CT14/'raw data'!CU14),0,'raw data'!CT14/'raw data'!CU14)</f>
        <v>0.24390243902439024</v>
      </c>
      <c r="AZ13" s="225">
        <f>IF(ISERROR('raw data'!CV14/'raw data'!CW14),0,'raw data'!CV14/'raw data'!CW14)</f>
        <v>0.23529411764705882</v>
      </c>
      <c r="BA13" s="225">
        <f>IF(ISERROR('raw data'!CX14/'raw data'!CY14),0,'raw data'!CX14/'raw data'!CY14)</f>
        <v>0.15151515151515152</v>
      </c>
      <c r="BB13" s="225">
        <f>IF(ISERROR('raw data'!CZ14/'raw data'!DA14),0,'raw data'!CZ14/'raw data'!DA14)</f>
        <v>0.23076923076923078</v>
      </c>
      <c r="BC13" s="225">
        <f>IF(ISERROR('raw data'!DB14/'raw data'!DC14),0,'raw data'!DB14/'raw data'!DC14)</f>
        <v>0.23214285714285715</v>
      </c>
      <c r="BD13" s="225">
        <v>0.26415094339622641</v>
      </c>
      <c r="BE13" s="225">
        <f>IF(ISERROR('raw data'!DF14/'raw data'!DG14),0,'raw data'!DF14/'raw data'!DG14)</f>
        <v>0.34285714285714286</v>
      </c>
      <c r="BF13" s="225">
        <f>IF(ISERROR('raw data'!DH14/'raw data'!DI14),0,'raw data'!DH14/'raw data'!DI14)</f>
        <v>0.31578947368421051</v>
      </c>
      <c r="BG13" s="225">
        <f>IF(ISERROR('raw data'!DJ14/'raw data'!DK14),0,'raw data'!DJ14/'raw data'!DK14)</f>
        <v>0.23404255319148937</v>
      </c>
      <c r="BH13" s="225">
        <f>IF(ISERROR('raw data'!DL14/'raw data'!DM14),0,'raw data'!DL14/'raw data'!DM14)</f>
        <v>0.24444444444444444</v>
      </c>
      <c r="BI13" s="225">
        <f>IF(ISERROR('raw data'!DN14/'raw data'!DO14),0,'raw data'!DN14/'raw data'!DO14)</f>
        <v>0.22641509433962265</v>
      </c>
      <c r="BJ13" s="225">
        <f>IF(ISERROR('raw data'!DP14/'raw data'!DQ14),0,'raw data'!DP14/'raw data'!DQ14)</f>
        <v>0.21428571428571427</v>
      </c>
      <c r="BK13" s="225">
        <f>IF(ISERROR('raw data'!DR14/'raw data'!DS14),0,'raw data'!DR14/'raw data'!DS14)</f>
        <v>0.36842105263157893</v>
      </c>
      <c r="BL13" s="225">
        <f>IF(ISERROR('raw data'!DT14/'raw data'!DU14),0,'raw data'!DT14/'raw data'!DU14)</f>
        <v>0.35294117647058826</v>
      </c>
      <c r="BM13" s="225">
        <f>IF(ISERROR('raw data'!DV14/'raw data'!DW14),0,'raw data'!DV14/'raw data'!DW14)</f>
        <v>0.10344827586206896</v>
      </c>
      <c r="BN13" s="225">
        <f>IF(ISERROR('raw data'!DX14/'raw data'!DY14),0,'raw data'!DX14/'raw data'!DY14)</f>
        <v>0.13207547169811321</v>
      </c>
      <c r="BO13" s="225">
        <f>IF(ISERROR('raw data'!DZ14/'raw data'!EA14),0,'raw data'!DZ14/'raw data'!EA14)</f>
        <v>0.27027027027027029</v>
      </c>
      <c r="BP13" s="225">
        <f>IF(ISERROR('raw data'!EB14/'raw data'!EC14),0,'raw data'!EB14/'raw data'!EC14)</f>
        <v>0.22641509433962265</v>
      </c>
      <c r="BQ13" s="225">
        <f>IF(ISERROR('raw data'!ED14/'raw data'!EE14),0,'raw data'!ED14/'raw data'!EE14)</f>
        <v>0.29411764705882354</v>
      </c>
      <c r="BR13" s="225">
        <f>IF(ISERROR('raw data'!EF14/'raw data'!EG14),0,'raw data'!EF14/'raw data'!EG14)</f>
        <v>8.1081081081081086E-2</v>
      </c>
      <c r="BS13" s="225">
        <f>IF(ISERROR('raw data'!EH14/'raw data'!EI14),0,'raw data'!EH14/'raw data'!EI14)</f>
        <v>0.1891891891891892</v>
      </c>
      <c r="BT13" s="225">
        <f>IF(ISERROR('raw data'!EJ14/'raw data'!EK14),0,'raw data'!EJ14/'raw data'!EK14)</f>
        <v>0.14814814814814814</v>
      </c>
      <c r="BU13" s="225">
        <f>IF(ISERROR('raw data'!EL14/'raw data'!EM14),0,'raw data'!EL14/'raw data'!EM14)</f>
        <v>0.23529411764705882</v>
      </c>
      <c r="BV13" s="225">
        <f>IF(ISERROR('raw data'!EN14/'raw data'!EO14),0,'raw data'!EN14/'raw data'!EO14)</f>
        <v>0.10344827586206896</v>
      </c>
      <c r="BW13" s="225">
        <f>IF(ISERROR('raw data'!EP14/'raw data'!EQ14),0,'raw data'!EP14/'raw data'!EQ14)</f>
        <v>0.13636363636363635</v>
      </c>
      <c r="BX13" s="225">
        <f>IF(ISERROR('raw data'!ER14/'raw data'!ES14),0,'raw data'!ER14/'raw data'!ES14)</f>
        <v>0.27027027027027029</v>
      </c>
      <c r="BY13" s="225">
        <f>IF(ISERROR('raw data'!ET14/'raw data'!EU14),0,'raw data'!ET14/'raw data'!EU14)</f>
        <v>0.33333333333333331</v>
      </c>
      <c r="BZ13" s="225">
        <f>IF(ISERROR('raw data'!EV14/'raw data'!EW14),0,'raw data'!EV14/'raw data'!EW14)</f>
        <v>0.2</v>
      </c>
      <c r="CA13" s="225">
        <f>IF(ISERROR('raw data'!EX14/'raw data'!EY14),0,'raw data'!EX14/'raw data'!EY14)</f>
        <v>0.28947368421052633</v>
      </c>
      <c r="CB13" s="225">
        <f>IF(ISERROR('raw data'!EZ14/'raw data'!FA14),0,'raw data'!EZ14/'raw data'!FA14)</f>
        <v>0.34782608695652173</v>
      </c>
      <c r="CC13" s="225">
        <f>IF(ISERROR('raw data'!FB14/'raw data'!FC14),0,'raw data'!FB14/'raw data'!FC14)</f>
        <v>0.23076923076923078</v>
      </c>
      <c r="CD13" s="225">
        <f>IF(ISERROR('raw data'!FD14/'raw data'!FE14),0,'raw data'!FD14/'raw data'!FE14)</f>
        <v>0.3888888888888889</v>
      </c>
      <c r="CE13" s="225">
        <f>IF(ISERROR('raw data'!FF14/'raw data'!FG14),0,'raw data'!FF14/'raw data'!FG14)</f>
        <v>0.23255813953488372</v>
      </c>
      <c r="CF13" s="225">
        <f>IF(ISERROR('raw data'!FH14/'raw data'!FI14),0,'raw data'!FH14/'raw data'!FI14)</f>
        <v>0.20833333333333334</v>
      </c>
      <c r="CG13" s="225">
        <f>IF(ISERROR('raw data'!FJ14/'raw data'!FM14),0,'raw data'!FJ14/'raw data'!FM14)</f>
        <v>0.25</v>
      </c>
      <c r="CH13" s="225">
        <f>IF(ISERROR('raw data'!FN14/'raw data'!FO14),0,'raw data'!FN14/'raw data'!FO14)</f>
        <v>0.1111111111111111</v>
      </c>
      <c r="CI13" s="225">
        <f>IF(ISERROR('raw data'!FP14/'raw data'!FQ14),0,'raw data'!FP14/'raw data'!FQ14)</f>
        <v>0.375</v>
      </c>
      <c r="CJ13" s="225">
        <f>IF(ISERROR('raw data'!FR14/'raw data'!FS14),0,'raw data'!FR14/'raw data'!FS14)</f>
        <v>0.5</v>
      </c>
      <c r="CK13" s="225">
        <f>IF(ISERROR('raw data'!FT14/'raw data'!FU14),0,'raw data'!FT14/'raw data'!FU14)</f>
        <v>0.5</v>
      </c>
      <c r="CL13" s="225">
        <f>IF(ISERROR('raw data'!FV14/'raw data'!FW14),0,'raw data'!FV14/'raw data'!FW14)</f>
        <v>0.25</v>
      </c>
      <c r="CM13" s="225">
        <f>IF(ISERROR('raw data'!FX14/'raw data'!FY14),0,'raw data'!FX14/'raw data'!FY14)</f>
        <v>1</v>
      </c>
      <c r="CN13" s="225">
        <f>IF(ISERROR('raw data'!FZ14/'raw data'!GA14),0,'raw data'!FZ14/'raw data'!GA14)</f>
        <v>0</v>
      </c>
      <c r="CO13" s="225">
        <f>IF(ISERROR('raw data'!GB14/'raw data'!GC14),0,'raw data'!GB14/'raw data'!GC14)</f>
        <v>0</v>
      </c>
      <c r="CP13" s="225">
        <f>IF(ISERROR('raw data'!GD14/'raw data'!GE14),0,'raw data'!GD14/'raw data'!GE14)</f>
        <v>0</v>
      </c>
      <c r="CQ13" s="225">
        <f>IF(ISERROR('raw data'!GF14/'raw data'!GG14),0,'raw data'!GF14/'raw data'!GG14)</f>
        <v>0</v>
      </c>
      <c r="CR13" s="225">
        <f>IF(ISERROR('raw data'!GH14/'raw data'!GI14),0,'raw data'!GH14/'raw data'!GI14)</f>
        <v>0</v>
      </c>
      <c r="CS13" s="225">
        <f>IF(ISERROR('raw data'!GJ14/'raw data'!GK14),0,'raw data'!GJ14/'raw data'!GK14)</f>
        <v>0.5</v>
      </c>
      <c r="CT13" s="225">
        <f>IF(ISERROR('raw data'!GL14/'raw data'!GM14),0,'raw data'!GL14/'raw data'!GM14)</f>
        <v>0.33333333333333331</v>
      </c>
      <c r="CU13" s="225">
        <f>IF(ISERROR('raw data'!GN14/'raw data'!GO14),0,'raw data'!GN14/'raw data'!GO14)</f>
        <v>0</v>
      </c>
      <c r="CV13" s="225">
        <f>IF(ISERROR('raw data'!GP14/'raw data'!GQ14),0,'raw data'!GP14/'raw data'!GQ14)</f>
        <v>0</v>
      </c>
      <c r="CW13" s="225">
        <f>IF(ISERROR('raw data'!GR14/'raw data'!GS14),0,'raw data'!GR14/'raw data'!GS14)</f>
        <v>0.33333333333333331</v>
      </c>
      <c r="CX13" s="225">
        <f>IF(ISERROR('raw data'!GT14/'raw data'!GU14),0,'raw data'!GT14/'raw data'!GU14)</f>
        <v>0</v>
      </c>
      <c r="CY13" s="225">
        <f>IF(ISERROR('raw data'!GV14/'raw data'!GW14),0,'raw data'!GV14/'raw data'!GW14)</f>
        <v>1</v>
      </c>
      <c r="CZ13" s="225">
        <f>IF(ISERROR('raw data'!GX14/'raw data'!GY14),0,'raw data'!GX14/'raw data'!GY14)</f>
        <v>0</v>
      </c>
      <c r="DA13" s="225">
        <f>IF(ISERROR('raw data'!GZ14/'raw data'!HA14),0,'raw data'!GZ14/'raw data'!HA14)</f>
        <v>0</v>
      </c>
      <c r="DB13" s="225">
        <f>IF(ISERROR('raw data'!HB14/'raw data'!HC14),0,'raw data'!HB14/'raw data'!HC14)</f>
        <v>0</v>
      </c>
      <c r="DC13" s="225">
        <f>IF(ISERROR('raw data'!HD14/'raw data'!HE14),0,'raw data'!HD14/'raw data'!HE14)</f>
        <v>1</v>
      </c>
      <c r="DD13" s="225">
        <f>IF(ISERROR('raw data'!HF14/'raw data'!HG14),0,'raw data'!HF14/'raw data'!HG14)</f>
        <v>0.2</v>
      </c>
      <c r="DE13" s="225">
        <f>IF(ISERROR('raw data'!HH14/'raw data'!HI14),0,'raw data'!HH14/'raw data'!HI14)</f>
        <v>0</v>
      </c>
      <c r="DF13" s="225">
        <f>IF(ISERROR('raw data'!HJ14/'raw data'!HK14),0,'raw data'!HJ14/'raw data'!HK14)</f>
        <v>0.75</v>
      </c>
      <c r="DG13" s="225">
        <f>IF(ISERROR('raw data'!HL14/'raw data'!HM14),0,'raw data'!HL14/'raw data'!HM14)</f>
        <v>0</v>
      </c>
      <c r="DH13" s="225">
        <f>IF(ISERROR('raw data'!HN14/'raw data'!HO14),0,'raw data'!HN14/'raw data'!HO14)</f>
        <v>0</v>
      </c>
      <c r="DI13" s="225">
        <f>IF(ISERROR('raw data'!HP14/'raw data'!HQ14),0,'raw data'!HP14/'raw data'!HQ14)</f>
        <v>0</v>
      </c>
      <c r="DJ13" s="225">
        <f>IF(ISERROR('raw data'!HR14/'raw data'!HS14),0,'raw data'!HR14/'raw data'!HS14)</f>
        <v>0.5</v>
      </c>
      <c r="DK13" s="225">
        <f>IF(ISERROR('raw data'!HT14/'raw data'!HU14),0,'raw data'!HT14/'raw data'!HU14)</f>
        <v>0</v>
      </c>
      <c r="DL13" s="225">
        <f>IF(ISERROR('raw data'!HV14/'raw data'!HW14),0,'raw data'!HV14/'raw data'!HW14)</f>
        <v>0</v>
      </c>
      <c r="DM13" s="225">
        <f>IF(ISERROR('raw data'!HX14/'raw data'!HY14),0,'raw data'!HX14/'raw data'!HY14)</f>
        <v>0</v>
      </c>
      <c r="DN13" s="225">
        <f>IF(ISERROR('raw data'!HZ14/'raw data'!IA14),0,'raw data'!HZ14/'raw data'!IA14)</f>
        <v>0</v>
      </c>
      <c r="DO13" s="225">
        <f>IF(ISERROR('raw data'!IB14/'raw data'!IC14),0,'raw data'!IB14/'raw data'!IC14)</f>
        <v>0</v>
      </c>
      <c r="DP13" s="225">
        <f>IF(ISERROR('raw data'!ID14/'raw data'!IE14),0,'raw data'!ID14/'raw data'!IE14)</f>
        <v>0</v>
      </c>
      <c r="DQ13" s="225">
        <f>IF(ISERROR('raw data'!IF14/'raw data'!IG14),0,'raw data'!IF14/'raw data'!IG14)</f>
        <v>0.33333333333333331</v>
      </c>
      <c r="DR13" s="225">
        <f>IF(ISERROR('raw data'!IH14/'raw data'!II14),0,'raw data'!IH14/'raw data'!II14)</f>
        <v>0</v>
      </c>
      <c r="DS13" s="225">
        <f>IF(ISERROR('raw data'!IJ14/'raw data'!IK14),0,'raw data'!IJ14/'raw data'!IK14)</f>
        <v>0</v>
      </c>
      <c r="DT13" s="225">
        <f>IF(ISERROR('raw data'!IL14/'raw data'!IM14),0,'raw data'!IL14/'raw data'!IM14)</f>
        <v>0</v>
      </c>
      <c r="DU13" s="225">
        <f>IF(ISERROR('raw data'!IN14/'raw data'!IO14),0,'raw data'!IN14/'raw data'!IO14)</f>
        <v>0</v>
      </c>
      <c r="DV13" s="225">
        <f>IF(ISERROR('raw data'!IP14/'raw data'!IQ14),0,'raw data'!IP14/'raw data'!IQ14)</f>
        <v>0</v>
      </c>
      <c r="DW13" s="225">
        <f>IF(ISERROR('raw data'!IR14/'raw data'!IS14),0,'raw data'!IR14/'raw data'!IS14)</f>
        <v>0</v>
      </c>
      <c r="DX13" s="225">
        <f>IF(ISERROR('raw data'!IT14/'raw data'!IU14),0,'raw data'!IT14/'raw data'!IU14)</f>
        <v>0</v>
      </c>
      <c r="DY13" s="225">
        <f>IF(ISERROR('raw data'!IV14/'raw data'!IW14),0,'raw data'!IV14/'raw data'!IW14)</f>
        <v>0</v>
      </c>
      <c r="DZ13" s="225">
        <f>IF(ISERROR('raw data'!IX14/'raw data'!IY14),0,'raw data'!IX14/'raw data'!IY14)</f>
        <v>0</v>
      </c>
      <c r="EA13" s="225">
        <f>IF(ISERROR('raw data'!IZ14/'raw data'!JA14),0,'raw data'!IZ14/'raw data'!JA14)</f>
        <v>0</v>
      </c>
      <c r="EB13" s="225">
        <f>IF(ISERROR('raw data'!JB14/'raw data'!JC14),0,'raw data'!JB14/'raw data'!JC14)</f>
        <v>0</v>
      </c>
      <c r="EC13" s="225">
        <f>IF(ISERROR('raw data'!JD14/'raw data'!JE14),0,'raw data'!JD14/'raw data'!JE14)</f>
        <v>0</v>
      </c>
      <c r="ED13" s="226"/>
      <c r="EE13" s="227">
        <v>0</v>
      </c>
      <c r="EF13" s="227">
        <v>2</v>
      </c>
      <c r="EG13" s="228">
        <f t="shared" si="0"/>
        <v>0</v>
      </c>
    </row>
    <row r="14" spans="1:138" ht="25.5" customHeight="1" x14ac:dyDescent="0.15">
      <c r="A14" s="222">
        <v>1.1599999999999999</v>
      </c>
      <c r="B14" s="223" t="str">
        <f>'raw data'!B15</f>
        <v>Flex accounts receiving £40k+ last month by at least 2 cash credits (CR).</v>
      </c>
      <c r="C14" s="224" t="s">
        <v>29</v>
      </c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25">
        <f>IF(ISERROR('raw data'!AD15/'raw data'!AE15),0,'raw data'!AD15/'raw data'!AE15)</f>
        <v>2.6143790849673203E-2</v>
      </c>
      <c r="R14" s="225">
        <f>IF(ISERROR('raw data'!AF15/'raw data'!AG15),0,'raw data'!AF15/'raw data'!AG15)</f>
        <v>7.4999999999999997E-2</v>
      </c>
      <c r="S14" s="225">
        <f>IF(ISERROR('raw data'!AH15/'raw data'!AI15),0,'raw data'!AH15/'raw data'!AI15)</f>
        <v>6.1538461538461542E-2</v>
      </c>
      <c r="T14" s="225">
        <f>IF(ISERROR('raw data'!AJ15/'raw data'!AK15),0,'raw data'!AJ15/'raw data'!AK15)</f>
        <v>5.4545454545454543E-2</v>
      </c>
      <c r="U14" s="225">
        <f>IF(ISERROR('raw data'!AL15/'raw data'!AM15),0,'raw data'!AL15/'raw data'!AM15)</f>
        <v>4.6511627906976744E-2</v>
      </c>
      <c r="V14" s="225">
        <f>IF(ISERROR('raw data'!AN15/'raw data'!AO15),0,'raw data'!AN15/'raw data'!AO15)</f>
        <v>2.0408163265306121E-2</v>
      </c>
      <c r="W14" s="225">
        <f>IF(ISERROR('raw data'!AP15/'raw data'!AQ15),0,'raw data'!AP15/'raw data'!AQ15)</f>
        <v>1.9230769230769232E-2</v>
      </c>
      <c r="X14" s="225">
        <f>IF(ISERROR('raw data'!AR15/'raw data'!AS15),0,'raw data'!AR15/'raw data'!AS15)</f>
        <v>2.2727272727272728E-2</v>
      </c>
      <c r="Y14" s="225">
        <f>IF(ISERROR('raw data'!AT15/'raw data'!AU15),0,'raw data'!AT15/'raw data'!AU15)</f>
        <v>1.9230769230769232E-2</v>
      </c>
      <c r="Z14" s="225">
        <f>IF(ISERROR('raw data'!AV15/'raw data'!AW15),0,'raw data'!AV15/'raw data'!AW15)</f>
        <v>7.6923076923076927E-2</v>
      </c>
      <c r="AA14" s="225">
        <f>IF(ISERROR('raw data'!AX15/'raw data'!AY15),0,'raw data'!AX15/'raw data'!AY15)</f>
        <v>5.2631578947368418E-2</v>
      </c>
      <c r="AB14" s="225">
        <f>IF(ISERROR('raw data'!AZ15/'raw data'!BA15),0,'raw data'!AZ15/'raw data'!BA15)</f>
        <v>2.7027027027027029E-2</v>
      </c>
      <c r="AC14" s="225">
        <f>IF(ISERROR('raw data'!BB15/'raw data'!BC15),0,'raw data'!BB15/'raw data'!BC15)</f>
        <v>3.3898305084745763E-2</v>
      </c>
      <c r="AD14" s="225">
        <f>IF(ISERROR('raw data'!BD15/'raw data'!BE15),0,'raw data'!BD15/'raw data'!BE15)</f>
        <v>4.1666666666666664E-2</v>
      </c>
      <c r="AE14" s="225">
        <f>IF(ISERROR('raw data'!BF15/'raw data'!BG15),0,'raw data'!BF15/'raw data'!BG15)</f>
        <v>0</v>
      </c>
      <c r="AF14" s="225">
        <f>IF(ISERROR('raw data'!BH15/'raw data'!BI15),0,'raw data'!BH15/'raw data'!BI15)</f>
        <v>4.3478260869565216E-2</v>
      </c>
      <c r="AG14" s="225">
        <f>IF(ISERROR('raw data'!BJ15/'raw data'!BK15),0,'raw data'!BJ15/'raw data'!BK15)</f>
        <v>7.1428571428571425E-2</v>
      </c>
      <c r="AH14" s="225">
        <f>IF(ISERROR('raw data'!BL15/'raw data'!BM15),0,'raw data'!BL15/'raw data'!BM15)</f>
        <v>0</v>
      </c>
      <c r="AI14" s="225">
        <f>IF(ISERROR('raw data'!BN15/'raw data'!BO15),0,'raw data'!BN15/'raw data'!BO15)</f>
        <v>0.02</v>
      </c>
      <c r="AJ14" s="225">
        <f>IF(ISERROR('raw data'!BP15/'raw data'!BQ15),0,'raw data'!BP15/'raw data'!BQ15)</f>
        <v>9.0909090909090912E-2</v>
      </c>
      <c r="AK14" s="225">
        <f>IF(ISERROR('raw data'!BR15/'raw data'!BS15),0,'raw data'!BR15/'raw data'!BS15)</f>
        <v>9.7560975609756101E-2</v>
      </c>
      <c r="AL14" s="225">
        <f>IF(ISERROR('raw data'!BT15/'raw data'!BU15),0,'raw data'!BT15/'raw data'!BU15)</f>
        <v>3.0303030303030304E-2</v>
      </c>
      <c r="AM14" s="225">
        <f>IF(ISERROR('raw data'!BV15/'raw data'!BW15),0,'raw data'!BV15/'raw data'!BW15)</f>
        <v>0</v>
      </c>
      <c r="AN14" s="225">
        <f>IF(ISERROR('raw data'!BX15/'raw data'!BY15),0,'raw data'!BX15/'raw data'!BY15)</f>
        <v>0</v>
      </c>
      <c r="AO14" s="225">
        <f>IF(ISERROR('raw data'!BZ15/'raw data'!CA15),0,'raw data'!BZ15/'raw data'!CA15)</f>
        <v>8.3333333333333329E-2</v>
      </c>
      <c r="AP14" s="225">
        <f>IF(ISERROR('raw data'!CB15/'raw data'!CC15),0,'raw data'!CB15/'raw data'!CC15)</f>
        <v>0.17647058823529413</v>
      </c>
      <c r="AQ14" s="225">
        <f>IF(ISERROR('raw data'!CD15/'raw data'!CE15),0,'raw data'!CD15/'raw data'!CE15)</f>
        <v>0.1111111111111111</v>
      </c>
      <c r="AR14" s="225">
        <f>IF(ISERROR('raw data'!CF15/'raw data'!CG15),0,'raw data'!CF15/'raw data'!CG15)</f>
        <v>5.5555555555555552E-2</v>
      </c>
      <c r="AS14" s="225">
        <f>IF(ISERROR('raw data'!CH15/'raw data'!CI15),0,'raw data'!CH15/'raw data'!CI15)</f>
        <v>0.1</v>
      </c>
      <c r="AT14" s="225">
        <f>IF(ISERROR('raw data'!CJ15/'raw data'!CK15),0,'raw data'!CJ15/'raw data'!CK15)</f>
        <v>0.16666666666666666</v>
      </c>
      <c r="AU14" s="225">
        <f>IF(ISERROR('raw data'!CL15/'raw data'!CM15),0,'raw data'!CL15/'raw data'!CM15)</f>
        <v>0.125</v>
      </c>
      <c r="AV14" s="225">
        <f>IF(ISERROR('raw data'!CN15/'raw data'!CO15),0,'raw data'!CN15/'raw data'!CO15)</f>
        <v>0.15384615384615385</v>
      </c>
      <c r="AW14" s="225">
        <f>IF(ISERROR('raw data'!CP15/'raw data'!CQ15),0,'raw data'!CP15/'raw data'!CQ15)</f>
        <v>8.1081081081081086E-2</v>
      </c>
      <c r="AX14" s="225">
        <f>IF(ISERROR('raw data'!CR15/'raw data'!CS15),0,'raw data'!CR15/'raw data'!CS15)</f>
        <v>0.1</v>
      </c>
      <c r="AY14" s="225">
        <f>IF(ISERROR('raw data'!CT15/'raw data'!CU15),0,'raw data'!CT15/'raw data'!CU15)</f>
        <v>0.27272727272727271</v>
      </c>
      <c r="AZ14" s="225">
        <f>IF(ISERROR('raw data'!CV15/'raw data'!CW15),0,'raw data'!CV15/'raw data'!CW15)</f>
        <v>0.19444444444444445</v>
      </c>
      <c r="BA14" s="225">
        <f>IF(ISERROR('raw data'!CX15/'raw data'!CY15),0,'raw data'!CX15/'raw data'!CY15)</f>
        <v>9.5238095238095233E-2</v>
      </c>
      <c r="BB14" s="225">
        <f>IF(ISERROR('raw data'!CZ15/'raw data'!DA15),0,'raw data'!CZ15/'raw data'!DA15)</f>
        <v>0.2</v>
      </c>
      <c r="BC14" s="225">
        <f>IF(ISERROR('raw data'!DB15/'raw data'!DC15),0,'raw data'!DB15/'raw data'!DC15)</f>
        <v>0.33333333333333331</v>
      </c>
      <c r="BD14" s="225">
        <v>6.0606060606060608E-2</v>
      </c>
      <c r="BE14" s="225">
        <f>IF(ISERROR('raw data'!DF15/'raw data'!DG15),0,'raw data'!DF15/'raw data'!DG15)</f>
        <v>0.16666666666666666</v>
      </c>
      <c r="BF14" s="225">
        <f>IF(ISERROR('raw data'!DH15/'raw data'!DI15),0,'raw data'!DH15/'raw data'!DI15)</f>
        <v>0.25</v>
      </c>
      <c r="BG14" s="225">
        <f>IF(ISERROR('raw data'!DJ15/'raw data'!DK15),0,'raw data'!DJ15/'raw data'!DK15)</f>
        <v>0.18181818181818182</v>
      </c>
      <c r="BH14" s="225">
        <f>IF(ISERROR('raw data'!DL15/'raw data'!DM15),0,'raw data'!DL15/'raw data'!DM15)</f>
        <v>9.0909090909090912E-2</v>
      </c>
      <c r="BI14" s="225">
        <f>IF(ISERROR('raw data'!DN15/'raw data'!DO15),0,'raw data'!DN15/'raw data'!DO15)</f>
        <v>4.1666666666666664E-2</v>
      </c>
      <c r="BJ14" s="225">
        <f>IF(ISERROR('raw data'!DP15/'raw data'!DQ15),0,'raw data'!DP15/'raw data'!DQ15)</f>
        <v>0.33333333333333331</v>
      </c>
      <c r="BK14" s="225">
        <f>IF(ISERROR('raw data'!DR15/'raw data'!DS15),0,'raw data'!DR15/'raw data'!DS15)</f>
        <v>0.17391304347826086</v>
      </c>
      <c r="BL14" s="225">
        <f>IF(ISERROR('raw data'!DT15/'raw data'!DU15),0,'raw data'!DT15/'raw data'!DU15)</f>
        <v>0.15151515151515152</v>
      </c>
      <c r="BM14" s="225">
        <f>IF(ISERROR('raw data'!DV15/'raw data'!DW15),0,'raw data'!DV15/'raw data'!DW15)</f>
        <v>0</v>
      </c>
      <c r="BN14" s="225">
        <f>IF(ISERROR('raw data'!DX15/'raw data'!DY15),0,'raw data'!DX15/'raw data'!DY15)</f>
        <v>0.1</v>
      </c>
      <c r="BO14" s="225">
        <f>IF(ISERROR('raw data'!DZ15/'raw data'!EA15),0,'raw data'!DZ15/'raw data'!EA15)</f>
        <v>0.10714285714285714</v>
      </c>
      <c r="BP14" s="225">
        <f>IF(ISERROR('raw data'!EB15/'raw data'!EC15),0,'raw data'!EB15/'raw data'!EC15)</f>
        <v>0.20754716981132076</v>
      </c>
      <c r="BQ14" s="225">
        <f>IF(ISERROR('raw data'!ED15/'raw data'!EE15),0,'raw data'!ED15/'raw data'!EE15)</f>
        <v>0.16326530612244897</v>
      </c>
      <c r="BR14" s="225">
        <f>IF(ISERROR('raw data'!EF15/'raw data'!EG15),0,'raw data'!EF15/'raw data'!EG15)</f>
        <v>0</v>
      </c>
      <c r="BS14" s="225">
        <f>IF(ISERROR('raw data'!EH15/'raw data'!EI15),0,'raw data'!EH15/'raw data'!EI15)</f>
        <v>0.10714285714285714</v>
      </c>
      <c r="BT14" s="225">
        <f>IF(ISERROR('raw data'!EJ15/'raw data'!EK15),0,'raw data'!EJ15/'raw data'!EK15)</f>
        <v>7.407407407407407E-2</v>
      </c>
      <c r="BU14" s="225">
        <f>IF(ISERROR('raw data'!EL15/'raw data'!EM15),0,'raw data'!EL15/'raw data'!EM15)</f>
        <v>0.05</v>
      </c>
      <c r="BV14" s="225">
        <f>IF(ISERROR('raw data'!EN15/'raw data'!EO15),0,'raw data'!EN15/'raw data'!EO15)</f>
        <v>5.5555555555555552E-2</v>
      </c>
      <c r="BW14" s="225">
        <f>IF(ISERROR('raw data'!EP15/'raw data'!EQ15),0,'raw data'!EP15/'raw data'!EQ15)</f>
        <v>0.11538461538461539</v>
      </c>
      <c r="BX14" s="225">
        <f>IF(ISERROR('raw data'!ER15/'raw data'!ES15),0,'raw data'!ER15/'raw data'!ES15)</f>
        <v>0.14285714285714285</v>
      </c>
      <c r="BY14" s="225">
        <f>IF(ISERROR('raw data'!ET15/'raw data'!EU15),0,'raw data'!ET15/'raw data'!EU15)</f>
        <v>8.3333333333333329E-2</v>
      </c>
      <c r="BZ14" s="225">
        <f>IF(ISERROR('raw data'!EV15/'raw data'!EW15),0,'raw data'!EV15/'raw data'!EW15)</f>
        <v>0</v>
      </c>
      <c r="CA14" s="225">
        <f>IF(ISERROR('raw data'!EX15/'raw data'!EY15),0,'raw data'!EX15/'raw data'!EY15)</f>
        <v>0.1111111111111111</v>
      </c>
      <c r="CB14" s="225">
        <f>IF(ISERROR('raw data'!EZ15/'raw data'!FA15),0,'raw data'!EZ15/'raw data'!FA15)</f>
        <v>0.18518518518518517</v>
      </c>
      <c r="CC14" s="225">
        <f>IF(ISERROR('raw data'!FB15/'raw data'!FC15),0,'raw data'!FB15/'raw data'!FC15)</f>
        <v>9.0909090909090912E-2</v>
      </c>
      <c r="CD14" s="225">
        <f>IF(ISERROR('raw data'!FD15/'raw data'!FE15),0,'raw data'!FD15/'raw data'!FE15)</f>
        <v>7.407407407407407E-2</v>
      </c>
      <c r="CE14" s="225">
        <f>IF(ISERROR('raw data'!FF15/'raw data'!FG15),0,'raw data'!FF15/'raw data'!FG15)</f>
        <v>0.13333333333333333</v>
      </c>
      <c r="CF14" s="225">
        <f>IF(ISERROR('raw data'!FH15/'raw data'!FI15),0,'raw data'!FH15/'raw data'!FI15)</f>
        <v>0</v>
      </c>
      <c r="CG14" s="225">
        <f>IF(ISERROR('raw data'!FJ15/'raw data'!FM15),0,'raw data'!FJ15/'raw data'!FM15)</f>
        <v>0.1875</v>
      </c>
      <c r="CH14" s="225">
        <f>IF(ISERROR('raw data'!FN15/'raw data'!FO15),0,'raw data'!FN15/'raw data'!FO15)</f>
        <v>0.04</v>
      </c>
      <c r="CI14" s="225">
        <f>IF(ISERROR('raw data'!FP15/'raw data'!FQ15),0,'raw data'!FP15/'raw data'!FQ15)</f>
        <v>0.2</v>
      </c>
      <c r="CJ14" s="225">
        <f>IF(ISERROR('raw data'!FR15/'raw data'!FS15),0,'raw data'!FR15/'raw data'!FS15)</f>
        <v>0</v>
      </c>
      <c r="CK14" s="225">
        <f>IF(ISERROR('raw data'!FT15/'raw data'!FU15),0,'raw data'!FT15/'raw data'!FU15)</f>
        <v>0.17391304347826086</v>
      </c>
      <c r="CL14" s="225">
        <f>IF(ISERROR('raw data'!FV15/'raw data'!FW15),0,'raw data'!FV15/'raw data'!FW15)</f>
        <v>0.4</v>
      </c>
      <c r="CM14" s="225">
        <f>IF(ISERROR('raw data'!FX15/'raw data'!FY15),0,'raw data'!FX15/'raw data'!FY15)</f>
        <v>0.1</v>
      </c>
      <c r="CN14" s="225">
        <f>IF(ISERROR('raw data'!FZ15/'raw data'!GA15),0,'raw data'!FZ15/'raw data'!GA15)</f>
        <v>9.0909090909090912E-2</v>
      </c>
      <c r="CO14" s="225">
        <f>IF(ISERROR('raw data'!GB15/'raw data'!GC15),0,'raw data'!GB15/'raw data'!GC15)</f>
        <v>0.44444444444444442</v>
      </c>
      <c r="CP14" s="225">
        <f>IF(ISERROR('raw data'!GD15/'raw data'!GE15),0,'raw data'!GD15/'raw data'!GE15)</f>
        <v>0.125</v>
      </c>
      <c r="CQ14" s="225">
        <f>IF(ISERROR('raw data'!GF15/'raw data'!GG15),0,'raw data'!GF15/'raw data'!GG15)</f>
        <v>0.36363636363636365</v>
      </c>
      <c r="CR14" s="225">
        <f>IF(ISERROR('raw data'!GH15/'raw data'!GI15),0,'raw data'!GH15/'raw data'!GI15)</f>
        <v>0.14285714285714285</v>
      </c>
      <c r="CS14" s="225">
        <f>IF(ISERROR('raw data'!GJ15/'raw data'!GK15),0,'raw data'!GJ15/'raw data'!GK15)</f>
        <v>0.5</v>
      </c>
      <c r="CT14" s="225">
        <f>IF(ISERROR('raw data'!GL15/'raw data'!GM15),0,'raw data'!GL15/'raw data'!GM15)</f>
        <v>0.10526315789473684</v>
      </c>
      <c r="CU14" s="225">
        <f>IF(ISERROR('raw data'!GN15/'raw data'!GO15),0,'raw data'!GN15/'raw data'!GO15)</f>
        <v>0</v>
      </c>
      <c r="CV14" s="225">
        <f>IF(ISERROR('raw data'!GP15/'raw data'!GQ15),0,'raw data'!GP15/'raw data'!GQ15)</f>
        <v>0.22222222222222221</v>
      </c>
      <c r="CW14" s="225">
        <f>IF(ISERROR('raw data'!GR15/'raw data'!GS15),0,'raw data'!GR15/'raw data'!GS15)</f>
        <v>0</v>
      </c>
      <c r="CX14" s="225">
        <f>IF(ISERROR('raw data'!GT15/'raw data'!GU15),0,'raw data'!GT15/'raw data'!GU15)</f>
        <v>0.25</v>
      </c>
      <c r="CY14" s="225">
        <f>IF(ISERROR('raw data'!GV15/'raw data'!GW15),0,'raw data'!GV15/'raw data'!GW15)</f>
        <v>8.3333333333333329E-2</v>
      </c>
      <c r="CZ14" s="225">
        <f>IF(ISERROR('raw data'!GX15/'raw data'!GY15),0,'raw data'!GX15/'raw data'!GY15)</f>
        <v>0.21428571428571427</v>
      </c>
      <c r="DA14" s="225">
        <f>IF(ISERROR('raw data'!GZ15/'raw data'!HA15),0,'raw data'!GZ15/'raw data'!HA15)</f>
        <v>0.125</v>
      </c>
      <c r="DB14" s="225">
        <f>IF(ISERROR('raw data'!HB15/'raw data'!HC15),0,'raw data'!HB15/'raw data'!HC15)</f>
        <v>0</v>
      </c>
      <c r="DC14" s="225">
        <f>IF(ISERROR('raw data'!HD15/'raw data'!HE15),0,'raw data'!HD15/'raw data'!HE15)</f>
        <v>0.14285714285714285</v>
      </c>
      <c r="DD14" s="225">
        <f>IF(ISERROR('raw data'!HF15/'raw data'!HG15),0,'raw data'!HF15/'raw data'!HG15)</f>
        <v>0</v>
      </c>
      <c r="DE14" s="225">
        <f>IF(ISERROR('raw data'!HH15/'raw data'!HI15),0,'raw data'!HH15/'raw data'!HI15)</f>
        <v>0</v>
      </c>
      <c r="DF14" s="225">
        <f>IF(ISERROR('raw data'!HJ15/'raw data'!HK15),0,'raw data'!HJ15/'raw data'!HK15)</f>
        <v>0.21621621621621623</v>
      </c>
      <c r="DG14" s="225">
        <f>IF(ISERROR('raw data'!HL15/'raw data'!HM15),0,'raw data'!HL15/'raw data'!HM15)</f>
        <v>5.9701492537313432E-2</v>
      </c>
      <c r="DH14" s="225">
        <f>IF(ISERROR('raw data'!HN15/'raw data'!HO15),0,'raw data'!HN15/'raw data'!HO15)</f>
        <v>0.13846153846153847</v>
      </c>
      <c r="DI14" s="225">
        <f>IF(ISERROR('raw data'!HP15/'raw data'!HQ15),0,'raw data'!HP15/'raw data'!HQ15)</f>
        <v>2.1739130434782608E-2</v>
      </c>
      <c r="DJ14" s="225">
        <f>IF(ISERROR('raw data'!HR15/'raw data'!HS15),0,'raw data'!HR15/'raw data'!HS15)</f>
        <v>7.1428571428571425E-2</v>
      </c>
      <c r="DK14" s="225">
        <f>IF(ISERROR('raw data'!HT15/'raw data'!HU15),0,'raw data'!HT15/'raw data'!HU15)</f>
        <v>0.10714285714285714</v>
      </c>
      <c r="DL14" s="225">
        <f>IF(ISERROR('raw data'!HV15/'raw data'!HW15),0,'raw data'!HV15/'raw data'!HW15)</f>
        <v>4.4444444444444446E-2</v>
      </c>
      <c r="DM14" s="225">
        <f>IF(ISERROR('raw data'!HX15/'raw data'!HY15),0,'raw data'!HX15/'raw data'!HY15)</f>
        <v>5.3571428571428568E-2</v>
      </c>
      <c r="DN14" s="225">
        <f>IF(ISERROR('raw data'!HZ15/'raw data'!IA15),0,'raw data'!HZ15/'raw data'!IA15)</f>
        <v>5.3571428571428568E-2</v>
      </c>
      <c r="DO14" s="225">
        <f>IF(ISERROR('raw data'!IB15/'raw data'!IC15),0,'raw data'!IB15/'raw data'!IC15)</f>
        <v>0.13235294117647059</v>
      </c>
      <c r="DP14" s="225">
        <f>IF(ISERROR('raw data'!ID15/'raw data'!IE15),0,'raw data'!ID15/'raw data'!IE15)</f>
        <v>0.14545454545454545</v>
      </c>
      <c r="DQ14" s="225">
        <f>IF(ISERROR('raw data'!IF15/'raw data'!IG15),0,'raw data'!IF15/'raw data'!IG15)</f>
        <v>6.1538461538461542E-2</v>
      </c>
      <c r="DR14" s="225">
        <f>IF(ISERROR('raw data'!IH15/'raw data'!II15),0,'raw data'!IH15/'raw data'!II15)</f>
        <v>0.20930232558139536</v>
      </c>
      <c r="DS14" s="225">
        <f>IF(ISERROR('raw data'!IJ15/'raw data'!IK15),0,'raw data'!IJ15/'raw data'!IK15)</f>
        <v>0.21951219512195122</v>
      </c>
      <c r="DT14" s="225">
        <f>IF(ISERROR('raw data'!IL15/'raw data'!IM15),0,'raw data'!IL15/'raw data'!IM15)</f>
        <v>9.6774193548387094E-2</v>
      </c>
      <c r="DU14" s="225">
        <f>IF(ISERROR('raw data'!IN15/'raw data'!IO15),0,'raw data'!IN15/'raw data'!IO15)</f>
        <v>0</v>
      </c>
      <c r="DV14" s="225">
        <f>IF(ISERROR('raw data'!IP15/'raw data'!IQ15),0,'raw data'!IP15/'raw data'!IQ15)</f>
        <v>0</v>
      </c>
      <c r="DW14" s="225">
        <f>IF(ISERROR('raw data'!IR15/'raw data'!IS15),0,'raw data'!IR15/'raw data'!IS15)</f>
        <v>0</v>
      </c>
      <c r="DX14" s="225">
        <f>IF(ISERROR('raw data'!IT15/'raw data'!IU15),0,'raw data'!IT15/'raw data'!IU15)</f>
        <v>0</v>
      </c>
      <c r="DY14" s="225">
        <f>IF(ISERROR('raw data'!IV15/'raw data'!IW15),0,'raw data'!IV15/'raw data'!IW15)</f>
        <v>0</v>
      </c>
      <c r="DZ14" s="225">
        <f>IF(ISERROR('raw data'!IX15/'raw data'!IY15),0,'raw data'!IX15/'raw data'!IY15)</f>
        <v>0</v>
      </c>
      <c r="EA14" s="225">
        <f>IF(ISERROR('raw data'!IZ15/'raw data'!JA15),0,'raw data'!IZ15/'raw data'!JA15)</f>
        <v>0</v>
      </c>
      <c r="EB14" s="225">
        <f>IF(ISERROR('raw data'!JB15/'raw data'!JC15),0,'raw data'!JB15/'raw data'!JC15)</f>
        <v>0</v>
      </c>
      <c r="EC14" s="225">
        <f>IF(ISERROR('raw data'!JD15/'raw data'!JE15),0,'raw data'!JD15/'raw data'!JE15)</f>
        <v>0</v>
      </c>
      <c r="ED14" s="226"/>
      <c r="EE14" s="227">
        <v>21</v>
      </c>
      <c r="EF14" s="227">
        <v>115</v>
      </c>
      <c r="EG14" s="228">
        <f t="shared" si="0"/>
        <v>0.18260869565217391</v>
      </c>
    </row>
    <row r="15" spans="1:138" ht="28" hidden="1" x14ac:dyDescent="0.15">
      <c r="A15" s="222">
        <v>1.17</v>
      </c>
      <c r="B15" s="223">
        <f>'raw data'!B16</f>
        <v>0</v>
      </c>
      <c r="C15" s="224" t="s">
        <v>31</v>
      </c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25">
        <f>IF(ISERROR('raw data'!AP16/'raw data'!AQ16),0,'raw data'!AP16/'raw data'!AQ16)</f>
        <v>0.08</v>
      </c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25">
        <f>IF(ISERROR('raw data'!CX16/'raw data'!CY16),0,'raw data'!CX16/'raw data'!CY16)</f>
        <v>0</v>
      </c>
      <c r="BB15" s="225">
        <f>IF(ISERROR('raw data'!CZ16/'raw data'!DA16),0,'raw data'!CZ16/'raw data'!DA16)</f>
        <v>0</v>
      </c>
      <c r="BC15" s="225">
        <f>IF(ISERROR('raw data'!DB16/'raw data'!DC16),0,'raw data'!DB16/'raw data'!DC16)</f>
        <v>0</v>
      </c>
      <c r="BD15" s="225">
        <v>0</v>
      </c>
      <c r="BE15" s="225">
        <f>IF(ISERROR('raw data'!DF16/'raw data'!DG16),0,'raw data'!DF16/'raw data'!DG16)</f>
        <v>0</v>
      </c>
      <c r="BF15" s="225">
        <f>IF(ISERROR('raw data'!DH16/'raw data'!DI16),0,'raw data'!DH16/'raw data'!DI16)</f>
        <v>0</v>
      </c>
      <c r="BG15" s="225">
        <f>IF(ISERROR('raw data'!DJ16/'raw data'!DK16),0,'raw data'!DJ16/'raw data'!DK16)</f>
        <v>0</v>
      </c>
      <c r="BH15" s="225">
        <f>IF(ISERROR('raw data'!DL16/'raw data'!DM16),0,'raw data'!DL16/'raw data'!DM16)</f>
        <v>0</v>
      </c>
      <c r="BI15" s="225">
        <f>IF(ISERROR('raw data'!DN16/'raw data'!DO16),0,'raw data'!DN16/'raw data'!DO16)</f>
        <v>0</v>
      </c>
      <c r="BJ15" s="225">
        <f>IF(ISERROR('raw data'!DP16/'raw data'!DQ16),0,'raw data'!DP16/'raw data'!DQ16)</f>
        <v>0</v>
      </c>
      <c r="BK15" s="225">
        <f>IF(ISERROR('raw data'!DR16/'raw data'!DS16),0,'raw data'!DR16/'raw data'!DS16)</f>
        <v>0</v>
      </c>
      <c r="BL15" s="225">
        <f>IF(ISERROR('raw data'!DT16/'raw data'!DU16),0,'raw data'!DT16/'raw data'!DU16)</f>
        <v>0</v>
      </c>
      <c r="BM15" s="225">
        <f>IF(ISERROR('raw data'!DV16/'raw data'!DW16),0,'raw data'!DV16/'raw data'!DW16)</f>
        <v>0</v>
      </c>
      <c r="BN15" s="225">
        <f>IF(ISERROR('raw data'!DX16/'raw data'!DY16),0,'raw data'!DX16/'raw data'!DY16)</f>
        <v>0</v>
      </c>
      <c r="BO15" s="225">
        <f>IF(ISERROR('raw data'!DZ16/'raw data'!EA16),0,'raw data'!DZ16/'raw data'!EA16)</f>
        <v>0</v>
      </c>
      <c r="BP15" s="225">
        <f>IF(ISERROR('raw data'!EB16/'raw data'!EC16),0,'raw data'!EB16/'raw data'!EC16)</f>
        <v>0</v>
      </c>
      <c r="BQ15" s="225">
        <f>IF(ISERROR('raw data'!ED16/'raw data'!EE16),0,'raw data'!ED16/'raw data'!EE16)</f>
        <v>0</v>
      </c>
      <c r="BR15" s="225">
        <f>IF(ISERROR('raw data'!EF16/'raw data'!EG16),0,'raw data'!EF16/'raw data'!EG16)</f>
        <v>0</v>
      </c>
      <c r="BS15" s="225">
        <f>IF(ISERROR('raw data'!EH16/'raw data'!EI16),0,'raw data'!EH16/'raw data'!EI16)</f>
        <v>0</v>
      </c>
      <c r="BT15" s="225">
        <f>IF(ISERROR('raw data'!EJ16/'raw data'!EK16),0,'raw data'!EJ16/'raw data'!EK16)</f>
        <v>0</v>
      </c>
      <c r="BU15" s="225">
        <f>IF(ISERROR('raw data'!EL16/'raw data'!EM16),0,'raw data'!EL16/'raw data'!EM16)</f>
        <v>0</v>
      </c>
      <c r="BV15" s="225">
        <f>IF(ISERROR('raw data'!EN16/'raw data'!EO16),0,'raw data'!EN16/'raw data'!EO16)</f>
        <v>0</v>
      </c>
      <c r="BW15" s="225">
        <f>IF(ISERROR('raw data'!EP16/'raw data'!EQ16),0,'raw data'!EP16/'raw data'!EQ16)</f>
        <v>0</v>
      </c>
      <c r="BX15" s="225">
        <f>IF(ISERROR('raw data'!ER16/'raw data'!ES16),0,'raw data'!ER16/'raw data'!ES16)</f>
        <v>0</v>
      </c>
      <c r="BY15" s="225">
        <f>IF(ISERROR('raw data'!ET16/'raw data'!EU16),0,'raw data'!ET16/'raw data'!EU16)</f>
        <v>0</v>
      </c>
      <c r="BZ15" s="225">
        <f>IF(ISERROR('raw data'!EV16/'raw data'!EW16),0,'raw data'!EV16/'raw data'!EW16)</f>
        <v>0</v>
      </c>
      <c r="CA15" s="225">
        <f>IF(ISERROR('raw data'!EX16/'raw data'!EY16),0,'raw data'!EX16/'raw data'!EY16)</f>
        <v>0</v>
      </c>
      <c r="CB15" s="225">
        <f>IF(ISERROR('raw data'!EZ16/'raw data'!FA16),0,'raw data'!EZ16/'raw data'!FA16)</f>
        <v>0</v>
      </c>
      <c r="CC15" s="225">
        <f>IF(ISERROR('raw data'!FB16/'raw data'!FC16),0,'raw data'!FB16/'raw data'!FC16)</f>
        <v>0</v>
      </c>
      <c r="CD15" s="225">
        <f>IF(ISERROR('raw data'!FD16/'raw data'!FE16),0,'raw data'!FD16/'raw data'!FE16)</f>
        <v>0</v>
      </c>
      <c r="CE15" s="225">
        <f>IF(ISERROR('raw data'!FF16/'raw data'!FG16),0,'raw data'!FF16/'raw data'!FG16)</f>
        <v>0</v>
      </c>
      <c r="CF15" s="225">
        <f>IF(ISERROR('raw data'!FH16/'raw data'!FI16),0,'raw data'!FH16/'raw data'!FI16)</f>
        <v>0</v>
      </c>
      <c r="CG15" s="225">
        <f>IF(ISERROR('raw data'!FJ16/'raw data'!FM16),0,'raw data'!FJ16/'raw data'!FM16)</f>
        <v>0</v>
      </c>
      <c r="CH15" s="225">
        <f>IF(ISERROR('raw data'!FN16/'raw data'!FO16),0,'raw data'!FN16/'raw data'!FO16)</f>
        <v>0</v>
      </c>
      <c r="CI15" s="225">
        <f>IF(ISERROR('raw data'!FP16/'raw data'!FQ16),0,'raw data'!FP16/'raw data'!FQ16)</f>
        <v>0</v>
      </c>
      <c r="CJ15" s="225">
        <f>IF(ISERROR('raw data'!FR16/'raw data'!FS16),0,'raw data'!FR16/'raw data'!FS16)</f>
        <v>0</v>
      </c>
      <c r="CK15" s="225">
        <f>IF(ISERROR('raw data'!FT16/'raw data'!FU16),0,'raw data'!FT16/'raw data'!FU16)</f>
        <v>0</v>
      </c>
      <c r="CL15" s="225">
        <f>IF(ISERROR('raw data'!FV16/'raw data'!FW16),0,'raw data'!FV16/'raw data'!FW16)</f>
        <v>0</v>
      </c>
      <c r="CM15" s="225">
        <f>IF(ISERROR('raw data'!FX16/'raw data'!FY16),0,'raw data'!FX16/'raw data'!FY16)</f>
        <v>0</v>
      </c>
      <c r="CN15" s="225">
        <f>IF(ISERROR('raw data'!FZ16/'raw data'!GA16),0,'raw data'!FZ16/'raw data'!GA16)</f>
        <v>0</v>
      </c>
      <c r="CO15" s="225">
        <f>IF(ISERROR('raw data'!GB16/'raw data'!GC16),0,'raw data'!GB16/'raw data'!GC16)</f>
        <v>0</v>
      </c>
      <c r="CP15" s="225">
        <f>IF(ISERROR('raw data'!GD16/'raw data'!GE16),0,'raw data'!GD16/'raw data'!GE16)</f>
        <v>0</v>
      </c>
      <c r="CQ15" s="225">
        <f>IF(ISERROR('raw data'!GF16/'raw data'!GG16),0,'raw data'!GF16/'raw data'!GG16)</f>
        <v>0</v>
      </c>
      <c r="CR15" s="225">
        <f>IF(ISERROR('raw data'!GH16/'raw data'!GI16),0,'raw data'!GH16/'raw data'!GI16)</f>
        <v>0</v>
      </c>
      <c r="CS15" s="225">
        <f>IF(ISERROR('raw data'!GJ16/'raw data'!GK16),0,'raw data'!GJ16/'raw data'!GK16)</f>
        <v>0</v>
      </c>
      <c r="CT15" s="225">
        <f>IF(ISERROR('raw data'!GL16/'raw data'!GM16),0,'raw data'!GL16/'raw data'!GM16)</f>
        <v>0</v>
      </c>
      <c r="CU15" s="225">
        <f>IF(ISERROR('raw data'!GN16/'raw data'!GO16),0,'raw data'!GN16/'raw data'!GO16)</f>
        <v>0</v>
      </c>
      <c r="CV15" s="225">
        <f>IF(ISERROR('raw data'!GP16/'raw data'!GQ16),0,'raw data'!GP16/'raw data'!GQ16)</f>
        <v>0</v>
      </c>
      <c r="CW15" s="225">
        <f>IF(ISERROR('raw data'!GR16/'raw data'!GS16),0,'raw data'!GR16/'raw data'!GS16)</f>
        <v>0</v>
      </c>
      <c r="CX15" s="225">
        <f>IF(ISERROR('raw data'!GT16/'raw data'!GU16),0,'raw data'!GT16/'raw data'!GU16)</f>
        <v>0</v>
      </c>
      <c r="CY15" s="225">
        <f>IF(ISERROR('raw data'!GV16/'raw data'!GW16),0,'raw data'!GV16/'raw data'!GW16)</f>
        <v>0</v>
      </c>
      <c r="CZ15" s="225">
        <f>IF(ISERROR('raw data'!GX16/'raw data'!GY16),0,'raw data'!GX16/'raw data'!GY16)</f>
        <v>0</v>
      </c>
      <c r="DA15" s="225">
        <f>IF(ISERROR('raw data'!GZ16/'raw data'!HA16),0,'raw data'!GZ16/'raw data'!HA16)</f>
        <v>0</v>
      </c>
      <c r="DB15" s="225">
        <f>IF(ISERROR('raw data'!HB16/'raw data'!HC16),0,'raw data'!HB16/'raw data'!HC16)</f>
        <v>0</v>
      </c>
      <c r="DC15" s="225">
        <f>IF(ISERROR('raw data'!HD16/'raw data'!HE16),0,'raw data'!HD16/'raw data'!HE16)</f>
        <v>0</v>
      </c>
      <c r="DD15" s="225">
        <f>IF(ISERROR('raw data'!HF16/'raw data'!HG16),0,'raw data'!HF16/'raw data'!HG16)</f>
        <v>0</v>
      </c>
      <c r="DE15" s="225">
        <f>IF(ISERROR('raw data'!HH16/'raw data'!HI16),0,'raw data'!HH16/'raw data'!HI16)</f>
        <v>0</v>
      </c>
      <c r="DF15" s="225">
        <f>IF(ISERROR('raw data'!HJ16/'raw data'!HK16),0,'raw data'!HJ16/'raw data'!HK16)</f>
        <v>0</v>
      </c>
      <c r="DG15" s="225">
        <f>IF(ISERROR('raw data'!HL16/'raw data'!HM16),0,'raw data'!HL16/'raw data'!HM16)</f>
        <v>0</v>
      </c>
      <c r="DH15" s="225">
        <f>IF(ISERROR('raw data'!HN16/'raw data'!HO16),0,'raw data'!HN16/'raw data'!HO16)</f>
        <v>0</v>
      </c>
      <c r="DI15" s="225">
        <f>IF(ISERROR('raw data'!HP16/'raw data'!HQ16),0,'raw data'!HP16/'raw data'!HQ16)</f>
        <v>0</v>
      </c>
      <c r="DJ15" s="225">
        <f>IF(ISERROR('raw data'!HR16/'raw data'!HS16),0,'raw data'!HR16/'raw data'!HS16)</f>
        <v>0</v>
      </c>
      <c r="DK15" s="225">
        <f>IF(ISERROR('raw data'!HT16/'raw data'!HU16),0,'raw data'!HT16/'raw data'!HU16)</f>
        <v>0</v>
      </c>
      <c r="DL15" s="225">
        <f>IF(ISERROR('raw data'!HV16/'raw data'!HW16),0,'raw data'!HV16/'raw data'!HW16)</f>
        <v>0</v>
      </c>
      <c r="DM15" s="225">
        <f>IF(ISERROR('raw data'!HX16/'raw data'!HY16),0,'raw data'!HX16/'raw data'!HY16)</f>
        <v>0</v>
      </c>
      <c r="DN15" s="225">
        <f>IF(ISERROR('raw data'!HZ16/'raw data'!IA16),0,'raw data'!HZ16/'raw data'!IA16)</f>
        <v>0</v>
      </c>
      <c r="DO15" s="225">
        <f>IF(ISERROR('raw data'!IB16/'raw data'!IC16),0,'raw data'!IB16/'raw data'!IC16)</f>
        <v>0</v>
      </c>
      <c r="DP15" s="225">
        <f>IF(ISERROR('raw data'!ID16/'raw data'!IE16),0,'raw data'!ID16/'raw data'!IE16)</f>
        <v>0</v>
      </c>
      <c r="DQ15" s="225">
        <f>IF(ISERROR('raw data'!IF16/'raw data'!IG16),0,'raw data'!IF16/'raw data'!IG16)</f>
        <v>0</v>
      </c>
      <c r="DR15" s="225">
        <f>IF(ISERROR('raw data'!IH16/'raw data'!II16),0,'raw data'!IH16/'raw data'!II16)</f>
        <v>0</v>
      </c>
      <c r="DS15" s="225">
        <f>IF(ISERROR('raw data'!IJ16/'raw data'!IK16),0,'raw data'!IJ16/'raw data'!IK16)</f>
        <v>0</v>
      </c>
      <c r="DT15" s="225">
        <f>IF(ISERROR('raw data'!IL16/'raw data'!IM16),0,'raw data'!IL16/'raw data'!IM16)</f>
        <v>0</v>
      </c>
      <c r="DU15" s="225">
        <f>IF(ISERROR('raw data'!IN16/'raw data'!IO16),0,'raw data'!IN16/'raw data'!IO16)</f>
        <v>0</v>
      </c>
      <c r="DV15" s="225">
        <f>IF(ISERROR('raw data'!IP16/'raw data'!IQ16),0,'raw data'!IP16/'raw data'!IQ16)</f>
        <v>0</v>
      </c>
      <c r="DW15" s="225">
        <f>IF(ISERROR('raw data'!IR16/'raw data'!IS16),0,'raw data'!IR16/'raw data'!IS16)</f>
        <v>0</v>
      </c>
      <c r="DX15" s="225">
        <f>IF(ISERROR('raw data'!IT16/'raw data'!IU16),0,'raw data'!IT16/'raw data'!IU16)</f>
        <v>0</v>
      </c>
      <c r="DY15" s="225">
        <f>IF(ISERROR('raw data'!IV16/'raw data'!IW16),0,'raw data'!IV16/'raw data'!IW16)</f>
        <v>0</v>
      </c>
      <c r="DZ15" s="225">
        <f>IF(ISERROR('raw data'!IX16/'raw data'!IY16),0,'raw data'!IX16/'raw data'!IY16)</f>
        <v>0</v>
      </c>
      <c r="EA15" s="225">
        <f>IF(ISERROR('raw data'!IZ16/'raw data'!JA16),0,'raw data'!IZ16/'raw data'!JA16)</f>
        <v>0</v>
      </c>
      <c r="EB15" s="225">
        <f>IF(ISERROR('raw data'!JB16/'raw data'!JC16),0,'raw data'!JB16/'raw data'!JC16)</f>
        <v>0</v>
      </c>
      <c r="EC15" s="225">
        <f>IF(ISERROR('raw data'!JD16/'raw data'!JE16),0,'raw data'!JD16/'raw data'!JE16)</f>
        <v>0</v>
      </c>
      <c r="ED15" s="226"/>
      <c r="EE15" s="227">
        <v>0</v>
      </c>
      <c r="EF15" s="227">
        <v>0</v>
      </c>
      <c r="EG15" s="228">
        <f t="shared" si="0"/>
        <v>0</v>
      </c>
    </row>
    <row r="16" spans="1:138" ht="14" hidden="1" x14ac:dyDescent="0.15">
      <c r="A16" s="222" t="s">
        <v>32</v>
      </c>
      <c r="B16" s="223">
        <f>'raw data'!B17</f>
        <v>0</v>
      </c>
      <c r="C16" s="236" t="s">
        <v>33</v>
      </c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25">
        <f>IF(ISERROR('raw data'!AR17/'raw data'!AS17),0,'raw data'!AR17/'raw data'!AS17)</f>
        <v>0.18367346938775511</v>
      </c>
      <c r="Y16" s="225">
        <f>IF(ISERROR('raw data'!AT17/'raw data'!AU17),0,'raw data'!AT17/'raw data'!AU17)</f>
        <v>0.25</v>
      </c>
      <c r="Z16" s="225">
        <f>IF(ISERROR('raw data'!AV17/'raw data'!AW17),0,'raw data'!AV17/'raw data'!AW17)</f>
        <v>9.5238095238095233E-2</v>
      </c>
      <c r="AA16" s="225">
        <f>IF(ISERROR('raw data'!AX17/'raw data'!AY17),0,'raw data'!AX17/'raw data'!AY17)</f>
        <v>9.2592592592592587E-2</v>
      </c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225">
        <f>IF(ISERROR('raw data'!CX17/'raw data'!CY17),0,'raw data'!CX17/'raw data'!CY17)</f>
        <v>0</v>
      </c>
      <c r="BB16" s="225">
        <f>IF(ISERROR('raw data'!CZ17/'raw data'!DA17),0,'raw data'!CZ17/'raw data'!DA17)</f>
        <v>0</v>
      </c>
      <c r="BC16" s="225">
        <f>IF(ISERROR('raw data'!DB17/'raw data'!DC17),0,'raw data'!DB17/'raw data'!DC17)</f>
        <v>0</v>
      </c>
      <c r="BD16" s="225">
        <v>0</v>
      </c>
      <c r="BE16" s="225">
        <f>IF(ISERROR('raw data'!DF17/'raw data'!DG17),0,'raw data'!DF17/'raw data'!DG17)</f>
        <v>0</v>
      </c>
      <c r="BF16" s="225">
        <f>IF(ISERROR('raw data'!DH17/'raw data'!DI17),0,'raw data'!DH17/'raw data'!DI17)</f>
        <v>0</v>
      </c>
      <c r="BG16" s="225">
        <f>IF(ISERROR('raw data'!DJ17/'raw data'!DK17),0,'raw data'!DJ17/'raw data'!DK17)</f>
        <v>0</v>
      </c>
      <c r="BH16" s="225">
        <f>IF(ISERROR('raw data'!DL17/'raw data'!DM17),0,'raw data'!DL17/'raw data'!DM17)</f>
        <v>0</v>
      </c>
      <c r="BI16" s="225">
        <f>IF(ISERROR('raw data'!DN17/'raw data'!DO17),0,'raw data'!DN17/'raw data'!DO17)</f>
        <v>0</v>
      </c>
      <c r="BJ16" s="225">
        <f>IF(ISERROR('raw data'!DP17/'raw data'!DQ17),0,'raw data'!DP17/'raw data'!DQ17)</f>
        <v>0</v>
      </c>
      <c r="BK16" s="225">
        <f>IF(ISERROR('raw data'!DR17/'raw data'!DS17),0,'raw data'!DR17/'raw data'!DS17)</f>
        <v>0</v>
      </c>
      <c r="BL16" s="225">
        <f>IF(ISERROR('raw data'!DT17/'raw data'!DU17),0,'raw data'!DT17/'raw data'!DU17)</f>
        <v>0</v>
      </c>
      <c r="BM16" s="225">
        <f>IF(ISERROR('raw data'!DV17/'raw data'!DW17),0,'raw data'!DV17/'raw data'!DW17)</f>
        <v>0</v>
      </c>
      <c r="BN16" s="225">
        <f>IF(ISERROR('raw data'!DX17/'raw data'!DY17),0,'raw data'!DX17/'raw data'!DY17)</f>
        <v>0</v>
      </c>
      <c r="BO16" s="225">
        <f>IF(ISERROR('raw data'!DZ17/'raw data'!EA17),0,'raw data'!DZ17/'raw data'!EA17)</f>
        <v>0</v>
      </c>
      <c r="BP16" s="225">
        <f>IF(ISERROR('raw data'!EB17/'raw data'!EC17),0,'raw data'!EB17/'raw data'!EC17)</f>
        <v>0</v>
      </c>
      <c r="BQ16" s="225">
        <f>IF(ISERROR('raw data'!ED17/'raw data'!EE17),0,'raw data'!ED17/'raw data'!EE17)</f>
        <v>0</v>
      </c>
      <c r="BR16" s="225">
        <f>IF(ISERROR('raw data'!EF17/'raw data'!EG17),0,'raw data'!EF17/'raw data'!EG17)</f>
        <v>0</v>
      </c>
      <c r="BS16" s="225">
        <f>IF(ISERROR('raw data'!EH17/'raw data'!EI17),0,'raw data'!EH17/'raw data'!EI17)</f>
        <v>0</v>
      </c>
      <c r="BT16" s="225">
        <f>IF(ISERROR('raw data'!EJ17/'raw data'!EK17),0,'raw data'!EJ17/'raw data'!EK17)</f>
        <v>0</v>
      </c>
      <c r="BU16" s="225">
        <f>IF(ISERROR('raw data'!EL17/'raw data'!EM17),0,'raw data'!EL17/'raw data'!EM17)</f>
        <v>0</v>
      </c>
      <c r="BV16" s="225">
        <f>IF(ISERROR('raw data'!EN17/'raw data'!EO17),0,'raw data'!EN17/'raw data'!EO17)</f>
        <v>0</v>
      </c>
      <c r="BW16" s="225">
        <f>IF(ISERROR('raw data'!EP17/'raw data'!EQ17),0,'raw data'!EP17/'raw data'!EQ17)</f>
        <v>0</v>
      </c>
      <c r="BX16" s="225">
        <f>IF(ISERROR('raw data'!ER17/'raw data'!ES17),0,'raw data'!ER17/'raw data'!ES17)</f>
        <v>0</v>
      </c>
      <c r="BY16" s="225">
        <f>IF(ISERROR('raw data'!ET17/'raw data'!EU17),0,'raw data'!ET17/'raw data'!EU17)</f>
        <v>0</v>
      </c>
      <c r="BZ16" s="225">
        <f>IF(ISERROR('raw data'!EV17/'raw data'!EW17),0,'raw data'!EV17/'raw data'!EW17)</f>
        <v>0</v>
      </c>
      <c r="CA16" s="225">
        <f>IF(ISERROR('raw data'!EX17/'raw data'!EY17),0,'raw data'!EX17/'raw data'!EY17)</f>
        <v>0</v>
      </c>
      <c r="CB16" s="225">
        <f>IF(ISERROR('raw data'!EZ17/'raw data'!FA17),0,'raw data'!EZ17/'raw data'!FA17)</f>
        <v>0</v>
      </c>
      <c r="CC16" s="225">
        <f>IF(ISERROR('raw data'!FB17/'raw data'!FC17),0,'raw data'!FB17/'raw data'!FC17)</f>
        <v>0</v>
      </c>
      <c r="CD16" s="225">
        <f>IF(ISERROR('raw data'!FD17/'raw data'!FE17),0,'raw data'!FD17/'raw data'!FE17)</f>
        <v>0</v>
      </c>
      <c r="CE16" s="225">
        <f>IF(ISERROR('raw data'!FF17/'raw data'!FG17),0,'raw data'!FF17/'raw data'!FG17)</f>
        <v>0</v>
      </c>
      <c r="CF16" s="225">
        <f>IF(ISERROR('raw data'!FH17/'raw data'!FI17),0,'raw data'!FH17/'raw data'!FI17)</f>
        <v>0</v>
      </c>
      <c r="CG16" s="225">
        <f>IF(ISERROR('raw data'!FJ17/'raw data'!FM17),0,'raw data'!FJ17/'raw data'!FM17)</f>
        <v>0</v>
      </c>
      <c r="CH16" s="225">
        <f>IF(ISERROR('raw data'!FN17/'raw data'!FO17),0,'raw data'!FN17/'raw data'!FO17)</f>
        <v>0</v>
      </c>
      <c r="CI16" s="225">
        <f>IF(ISERROR('raw data'!FP17/'raw data'!FQ17),0,'raw data'!FP17/'raw data'!FQ17)</f>
        <v>0</v>
      </c>
      <c r="CJ16" s="225">
        <f>IF(ISERROR('raw data'!FR17/'raw data'!FS17),0,'raw data'!FR17/'raw data'!FS17)</f>
        <v>0</v>
      </c>
      <c r="CK16" s="225">
        <f>IF(ISERROR('raw data'!FT17/'raw data'!FU17),0,'raw data'!FT17/'raw data'!FU17)</f>
        <v>0</v>
      </c>
      <c r="CL16" s="225">
        <f>IF(ISERROR('raw data'!FV17/'raw data'!FW17),0,'raw data'!FV17/'raw data'!FW17)</f>
        <v>0</v>
      </c>
      <c r="CM16" s="225">
        <f>IF(ISERROR('raw data'!FX17/'raw data'!FY17),0,'raw data'!FX17/'raw data'!FY17)</f>
        <v>0</v>
      </c>
      <c r="CN16" s="225">
        <f>IF(ISERROR('raw data'!FZ17/'raw data'!GA17),0,'raw data'!FZ17/'raw data'!GA17)</f>
        <v>0</v>
      </c>
      <c r="CO16" s="225">
        <f>IF(ISERROR('raw data'!GB17/'raw data'!GC17),0,'raw data'!GB17/'raw data'!GC17)</f>
        <v>0</v>
      </c>
      <c r="CP16" s="225">
        <f>IF(ISERROR('raw data'!GD17/'raw data'!GE17),0,'raw data'!GD17/'raw data'!GE17)</f>
        <v>0</v>
      </c>
      <c r="CQ16" s="225">
        <f>IF(ISERROR('raw data'!GF17/'raw data'!GG17),0,'raw data'!GF17/'raw data'!GG17)</f>
        <v>0</v>
      </c>
      <c r="CR16" s="225">
        <f>IF(ISERROR('raw data'!GH17/'raw data'!GI17),0,'raw data'!GH17/'raw data'!GI17)</f>
        <v>0</v>
      </c>
      <c r="CS16" s="225">
        <f>IF(ISERROR('raw data'!GJ17/'raw data'!GK17),0,'raw data'!GJ17/'raw data'!GK17)</f>
        <v>0</v>
      </c>
      <c r="CT16" s="225">
        <f>IF(ISERROR('raw data'!GL17/'raw data'!GM17),0,'raw data'!GL17/'raw data'!GM17)</f>
        <v>0</v>
      </c>
      <c r="CU16" s="225">
        <f>IF(ISERROR('raw data'!GN17/'raw data'!GO17),0,'raw data'!GN17/'raw data'!GO17)</f>
        <v>0</v>
      </c>
      <c r="CV16" s="225">
        <f>IF(ISERROR('raw data'!GP17/'raw data'!GQ17),0,'raw data'!GP17/'raw data'!GQ17)</f>
        <v>0</v>
      </c>
      <c r="CW16" s="225">
        <f>IF(ISERROR('raw data'!GR17/'raw data'!GS17),0,'raw data'!GR17/'raw data'!GS17)</f>
        <v>0</v>
      </c>
      <c r="CX16" s="225">
        <f>IF(ISERROR('raw data'!GT17/'raw data'!GU17),0,'raw data'!GT17/'raw data'!GU17)</f>
        <v>0</v>
      </c>
      <c r="CY16" s="225">
        <f>IF(ISERROR('raw data'!GV17/'raw data'!GW17),0,'raw data'!GV17/'raw data'!GW17)</f>
        <v>0</v>
      </c>
      <c r="CZ16" s="225">
        <f>IF(ISERROR('raw data'!GX17/'raw data'!GY17),0,'raw data'!GX17/'raw data'!GY17)</f>
        <v>0</v>
      </c>
      <c r="DA16" s="225">
        <f>IF(ISERROR('raw data'!GZ17/'raw data'!HA17),0,'raw data'!GZ17/'raw data'!HA17)</f>
        <v>0</v>
      </c>
      <c r="DB16" s="225">
        <f>IF(ISERROR('raw data'!HB17/'raw data'!HC17),0,'raw data'!HB17/'raw data'!HC17)</f>
        <v>0</v>
      </c>
      <c r="DC16" s="225">
        <f>IF(ISERROR('raw data'!HD17/'raw data'!HE17),0,'raw data'!HD17/'raw data'!HE17)</f>
        <v>0</v>
      </c>
      <c r="DD16" s="225">
        <f>IF(ISERROR('raw data'!HF17/'raw data'!HG17),0,'raw data'!HF17/'raw data'!HG17)</f>
        <v>0</v>
      </c>
      <c r="DE16" s="225">
        <f>IF(ISERROR('raw data'!HH17/'raw data'!HI17),0,'raw data'!HH17/'raw data'!HI17)</f>
        <v>0</v>
      </c>
      <c r="DF16" s="225">
        <f>IF(ISERROR('raw data'!HJ17/'raw data'!HK17),0,'raw data'!HJ17/'raw data'!HK17)</f>
        <v>0</v>
      </c>
      <c r="DG16" s="225">
        <f>IF(ISERROR('raw data'!HL17/'raw data'!HM17),0,'raw data'!HL17/'raw data'!HM17)</f>
        <v>0</v>
      </c>
      <c r="DH16" s="225">
        <f>IF(ISERROR('raw data'!HN17/'raw data'!HO17),0,'raw data'!HN17/'raw data'!HO17)</f>
        <v>0</v>
      </c>
      <c r="DI16" s="225">
        <f>IF(ISERROR('raw data'!HP17/'raw data'!HQ17),0,'raw data'!HP17/'raw data'!HQ17)</f>
        <v>0</v>
      </c>
      <c r="DJ16" s="225">
        <f>IF(ISERROR('raw data'!HR17/'raw data'!HS17),0,'raw data'!HR17/'raw data'!HS17)</f>
        <v>0</v>
      </c>
      <c r="DK16" s="225">
        <f>IF(ISERROR('raw data'!HT17/'raw data'!HU17),0,'raw data'!HT17/'raw data'!HU17)</f>
        <v>0</v>
      </c>
      <c r="DL16" s="225">
        <f>IF(ISERROR('raw data'!HV17/'raw data'!HW17),0,'raw data'!HV17/'raw data'!HW17)</f>
        <v>0</v>
      </c>
      <c r="DM16" s="225">
        <f>IF(ISERROR('raw data'!HX17/'raw data'!HY17),0,'raw data'!HX17/'raw data'!HY17)</f>
        <v>0</v>
      </c>
      <c r="DN16" s="225">
        <f>IF(ISERROR('raw data'!HZ17/'raw data'!IA17),0,'raw data'!HZ17/'raw data'!IA17)</f>
        <v>0</v>
      </c>
      <c r="DO16" s="225">
        <f>IF(ISERROR('raw data'!IB17/'raw data'!IC17),0,'raw data'!IB17/'raw data'!IC17)</f>
        <v>0</v>
      </c>
      <c r="DP16" s="225">
        <f>IF(ISERROR('raw data'!ID17/'raw data'!IE17),0,'raw data'!ID17/'raw data'!IE17)</f>
        <v>0</v>
      </c>
      <c r="DQ16" s="225">
        <f>IF(ISERROR('raw data'!IF17/'raw data'!IG17),0,'raw data'!IF17/'raw data'!IG17)</f>
        <v>0</v>
      </c>
      <c r="DR16" s="225">
        <f>IF(ISERROR('raw data'!IH17/'raw data'!II17),0,'raw data'!IH17/'raw data'!II17)</f>
        <v>0</v>
      </c>
      <c r="DS16" s="225">
        <f>IF(ISERROR('raw data'!IJ17/'raw data'!IK17),0,'raw data'!IJ17/'raw data'!IK17)</f>
        <v>0</v>
      </c>
      <c r="DT16" s="225">
        <f>IF(ISERROR('raw data'!IL17/'raw data'!IM17),0,'raw data'!IL17/'raw data'!IM17)</f>
        <v>0</v>
      </c>
      <c r="DU16" s="225">
        <f>IF(ISERROR('raw data'!IN17/'raw data'!IO17),0,'raw data'!IN17/'raw data'!IO17)</f>
        <v>0</v>
      </c>
      <c r="DV16" s="225">
        <f>IF(ISERROR('raw data'!IP17/'raw data'!IQ17),0,'raw data'!IP17/'raw data'!IQ17)</f>
        <v>0</v>
      </c>
      <c r="DW16" s="225">
        <f>IF(ISERROR('raw data'!IR17/'raw data'!IS17),0,'raw data'!IR17/'raw data'!IS17)</f>
        <v>0</v>
      </c>
      <c r="DX16" s="225">
        <f>IF(ISERROR('raw data'!IT17/'raw data'!IU17),0,'raw data'!IT17/'raw data'!IU17)</f>
        <v>0</v>
      </c>
      <c r="DY16" s="225">
        <f>IF(ISERROR('raw data'!IV17/'raw data'!IW17),0,'raw data'!IV17/'raw data'!IW17)</f>
        <v>0</v>
      </c>
      <c r="DZ16" s="225">
        <f>IF(ISERROR('raw data'!IX17/'raw data'!IY17),0,'raw data'!IX17/'raw data'!IY17)</f>
        <v>0</v>
      </c>
      <c r="EA16" s="225">
        <f>IF(ISERROR('raw data'!IZ17/'raw data'!JA17),0,'raw data'!IZ17/'raw data'!JA17)</f>
        <v>0</v>
      </c>
      <c r="EB16" s="225">
        <f>IF(ISERROR('raw data'!JB17/'raw data'!JC17),0,'raw data'!JB17/'raw data'!JC17)</f>
        <v>0</v>
      </c>
      <c r="EC16" s="225">
        <f>IF(ISERROR('raw data'!JD17/'raw data'!JE17),0,'raw data'!JD17/'raw data'!JE17)</f>
        <v>0</v>
      </c>
      <c r="ED16" s="226"/>
      <c r="EE16" s="227">
        <v>0</v>
      </c>
      <c r="EF16" s="227">
        <v>0</v>
      </c>
      <c r="EG16" s="228">
        <f t="shared" si="0"/>
        <v>0</v>
      </c>
    </row>
    <row r="17" spans="1:138" ht="14" hidden="1" x14ac:dyDescent="0.15">
      <c r="A17" s="222" t="s">
        <v>34</v>
      </c>
      <c r="B17" s="223">
        <f>'raw data'!B18</f>
        <v>0</v>
      </c>
      <c r="C17" s="236" t="s">
        <v>35</v>
      </c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25">
        <f>IF(ISERROR('raw data'!AR18/'raw data'!AS18),0,'raw data'!AR18/'raw data'!AS18)</f>
        <v>7.1428571428571425E-2</v>
      </c>
      <c r="Y17" s="225">
        <f>IF(ISERROR('raw data'!AT18/'raw data'!AU18),0,'raw data'!AT18/'raw data'!AU18)</f>
        <v>0.12903225806451613</v>
      </c>
      <c r="Z17" s="225">
        <f>IF(ISERROR('raw data'!AV18/'raw data'!AW18),0,'raw data'!AV18/'raw data'!AW18)</f>
        <v>0.13636363636363635</v>
      </c>
      <c r="AA17" s="225">
        <f>IF(ISERROR('raw data'!AX18/'raw data'!AY18),0,'raw data'!AX18/'raw data'!AY18)</f>
        <v>3.8095238095238099E-2</v>
      </c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25">
        <f>IF(ISERROR('raw data'!CX18/'raw data'!CY18),0,'raw data'!CX18/'raw data'!CY18)</f>
        <v>0</v>
      </c>
      <c r="BB17" s="225">
        <f>IF(ISERROR('raw data'!CZ18/'raw data'!DA18),0,'raw data'!CZ18/'raw data'!DA18)</f>
        <v>0</v>
      </c>
      <c r="BC17" s="225">
        <f>IF(ISERROR('raw data'!DB18/'raw data'!DC18),0,'raw data'!DB18/'raw data'!DC18)</f>
        <v>0</v>
      </c>
      <c r="BD17" s="225">
        <v>0</v>
      </c>
      <c r="BE17" s="225">
        <f>IF(ISERROR('raw data'!DF18/'raw data'!DG18),0,'raw data'!DF18/'raw data'!DG18)</f>
        <v>0</v>
      </c>
      <c r="BF17" s="225">
        <f>IF(ISERROR('raw data'!DH18/'raw data'!DI18),0,'raw data'!DH18/'raw data'!DI18)</f>
        <v>0</v>
      </c>
      <c r="BG17" s="225">
        <f>IF(ISERROR('raw data'!DJ18/'raw data'!DK18),0,'raw data'!DJ18/'raw data'!DK18)</f>
        <v>0</v>
      </c>
      <c r="BH17" s="225">
        <f>IF(ISERROR('raw data'!DL18/'raw data'!DM18),0,'raw data'!DL18/'raw data'!DM18)</f>
        <v>0</v>
      </c>
      <c r="BI17" s="225">
        <f>IF(ISERROR('raw data'!DN18/'raw data'!DO18),0,'raw data'!DN18/'raw data'!DO18)</f>
        <v>0</v>
      </c>
      <c r="BJ17" s="225">
        <f>IF(ISERROR('raw data'!DP18/'raw data'!DQ18),0,'raw data'!DP18/'raw data'!DQ18)</f>
        <v>0</v>
      </c>
      <c r="BK17" s="225">
        <f>IF(ISERROR('raw data'!DR18/'raw data'!DS18),0,'raw data'!DR18/'raw data'!DS18)</f>
        <v>0</v>
      </c>
      <c r="BL17" s="225">
        <f>IF(ISERROR('raw data'!DT18/'raw data'!DU18),0,'raw data'!DT18/'raw data'!DU18)</f>
        <v>0</v>
      </c>
      <c r="BM17" s="225">
        <f>IF(ISERROR('raw data'!DV18/'raw data'!DW18),0,'raw data'!DV18/'raw data'!DW18)</f>
        <v>0</v>
      </c>
      <c r="BN17" s="225">
        <f>IF(ISERROR('raw data'!DX18/'raw data'!DY18),0,'raw data'!DX18/'raw data'!DY18)</f>
        <v>0</v>
      </c>
      <c r="BO17" s="225">
        <f>IF(ISERROR('raw data'!DZ18/'raw data'!EA18),0,'raw data'!DZ18/'raw data'!EA18)</f>
        <v>0</v>
      </c>
      <c r="BP17" s="225">
        <f>IF(ISERROR('raw data'!EB18/'raw data'!EC18),0,'raw data'!EB18/'raw data'!EC18)</f>
        <v>0</v>
      </c>
      <c r="BQ17" s="225">
        <f>IF(ISERROR('raw data'!ED18/'raw data'!EE18),0,'raw data'!ED18/'raw data'!EE18)</f>
        <v>0</v>
      </c>
      <c r="BR17" s="225">
        <f>IF(ISERROR('raw data'!EF18/'raw data'!EG18),0,'raw data'!EF18/'raw data'!EG18)</f>
        <v>0</v>
      </c>
      <c r="BS17" s="225">
        <f>IF(ISERROR('raw data'!EH18/'raw data'!EI18),0,'raw data'!EH18/'raw data'!EI18)</f>
        <v>0</v>
      </c>
      <c r="BT17" s="225">
        <f>IF(ISERROR('raw data'!EJ18/'raw data'!EK18),0,'raw data'!EJ18/'raw data'!EK18)</f>
        <v>0</v>
      </c>
      <c r="BU17" s="225">
        <f>IF(ISERROR('raw data'!EL18/'raw data'!EM18),0,'raw data'!EL18/'raw data'!EM18)</f>
        <v>0</v>
      </c>
      <c r="BV17" s="225">
        <f>IF(ISERROR('raw data'!EN18/'raw data'!EO18),0,'raw data'!EN18/'raw data'!EO18)</f>
        <v>0</v>
      </c>
      <c r="BW17" s="225">
        <f>IF(ISERROR('raw data'!EP18/'raw data'!EQ18),0,'raw data'!EP18/'raw data'!EQ18)</f>
        <v>0</v>
      </c>
      <c r="BX17" s="225">
        <f>IF(ISERROR('raw data'!ER18/'raw data'!ES18),0,'raw data'!ER18/'raw data'!ES18)</f>
        <v>0</v>
      </c>
      <c r="BY17" s="225">
        <f>IF(ISERROR('raw data'!ET18/'raw data'!EU18),0,'raw data'!ET18/'raw data'!EU18)</f>
        <v>0</v>
      </c>
      <c r="BZ17" s="225">
        <f>IF(ISERROR('raw data'!EV18/'raw data'!EW18),0,'raw data'!EV18/'raw data'!EW18)</f>
        <v>0</v>
      </c>
      <c r="CA17" s="225">
        <f>IF(ISERROR('raw data'!EX18/'raw data'!EY18),0,'raw data'!EX18/'raw data'!EY18)</f>
        <v>0</v>
      </c>
      <c r="CB17" s="225">
        <f>IF(ISERROR('raw data'!EZ18/'raw data'!FA18),0,'raw data'!EZ18/'raw data'!FA18)</f>
        <v>0</v>
      </c>
      <c r="CC17" s="225">
        <f>IF(ISERROR('raw data'!FB18/'raw data'!FC18),0,'raw data'!FB18/'raw data'!FC18)</f>
        <v>0</v>
      </c>
      <c r="CD17" s="225">
        <f>IF(ISERROR('raw data'!FD18/'raw data'!FE18),0,'raw data'!FD18/'raw data'!FE18)</f>
        <v>0</v>
      </c>
      <c r="CE17" s="225">
        <f>IF(ISERROR('raw data'!FF18/'raw data'!FG18),0,'raw data'!FF18/'raw data'!FG18)</f>
        <v>0</v>
      </c>
      <c r="CF17" s="225">
        <f>IF(ISERROR('raw data'!FH18/'raw data'!FI18),0,'raw data'!FH18/'raw data'!FI18)</f>
        <v>0</v>
      </c>
      <c r="CG17" s="225">
        <f>IF(ISERROR('raw data'!FJ18/'raw data'!FM18),0,'raw data'!FJ18/'raw data'!FM18)</f>
        <v>0</v>
      </c>
      <c r="CH17" s="225">
        <f>IF(ISERROR('raw data'!FN18/'raw data'!FO18),0,'raw data'!FN18/'raw data'!FO18)</f>
        <v>0</v>
      </c>
      <c r="CI17" s="225">
        <f>IF(ISERROR('raw data'!FP18/'raw data'!FQ18),0,'raw data'!FP18/'raw data'!FQ18)</f>
        <v>0</v>
      </c>
      <c r="CJ17" s="225">
        <f>IF(ISERROR('raw data'!FR18/'raw data'!FS18),0,'raw data'!FR18/'raw data'!FS18)</f>
        <v>0</v>
      </c>
      <c r="CK17" s="225">
        <f>IF(ISERROR('raw data'!FT18/'raw data'!FU18),0,'raw data'!FT18/'raw data'!FU18)</f>
        <v>0</v>
      </c>
      <c r="CL17" s="225">
        <f>IF(ISERROR('raw data'!FV18/'raw data'!FW18),0,'raw data'!FV18/'raw data'!FW18)</f>
        <v>0</v>
      </c>
      <c r="CM17" s="225">
        <f>IF(ISERROR('raw data'!FX18/'raw data'!FY18),0,'raw data'!FX18/'raw data'!FY18)</f>
        <v>0</v>
      </c>
      <c r="CN17" s="225">
        <f>IF(ISERROR('raw data'!FZ18/'raw data'!GA18),0,'raw data'!FZ18/'raw data'!GA18)</f>
        <v>0</v>
      </c>
      <c r="CO17" s="225">
        <f>IF(ISERROR('raw data'!GB18/'raw data'!GC18),0,'raw data'!GB18/'raw data'!GC18)</f>
        <v>0</v>
      </c>
      <c r="CP17" s="225">
        <f>IF(ISERROR('raw data'!GD18/'raw data'!GE18),0,'raw data'!GD18/'raw data'!GE18)</f>
        <v>0</v>
      </c>
      <c r="CQ17" s="225">
        <f>IF(ISERROR('raw data'!GF18/'raw data'!GG18),0,'raw data'!GF18/'raw data'!GG18)</f>
        <v>0</v>
      </c>
      <c r="CR17" s="225">
        <f>IF(ISERROR('raw data'!GH18/'raw data'!GI18),0,'raw data'!GH18/'raw data'!GI18)</f>
        <v>0</v>
      </c>
      <c r="CS17" s="225">
        <f>IF(ISERROR('raw data'!GJ18/'raw data'!GK18),0,'raw data'!GJ18/'raw data'!GK18)</f>
        <v>0</v>
      </c>
      <c r="CT17" s="225">
        <f>IF(ISERROR('raw data'!GL18/'raw data'!GM18),0,'raw data'!GL18/'raw data'!GM18)</f>
        <v>0</v>
      </c>
      <c r="CU17" s="225">
        <f>IF(ISERROR('raw data'!GN18/'raw data'!GO18),0,'raw data'!GN18/'raw data'!GO18)</f>
        <v>0</v>
      </c>
      <c r="CV17" s="225">
        <f>IF(ISERROR('raw data'!GP18/'raw data'!GQ18),0,'raw data'!GP18/'raw data'!GQ18)</f>
        <v>0</v>
      </c>
      <c r="CW17" s="225">
        <f>IF(ISERROR('raw data'!GR18/'raw data'!GS18),0,'raw data'!GR18/'raw data'!GS18)</f>
        <v>0</v>
      </c>
      <c r="CX17" s="225">
        <f>IF(ISERROR('raw data'!GT18/'raw data'!GU18),0,'raw data'!GT18/'raw data'!GU18)</f>
        <v>0</v>
      </c>
      <c r="CY17" s="225">
        <f>IF(ISERROR('raw data'!GV18/'raw data'!GW18),0,'raw data'!GV18/'raw data'!GW18)</f>
        <v>0</v>
      </c>
      <c r="CZ17" s="225">
        <f>IF(ISERROR('raw data'!GX18/'raw data'!GY18),0,'raw data'!GX18/'raw data'!GY18)</f>
        <v>0</v>
      </c>
      <c r="DA17" s="225">
        <f>IF(ISERROR('raw data'!GZ18/'raw data'!HA18),0,'raw data'!GZ18/'raw data'!HA18)</f>
        <v>0</v>
      </c>
      <c r="DB17" s="225">
        <f>IF(ISERROR('raw data'!HB18/'raw data'!HC18),0,'raw data'!HB18/'raw data'!HC18)</f>
        <v>0</v>
      </c>
      <c r="DC17" s="225">
        <f>IF(ISERROR('raw data'!HD18/'raw data'!HE18),0,'raw data'!HD18/'raw data'!HE18)</f>
        <v>0</v>
      </c>
      <c r="DD17" s="225">
        <f>IF(ISERROR('raw data'!HF18/'raw data'!HG18),0,'raw data'!HF18/'raw data'!HG18)</f>
        <v>0</v>
      </c>
      <c r="DE17" s="225">
        <f>IF(ISERROR('raw data'!HH18/'raw data'!HI18),0,'raw data'!HH18/'raw data'!HI18)</f>
        <v>0</v>
      </c>
      <c r="DF17" s="225">
        <f>IF(ISERROR('raw data'!HJ18/'raw data'!HK18),0,'raw data'!HJ18/'raw data'!HK18)</f>
        <v>0</v>
      </c>
      <c r="DG17" s="225">
        <f>IF(ISERROR('raw data'!HL18/'raw data'!HM18),0,'raw data'!HL18/'raw data'!HM18)</f>
        <v>0</v>
      </c>
      <c r="DH17" s="225">
        <f>IF(ISERROR('raw data'!HN18/'raw data'!HO18),0,'raw data'!HN18/'raw data'!HO18)</f>
        <v>0</v>
      </c>
      <c r="DI17" s="225">
        <f>IF(ISERROR('raw data'!HP18/'raw data'!HQ18),0,'raw data'!HP18/'raw data'!HQ18)</f>
        <v>0</v>
      </c>
      <c r="DJ17" s="225">
        <f>IF(ISERROR('raw data'!HR18/'raw data'!HS18),0,'raw data'!HR18/'raw data'!HS18)</f>
        <v>0</v>
      </c>
      <c r="DK17" s="225">
        <f>IF(ISERROR('raw data'!HT18/'raw data'!HU18),0,'raw data'!HT18/'raw data'!HU18)</f>
        <v>0</v>
      </c>
      <c r="DL17" s="225">
        <f>IF(ISERROR('raw data'!HV18/'raw data'!HW18),0,'raw data'!HV18/'raw data'!HW18)</f>
        <v>0</v>
      </c>
      <c r="DM17" s="225">
        <f>IF(ISERROR('raw data'!HX18/'raw data'!HY18),0,'raw data'!HX18/'raw data'!HY18)</f>
        <v>0</v>
      </c>
      <c r="DN17" s="225">
        <f>IF(ISERROR('raw data'!HZ18/'raw data'!IA18),0,'raw data'!HZ18/'raw data'!IA18)</f>
        <v>0</v>
      </c>
      <c r="DO17" s="225">
        <f>IF(ISERROR('raw data'!IB18/'raw data'!IC18),0,'raw data'!IB18/'raw data'!IC18)</f>
        <v>0</v>
      </c>
      <c r="DP17" s="225">
        <f>IF(ISERROR('raw data'!ID18/'raw data'!IE18),0,'raw data'!ID18/'raw data'!IE18)</f>
        <v>0</v>
      </c>
      <c r="DQ17" s="225">
        <f>IF(ISERROR('raw data'!IF18/'raw data'!IG18),0,'raw data'!IF18/'raw data'!IG18)</f>
        <v>0</v>
      </c>
      <c r="DR17" s="225">
        <f>IF(ISERROR('raw data'!IH18/'raw data'!II18),0,'raw data'!IH18/'raw data'!II18)</f>
        <v>0</v>
      </c>
      <c r="DS17" s="225">
        <f>IF(ISERROR('raw data'!IJ18/'raw data'!IK18),0,'raw data'!IJ18/'raw data'!IK18)</f>
        <v>0</v>
      </c>
      <c r="DT17" s="225">
        <f>IF(ISERROR('raw data'!IL18/'raw data'!IM18),0,'raw data'!IL18/'raw data'!IM18)</f>
        <v>0</v>
      </c>
      <c r="DU17" s="225">
        <f>IF(ISERROR('raw data'!IN18/'raw data'!IO18),0,'raw data'!IN18/'raw data'!IO18)</f>
        <v>0</v>
      </c>
      <c r="DV17" s="225">
        <f>IF(ISERROR('raw data'!IP18/'raw data'!IQ18),0,'raw data'!IP18/'raw data'!IQ18)</f>
        <v>0</v>
      </c>
      <c r="DW17" s="225">
        <f>IF(ISERROR('raw data'!IR18/'raw data'!IS18),0,'raw data'!IR18/'raw data'!IS18)</f>
        <v>0</v>
      </c>
      <c r="DX17" s="225">
        <f>IF(ISERROR('raw data'!IT18/'raw data'!IU18),0,'raw data'!IT18/'raw data'!IU18)</f>
        <v>0</v>
      </c>
      <c r="DY17" s="225">
        <f>IF(ISERROR('raw data'!IV18/'raw data'!IW18),0,'raw data'!IV18/'raw data'!IW18)</f>
        <v>0</v>
      </c>
      <c r="DZ17" s="225">
        <f>IF(ISERROR('raw data'!IX18/'raw data'!IY18),0,'raw data'!IX18/'raw data'!IY18)</f>
        <v>0</v>
      </c>
      <c r="EA17" s="225">
        <f>IF(ISERROR('raw data'!IZ18/'raw data'!JA18),0,'raw data'!IZ18/'raw data'!JA18)</f>
        <v>0</v>
      </c>
      <c r="EB17" s="225">
        <f>IF(ISERROR('raw data'!JB18/'raw data'!JC18),0,'raw data'!JB18/'raw data'!JC18)</f>
        <v>0</v>
      </c>
      <c r="EC17" s="225">
        <f>IF(ISERROR('raw data'!JD18/'raw data'!JE18),0,'raw data'!JD18/'raw data'!JE18)</f>
        <v>0</v>
      </c>
      <c r="ED17" s="226"/>
      <c r="EE17" s="227">
        <v>0</v>
      </c>
      <c r="EF17" s="227">
        <v>0</v>
      </c>
      <c r="EG17" s="228">
        <f t="shared" si="0"/>
        <v>0</v>
      </c>
    </row>
    <row r="18" spans="1:138" ht="25.5" customHeight="1" x14ac:dyDescent="0.15">
      <c r="A18" s="222">
        <v>1.18</v>
      </c>
      <c r="B18" s="223" t="str">
        <f>'raw data'!B19</f>
        <v xml:space="preserve">Flex accounts receiving &gt;=30 LAs (each £100+) last month. </v>
      </c>
      <c r="C18" s="236" t="s">
        <v>37</v>
      </c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25">
        <f>IF(ISERROR('raw data'!AZ19/'raw data'!BA19),0,'raw data'!AZ19/'raw data'!BA19)</f>
        <v>0.10975609756097561</v>
      </c>
      <c r="AC18" s="225">
        <f>IF(ISERROR('raw data'!BB19/'raw data'!BC19),0,'raw data'!BB19/'raw data'!BC19)</f>
        <v>0.15</v>
      </c>
      <c r="AD18" s="225">
        <f>IF(ISERROR('raw data'!BD19/'raw data'!BE19),0,'raw data'!BD19/'raw data'!BE19)</f>
        <v>6.1538461538461542E-2</v>
      </c>
      <c r="AE18" s="225">
        <f>IF(ISERROR('raw data'!BF19/'raw data'!BG19),0,'raw data'!BF19/'raw data'!BG19)</f>
        <v>9.0225563909774431E-2</v>
      </c>
      <c r="AF18" s="225">
        <f>IF(ISERROR('raw data'!BH19/'raw data'!BI19),0,'raw data'!BH19/'raw data'!BI19)</f>
        <v>9.6296296296296297E-2</v>
      </c>
      <c r="AG18" s="225">
        <f>IF(ISERROR('raw data'!BJ19/'raw data'!BK19),0,'raw data'!BJ19/'raw data'!BK19)</f>
        <v>6.1452513966480445E-2</v>
      </c>
      <c r="AH18" s="225">
        <f>IF(ISERROR('raw data'!BL19/'raw data'!BM19),0,'raw data'!BL19/'raw data'!BM19)</f>
        <v>9.4827586206896547E-2</v>
      </c>
      <c r="AI18" s="225">
        <f>IF(ISERROR('raw data'!BN19/'raw data'!BO19),0,'raw data'!BN19/'raw data'!BO19)</f>
        <v>0.11</v>
      </c>
      <c r="AJ18" s="225">
        <f>IF(ISERROR('raw data'!BP19/'raw data'!BQ19),0,'raw data'!BP19/'raw data'!BQ19)</f>
        <v>3.1746031746031744E-2</v>
      </c>
      <c r="AK18" s="225">
        <f>IF(ISERROR('raw data'!BR19/'raw data'!BS19),0,'raw data'!BR19/'raw data'!BS19)</f>
        <v>4.878048780487805E-2</v>
      </c>
      <c r="AL18" s="225">
        <f>IF(ISERROR('raw data'!BT19/'raw data'!BU19),0,'raw data'!BT19/'raw data'!BU19)</f>
        <v>5.3763440860215055E-2</v>
      </c>
      <c r="AM18" s="225">
        <f>IF(ISERROR('raw data'!BV19/'raw data'!BW19),0,'raw data'!BV19/'raw data'!BW19)</f>
        <v>0.20161290322580644</v>
      </c>
      <c r="AN18" s="225">
        <f>IF(ISERROR('raw data'!BX19/'raw data'!BY19),0,'raw data'!BX19/'raw data'!BY19)</f>
        <v>0.24561403508771928</v>
      </c>
      <c r="AO18" s="225">
        <f>IF(ISERROR('raw data'!BZ19/'raw data'!CA19),0,'raw data'!BZ19/'raw data'!CA19)</f>
        <v>0.1111111111111111</v>
      </c>
      <c r="AP18" s="225">
        <f>IF(ISERROR('raw data'!CB19/'raw data'!CC19),0,'raw data'!CB19/'raw data'!CC19)</f>
        <v>0.17948717948717949</v>
      </c>
      <c r="AQ18" s="225">
        <f>IF(ISERROR('raw data'!CD19/'raw data'!CE19),0,'raw data'!CD19/'raw data'!CE19)</f>
        <v>0.19672131147540983</v>
      </c>
      <c r="AR18" s="225">
        <f>IF(ISERROR('raw data'!CF19/'raw data'!CG19),0,'raw data'!CF19/'raw data'!CG19)</f>
        <v>0.12173913043478261</v>
      </c>
      <c r="AS18" s="225">
        <f>IF(ISERROR('raw data'!CH19/'raw data'!CI19),0,'raw data'!CH19/'raw data'!CI19)</f>
        <v>0.11403508771929824</v>
      </c>
      <c r="AT18" s="225">
        <f>IF(ISERROR('raw data'!CJ19/'raw data'!CK19),0,'raw data'!CJ19/'raw data'!CK19)</f>
        <v>0.25925925925925924</v>
      </c>
      <c r="AU18" s="225">
        <f>IF(ISERROR('raw data'!CL19/'raw data'!CM19),0,'raw data'!CL19/'raw data'!CM19)</f>
        <v>0.18604651162790697</v>
      </c>
      <c r="AV18" s="225">
        <f>IF(ISERROR('raw data'!CN19/'raw data'!CO19),0,'raw data'!CN19/'raw data'!CO19)</f>
        <v>0.13953488372093023</v>
      </c>
      <c r="AW18" s="225">
        <f>IF(ISERROR('raw data'!CP19/'raw data'!CQ19),0,'raw data'!CP19/'raw data'!CQ19)</f>
        <v>0.16037735849056603</v>
      </c>
      <c r="AX18" s="225">
        <f>IF(ISERROR('raw data'!CR19/'raw data'!CS19),0,'raw data'!CR19/'raw data'!CS19)</f>
        <v>0.24742268041237114</v>
      </c>
      <c r="AY18" s="225">
        <f>IF(ISERROR('raw data'!CT19/'raw data'!CU19),0,'raw data'!CT19/'raw data'!CU19)</f>
        <v>0.25862068965517243</v>
      </c>
      <c r="AZ18" s="225">
        <f>IF(ISERROR('raw data'!CV19/'raw data'!CW19),0,'raw data'!CV19/'raw data'!CW19)</f>
        <v>0.27564102564102566</v>
      </c>
      <c r="BA18" s="225">
        <f>IF(ISERROR('raw data'!CX19/'raw data'!CY19),0,'raw data'!CX19/'raw data'!CY19)</f>
        <v>0.17094017094017094</v>
      </c>
      <c r="BB18" s="225">
        <f>IF(ISERROR('raw data'!CZ19/'raw data'!DA19),0,'raw data'!CZ19/'raw data'!DA19)</f>
        <v>0.25352112676056338</v>
      </c>
      <c r="BC18" s="225">
        <f>IF(ISERROR('raw data'!DB19/'raw data'!DC19),0,'raw data'!DB19/'raw data'!DC19)</f>
        <v>0.27419354838709675</v>
      </c>
      <c r="BD18" s="225">
        <v>0.22929936305732485</v>
      </c>
      <c r="BE18" s="225">
        <f>IF(ISERROR('raw data'!DF19/'raw data'!DG19),0,'raw data'!DF19/'raw data'!DG19)</f>
        <v>0.2413793103448276</v>
      </c>
      <c r="BF18" s="225">
        <f>IF(ISERROR('raw data'!DH19/'raw data'!DI19),0,'raw data'!DH19/'raw data'!DI19)</f>
        <v>0.25</v>
      </c>
      <c r="BG18" s="225">
        <f>IF(ISERROR('raw data'!DJ19/'raw data'!DK19),0,'raw data'!DJ19/'raw data'!DK19)</f>
        <v>0.22941176470588234</v>
      </c>
      <c r="BH18" s="225">
        <f>IF(ISERROR('raw data'!DL19/'raw data'!DM19),0,'raw data'!DL19/'raw data'!DM19)</f>
        <v>0.23333333333333334</v>
      </c>
      <c r="BI18" s="225">
        <f>IF(ISERROR('raw data'!DN19/'raw data'!DO19),0,'raw data'!DN19/'raw data'!DO19)</f>
        <v>0.20930232558139536</v>
      </c>
      <c r="BJ18" s="225">
        <f>IF(ISERROR('raw data'!DP19/'raw data'!DQ19),0,'raw data'!DP19/'raw data'!DQ19)</f>
        <v>0.25170068027210885</v>
      </c>
      <c r="BK18" s="225">
        <f>IF(ISERROR('raw data'!DR19/'raw data'!DS19),0,'raw data'!DR19/'raw data'!DS19)</f>
        <v>0.24509803921568626</v>
      </c>
      <c r="BL18" s="225">
        <f>IF(ISERROR('raw data'!DT19/'raw data'!DU19),0,'raw data'!DT19/'raw data'!DU19)</f>
        <v>0.26732673267326734</v>
      </c>
      <c r="BM18" s="225">
        <f>IF(ISERROR('raw data'!DV19/'raw data'!DW19),0,'raw data'!DV19/'raw data'!DW19)</f>
        <v>0.13235294117647059</v>
      </c>
      <c r="BN18" s="225">
        <f>IF(ISERROR('raw data'!DX19/'raw data'!DY19),0,'raw data'!DX19/'raw data'!DY19)</f>
        <v>0.21768707482993196</v>
      </c>
      <c r="BO18" s="225">
        <f>IF(ISERROR('raw data'!DZ19/'raw data'!EA19),0,'raw data'!DZ19/'raw data'!EA19)</f>
        <v>0.1497326203208556</v>
      </c>
      <c r="BP18" s="225">
        <f>IF(ISERROR('raw data'!EB19/'raw data'!EC19),0,'raw data'!EB19/'raw data'!EC19)</f>
        <v>0.24623115577889448</v>
      </c>
      <c r="BQ18" s="225">
        <f>IF(ISERROR('raw data'!ED19/'raw data'!EE19),0,'raw data'!ED19/'raw data'!EE19)</f>
        <v>0.2</v>
      </c>
      <c r="BR18" s="225">
        <f>IF(ISERROR('raw data'!EF19/'raw data'!EG19),0,'raw data'!EF19/'raw data'!EG19)</f>
        <v>0.14754098360655737</v>
      </c>
      <c r="BS18" s="225">
        <f>IF(ISERROR('raw data'!EH19/'raw data'!EI19),0,'raw data'!EH19/'raw data'!EI19)</f>
        <v>0.18354430379746836</v>
      </c>
      <c r="BT18" s="225">
        <f>IF(ISERROR('raw data'!EJ19/'raw data'!EK19),0,'raw data'!EJ19/'raw data'!EK19)</f>
        <v>0.15909090909090909</v>
      </c>
      <c r="BU18" s="225">
        <f>IF(ISERROR('raw data'!EL19/'raw data'!EM19),0,'raw data'!EL19/'raw data'!EM19)</f>
        <v>0.16190476190476191</v>
      </c>
      <c r="BV18" s="225">
        <f>IF(ISERROR('raw data'!EN19/'raw data'!EO19),0,'raw data'!EN19/'raw data'!EO19)</f>
        <v>0.23741007194244604</v>
      </c>
      <c r="BW18" s="225">
        <f>IF(ISERROR('raw data'!EP19/'raw data'!EQ19),0,'raw data'!EP19/'raw data'!EQ19)</f>
        <v>0.20297029702970298</v>
      </c>
      <c r="BX18" s="225">
        <f>IF(ISERROR('raw data'!ER19/'raw data'!ES19),0,'raw data'!ER19/'raw data'!ES19)</f>
        <v>0.20444444444444446</v>
      </c>
      <c r="BY18" s="225">
        <f>IF(ISERROR('raw data'!ET19/'raw data'!EU19),0,'raw data'!ET19/'raw data'!EU19)</f>
        <v>0.14077669902912621</v>
      </c>
      <c r="BZ18" s="225">
        <f>IF(ISERROR('raw data'!EV19/'raw data'!EW19),0,'raw data'!EV19/'raw data'!EW19)</f>
        <v>0.22222222222222221</v>
      </c>
      <c r="CA18" s="225">
        <f>IF(ISERROR('raw data'!EX19/'raw data'!EY19),0,'raw data'!EX19/'raw data'!EY19)</f>
        <v>0.16845878136200718</v>
      </c>
      <c r="CB18" s="225">
        <f>IF(ISERROR('raw data'!EZ19/'raw data'!FA19),0,'raw data'!EZ19/'raw data'!FA19)</f>
        <v>0.19125683060109289</v>
      </c>
      <c r="CC18" s="225">
        <f>IF(ISERROR('raw data'!FB19/'raw data'!FC19),0,'raw data'!FB19/'raw data'!FC19)</f>
        <v>0.17870722433460076</v>
      </c>
      <c r="CD18" s="225">
        <f>IF(ISERROR('raw data'!FD19/'raw data'!FE19),0,'raw data'!FD19/'raw data'!FE19)</f>
        <v>0.17012448132780084</v>
      </c>
      <c r="CE18" s="225">
        <f>IF(ISERROR('raw data'!FF19/'raw data'!FG19),0,'raw data'!FF19/'raw data'!FG19)</f>
        <v>0.19583333333333333</v>
      </c>
      <c r="CF18" s="225">
        <f>IF(ISERROR('raw data'!FH19/'raw data'!FI19),0,'raw data'!FH19/'raw data'!FI19)</f>
        <v>0.17375886524822695</v>
      </c>
      <c r="CG18" s="225">
        <f>IF(ISERROR('raw data'!FJ19/'raw data'!FM19),0,'raw data'!FJ19/'raw data'!FM19)</f>
        <v>0.16101694915254236</v>
      </c>
      <c r="CH18" s="225">
        <f>IF(ISERROR('raw data'!FN19/'raw data'!FO19),0,'raw data'!FN19/'raw data'!FO19)</f>
        <v>0.19685039370078741</v>
      </c>
      <c r="CI18" s="225">
        <f>IF(ISERROR('raw data'!FP19/'raw data'!FQ19),0,'raw data'!FP19/'raw data'!FQ19)</f>
        <v>0.18211920529801323</v>
      </c>
      <c r="CJ18" s="225">
        <f>IF(ISERROR('raw data'!FR19/'raw data'!FS19),0,'raw data'!FR19/'raw data'!FS19)</f>
        <v>0.16015625</v>
      </c>
      <c r="CK18" s="225">
        <f>IF(ISERROR('raw data'!FT19/'raw data'!FU19),0,'raw data'!FT19/'raw data'!FU19)</f>
        <v>0.15789473684210525</v>
      </c>
      <c r="CL18" s="225">
        <f>IF(ISERROR('raw data'!FV19/'raw data'!FW19),0,'raw data'!FV19/'raw data'!FW19)</f>
        <v>0.13775510204081631</v>
      </c>
      <c r="CM18" s="225">
        <f>IF(ISERROR('raw data'!FX19/'raw data'!FY19),0,'raw data'!FX19/'raw data'!FY19)</f>
        <v>0.18437500000000001</v>
      </c>
      <c r="CN18" s="225">
        <f>IF(ISERROR('raw data'!FZ19/'raw data'!GA19),0,'raw data'!FZ19/'raw data'!GA19)</f>
        <v>0.20905923344947736</v>
      </c>
      <c r="CO18" s="225">
        <f>IF(ISERROR('raw data'!GB19/'raw data'!GC19),0,'raw data'!GB19/'raw data'!GC19)</f>
        <v>0.18108108108108109</v>
      </c>
      <c r="CP18" s="225">
        <f>IF(ISERROR('raw data'!GD19/'raw data'!GE19),0,'raw data'!GD19/'raw data'!GE19)</f>
        <v>0.18345323741007194</v>
      </c>
      <c r="CQ18" s="225">
        <f>IF(ISERROR('raw data'!GF19/'raw data'!GG19),0,'raw data'!GF19/'raw data'!GG19)</f>
        <v>0.25177304964539005</v>
      </c>
      <c r="CR18" s="225">
        <f>IF(ISERROR('raw data'!GH19/'raw data'!GI19),0,'raw data'!GH19/'raw data'!GI19)</f>
        <v>0.22641509433962265</v>
      </c>
      <c r="CS18" s="225">
        <f>IF(ISERROR('raw data'!GJ19/'raw data'!GK19),0,'raw data'!GJ19/'raw data'!GK19)</f>
        <v>0.22477064220183487</v>
      </c>
      <c r="CT18" s="225">
        <f>IF(ISERROR('raw data'!GL19/'raw data'!GM19),0,'raw data'!GL19/'raw data'!GM19)</f>
        <v>0.23582089552238805</v>
      </c>
      <c r="CU18" s="225">
        <f>IF(ISERROR('raw data'!GN19/'raw data'!GO19),0,'raw data'!GN19/'raw data'!GO19)</f>
        <v>0.2574626865671642</v>
      </c>
      <c r="CV18" s="225">
        <f>IF(ISERROR('raw data'!GP19/'raw data'!GQ19),0,'raw data'!GP19/'raw data'!GQ19)</f>
        <v>0.20434782608695654</v>
      </c>
      <c r="CW18" s="225">
        <f>IF(ISERROR('raw data'!GR19/'raw data'!GS19),0,'raw data'!GR19/'raw data'!GS19)</f>
        <v>0.21328671328671328</v>
      </c>
      <c r="CX18" s="225">
        <f>IF(ISERROR('raw data'!GT19/'raw data'!GU19),0,'raw data'!GT19/'raw data'!GU19)</f>
        <v>0.23618090452261306</v>
      </c>
      <c r="CY18" s="225">
        <f>IF(ISERROR('raw data'!GV19/'raw data'!GW19),0,'raw data'!GV19/'raw data'!GW19)</f>
        <v>0.29245283018867924</v>
      </c>
      <c r="CZ18" s="225">
        <f>IF(ISERROR('raw data'!GX19/'raw data'!GY19),0,'raw data'!GX19/'raw data'!GY19)</f>
        <v>0.24705882352941178</v>
      </c>
      <c r="DA18" s="225">
        <f>IF(ISERROR('raw data'!GZ19/'raw data'!HA19),0,'raw data'!GZ19/'raw data'!HA19)</f>
        <v>0.26666666666666666</v>
      </c>
      <c r="DB18" s="225">
        <f>IF(ISERROR('raw data'!HB19/'raw data'!HC19),0,'raw data'!HB19/'raw data'!HC19)</f>
        <v>0.30414746543778803</v>
      </c>
      <c r="DC18" s="225">
        <f>IF(ISERROR('raw data'!HD19/'raw data'!HE19),0,'raw data'!HD19/'raw data'!HE19)</f>
        <v>0.29938271604938271</v>
      </c>
      <c r="DD18" s="225">
        <f>IF(ISERROR('raw data'!HF19/'raw data'!HG19),0,'raw data'!HF19/'raw data'!HG19)</f>
        <v>0.34309623430962344</v>
      </c>
      <c r="DE18" s="225">
        <f>IF(ISERROR('raw data'!HH19/'raw data'!HI19),0,'raw data'!HH19/'raw data'!HI19)</f>
        <v>0.20512820512820512</v>
      </c>
      <c r="DF18" s="225">
        <f>IF(ISERROR('raw data'!HJ19/'raw data'!HK19),0,'raw data'!HJ19/'raw data'!HK19)</f>
        <v>0.27777777777777779</v>
      </c>
      <c r="DG18" s="225">
        <f>IF(ISERROR('raw data'!HL19/'raw data'!HM19),0,'raw data'!HL19/'raw data'!HM19)</f>
        <v>0.30331753554502372</v>
      </c>
      <c r="DH18" s="225">
        <f>IF(ISERROR('raw data'!HN19/'raw data'!HO19),0,'raw data'!HN19/'raw data'!HO19)</f>
        <v>0.36936936936936937</v>
      </c>
      <c r="DI18" s="225">
        <f>IF(ISERROR('raw data'!HP19/'raw data'!HQ19),0,'raw data'!HP19/'raw data'!HQ19)</f>
        <v>0.21052631578947367</v>
      </c>
      <c r="DJ18" s="225">
        <f>IF(ISERROR('raw data'!HR19/'raw data'!HS19),0,'raw data'!HR19/'raw data'!HS19)</f>
        <v>0.2722222222222222</v>
      </c>
      <c r="DK18" s="225">
        <f>IF(ISERROR('raw data'!HT19/'raw data'!HU19),0,'raw data'!HT19/'raw data'!HU19)</f>
        <v>0.29901960784313725</v>
      </c>
      <c r="DL18" s="225">
        <f>IF(ISERROR('raw data'!HV19/'raw data'!HW19),0,'raw data'!HV19/'raw data'!HW19)</f>
        <v>0.28486646884272998</v>
      </c>
      <c r="DM18" s="225">
        <f>IF(ISERROR('raw data'!HX19/'raw data'!HY19),0,'raw data'!HX19/'raw data'!HY19)</f>
        <v>0.31914893617021278</v>
      </c>
      <c r="DN18" s="225">
        <f>IF(ISERROR('raw data'!HZ19/'raw data'!IA19),0,'raw data'!HZ19/'raw data'!IA19)</f>
        <v>0.31476997578692495</v>
      </c>
      <c r="DO18" s="225">
        <f>IF(ISERROR('raw data'!IB19/'raw data'!IC19),0,'raw data'!IB19/'raw data'!IC19)</f>
        <v>0.36983471074380164</v>
      </c>
      <c r="DP18" s="225">
        <f>IF(ISERROR('raw data'!ID19/'raw data'!IE19),0,'raw data'!ID19/'raw data'!IE19)</f>
        <v>0.3949579831932773</v>
      </c>
      <c r="DQ18" s="225">
        <f>IF(ISERROR('raw data'!IF19/'raw data'!IG19),0,'raw data'!IF19/'raw data'!IG19)</f>
        <v>0.30886075949367087</v>
      </c>
      <c r="DR18" s="225">
        <f>IF(ISERROR('raw data'!IH19/'raw data'!II19),0,'raw data'!IH19/'raw data'!II19)</f>
        <v>0.38938053097345132</v>
      </c>
      <c r="DS18" s="225">
        <f>IF(ISERROR('raw data'!IJ19/'raw data'!IK19),0,'raw data'!IJ19/'raw data'!IK19)</f>
        <v>0.49006622516556292</v>
      </c>
      <c r="DT18" s="225">
        <f>IF(ISERROR('raw data'!IL19/'raw data'!IM19),0,'raw data'!IL19/'raw data'!IM19)</f>
        <v>0.45174537987679669</v>
      </c>
      <c r="DU18" s="225">
        <f>IF(ISERROR('raw data'!IN19/'raw data'!IO19),0,'raw data'!IN19/'raw data'!IO19)</f>
        <v>0.46731234866828086</v>
      </c>
      <c r="DV18" s="225">
        <f>IF(ISERROR('raw data'!IP19/'raw data'!IQ19),0,'raw data'!IP19/'raw data'!IQ19)</f>
        <v>0.48011363636363635</v>
      </c>
      <c r="DW18" s="225">
        <f>IF(ISERROR('raw data'!IR19/'raw data'!IS19),0,'raw data'!IR19/'raw data'!IS19)</f>
        <v>0.47254575707154745</v>
      </c>
      <c r="DX18" s="225">
        <f>IF(ISERROR('raw data'!IT19/'raw data'!IU19),0,'raw data'!IT19/'raw data'!IU19)</f>
        <v>0.46926229508196721</v>
      </c>
      <c r="DY18" s="225">
        <f>IF(ISERROR('raw data'!IV19/'raw data'!IW19),0,'raw data'!IV19/'raw data'!IW19)</f>
        <v>0.44366197183098594</v>
      </c>
      <c r="DZ18" s="225">
        <f>IF(ISERROR('raw data'!IX19/'raw data'!IY19),0,'raw data'!IX19/'raw data'!IY19)</f>
        <v>0.41144414168937332</v>
      </c>
      <c r="EA18" s="225">
        <f>IF(ISERROR('raw data'!IZ19/'raw data'!JA19),0,'raw data'!IZ19/'raw data'!JA19)</f>
        <v>0.41841004184100417</v>
      </c>
      <c r="EB18" s="225">
        <f>IF(ISERROR('raw data'!JB19/'raw data'!JC19),0,'raw data'!JB19/'raw data'!JC19)</f>
        <v>0.39461883408071746</v>
      </c>
      <c r="EC18" s="225">
        <f>IF(ISERROR('raw data'!JD19/'raw data'!JE19),0,'raw data'!JD19/'raw data'!JE19)</f>
        <v>0.43864229765013057</v>
      </c>
      <c r="ED18" s="226"/>
      <c r="EE18" s="227">
        <v>2377</v>
      </c>
      <c r="EF18" s="227">
        <v>5346</v>
      </c>
      <c r="EG18" s="228">
        <f t="shared" si="0"/>
        <v>0.44463150018705572</v>
      </c>
    </row>
    <row r="19" spans="1:138" ht="25.5" customHeight="1" x14ac:dyDescent="0.15">
      <c r="A19" s="222">
        <v>1.19</v>
      </c>
      <c r="B19" s="223" t="str">
        <f>'raw data'!B20</f>
        <v xml:space="preserve">Transfers via Chitoro (Zimbabwean money-transfer buisness). </v>
      </c>
      <c r="C19" s="236" t="s">
        <v>39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25">
        <f>IF(ISERROR('raw data'!AR20/'raw data'!AS20),0,'raw data'!AR20/'raw data'!AS20)</f>
        <v>8.6956521739130432E-2</v>
      </c>
      <c r="Y19" s="225">
        <f>IF(ISERROR('raw data'!AT20/'raw data'!AU20),0,'raw data'!AT20/'raw data'!AU20)</f>
        <v>0.16666666666666666</v>
      </c>
      <c r="Z19" s="225">
        <f>IF(ISERROR('raw data'!AV20/'raw data'!AW20),0,'raw data'!AV20/'raw data'!AW20)</f>
        <v>0</v>
      </c>
      <c r="AA19" s="225">
        <f>IF(ISERROR('raw data'!AX20/'raw data'!AY20),0,'raw data'!AX20/'raw data'!AY20)</f>
        <v>0.04</v>
      </c>
      <c r="AB19" s="225">
        <f>IF(ISERROR('raw data'!AZ20/'raw data'!BA20),0,'raw data'!AZ20/'raw data'!BA20)</f>
        <v>0</v>
      </c>
      <c r="AC19" s="225">
        <f>IF(ISERROR('raw data'!BB20/'raw data'!BC20),0,'raw data'!BB20/'raw data'!BC20)</f>
        <v>0</v>
      </c>
      <c r="AD19" s="225">
        <f>IF(ISERROR('raw data'!BD20/'raw data'!BE20),0,'raw data'!BD20/'raw data'!BE20)</f>
        <v>0.5</v>
      </c>
      <c r="AE19" s="225">
        <f>IF(ISERROR('raw data'!BF20/'raw data'!BG20),0,'raw data'!BF20/'raw data'!BG20)</f>
        <v>0</v>
      </c>
      <c r="AF19" s="225">
        <f>IF(ISERROR('raw data'!BH20/'raw data'!BI20),0,'raw data'!BH20/'raw data'!BI20)</f>
        <v>0.2</v>
      </c>
      <c r="AG19" s="225">
        <f>IF(ISERROR('raw data'!BJ20/'raw data'!BK20),0,'raw data'!BJ20/'raw data'!BK20)</f>
        <v>0.1</v>
      </c>
      <c r="AH19" s="225">
        <f>IF(ISERROR('raw data'!BL20/'raw data'!BM20),0,'raw data'!BL20/'raw data'!BM20)</f>
        <v>0</v>
      </c>
      <c r="AI19" s="225">
        <f>IF(ISERROR('raw data'!BN20/'raw data'!BO20),0,'raw data'!BN20/'raw data'!BO20)</f>
        <v>0</v>
      </c>
      <c r="AJ19" s="225">
        <f>IF(ISERROR('raw data'!BP20/'raw data'!BQ20),0,'raw data'!BP20/'raw data'!BQ20)</f>
        <v>0</v>
      </c>
      <c r="AK19" s="225">
        <f>IF(ISERROR('raw data'!BR20/'raw data'!BS20),0,'raw data'!BR20/'raw data'!BS20)</f>
        <v>0</v>
      </c>
      <c r="AL19" s="225">
        <f>IF(ISERROR('raw data'!BT20/'raw data'!BU20),0,'raw data'!BT20/'raw data'!BU20)</f>
        <v>0</v>
      </c>
      <c r="AM19" s="225">
        <f>IF(ISERROR('raw data'!BV20/'raw data'!BW20),0,'raw data'!BV20/'raw data'!BW20)</f>
        <v>0</v>
      </c>
      <c r="AN19" s="225">
        <f>IF(ISERROR('raw data'!BX20/'raw data'!BY20),0,'raw data'!BX20/'raw data'!BY20)</f>
        <v>0</v>
      </c>
      <c r="AO19" s="225">
        <f>IF(ISERROR('raw data'!BZ20/'raw data'!CA20),0,'raw data'!BZ20/'raw data'!CA20)</f>
        <v>0</v>
      </c>
      <c r="AP19" s="225">
        <f>IF(ISERROR('raw data'!CB20/'raw data'!CC20),0,'raw data'!CB20/'raw data'!CC20)</f>
        <v>0</v>
      </c>
      <c r="AQ19" s="225">
        <f>IF(ISERROR('raw data'!CD20/'raw data'!CE20),0,'raw data'!CD20/'raw data'!CE20)</f>
        <v>0</v>
      </c>
      <c r="AR19" s="225">
        <f>IF(ISERROR('raw data'!CF20/'raw data'!CG20),0,'raw data'!CF20/'raw data'!CG20)</f>
        <v>0</v>
      </c>
      <c r="AS19" s="225">
        <f>IF(ISERROR('raw data'!CH20/'raw data'!CI20),0,'raw data'!CH20/'raw data'!CI20)</f>
        <v>0</v>
      </c>
      <c r="AT19" s="225">
        <f>IF(ISERROR('raw data'!CJ20/'raw data'!CK20),0,'raw data'!CJ20/'raw data'!CK20)</f>
        <v>0</v>
      </c>
      <c r="AU19" s="225">
        <f>IF(ISERROR('raw data'!CL20/'raw data'!CM20),0,'raw data'!CL20/'raw data'!CM20)</f>
        <v>0</v>
      </c>
      <c r="AV19" s="225">
        <f>IF(ISERROR('raw data'!CN20/'raw data'!CO20),0,'raw data'!CN20/'raw data'!CO20)</f>
        <v>0</v>
      </c>
      <c r="AW19" s="225">
        <f>IF(ISERROR('raw data'!CP20/'raw data'!CQ20),0,'raw data'!CP20/'raw data'!CQ20)</f>
        <v>0</v>
      </c>
      <c r="AX19" s="225">
        <f>IF(ISERROR('raw data'!CR20/'raw data'!CS20),0,'raw data'!CR20/'raw data'!CS20)</f>
        <v>0</v>
      </c>
      <c r="AY19" s="225">
        <f>IF(ISERROR('raw data'!CT20/'raw data'!CU20),0,'raw data'!CT20/'raw data'!CU20)</f>
        <v>0</v>
      </c>
      <c r="AZ19" s="225">
        <f>IF(ISERROR('raw data'!CV20/'raw data'!CW20),0,'raw data'!CV20/'raw data'!CW20)</f>
        <v>0</v>
      </c>
      <c r="BA19" s="225">
        <f>IF(ISERROR('raw data'!CX20/'raw data'!CY20),0,'raw data'!CX20/'raw data'!CY20)</f>
        <v>0</v>
      </c>
      <c r="BB19" s="225">
        <f>IF(ISERROR('raw data'!CZ20/'raw data'!DA20),0,'raw data'!CZ20/'raw data'!DA20)</f>
        <v>0</v>
      </c>
      <c r="BC19" s="225">
        <f>IF(ISERROR('raw data'!DB20/'raw data'!DC20),0,'raw data'!DB20/'raw data'!DC20)</f>
        <v>0</v>
      </c>
      <c r="BD19" s="225">
        <v>0</v>
      </c>
      <c r="BE19" s="225">
        <f>IF(ISERROR('raw data'!DF20/'raw data'!DG20),0,'raw data'!DF20/'raw data'!DG20)</f>
        <v>0</v>
      </c>
      <c r="BF19" s="225">
        <f>IF(ISERROR('raw data'!DH20/'raw data'!DI20),0,'raw data'!DH20/'raw data'!DI20)</f>
        <v>0</v>
      </c>
      <c r="BG19" s="225">
        <f>IF(ISERROR('raw data'!DJ20/'raw data'!DK20),0,'raw data'!DJ20/'raw data'!DK20)</f>
        <v>0</v>
      </c>
      <c r="BH19" s="225">
        <f>IF(ISERROR('raw data'!DL20/'raw data'!DM20),0,'raw data'!DL20/'raw data'!DM20)</f>
        <v>0</v>
      </c>
      <c r="BI19" s="225">
        <f>IF(ISERROR('raw data'!DN20/'raw data'!DO20),0,'raw data'!DN20/'raw data'!DO20)</f>
        <v>0</v>
      </c>
      <c r="BJ19" s="225">
        <f>IF(ISERROR('raw data'!DP20/'raw data'!DQ20),0,'raw data'!DP20/'raw data'!DQ20)</f>
        <v>0</v>
      </c>
      <c r="BK19" s="225">
        <f>IF(ISERROR('raw data'!DR20/'raw data'!DS20),0,'raw data'!DR20/'raw data'!DS20)</f>
        <v>0</v>
      </c>
      <c r="BL19" s="225">
        <f>IF(ISERROR('raw data'!DT20/'raw data'!DU20),0,'raw data'!DT20/'raw data'!DU20)</f>
        <v>0</v>
      </c>
      <c r="BM19" s="225">
        <f>IF(ISERROR('raw data'!DV20/'raw data'!DW20),0,'raw data'!DV20/'raw data'!DW20)</f>
        <v>0</v>
      </c>
      <c r="BN19" s="225">
        <f>IF(ISERROR('raw data'!DX20/'raw data'!DY20),0,'raw data'!DX20/'raw data'!DY20)</f>
        <v>0</v>
      </c>
      <c r="BO19" s="225">
        <f>IF(ISERROR('raw data'!DZ20/'raw data'!EA20),0,'raw data'!DZ20/'raw data'!EA20)</f>
        <v>0</v>
      </c>
      <c r="BP19" s="225">
        <f>IF(ISERROR('raw data'!EB20/'raw data'!EC20),0,'raw data'!EB20/'raw data'!EC20)</f>
        <v>0</v>
      </c>
      <c r="BQ19" s="225">
        <f>IF(ISERROR('raw data'!ED20/'raw data'!EE20),0,'raw data'!ED20/'raw data'!EE20)</f>
        <v>0</v>
      </c>
      <c r="BR19" s="225">
        <f>IF(ISERROR('raw data'!EF20/'raw data'!EG20),0,'raw data'!EF20/'raw data'!EG20)</f>
        <v>0</v>
      </c>
      <c r="BS19" s="225">
        <f>IF(ISERROR('raw data'!EH20/'raw data'!EI20),0,'raw data'!EH20/'raw data'!EI20)</f>
        <v>0</v>
      </c>
      <c r="BT19" s="225">
        <f>IF(ISERROR('raw data'!EJ20/'raw data'!EK20),0,'raw data'!EJ20/'raw data'!EK20)</f>
        <v>0</v>
      </c>
      <c r="BU19" s="225">
        <f>IF(ISERROR('raw data'!EL20/'raw data'!EM20),0,'raw data'!EL20/'raw data'!EM20)</f>
        <v>0</v>
      </c>
      <c r="BV19" s="225">
        <f>IF(ISERROR('raw data'!EN20/'raw data'!EO20),0,'raw data'!EN20/'raw data'!EO20)</f>
        <v>0</v>
      </c>
      <c r="BW19" s="225">
        <f>IF(ISERROR('raw data'!EP20/'raw data'!EQ20),0,'raw data'!EP20/'raw data'!EQ20)</f>
        <v>0</v>
      </c>
      <c r="BX19" s="225">
        <f>IF(ISERROR('raw data'!ER20/'raw data'!ES20),0,'raw data'!ER20/'raw data'!ES20)</f>
        <v>0</v>
      </c>
      <c r="BY19" s="232" t="s">
        <v>243</v>
      </c>
      <c r="BZ19" s="232" t="s">
        <v>243</v>
      </c>
      <c r="CA19" s="232" t="s">
        <v>243</v>
      </c>
      <c r="CB19" s="232" t="s">
        <v>243</v>
      </c>
      <c r="CC19" s="232" t="s">
        <v>243</v>
      </c>
      <c r="CD19" s="232" t="s">
        <v>243</v>
      </c>
      <c r="CE19" s="232" t="s">
        <v>243</v>
      </c>
      <c r="CF19" s="232" t="s">
        <v>243</v>
      </c>
      <c r="CG19" s="232" t="s">
        <v>243</v>
      </c>
      <c r="CH19" s="232" t="s">
        <v>243</v>
      </c>
      <c r="CI19" s="232" t="s">
        <v>243</v>
      </c>
      <c r="CJ19" s="232" t="s">
        <v>243</v>
      </c>
      <c r="CK19" s="232" t="s">
        <v>243</v>
      </c>
      <c r="CL19" s="232" t="s">
        <v>243</v>
      </c>
      <c r="CM19" s="232" t="s">
        <v>243</v>
      </c>
      <c r="CN19" s="232" t="s">
        <v>243</v>
      </c>
      <c r="CO19" s="232" t="s">
        <v>243</v>
      </c>
      <c r="CP19" s="232" t="s">
        <v>243</v>
      </c>
      <c r="CQ19" s="232" t="s">
        <v>243</v>
      </c>
      <c r="CR19" s="232" t="s">
        <v>243</v>
      </c>
      <c r="CS19" s="232" t="s">
        <v>243</v>
      </c>
      <c r="CT19" s="232" t="s">
        <v>243</v>
      </c>
      <c r="CU19" s="232" t="s">
        <v>243</v>
      </c>
      <c r="CV19" s="232" t="s">
        <v>243</v>
      </c>
      <c r="CW19" s="232" t="s">
        <v>243</v>
      </c>
      <c r="CX19" s="232" t="s">
        <v>243</v>
      </c>
      <c r="CY19" s="232" t="s">
        <v>243</v>
      </c>
      <c r="CZ19" s="232" t="s">
        <v>243</v>
      </c>
      <c r="DA19" s="232" t="s">
        <v>243</v>
      </c>
      <c r="DB19" s="232" t="s">
        <v>243</v>
      </c>
      <c r="DC19" s="232" t="s">
        <v>243</v>
      </c>
      <c r="DD19" s="232" t="s">
        <v>243</v>
      </c>
      <c r="DE19" s="232" t="s">
        <v>243</v>
      </c>
      <c r="DF19" s="232" t="s">
        <v>243</v>
      </c>
      <c r="DG19" s="232" t="s">
        <v>243</v>
      </c>
      <c r="DH19" s="232" t="s">
        <v>243</v>
      </c>
      <c r="DI19" s="232" t="s">
        <v>243</v>
      </c>
      <c r="DJ19" s="232" t="s">
        <v>243</v>
      </c>
      <c r="DK19" s="232" t="s">
        <v>243</v>
      </c>
      <c r="DL19" s="232" t="s">
        <v>243</v>
      </c>
      <c r="DM19" s="232" t="s">
        <v>243</v>
      </c>
      <c r="DN19" s="232" t="s">
        <v>243</v>
      </c>
      <c r="DO19" s="232" t="s">
        <v>243</v>
      </c>
      <c r="DP19" s="232" t="s">
        <v>243</v>
      </c>
      <c r="DQ19" s="232" t="s">
        <v>243</v>
      </c>
      <c r="DR19" s="232" t="s">
        <v>243</v>
      </c>
      <c r="DS19" s="232" t="s">
        <v>243</v>
      </c>
      <c r="DT19" s="232" t="s">
        <v>243</v>
      </c>
      <c r="DU19" s="232" t="s">
        <v>243</v>
      </c>
      <c r="DV19" s="232" t="s">
        <v>243</v>
      </c>
      <c r="DW19" s="232" t="s">
        <v>243</v>
      </c>
      <c r="DX19" s="232" t="s">
        <v>243</v>
      </c>
      <c r="DY19" s="232" t="s">
        <v>243</v>
      </c>
      <c r="DZ19" s="232" t="s">
        <v>243</v>
      </c>
      <c r="EA19" s="232" t="s">
        <v>243</v>
      </c>
      <c r="EB19" s="232" t="s">
        <v>243</v>
      </c>
      <c r="EC19" s="232" t="s">
        <v>243</v>
      </c>
      <c r="ED19" s="226"/>
      <c r="EE19" s="227">
        <v>0</v>
      </c>
      <c r="EF19" s="227">
        <v>0</v>
      </c>
      <c r="EG19" s="228">
        <f t="shared" si="0"/>
        <v>0</v>
      </c>
    </row>
    <row r="20" spans="1:138" ht="14" hidden="1" x14ac:dyDescent="0.15">
      <c r="A20" s="237" t="s">
        <v>40</v>
      </c>
      <c r="B20" s="223">
        <f>'raw data'!B21</f>
        <v>0</v>
      </c>
      <c r="C20" s="236" t="s">
        <v>41</v>
      </c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25">
        <f>IF(ISERROR('raw data'!BB21/'raw data'!BC21),0,'raw data'!BB21/'raw data'!BC21)</f>
        <v>0.2857142857142857</v>
      </c>
      <c r="AD20" s="225">
        <f>IF(ISERROR('raw data'!BD21/'raw data'!BE21),0,'raw data'!BD21/'raw data'!BE21)</f>
        <v>0.18181818181818182</v>
      </c>
      <c r="AE20" s="225">
        <f>IF(ISERROR('raw data'!BF21/'raw data'!BG21),0,'raw data'!BF21/'raw data'!BG21)</f>
        <v>0.15384615384615385</v>
      </c>
      <c r="AF20" s="225">
        <f>IF(ISERROR('raw data'!BH21/'raw data'!BI21),0,'raw data'!BH21/'raw data'!BI21)</f>
        <v>0.14285714285714285</v>
      </c>
      <c r="AG20" s="225">
        <f>IF(ISERROR('raw data'!BJ21/'raw data'!BK21),0,'raw data'!BJ21/'raw data'!BK21)</f>
        <v>0</v>
      </c>
      <c r="AH20" s="225">
        <f>IF(ISERROR('raw data'!BL21/'raw data'!BM21),0,'raw data'!BL21/'raw data'!BM21)</f>
        <v>0.14285714285714285</v>
      </c>
      <c r="AI20" s="225">
        <f>IF(ISERROR('raw data'!BN21/'raw data'!BO21),0,'raw data'!BN21/'raw data'!BO21)</f>
        <v>0</v>
      </c>
      <c r="AJ20" s="225">
        <f>IF(ISERROR('raw data'!BP21/'raw data'!BQ21),0,'raw data'!BP21/'raw data'!BQ21)</f>
        <v>0</v>
      </c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25">
        <f>IF(ISERROR('raw data'!CX21/'raw data'!CY21),0,'raw data'!CX21/'raw data'!CY21)</f>
        <v>0</v>
      </c>
      <c r="BB20" s="225">
        <f>IF(ISERROR('raw data'!CZ21/'raw data'!DA21),0,'raw data'!CZ21/'raw data'!DA21)</f>
        <v>0</v>
      </c>
      <c r="BC20" s="225">
        <f>IF(ISERROR('raw data'!DB21/'raw data'!DC21),0,'raw data'!DB21/'raw data'!DC21)</f>
        <v>0</v>
      </c>
      <c r="BD20" s="225">
        <v>0</v>
      </c>
      <c r="BE20" s="225">
        <f>IF(ISERROR('raw data'!DF21/'raw data'!DG21),0,'raw data'!DF21/'raw data'!DG21)</f>
        <v>0</v>
      </c>
      <c r="BF20" s="225">
        <f>IF(ISERROR('raw data'!DH21/'raw data'!DI21),0,'raw data'!DH21/'raw data'!DI21)</f>
        <v>0</v>
      </c>
      <c r="BG20" s="225">
        <f>IF(ISERROR('raw data'!DJ21/'raw data'!DK21),0,'raw data'!DJ21/'raw data'!DK21)</f>
        <v>0</v>
      </c>
      <c r="BH20" s="225">
        <f>IF(ISERROR('raw data'!DL21/'raw data'!DM21),0,'raw data'!DL21/'raw data'!DM21)</f>
        <v>0</v>
      </c>
      <c r="BI20" s="225">
        <f>IF(ISERROR('raw data'!DN21/'raw data'!DO21),0,'raw data'!DN21/'raw data'!DO21)</f>
        <v>0</v>
      </c>
      <c r="BJ20" s="225">
        <f>IF(ISERROR('raw data'!DP21/'raw data'!DQ21),0,'raw data'!DP21/'raw data'!DQ21)</f>
        <v>0</v>
      </c>
      <c r="BK20" s="225">
        <f>IF(ISERROR('raw data'!DR21/'raw data'!DS21),0,'raw data'!DR21/'raw data'!DS21)</f>
        <v>0</v>
      </c>
      <c r="BL20" s="225">
        <f>IF(ISERROR('raw data'!DT21/'raw data'!DU21),0,'raw data'!DT21/'raw data'!DU21)</f>
        <v>0</v>
      </c>
      <c r="BM20" s="225">
        <f>IF(ISERROR('raw data'!DV21/'raw data'!DW21),0,'raw data'!DV21/'raw data'!DW21)</f>
        <v>0</v>
      </c>
      <c r="BN20" s="225">
        <f>IF(ISERROR('raw data'!DX21/'raw data'!DY21),0,'raw data'!DX21/'raw data'!DY21)</f>
        <v>0</v>
      </c>
      <c r="BO20" s="225">
        <f>IF(ISERROR('raw data'!DZ21/'raw data'!EA21),0,'raw data'!DZ21/'raw data'!EA21)</f>
        <v>0</v>
      </c>
      <c r="BP20" s="225">
        <f>IF(ISERROR('raw data'!EB21/'raw data'!EC21),0,'raw data'!EB21/'raw data'!EC21)</f>
        <v>0</v>
      </c>
      <c r="BQ20" s="225">
        <f>IF(ISERROR('raw data'!ED21/'raw data'!EE21),0,'raw data'!ED21/'raw data'!EE21)</f>
        <v>0</v>
      </c>
      <c r="BR20" s="225">
        <f>IF(ISERROR('raw data'!EF21/'raw data'!EG21),0,'raw data'!EF21/'raw data'!EG21)</f>
        <v>0</v>
      </c>
      <c r="BS20" s="225">
        <f>IF(ISERROR('raw data'!EH21/'raw data'!EI21),0,'raw data'!EH21/'raw data'!EI21)</f>
        <v>0</v>
      </c>
      <c r="BT20" s="225">
        <f>IF(ISERROR('raw data'!EJ21/'raw data'!EK21),0,'raw data'!EJ21/'raw data'!EK21)</f>
        <v>0</v>
      </c>
      <c r="BU20" s="225">
        <f>IF(ISERROR('raw data'!EL21/'raw data'!EM21),0,'raw data'!EL21/'raw data'!EM21)</f>
        <v>0</v>
      </c>
      <c r="BV20" s="225">
        <f>IF(ISERROR('raw data'!EN21/'raw data'!EO21),0,'raw data'!EN21/'raw data'!EO21)</f>
        <v>0</v>
      </c>
      <c r="BW20" s="225">
        <f>IF(ISERROR('raw data'!EP21/'raw data'!EQ21),0,'raw data'!EP21/'raw data'!EQ21)</f>
        <v>0</v>
      </c>
      <c r="BX20" s="225">
        <f>IF(ISERROR('raw data'!ER21/'raw data'!ES21),0,'raw data'!ER21/'raw data'!ES21)</f>
        <v>0</v>
      </c>
      <c r="BY20" s="225">
        <f>IF(ISERROR('raw data'!ET21/'raw data'!EU21),0,'raw data'!ET21/'raw data'!EU21)</f>
        <v>0</v>
      </c>
      <c r="BZ20" s="225">
        <f>IF(ISERROR('raw data'!EV21/'raw data'!EW21),0,'raw data'!EV21/'raw data'!EW21)</f>
        <v>0</v>
      </c>
      <c r="CA20" s="225">
        <f>IF(ISERROR('raw data'!EX21/'raw data'!EY21),0,'raw data'!EX21/'raw data'!EY21)</f>
        <v>0</v>
      </c>
      <c r="CB20" s="225">
        <f>IF(ISERROR('raw data'!EZ21/'raw data'!FA21),0,'raw data'!EZ21/'raw data'!FA21)</f>
        <v>0</v>
      </c>
      <c r="CC20" s="225">
        <f>IF(ISERROR('raw data'!FB21/'raw data'!FC21),0,'raw data'!FB21/'raw data'!FC21)</f>
        <v>0</v>
      </c>
      <c r="CD20" s="225">
        <f>IF(ISERROR('raw data'!FD21/'raw data'!FE21),0,'raw data'!FD21/'raw data'!FE21)</f>
        <v>0</v>
      </c>
      <c r="CE20" s="225">
        <f>IF(ISERROR('raw data'!FF21/'raw data'!FG21),0,'raw data'!FF21/'raw data'!FG21)</f>
        <v>0</v>
      </c>
      <c r="CF20" s="225">
        <f>IF(ISERROR('raw data'!FH21/'raw data'!FI21),0,'raw data'!FH21/'raw data'!FI21)</f>
        <v>0</v>
      </c>
      <c r="CG20" s="225">
        <f>IF(ISERROR('raw data'!FJ21/'raw data'!FM21),0,'raw data'!FJ21/'raw data'!FM21)</f>
        <v>0</v>
      </c>
      <c r="CH20" s="225">
        <f>IF(ISERROR('raw data'!FN21/'raw data'!FO21),0,'raw data'!FN21/'raw data'!FO21)</f>
        <v>0</v>
      </c>
      <c r="CI20" s="225">
        <f>IF(ISERROR('raw data'!FP21/'raw data'!FQ21),0,'raw data'!FP21/'raw data'!FQ21)</f>
        <v>0</v>
      </c>
      <c r="CJ20" s="225">
        <f>IF(ISERROR('raw data'!FR21/'raw data'!FS21),0,'raw data'!FR21/'raw data'!FS21)</f>
        <v>0</v>
      </c>
      <c r="CK20" s="225">
        <f>IF(ISERROR('raw data'!FT21/'raw data'!FU21),0,'raw data'!FT21/'raw data'!FU21)</f>
        <v>0</v>
      </c>
      <c r="CL20" s="225">
        <f>IF(ISERROR('raw data'!FV21/'raw data'!FW21),0,'raw data'!FV21/'raw data'!FW21)</f>
        <v>0</v>
      </c>
      <c r="CM20" s="225">
        <f>IF(ISERROR('raw data'!FX21/'raw data'!FY21),0,'raw data'!FX21/'raw data'!FY21)</f>
        <v>0</v>
      </c>
      <c r="CN20" s="225">
        <f>IF(ISERROR('raw data'!FZ21/'raw data'!GA21),0,'raw data'!FZ21/'raw data'!GA21)</f>
        <v>0</v>
      </c>
      <c r="CO20" s="225">
        <f>IF(ISERROR('raw data'!GB21/'raw data'!GC21),0,'raw data'!GB21/'raw data'!GC21)</f>
        <v>0</v>
      </c>
      <c r="CP20" s="225">
        <f>IF(ISERROR('raw data'!GD21/'raw data'!GE21),0,'raw data'!GD21/'raw data'!GE21)</f>
        <v>0</v>
      </c>
      <c r="CQ20" s="225">
        <f>IF(ISERROR('raw data'!GF21/'raw data'!GG21),0,'raw data'!GF21/'raw data'!GG21)</f>
        <v>0</v>
      </c>
      <c r="CR20" s="225">
        <f>IF(ISERROR('raw data'!GH21/'raw data'!GI21),0,'raw data'!GH21/'raw data'!GI21)</f>
        <v>0</v>
      </c>
      <c r="CS20" s="225">
        <f>IF(ISERROR('raw data'!GJ21/'raw data'!GK21),0,'raw data'!GJ21/'raw data'!GK21)</f>
        <v>0</v>
      </c>
      <c r="CT20" s="225">
        <f>IF(ISERROR('raw data'!GL21/'raw data'!GM21),0,'raw data'!GL21/'raw data'!GM21)</f>
        <v>0</v>
      </c>
      <c r="CU20" s="225">
        <f>IF(ISERROR('raw data'!GN21/'raw data'!GO21),0,'raw data'!GN21/'raw data'!GO21)</f>
        <v>0</v>
      </c>
      <c r="CV20" s="225">
        <f>IF(ISERROR('raw data'!GP21/'raw data'!GQ21),0,'raw data'!GP21/'raw data'!GQ21)</f>
        <v>0</v>
      </c>
      <c r="CW20" s="225">
        <f>IF(ISERROR('raw data'!GR21/'raw data'!GS21),0,'raw data'!GR21/'raw data'!GS21)</f>
        <v>0</v>
      </c>
      <c r="CX20" s="225">
        <f>IF(ISERROR('raw data'!GT21/'raw data'!GU21),0,'raw data'!GT21/'raw data'!GU21)</f>
        <v>0</v>
      </c>
      <c r="CY20" s="225">
        <f>IF(ISERROR('raw data'!GV21/'raw data'!GW21),0,'raw data'!GV21/'raw data'!GW21)</f>
        <v>0</v>
      </c>
      <c r="CZ20" s="225">
        <f>IF(ISERROR('raw data'!GX21/'raw data'!GY21),0,'raw data'!GX21/'raw data'!GY21)</f>
        <v>0</v>
      </c>
      <c r="DA20" s="225">
        <f>IF(ISERROR('raw data'!GZ21/'raw data'!HA21),0,'raw data'!GZ21/'raw data'!HA21)</f>
        <v>0</v>
      </c>
      <c r="DB20" s="225">
        <f>IF(ISERROR('raw data'!HB21/'raw data'!HC21),0,'raw data'!HB21/'raw data'!HC21)</f>
        <v>0</v>
      </c>
      <c r="DC20" s="225">
        <f>IF(ISERROR('raw data'!HD21/'raw data'!HE21),0,'raw data'!HD21/'raw data'!HE21)</f>
        <v>0</v>
      </c>
      <c r="DD20" s="225">
        <f>IF(ISERROR('raw data'!HF21/'raw data'!HG21),0,'raw data'!HF21/'raw data'!HG21)</f>
        <v>0</v>
      </c>
      <c r="DE20" s="225">
        <f>IF(ISERROR('raw data'!HH21/'raw data'!HI21),0,'raw data'!HH21/'raw data'!HI21)</f>
        <v>0</v>
      </c>
      <c r="DF20" s="225">
        <f>IF(ISERROR('raw data'!HJ21/'raw data'!HK21),0,'raw data'!HJ21/'raw data'!HK21)</f>
        <v>0</v>
      </c>
      <c r="DG20" s="225">
        <f>IF(ISERROR('raw data'!HL21/'raw data'!HM21),0,'raw data'!HL21/'raw data'!HM21)</f>
        <v>0</v>
      </c>
      <c r="DH20" s="225">
        <f>IF(ISERROR('raw data'!HN21/'raw data'!HO21),0,'raw data'!HN21/'raw data'!HO21)</f>
        <v>0</v>
      </c>
      <c r="DI20" s="225">
        <f>IF(ISERROR('raw data'!HP21/'raw data'!HQ21),0,'raw data'!HP21/'raw data'!HQ21)</f>
        <v>0</v>
      </c>
      <c r="DJ20" s="225">
        <f>IF(ISERROR('raw data'!HR21/'raw data'!HS21),0,'raw data'!HR21/'raw data'!HS21)</f>
        <v>0</v>
      </c>
      <c r="DK20" s="225">
        <f>IF(ISERROR('raw data'!HT21/'raw data'!HU21),0,'raw data'!HT21/'raw data'!HU21)</f>
        <v>0</v>
      </c>
      <c r="DL20" s="225">
        <f>IF(ISERROR('raw data'!HV21/'raw data'!HW21),0,'raw data'!HV21/'raw data'!HW21)</f>
        <v>0</v>
      </c>
      <c r="DM20" s="225">
        <f>IF(ISERROR('raw data'!HX21/'raw data'!HY21),0,'raw data'!HX21/'raw data'!HY21)</f>
        <v>0</v>
      </c>
      <c r="DN20" s="225">
        <f>IF(ISERROR('raw data'!HZ21/'raw data'!IA21),0,'raw data'!HZ21/'raw data'!IA21)</f>
        <v>0</v>
      </c>
      <c r="DO20" s="225">
        <f>IF(ISERROR('raw data'!IB21/'raw data'!IC21),0,'raw data'!IB21/'raw data'!IC21)</f>
        <v>0</v>
      </c>
      <c r="DP20" s="225">
        <f>IF(ISERROR('raw data'!ID21/'raw data'!IE21),0,'raw data'!ID21/'raw data'!IE21)</f>
        <v>0</v>
      </c>
      <c r="DQ20" s="225">
        <f>IF(ISERROR('raw data'!IF21/'raw data'!IG21),0,'raw data'!IF21/'raw data'!IG21)</f>
        <v>0</v>
      </c>
      <c r="DR20" s="225">
        <f>IF(ISERROR('raw data'!IH21/'raw data'!II21),0,'raw data'!IH21/'raw data'!II21)</f>
        <v>0</v>
      </c>
      <c r="DS20" s="225">
        <f>IF(ISERROR('raw data'!IJ21/'raw data'!IK21),0,'raw data'!IJ21/'raw data'!IK21)</f>
        <v>0</v>
      </c>
      <c r="DT20" s="225">
        <f>IF(ISERROR('raw data'!IL21/'raw data'!IM21),0,'raw data'!IL21/'raw data'!IM21)</f>
        <v>0</v>
      </c>
      <c r="DU20" s="225">
        <f>IF(ISERROR('raw data'!IN21/'raw data'!IO21),0,'raw data'!IN21/'raw data'!IO21)</f>
        <v>0</v>
      </c>
      <c r="DV20" s="225">
        <f>IF(ISERROR('raw data'!IP21/'raw data'!IQ21),0,'raw data'!IP21/'raw data'!IQ21)</f>
        <v>0</v>
      </c>
      <c r="DW20" s="225">
        <f>IF(ISERROR('raw data'!IR21/'raw data'!IS21),0,'raw data'!IR21/'raw data'!IS21)</f>
        <v>0</v>
      </c>
      <c r="DX20" s="225">
        <f>IF(ISERROR('raw data'!IT21/'raw data'!IU21),0,'raw data'!IT21/'raw data'!IU21)</f>
        <v>0</v>
      </c>
      <c r="DY20" s="225">
        <f>IF(ISERROR('raw data'!IV21/'raw data'!IW21),0,'raw data'!IV21/'raw data'!IW21)</f>
        <v>0</v>
      </c>
      <c r="DZ20" s="225">
        <f>IF(ISERROR('raw data'!IX21/'raw data'!IY21),0,'raw data'!IX21/'raw data'!IY21)</f>
        <v>0</v>
      </c>
      <c r="EA20" s="225">
        <f>IF(ISERROR('raw data'!IZ21/'raw data'!JA21),0,'raw data'!IZ21/'raw data'!JA21)</f>
        <v>0</v>
      </c>
      <c r="EB20" s="225">
        <f>IF(ISERROR('raw data'!JB21/'raw data'!JC21),0,'raw data'!JB21/'raw data'!JC21)</f>
        <v>0</v>
      </c>
      <c r="EC20" s="225">
        <f>IF(ISERROR('raw data'!JD21/'raw data'!JE21),0,'raw data'!JD21/'raw data'!JE21)</f>
        <v>0</v>
      </c>
      <c r="ED20" s="226"/>
      <c r="EE20" s="227">
        <v>0</v>
      </c>
      <c r="EF20" s="227">
        <v>0</v>
      </c>
      <c r="EG20" s="228">
        <f t="shared" si="0"/>
        <v>0</v>
      </c>
    </row>
    <row r="21" spans="1:138" ht="25.5" customHeight="1" x14ac:dyDescent="0.15">
      <c r="A21" s="237">
        <v>1.21</v>
      </c>
      <c r="B21" s="223" t="str">
        <f>'raw data'!B22</f>
        <v xml:space="preserve">Flex accounts with 40 or more bill payments (WPs), totalling £4.5k or more, last month. </v>
      </c>
      <c r="C21" s="236" t="s">
        <v>43</v>
      </c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25">
        <f>IF(ISERROR('raw data'!BF22/'raw data'!BG22),0,'raw data'!BF22/'raw data'!BG22)</f>
        <v>3.3333333333333333E-2</v>
      </c>
      <c r="AF21" s="225">
        <f>IF(ISERROR('raw data'!BH22/'raw data'!BI22),0,'raw data'!BH22/'raw data'!BI22)</f>
        <v>0.17391304347826086</v>
      </c>
      <c r="AG21" s="225">
        <f>IF(ISERROR('raw data'!BJ22/'raw data'!BK22),0,'raw data'!BJ22/'raw data'!BK22)</f>
        <v>0.11363636363636363</v>
      </c>
      <c r="AH21" s="225">
        <f>IF(ISERROR('raw data'!BL22/'raw data'!BM22),0,'raw data'!BL22/'raw data'!BM22)</f>
        <v>0.08</v>
      </c>
      <c r="AI21" s="225">
        <f>IF(ISERROR('raw data'!BN22/'raw data'!BO22),0,'raw data'!BN22/'raw data'!BO22)</f>
        <v>0.17142857142857143</v>
      </c>
      <c r="AJ21" s="225">
        <f>IF(ISERROR('raw data'!BP22/'raw data'!BQ22),0,'raw data'!BP22/'raw data'!BQ22)</f>
        <v>2.2727272727272728E-2</v>
      </c>
      <c r="AK21" s="225">
        <f>IF(ISERROR('raw data'!BR22/'raw data'!BS22),0,'raw data'!BR22/'raw data'!BS22)</f>
        <v>0.125</v>
      </c>
      <c r="AL21" s="225">
        <f>IF(ISERROR('raw data'!BT22/'raw data'!BU22),0,'raw data'!BT22/'raw data'!BU22)</f>
        <v>8.1632653061224483E-2</v>
      </c>
      <c r="AM21" s="225">
        <f>IF(ISERROR('raw data'!BV22/'raw data'!BW22),0,'raw data'!BV22/'raw data'!BW22)</f>
        <v>0.11764705882352941</v>
      </c>
      <c r="AN21" s="225">
        <f>IF(ISERROR('raw data'!BX22/'raw data'!BY22),0,'raw data'!BX22/'raw data'!BY22)</f>
        <v>0.2</v>
      </c>
      <c r="AO21" s="225">
        <f>IF(ISERROR('raw data'!BZ22/'raw data'!CA22),0,'raw data'!BZ22/'raw data'!CA22)</f>
        <v>0.19565217391304349</v>
      </c>
      <c r="AP21" s="225">
        <f>IF(ISERROR('raw data'!CB22/'raw data'!CC22),0,'raw data'!CB22/'raw data'!CC22)</f>
        <v>0.17647058823529413</v>
      </c>
      <c r="AQ21" s="225">
        <f>IF(ISERROR('raw data'!CD22/'raw data'!CE22),0,'raw data'!CD22/'raw data'!CE22)</f>
        <v>0.11827956989247312</v>
      </c>
      <c r="AR21" s="225">
        <f>IF(ISERROR('raw data'!CF22/'raw data'!CG22),0,'raw data'!CF22/'raw data'!CG22)</f>
        <v>8.3333333333333329E-2</v>
      </c>
      <c r="AS21" s="225">
        <f>IF(ISERROR('raw data'!CH22/'raw data'!CI22),0,'raw data'!CH22/'raw data'!CI22)</f>
        <v>0.13008130081300814</v>
      </c>
      <c r="AT21" s="225">
        <f>IF(ISERROR('raw data'!CJ22/'raw data'!CK22),0,'raw data'!CJ22/'raw data'!CK22)</f>
        <v>8.4745762711864403E-2</v>
      </c>
      <c r="AU21" s="225">
        <f>IF(ISERROR('raw data'!CL22/'raw data'!CM22),0,'raw data'!CL22/'raw data'!CM22)</f>
        <v>0.12195121951219512</v>
      </c>
      <c r="AV21" s="225">
        <f>IF(ISERROR('raw data'!CN22/'raw data'!CO22),0,'raw data'!CN22/'raw data'!CO22)</f>
        <v>9.9173553719008267E-2</v>
      </c>
      <c r="AW21" s="225">
        <f>IF(ISERROR('raw data'!CP22/'raw data'!CQ22),0,'raw data'!CP22/'raw data'!CQ22)</f>
        <v>0.10869565217391304</v>
      </c>
      <c r="AX21" s="225">
        <f>IF(ISERROR('raw data'!CR22/'raw data'!CS22),0,'raw data'!CR22/'raw data'!CS22)</f>
        <v>0.1276595744680851</v>
      </c>
      <c r="AY21" s="225">
        <f>IF(ISERROR('raw data'!CT22/'raw data'!CU22),0,'raw data'!CT22/'raw data'!CU22)</f>
        <v>0.20491803278688525</v>
      </c>
      <c r="AZ21" s="225">
        <f>IF(ISERROR('raw data'!CV22/'raw data'!CW22),0,'raw data'!CV22/'raw data'!CW22)</f>
        <v>0.13450292397660818</v>
      </c>
      <c r="BA21" s="225">
        <f>IF(ISERROR('raw data'!CX22/'raw data'!CY22),0,'raw data'!CX22/'raw data'!CY22)</f>
        <v>0.12295081967213115</v>
      </c>
      <c r="BB21" s="225">
        <f>IF(ISERROR('raw data'!CZ22/'raw data'!DA22),0,'raw data'!CZ22/'raw data'!DA22)</f>
        <v>0.15714285714285714</v>
      </c>
      <c r="BC21" s="225">
        <f>IF(ISERROR('raw data'!DB22/'raw data'!DC22),0,'raw data'!DB22/'raw data'!DC22)</f>
        <v>0.19047619047619047</v>
      </c>
      <c r="BD21" s="225">
        <v>0.1404494382022472</v>
      </c>
      <c r="BE21" s="225">
        <f>IF(ISERROR('raw data'!DF22/'raw data'!DG22),0,'raw data'!DF22/'raw data'!DG22)</f>
        <v>0.13496932515337423</v>
      </c>
      <c r="BF21" s="225">
        <f>IF(ISERROR('raw data'!DH22/'raw data'!DI22),0,'raw data'!DH22/'raw data'!DI22)</f>
        <v>0.23728813559322035</v>
      </c>
      <c r="BG21" s="225">
        <f>IF(ISERROR('raw data'!DJ22/'raw data'!DK22),0,'raw data'!DJ22/'raw data'!DK22)</f>
        <v>0.16666666666666666</v>
      </c>
      <c r="BH21" s="225">
        <f>IF(ISERROR('raw data'!DL22/'raw data'!DM22),0,'raw data'!DL22/'raw data'!DM22)</f>
        <v>0.15254237288135594</v>
      </c>
      <c r="BI21" s="225">
        <f>IF(ISERROR('raw data'!DN22/'raw data'!DO22),0,'raw data'!DN22/'raw data'!DO22)</f>
        <v>0.18253968253968253</v>
      </c>
      <c r="BJ21" s="225">
        <f>IF(ISERROR('raw data'!DP22/'raw data'!DQ22),0,'raw data'!DP22/'raw data'!DQ22)</f>
        <v>0.23717948717948717</v>
      </c>
      <c r="BK21" s="225">
        <f>IF(ISERROR('raw data'!DR22/'raw data'!DS22),0,'raw data'!DR22/'raw data'!DS22)</f>
        <v>0.16535433070866143</v>
      </c>
      <c r="BL21" s="225">
        <f>IF(ISERROR('raw data'!DT22/'raw data'!DU22),0,'raw data'!DT22/'raw data'!DU22)</f>
        <v>0.2</v>
      </c>
      <c r="BM21" s="225">
        <f>IF(ISERROR('raw data'!DV22/'raw data'!DW22),0,'raw data'!DV22/'raw data'!DW22)</f>
        <v>9.2105263157894732E-2</v>
      </c>
      <c r="BN21" s="225">
        <f>IF(ISERROR('raw data'!DX22/'raw data'!DY22),0,'raw data'!DX22/'raw data'!DY22)</f>
        <v>0.16030534351145037</v>
      </c>
      <c r="BO21" s="225">
        <f>IF(ISERROR('raw data'!DZ22/'raw data'!EA22),0,'raw data'!DZ22/'raw data'!EA22)</f>
        <v>0.16402116402116401</v>
      </c>
      <c r="BP21" s="225">
        <f>IF(ISERROR('raw data'!EB22/'raw data'!EC22),0,'raw data'!EB22/'raw data'!EC22)</f>
        <v>0.17766497461928935</v>
      </c>
      <c r="BQ21" s="225">
        <f>IF(ISERROR('raw data'!ED22/'raw data'!EE22),0,'raw data'!ED22/'raw data'!EE22)</f>
        <v>0.13970588235294118</v>
      </c>
      <c r="BR21" s="225">
        <f>IF(ISERROR('raw data'!EF22/'raw data'!EG22),0,'raw data'!EF22/'raw data'!EG22)</f>
        <v>0.12953367875647667</v>
      </c>
      <c r="BS21" s="225">
        <f>IF(ISERROR('raw data'!EH22/'raw data'!EI22),0,'raw data'!EH22/'raw data'!EI22)</f>
        <v>0.14880952380952381</v>
      </c>
      <c r="BT21" s="225">
        <f>IF(ISERROR('raw data'!EJ22/'raw data'!EK22),0,'raw data'!EJ22/'raw data'!EK22)</f>
        <v>0.13425925925925927</v>
      </c>
      <c r="BU21" s="225">
        <f>IF(ISERROR('raw data'!EL22/'raw data'!EM22),0,'raw data'!EL22/'raw data'!EM22)</f>
        <v>0.17073170731707318</v>
      </c>
      <c r="BV21" s="225">
        <f>IF(ISERROR('raw data'!EN22/'raw data'!EO22),0,'raw data'!EN22/'raw data'!EO22)</f>
        <v>0.17880794701986755</v>
      </c>
      <c r="BW21" s="225">
        <f>IF(ISERROR('raw data'!EP22/'raw data'!EQ22),0,'raw data'!EP22/'raw data'!EQ22)</f>
        <v>0.18461538461538463</v>
      </c>
      <c r="BX21" s="225">
        <f>IF(ISERROR('raw data'!ER22/'raw data'!ES22),0,'raw data'!ER22/'raw data'!ES22)</f>
        <v>0.18965517241379309</v>
      </c>
      <c r="BY21" s="225">
        <f>IF(ISERROR('raw data'!ET22/'raw data'!EU22),0,'raw data'!ET22/'raw data'!EU22)</f>
        <v>0.20707070707070707</v>
      </c>
      <c r="BZ21" s="225">
        <f>IF(ISERROR('raw data'!EV22/'raw data'!EW22),0,'raw data'!EV22/'raw data'!EW22)</f>
        <v>0.18867924528301888</v>
      </c>
      <c r="CA21" s="225">
        <f>IF(ISERROR('raw data'!EX22/'raw data'!EY22),0,'raw data'!EX22/'raw data'!EY22)</f>
        <v>0.13928571428571429</v>
      </c>
      <c r="CB21" s="225">
        <f>IF(ISERROR('raw data'!EZ22/'raw data'!FA22),0,'raw data'!EZ22/'raw data'!FA22)</f>
        <v>0.17129629629629631</v>
      </c>
      <c r="CC21" s="225">
        <f>IF(ISERROR('raw data'!FB22/'raw data'!FC22),0,'raw data'!FB22/'raw data'!FC22)</f>
        <v>0.16312056737588654</v>
      </c>
      <c r="CD21" s="225">
        <f>IF(ISERROR('raw data'!FD22/'raw data'!FE22),0,'raw data'!FD22/'raw data'!FE22)</f>
        <v>0.15486725663716813</v>
      </c>
      <c r="CE21" s="225">
        <f>IF(ISERROR('raw data'!FF22/'raw data'!FG22),0,'raw data'!FF22/'raw data'!FG22)</f>
        <v>0.21072796934865901</v>
      </c>
      <c r="CF21" s="225">
        <f>IF(ISERROR('raw data'!FH22/'raw data'!FI22),0,'raw data'!FH22/'raw data'!FI22)</f>
        <v>0.2</v>
      </c>
      <c r="CG21" s="225">
        <f>IF(ISERROR('raw data'!FJ22/'raw data'!FM22),0,'raw data'!FJ22/'raw data'!FM22)</f>
        <v>0.13607594936708861</v>
      </c>
      <c r="CH21" s="225">
        <f>IF(ISERROR('raw data'!FN22/'raw data'!FO22),0,'raw data'!FN22/'raw data'!FO22)</f>
        <v>0.15131578947368421</v>
      </c>
      <c r="CI21" s="225">
        <f>IF(ISERROR('raw data'!FP22/'raw data'!FQ22),0,'raw data'!FP22/'raw data'!FQ22)</f>
        <v>0.17721518987341772</v>
      </c>
      <c r="CJ21" s="225">
        <f>IF(ISERROR('raw data'!FR22/'raw data'!FS22),0,'raw data'!FR22/'raw data'!FS22)</f>
        <v>0.14869888475836432</v>
      </c>
      <c r="CK21" s="225">
        <f>IF(ISERROR('raw data'!FT22/'raw data'!FU22),0,'raw data'!FT22/'raw data'!FU22)</f>
        <v>0.21052631578947367</v>
      </c>
      <c r="CL21" s="225">
        <f>IF(ISERROR('raw data'!FV22/'raw data'!FW22),0,'raw data'!FV22/'raw data'!FW22)</f>
        <v>9.3877551020408165E-2</v>
      </c>
      <c r="CM21" s="225">
        <f>IF(ISERROR('raw data'!FX22/'raw data'!FY22),0,'raw data'!FX22/'raw data'!FY22)</f>
        <v>0.17721518987341772</v>
      </c>
      <c r="CN21" s="225">
        <f>IF(ISERROR('raw data'!FZ22/'raw data'!GA22),0,'raw data'!FZ22/'raw data'!GA22)</f>
        <v>0.15666666666666668</v>
      </c>
      <c r="CO21" s="225">
        <f>IF(ISERROR('raw data'!GB22/'raw data'!GC22),0,'raw data'!GB22/'raw data'!GC22)</f>
        <v>0.20110192837465565</v>
      </c>
      <c r="CP21" s="225">
        <f>IF(ISERROR('raw data'!GD22/'raw data'!GE22),0,'raw data'!GD22/'raw data'!GE22)</f>
        <v>0.15846994535519127</v>
      </c>
      <c r="CQ21" s="225">
        <f>IF(ISERROR('raw data'!GF22/'raw data'!GG22),0,'raw data'!GF22/'raw data'!GG22)</f>
        <v>0.20930232558139536</v>
      </c>
      <c r="CR21" s="225">
        <f>IF(ISERROR('raw data'!GH22/'raw data'!GI22),0,'raw data'!GH22/'raw data'!GI22)</f>
        <v>0.17973856209150327</v>
      </c>
      <c r="CS21" s="225">
        <f>IF(ISERROR('raw data'!GJ22/'raw data'!GK22),0,'raw data'!GJ22/'raw data'!GK22)</f>
        <v>0.21576763485477179</v>
      </c>
      <c r="CT21" s="225">
        <f>IF(ISERROR('raw data'!GL22/'raw data'!GM22),0,'raw data'!GL22/'raw data'!GM22)</f>
        <v>0.18421052631578946</v>
      </c>
      <c r="CU21" s="225">
        <f>IF(ISERROR('raw data'!GN22/'raw data'!GO22),0,'raw data'!GN22/'raw data'!GO22)</f>
        <v>0.20578778135048231</v>
      </c>
      <c r="CV21" s="225">
        <f>IF(ISERROR('raw data'!GP22/'raw data'!GQ22),0,'raw data'!GP22/'raw data'!GQ22)</f>
        <v>0.19444444444444445</v>
      </c>
      <c r="CW21" s="225">
        <f>IF(ISERROR('raw data'!GR22/'raw data'!GS22),0,'raw data'!GR22/'raw data'!GS22)</f>
        <v>0.21268656716417911</v>
      </c>
      <c r="CX21" s="225">
        <f>IF(ISERROR('raw data'!GT22/'raw data'!GU22),0,'raw data'!GT22/'raw data'!GU22)</f>
        <v>0.21678321678321677</v>
      </c>
      <c r="CY21" s="225">
        <f>IF(ISERROR('raw data'!GV22/'raw data'!GW22),0,'raw data'!GV22/'raw data'!GW22)</f>
        <v>0.25986842105263158</v>
      </c>
      <c r="CZ21" s="225">
        <f>IF(ISERROR('raw data'!GX22/'raw data'!GY22),0,'raw data'!GX22/'raw data'!GY22)</f>
        <v>0.25255972696245732</v>
      </c>
      <c r="DA21" s="225">
        <f>IF(ISERROR('raw data'!GZ22/'raw data'!HA22),0,'raw data'!GZ22/'raw data'!HA22)</f>
        <v>0.28368794326241137</v>
      </c>
      <c r="DB21" s="225">
        <f>IF(ISERROR('raw data'!HB22/'raw data'!HC22),0,'raw data'!HB22/'raw data'!HC22)</f>
        <v>0.25974025974025972</v>
      </c>
      <c r="DC21" s="225">
        <f>IF(ISERROR('raw data'!HD22/'raw data'!HE22),0,'raw data'!HD22/'raw data'!HE22)</f>
        <v>0.32490974729241878</v>
      </c>
      <c r="DD21" s="225">
        <f>IF(ISERROR('raw data'!HF22/'raw data'!HG22),0,'raw data'!HF22/'raw data'!HG22)</f>
        <v>0.39615384615384613</v>
      </c>
      <c r="DE21" s="225">
        <f>IF(ISERROR('raw data'!HH22/'raw data'!HI22),0,'raw data'!HH22/'raw data'!HI22)</f>
        <v>0.30962343096234307</v>
      </c>
      <c r="DF21" s="225">
        <f>IF(ISERROR('raw data'!HJ22/'raw data'!HK22),0,'raw data'!HJ22/'raw data'!HK22)</f>
        <v>0.37948717948717947</v>
      </c>
      <c r="DG21" s="225">
        <f>IF(ISERROR('raw data'!HL22/'raw data'!HM22),0,'raw data'!HL22/'raw data'!HM22)</f>
        <v>0.24336283185840707</v>
      </c>
      <c r="DH21" s="225">
        <f>IF(ISERROR('raw data'!HN22/'raw data'!HO22),0,'raw data'!HN22/'raw data'!HO22)</f>
        <v>0.30555555555555558</v>
      </c>
      <c r="DI21" s="225">
        <f>IF(ISERROR('raw data'!HP22/'raw data'!HQ22),0,'raw data'!HP22/'raw data'!HQ22)</f>
        <v>0.17562724014336917</v>
      </c>
      <c r="DJ21" s="225">
        <f>IF(ISERROR('raw data'!HR22/'raw data'!HS22),0,'raw data'!HR22/'raw data'!HS22)</f>
        <v>0.37433155080213903</v>
      </c>
      <c r="DK21" s="225">
        <f>IF(ISERROR('raw data'!HT22/'raw data'!HU22),0,'raw data'!HT22/'raw data'!HU22)</f>
        <v>0.379746835443038</v>
      </c>
      <c r="DL21" s="225">
        <f>IF(ISERROR('raw data'!HV22/'raw data'!HW22),0,'raw data'!HV22/'raw data'!HW22)</f>
        <v>0.37920489296636084</v>
      </c>
      <c r="DM21" s="225">
        <f>IF(ISERROR('raw data'!HX22/'raw data'!HY22),0,'raw data'!HX22/'raw data'!HY22)</f>
        <v>0.32860520094562645</v>
      </c>
      <c r="DN21" s="225">
        <f>IF(ISERROR('raw data'!HZ22/'raw data'!IA22),0,'raw data'!HZ22/'raw data'!IA22)</f>
        <v>0.32867132867132864</v>
      </c>
      <c r="DO21" s="225">
        <f>IF(ISERROR('raw data'!IB22/'raw data'!IC22),0,'raw data'!IB22/'raw data'!IC22)</f>
        <v>0.40890688259109309</v>
      </c>
      <c r="DP21" s="225">
        <f>IF(ISERROR('raw data'!ID22/'raw data'!IE22),0,'raw data'!ID22/'raw data'!IE22)</f>
        <v>0.42053789731051344</v>
      </c>
      <c r="DQ21" s="225">
        <f>IF(ISERROR('raw data'!IF22/'raw data'!IG22),0,'raw data'!IF22/'raw data'!IG22)</f>
        <v>0.40294840294840295</v>
      </c>
      <c r="DR21" s="225">
        <f>IF(ISERROR('raw data'!IH22/'raw data'!II22),0,'raw data'!IH22/'raw data'!II22)</f>
        <v>0.42244897959183675</v>
      </c>
      <c r="DS21" s="225">
        <f>IF(ISERROR('raw data'!IJ22/'raw data'!IK22),0,'raw data'!IJ22/'raw data'!IK22)</f>
        <v>0.51886792452830188</v>
      </c>
      <c r="DT21" s="225">
        <f>IF(ISERROR('raw data'!IL22/'raw data'!IM22),0,'raw data'!IL22/'raw data'!IM22)</f>
        <v>0.45984251968503936</v>
      </c>
      <c r="DU21" s="225">
        <f>IF(ISERROR('raw data'!IN22/'raw data'!IO22),0,'raw data'!IN22/'raw data'!IO22)</f>
        <v>0.52989690721649485</v>
      </c>
      <c r="DV21" s="225">
        <f>IF(ISERROR('raw data'!IP22/'raw data'!IQ22),0,'raw data'!IP22/'raw data'!IQ22)</f>
        <v>0.51866404715127701</v>
      </c>
      <c r="DW21" s="225">
        <f>IF(ISERROR('raw data'!IR22/'raw data'!IS22),0,'raw data'!IR22/'raw data'!IS22)</f>
        <v>0.50323415265200522</v>
      </c>
      <c r="DX21" s="225">
        <f>IF(ISERROR('raw data'!IT22/'raw data'!IU22),0,'raw data'!IT22/'raw data'!IU22)</f>
        <v>0.44144144144144143</v>
      </c>
      <c r="DY21" s="225">
        <f>IF(ISERROR('raw data'!IV22/'raw data'!IW22),0,'raw data'!IV22/'raw data'!IW22)</f>
        <v>0.5</v>
      </c>
      <c r="DZ21" s="225">
        <f>IF(ISERROR('raw data'!IX22/'raw data'!IY22),0,'raw data'!IX22/'raw data'!IY22)</f>
        <v>0.51340996168582376</v>
      </c>
      <c r="EA21" s="225">
        <f>IF(ISERROR('raw data'!IZ22/'raw data'!JA22),0,'raw data'!IZ22/'raw data'!JA22)</f>
        <v>0.45119999999999999</v>
      </c>
      <c r="EB21" s="225">
        <f>IF(ISERROR('raw data'!JB22/'raw data'!JC22),0,'raw data'!JB22/'raw data'!JC22)</f>
        <v>0.41868512110726641</v>
      </c>
      <c r="EC21" s="225">
        <f>IF(ISERROR('raw data'!JD22/'raw data'!JE22),0,'raw data'!JD22/'raw data'!JE22)</f>
        <v>0.46748681898066785</v>
      </c>
      <c r="ED21" s="226"/>
      <c r="EE21" s="227">
        <v>3319</v>
      </c>
      <c r="EF21" s="227">
        <v>6948</v>
      </c>
      <c r="EG21" s="228">
        <f t="shared" si="0"/>
        <v>0.47769142199194015</v>
      </c>
    </row>
    <row r="22" spans="1:138" ht="25.5" customHeight="1" x14ac:dyDescent="0.15">
      <c r="A22" s="237">
        <v>1.22</v>
      </c>
      <c r="B22" s="223" t="str">
        <f>'raw data'!B23</f>
        <v>Multiple (4+) Chaps/Swifts received totalling £10k or more.</v>
      </c>
      <c r="C22" s="236" t="s">
        <v>45</v>
      </c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25">
        <f>IF(ISERROR('raw data'!BF23/'raw data'!BG23),0,'raw data'!BF23/'raw data'!BG23)</f>
        <v>9.7826086956521743E-2</v>
      </c>
      <c r="AF22" s="225">
        <f>IF(ISERROR('raw data'!BH23/'raw data'!BI23),0,'raw data'!BH23/'raw data'!BI23)</f>
        <v>8.3333333333333329E-2</v>
      </c>
      <c r="AG22" s="225">
        <f>IF(ISERROR('raw data'!BJ23/'raw data'!BK23),0,'raw data'!BJ23/'raw data'!BK23)</f>
        <v>0.10679611650485436</v>
      </c>
      <c r="AH22" s="225">
        <f>IF(ISERROR('raw data'!BL23/'raw data'!BM23),0,'raw data'!BL23/'raw data'!BM23)</f>
        <v>0.08</v>
      </c>
      <c r="AI22" s="225">
        <f>IF(ISERROR('raw data'!BN23/'raw data'!BO23),0,'raw data'!BN23/'raw data'!BO23)</f>
        <v>6.25E-2</v>
      </c>
      <c r="AJ22" s="225">
        <f>IF(ISERROR('raw data'!BP23/'raw data'!BQ23),0,'raw data'!BP23/'raw data'!BQ23)</f>
        <v>0</v>
      </c>
      <c r="AK22" s="225">
        <f>IF(ISERROR('raw data'!BR23/'raw data'!BS23),0,'raw data'!BR23/'raw data'!BS23)</f>
        <v>0.15492957746478872</v>
      </c>
      <c r="AL22" s="225">
        <f>IF(ISERROR('raw data'!BT23/'raw data'!BU23),0,'raw data'!BT23/'raw data'!BU23)</f>
        <v>0.10112359550561797</v>
      </c>
      <c r="AM22" s="225">
        <f>IF(ISERROR('raw data'!BV23/'raw data'!BW23),0,'raw data'!BV23/'raw data'!BW23)</f>
        <v>0.12121212121212122</v>
      </c>
      <c r="AN22" s="225">
        <f>IF(ISERROR('raw data'!BX23/'raw data'!BY23),0,'raw data'!BX23/'raw data'!BY23)</f>
        <v>0.10843373493975904</v>
      </c>
      <c r="AO22" s="225">
        <f>IF(ISERROR('raw data'!BZ23/'raw data'!CA23),0,'raw data'!BZ23/'raw data'!CA23)</f>
        <v>3.2967032967032968E-2</v>
      </c>
      <c r="AP22" s="225">
        <f>IF(ISERROR('raw data'!CB23/'raw data'!CC23),0,'raw data'!CB23/'raw data'!CC23)</f>
        <v>0.13432835820895522</v>
      </c>
      <c r="AQ22" s="225">
        <f>IF(ISERROR('raw data'!CD23/'raw data'!CE23),0,'raw data'!CD23/'raw data'!CE23)</f>
        <v>0.1</v>
      </c>
      <c r="AR22" s="225">
        <f>IF(ISERROR('raw data'!CF23/'raw data'!CG23),0,'raw data'!CF23/'raw data'!CG23)</f>
        <v>0.16</v>
      </c>
      <c r="AS22" s="225">
        <f>IF(ISERROR('raw data'!CH23/'raw data'!CI23),0,'raw data'!CH23/'raw data'!CI23)</f>
        <v>8.0808080808080815E-2</v>
      </c>
      <c r="AT22" s="225">
        <f>IF(ISERROR('raw data'!CJ23/'raw data'!CK23),0,'raw data'!CJ23/'raw data'!CK23)</f>
        <v>0.12857142857142856</v>
      </c>
      <c r="AU22" s="225">
        <f>IF(ISERROR('raw data'!CL23/'raw data'!CM23),0,'raw data'!CL23/'raw data'!CM23)</f>
        <v>6.1855670103092786E-2</v>
      </c>
      <c r="AV22" s="225">
        <f>IF(ISERROR('raw data'!CN23/'raw data'!CO23),0,'raw data'!CN23/'raw data'!CO23)</f>
        <v>0.20512820512820512</v>
      </c>
      <c r="AW22" s="225">
        <f>IF(ISERROR('raw data'!CP23/'raw data'!CQ23),0,'raw data'!CP23/'raw data'!CQ23)</f>
        <v>9.2783505154639179E-2</v>
      </c>
      <c r="AX22" s="225">
        <f>IF(ISERROR('raw data'!CR23/'raw data'!CS23),0,'raw data'!CR23/'raw data'!CS23)</f>
        <v>0.11494252873563218</v>
      </c>
      <c r="AY22" s="225">
        <f>IF(ISERROR('raw data'!CT23/'raw data'!CU23),0,'raw data'!CT23/'raw data'!CU23)</f>
        <v>0.13750000000000001</v>
      </c>
      <c r="AZ22" s="225">
        <f>IF(ISERROR('raw data'!CV23/'raw data'!CW23),0,'raw data'!CV23/'raw data'!CW23)</f>
        <v>0.12871287128712872</v>
      </c>
      <c r="BA22" s="225">
        <f>IF(ISERROR('raw data'!CX23/'raw data'!CY23),0,'raw data'!CX23/'raw data'!CY23)</f>
        <v>8.2191780821917804E-2</v>
      </c>
      <c r="BB22" s="225">
        <f>IF(ISERROR('raw data'!CZ23/'raw data'!DA23),0,'raw data'!CZ23/'raw data'!DA23)</f>
        <v>0.18571428571428572</v>
      </c>
      <c r="BC22" s="225">
        <f>IF(ISERROR('raw data'!DB23/'raw data'!DC23),0,'raw data'!DB23/'raw data'!DC23)</f>
        <v>0.18367346938775511</v>
      </c>
      <c r="BD22" s="225">
        <v>0.16304347826086957</v>
      </c>
      <c r="BE22" s="225">
        <f>IF(ISERROR('raw data'!DF23/'raw data'!DG23),0,'raw data'!DF23/'raw data'!DG23)</f>
        <v>0.17647058823529413</v>
      </c>
      <c r="BF22" s="225">
        <f>IF(ISERROR('raw data'!DH23/'raw data'!DI23),0,'raw data'!DH23/'raw data'!DI23)</f>
        <v>0.16216216216216217</v>
      </c>
      <c r="BG22" s="225">
        <f>IF(ISERROR('raw data'!DJ23/'raw data'!DK23),0,'raw data'!DJ23/'raw data'!DK23)</f>
        <v>0.15151515151515152</v>
      </c>
      <c r="BH22" s="225">
        <f>IF(ISERROR('raw data'!DL23/'raw data'!DM23),0,'raw data'!DL23/'raw data'!DM23)</f>
        <v>0.15714285714285714</v>
      </c>
      <c r="BI22" s="225">
        <f>IF(ISERROR('raw data'!DN23/'raw data'!DO23),0,'raw data'!DN23/'raw data'!DO23)</f>
        <v>0.1276595744680851</v>
      </c>
      <c r="BJ22" s="225">
        <f>IF(ISERROR('raw data'!DP23/'raw data'!DQ23),0,'raw data'!DP23/'raw data'!DQ23)</f>
        <v>0.17333333333333334</v>
      </c>
      <c r="BK22" s="225">
        <f>IF(ISERROR('raw data'!DR23/'raw data'!DS23),0,'raw data'!DR23/'raw data'!DS23)</f>
        <v>0.23749999999999999</v>
      </c>
      <c r="BL22" s="225">
        <f>IF(ISERROR('raw data'!DT23/'raw data'!DU23),0,'raw data'!DT23/'raw data'!DU23)</f>
        <v>0.16513761467889909</v>
      </c>
      <c r="BM22" s="225">
        <f>IF(ISERROR('raw data'!DV23/'raw data'!DW23),0,'raw data'!DV23/'raw data'!DW23)</f>
        <v>6.5789473684210523E-2</v>
      </c>
      <c r="BN22" s="225">
        <f>IF(ISERROR('raw data'!DX23/'raw data'!DY23),0,'raw data'!DX23/'raw data'!DY23)</f>
        <v>4.2553191489361701E-2</v>
      </c>
      <c r="BO22" s="225">
        <f>IF(ISERROR('raw data'!DZ23/'raw data'!EA23),0,'raw data'!DZ23/'raw data'!EA23)</f>
        <v>9.4017094017094016E-2</v>
      </c>
      <c r="BP22" s="225">
        <f>IF(ISERROR('raw data'!EB23/'raw data'!EC23),0,'raw data'!EB23/'raw data'!EC23)</f>
        <v>2.1739130434782608E-2</v>
      </c>
      <c r="BQ22" s="225">
        <f>IF(ISERROR('raw data'!ED23/'raw data'!EE23),0,'raw data'!ED23/'raw data'!EE23)</f>
        <v>2.7027027027027029E-2</v>
      </c>
      <c r="BR22" s="225">
        <f>IF(ISERROR('raw data'!EF23/'raw data'!EG23),0,'raw data'!EF23/'raw data'!EG23)</f>
        <v>4.9295774647887321E-2</v>
      </c>
      <c r="BS22" s="225">
        <f>IF(ISERROR('raw data'!EH23/'raw data'!EI23),0,'raw data'!EH23/'raw data'!EI23)</f>
        <v>6.3063063063063057E-2</v>
      </c>
      <c r="BT22" s="225">
        <f>IF(ISERROR('raw data'!EJ23/'raw data'!EK23),0,'raw data'!EJ23/'raw data'!EK23)</f>
        <v>3.5398230088495575E-2</v>
      </c>
      <c r="BU22" s="225">
        <f>IF(ISERROR('raw data'!EL23/'raw data'!EM23),0,'raw data'!EL23/'raw data'!EM23)</f>
        <v>7.9545454545454544E-2</v>
      </c>
      <c r="BV22" s="225">
        <f>IF(ISERROR('raw data'!EN23/'raw data'!EO23),0,'raw data'!EN23/'raw data'!EO23)</f>
        <v>6.3291139240506333E-2</v>
      </c>
      <c r="BW22" s="225">
        <f>IF(ISERROR('raw data'!EP23/'raw data'!EQ23),0,'raw data'!EP23/'raw data'!EQ23)</f>
        <v>6.8965517241379309E-2</v>
      </c>
      <c r="BX22" s="225">
        <f>IF(ISERROR('raw data'!ER23/'raw data'!ES23),0,'raw data'!ER23/'raw data'!ES23)</f>
        <v>6.3492063492063489E-2</v>
      </c>
      <c r="BY22" s="225">
        <f>IF(ISERROR('raw data'!ET23/'raw data'!EU23),0,'raw data'!ET23/'raw data'!EU23)</f>
        <v>0.1206896551724138</v>
      </c>
      <c r="BZ22" s="225">
        <f>IF(ISERROR('raw data'!EV23/'raw data'!EW23),0,'raw data'!EV23/'raw data'!EW23)</f>
        <v>0.14150943396226415</v>
      </c>
      <c r="CA22" s="225">
        <f>IF(ISERROR('raw data'!EX23/'raw data'!EY23),0,'raw data'!EX23/'raw data'!EY23)</f>
        <v>7.6923076923076927E-2</v>
      </c>
      <c r="CB22" s="225">
        <f>IF(ISERROR('raw data'!EZ23/'raw data'!FA23),0,'raw data'!EZ23/'raw data'!FA23)</f>
        <v>0.14285714285714285</v>
      </c>
      <c r="CC22" s="225">
        <f>IF(ISERROR('raw data'!FB23/'raw data'!FC23),0,'raw data'!FB23/'raw data'!FC23)</f>
        <v>0.10857142857142857</v>
      </c>
      <c r="CD22" s="225">
        <f>IF(ISERROR('raw data'!FD23/'raw data'!FE23),0,'raw data'!FD23/'raw data'!FE23)</f>
        <v>0.08</v>
      </c>
      <c r="CE22" s="225">
        <f>IF(ISERROR('raw data'!FF23/'raw data'!FG23),0,'raw data'!FF23/'raw data'!FG23)</f>
        <v>6.4220183486238536E-2</v>
      </c>
      <c r="CF22" s="225">
        <f>IF(ISERROR('raw data'!FH23/'raw data'!FI23),0,'raw data'!FH23/'raw data'!FI23)</f>
        <v>8.6614173228346455E-2</v>
      </c>
      <c r="CG22" s="225">
        <f>IF(ISERROR('raw data'!FJ23/'raw data'!FM23),0,'raw data'!FJ23/'raw data'!FM23)</f>
        <v>3.8095238095238099E-2</v>
      </c>
      <c r="CH22" s="225">
        <f>IF(ISERROR('raw data'!FN23/'raw data'!FO23),0,'raw data'!FN23/'raw data'!FO23)</f>
        <v>8.6956521739130432E-2</v>
      </c>
      <c r="CI22" s="225">
        <f>IF(ISERROR('raw data'!FP23/'raw data'!FQ23),0,'raw data'!FP23/'raw data'!FQ23)</f>
        <v>0.1223021582733813</v>
      </c>
      <c r="CJ22" s="225">
        <f>IF(ISERROR('raw data'!FR23/'raw data'!FS23),0,'raw data'!FR23/'raw data'!FS23)</f>
        <v>7.9136690647482008E-2</v>
      </c>
      <c r="CK22" s="225">
        <f>IF(ISERROR('raw data'!FT23/'raw data'!FU23),0,'raw data'!FT23/'raw data'!FU23)</f>
        <v>9.7222222222222224E-2</v>
      </c>
      <c r="CL22" s="225">
        <f>IF(ISERROR('raw data'!FV23/'raw data'!FW23),0,'raw data'!FV23/'raw data'!FW23)</f>
        <v>8.247422680412371E-2</v>
      </c>
      <c r="CM22" s="225">
        <f>IF(ISERROR('raw data'!FX23/'raw data'!FY23),0,'raw data'!FX23/'raw data'!FY23)</f>
        <v>0.14615384615384616</v>
      </c>
      <c r="CN22" s="225">
        <f>IF(ISERROR('raw data'!FZ23/'raw data'!GA23),0,'raw data'!FZ23/'raw data'!GA23)</f>
        <v>0.13768115942028986</v>
      </c>
      <c r="CO22" s="225">
        <f>IF(ISERROR('raw data'!GB23/'raw data'!GC23),0,'raw data'!GB23/'raw data'!GC23)</f>
        <v>9.49367088607595E-2</v>
      </c>
      <c r="CP22" s="225">
        <f>IF(ISERROR('raw data'!GD23/'raw data'!GE23),0,'raw data'!GD23/'raw data'!GE23)</f>
        <v>0.1111111111111111</v>
      </c>
      <c r="CQ22" s="225">
        <f>IF(ISERROR('raw data'!GF23/'raw data'!GG23),0,'raw data'!GF23/'raw data'!GG23)</f>
        <v>0.15116279069767441</v>
      </c>
      <c r="CR22" s="225">
        <f>IF(ISERROR('raw data'!GH23/'raw data'!GI23),0,'raw data'!GH23/'raw data'!GI23)</f>
        <v>0.17073170731707318</v>
      </c>
      <c r="CS22" s="225">
        <f>IF(ISERROR('raw data'!GJ23/'raw data'!GK23),0,'raw data'!GJ23/'raw data'!GK23)</f>
        <v>0.15789473684210525</v>
      </c>
      <c r="CT22" s="225">
        <f>IF(ISERROR('raw data'!GL23/'raw data'!GM23),0,'raw data'!GL23/'raw data'!GM23)</f>
        <v>0.1125</v>
      </c>
      <c r="CU22" s="225">
        <f>IF(ISERROR('raw data'!GN23/'raw data'!GO23),0,'raw data'!GN23/'raw data'!GO23)</f>
        <v>0.17924528301886791</v>
      </c>
      <c r="CV22" s="225">
        <f>IF(ISERROR('raw data'!GP23/'raw data'!GQ23),0,'raw data'!GP23/'raw data'!GQ23)</f>
        <v>9.3333333333333338E-2</v>
      </c>
      <c r="CW22" s="225">
        <f>IF(ISERROR('raw data'!GR23/'raw data'!GS23),0,'raw data'!GR23/'raw data'!GS23)</f>
        <v>8.6206896551724144E-2</v>
      </c>
      <c r="CX22" s="225">
        <f>IF(ISERROR('raw data'!GT23/'raw data'!GU23),0,'raw data'!GT23/'raw data'!GU23)</f>
        <v>0.13559322033898305</v>
      </c>
      <c r="CY22" s="225">
        <f>IF(ISERROR('raw data'!GV23/'raw data'!GW23),0,'raw data'!GV23/'raw data'!GW23)</f>
        <v>0.25</v>
      </c>
      <c r="CZ22" s="225">
        <f>IF(ISERROR('raw data'!GX23/'raw data'!GY23),0,'raw data'!GX23/'raw data'!GY23)</f>
        <v>0.10112359550561797</v>
      </c>
      <c r="DA22" s="225">
        <f>IF(ISERROR('raw data'!GZ23/'raw data'!HA23),0,'raw data'!GZ23/'raw data'!HA23)</f>
        <v>0.17204301075268819</v>
      </c>
      <c r="DB22" s="225">
        <f>IF(ISERROR('raw data'!HB23/'raw data'!HC23),0,'raw data'!HB23/'raw data'!HC23)</f>
        <v>0.125</v>
      </c>
      <c r="DC22" s="225">
        <f>IF(ISERROR('raw data'!HD23/'raw data'!HE23),0,'raw data'!HD23/'raw data'!HE23)</f>
        <v>0.16981132075471697</v>
      </c>
      <c r="DD22" s="225">
        <f>IF(ISERROR('raw data'!HF23/'raw data'!HG23),0,'raw data'!HF23/'raw data'!HG23)</f>
        <v>0.14285714285714285</v>
      </c>
      <c r="DE22" s="225">
        <f>IF(ISERROR('raw data'!HH23/'raw data'!HI23),0,'raw data'!HH23/'raw data'!HI23)</f>
        <v>0.22580645161290322</v>
      </c>
      <c r="DF22" s="225">
        <f>IF(ISERROR('raw data'!HJ23/'raw data'!HK23),0,'raw data'!HJ23/'raw data'!HK23)</f>
        <v>0.2413793103448276</v>
      </c>
      <c r="DG22" s="225">
        <f>IF(ISERROR('raw data'!HL23/'raw data'!HM23),0,'raw data'!HL23/'raw data'!HM23)</f>
        <v>0.19047619047619047</v>
      </c>
      <c r="DH22" s="225">
        <f>IF(ISERROR('raw data'!HN23/'raw data'!HO23),0,'raw data'!HN23/'raw data'!HO23)</f>
        <v>0.25806451612903225</v>
      </c>
      <c r="DI22" s="225">
        <f>IF(ISERROR('raw data'!HP23/'raw data'!HQ23),0,'raw data'!HP23/'raw data'!HQ23)</f>
        <v>0.23684210526315788</v>
      </c>
      <c r="DJ22" s="225">
        <f>IF(ISERROR('raw data'!HR23/'raw data'!HS23),0,'raw data'!HR23/'raw data'!HS23)</f>
        <v>0.26470588235294118</v>
      </c>
      <c r="DK22" s="225">
        <f>IF(ISERROR('raw data'!HT23/'raw data'!HU23),0,'raw data'!HT23/'raw data'!HU23)</f>
        <v>0.17857142857142858</v>
      </c>
      <c r="DL22" s="225">
        <f>IF(ISERROR('raw data'!HV23/'raw data'!HW23),0,'raw data'!HV23/'raw data'!HW23)</f>
        <v>0.21739130434782608</v>
      </c>
      <c r="DM22" s="225">
        <f>IF(ISERROR('raw data'!HX23/'raw data'!HY23),0,'raw data'!HX23/'raw data'!HY23)</f>
        <v>0.20833333333333334</v>
      </c>
      <c r="DN22" s="225">
        <f>IF(ISERROR('raw data'!HZ23/'raw data'!IA23),0,'raw data'!HZ23/'raw data'!IA23)</f>
        <v>0.22580645161290322</v>
      </c>
      <c r="DO22" s="225">
        <f>IF(ISERROR('raw data'!IB23/'raw data'!IC23),0,'raw data'!IB23/'raw data'!IC23)</f>
        <v>0.24489795918367346</v>
      </c>
      <c r="DP22" s="225">
        <f>IF(ISERROR('raw data'!ID23/'raw data'!IE23),0,'raw data'!ID23/'raw data'!IE23)</f>
        <v>0.1875</v>
      </c>
      <c r="DQ22" s="225">
        <f>IF(ISERROR('raw data'!IF23/'raw data'!IG23),0,'raw data'!IF23/'raw data'!IG23)</f>
        <v>0.26666666666666666</v>
      </c>
      <c r="DR22" s="225">
        <f>IF(ISERROR('raw data'!IH23/'raw data'!II23),0,'raw data'!IH23/'raw data'!II23)</f>
        <v>0.20512820512820512</v>
      </c>
      <c r="DS22" s="225">
        <f>IF(ISERROR('raw data'!IJ23/'raw data'!IK23),0,'raw data'!IJ23/'raw data'!IK23)</f>
        <v>0.30303030303030304</v>
      </c>
      <c r="DT22" s="225">
        <f>IF(ISERROR('raw data'!IL23/'raw data'!IM23),0,'raw data'!IL23/'raw data'!IM23)</f>
        <v>0.13157894736842105</v>
      </c>
      <c r="DU22" s="225">
        <f>IF(ISERROR('raw data'!IN23/'raw data'!IO23),0,'raw data'!IN23/'raw data'!IO23)</f>
        <v>0.19047619047619047</v>
      </c>
      <c r="DV22" s="225">
        <f>IF(ISERROR('raw data'!IP23/'raw data'!IQ23),0,'raw data'!IP23/'raw data'!IQ23)</f>
        <v>0.69230769230769229</v>
      </c>
      <c r="DW22" s="225">
        <f>IF(ISERROR('raw data'!IR23/'raw data'!IS23),0,'raw data'!IR23/'raw data'!IS23)</f>
        <v>0.33333333333333331</v>
      </c>
      <c r="DX22" s="225">
        <f>IF(ISERROR('raw data'!IT23/'raw data'!IU23),0,'raw data'!IT23/'raw data'!IU23)</f>
        <v>0.31578947368421051</v>
      </c>
      <c r="DY22" s="225">
        <f>IF(ISERROR('raw data'!IV23/'raw data'!IW23),0,'raw data'!IV23/'raw data'!IW23)</f>
        <v>0.33333333333333331</v>
      </c>
      <c r="DZ22" s="225">
        <f>IF(ISERROR('raw data'!IX23/'raw data'!IY23),0,'raw data'!IX23/'raw data'!IY23)</f>
        <v>0.2857142857142857</v>
      </c>
      <c r="EA22" s="225">
        <f>IF(ISERROR('raw data'!IZ23/'raw data'!JA23),0,'raw data'!IZ23/'raw data'!JA23)</f>
        <v>5.2631578947368418E-2</v>
      </c>
      <c r="EB22" s="225">
        <f>IF(ISERROR('raw data'!JB23/'raw data'!JC23),0,'raw data'!JB23/'raw data'!JC23)</f>
        <v>0.25925925925925924</v>
      </c>
      <c r="EC22" s="225">
        <f>IF(ISERROR('raw data'!JD23/'raw data'!JE23),0,'raw data'!JD23/'raw data'!JE23)</f>
        <v>0.19354838709677419</v>
      </c>
      <c r="ED22" s="226"/>
      <c r="EE22" s="227">
        <v>74</v>
      </c>
      <c r="EF22" s="227">
        <v>298</v>
      </c>
      <c r="EG22" s="228">
        <f t="shared" si="0"/>
        <v>0.24832214765100671</v>
      </c>
    </row>
    <row r="23" spans="1:138" ht="25.5" customHeight="1" x14ac:dyDescent="0.15">
      <c r="A23" s="237">
        <v>1.23</v>
      </c>
      <c r="B23" s="223" t="str">
        <f>'raw data'!B24</f>
        <v>10 or more WPs (totalling at least £4.5k) and 2+ Chaps/Swifts (C7s), totalling at least £10k, last month.</v>
      </c>
      <c r="C23" s="236" t="s">
        <v>47</v>
      </c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25">
        <f>IF(ISERROR('raw data'!BL24/'raw data'!BM24),0,'raw data'!BL24/'raw data'!BM24)</f>
        <v>0</v>
      </c>
      <c r="AI23" s="225">
        <f>IF(ISERROR('raw data'!BN24/'raw data'!BO24),0,'raw data'!BN24/'raw data'!BO24)</f>
        <v>0.18181818181818182</v>
      </c>
      <c r="AJ23" s="225">
        <f>IF(ISERROR('raw data'!BP24/'raw data'!BQ24),0,'raw data'!BP24/'raw data'!BQ24)</f>
        <v>0</v>
      </c>
      <c r="AK23" s="225">
        <f>IF(ISERROR('raw data'!BR24/'raw data'!BS24),0,'raw data'!BR24/'raw data'!BS24)</f>
        <v>0.27272727272727271</v>
      </c>
      <c r="AL23" s="225">
        <f>IF(ISERROR('raw data'!BT24/'raw data'!BU24),0,'raw data'!BT24/'raw data'!BU24)</f>
        <v>0</v>
      </c>
      <c r="AM23" s="225">
        <f>IF(ISERROR('raw data'!BV24/'raw data'!BW24),0,'raw data'!BV24/'raw data'!BW24)</f>
        <v>0.5</v>
      </c>
      <c r="AN23" s="225">
        <f>IF(ISERROR('raw data'!BX24/'raw data'!BY24),0,'raw data'!BX24/'raw data'!BY24)</f>
        <v>0.42857142857142855</v>
      </c>
      <c r="AO23" s="225">
        <f>IF(ISERROR('raw data'!BZ24/'raw data'!CA24),0,'raw data'!BZ24/'raw data'!CA24)</f>
        <v>0</v>
      </c>
      <c r="AP23" s="225">
        <f>IF(ISERROR('raw data'!CB24/'raw data'!CC24),0,'raw data'!CB24/'raw data'!CC24)</f>
        <v>4.1666666666666664E-2</v>
      </c>
      <c r="AQ23" s="225">
        <f>IF(ISERROR('raw data'!CD24/'raw data'!CE24),0,'raw data'!CD24/'raw data'!CE24)</f>
        <v>8.8235294117647065E-2</v>
      </c>
      <c r="AR23" s="225">
        <f>IF(ISERROR('raw data'!CF24/'raw data'!CG24),0,'raw data'!CF24/'raw data'!CG24)</f>
        <v>0.1875</v>
      </c>
      <c r="AS23" s="225">
        <f>IF(ISERROR('raw data'!CH24/'raw data'!CI24),0,'raw data'!CH24/'raw data'!CI24)</f>
        <v>0</v>
      </c>
      <c r="AT23" s="225">
        <f>IF(ISERROR('raw data'!CJ24/'raw data'!CK24),0,'raw data'!CJ24/'raw data'!CK24)</f>
        <v>9.0909090909090912E-2</v>
      </c>
      <c r="AU23" s="225">
        <f>IF(ISERROR('raw data'!CL24/'raw data'!CM24),0,'raw data'!CL24/'raw data'!CM24)</f>
        <v>0</v>
      </c>
      <c r="AV23" s="225">
        <f>IF(ISERROR('raw data'!CN24/'raw data'!CO24),0,'raw data'!CN24/'raw data'!CO24)</f>
        <v>0.13095238095238096</v>
      </c>
      <c r="AW23" s="225">
        <f>IF(ISERROR('raw data'!CP24/'raw data'!CQ24),0,'raw data'!CP24/'raw data'!CQ24)</f>
        <v>8.7378640776699032E-2</v>
      </c>
      <c r="AX23" s="225">
        <f>IF(ISERROR('raw data'!CR24/'raw data'!CS24),0,'raw data'!CR24/'raw data'!CS24)</f>
        <v>9.0090090090090086E-2</v>
      </c>
      <c r="AY23" s="225">
        <f>IF(ISERROR('raw data'!CT24/'raw data'!CU24),0,'raw data'!CT24/'raw data'!CU24)</f>
        <v>4.2857142857142858E-2</v>
      </c>
      <c r="AZ23" s="225">
        <f>IF(ISERROR('raw data'!CV24/'raw data'!CW24),0,'raw data'!CV24/'raw data'!CW24)</f>
        <v>8.4507042253521125E-2</v>
      </c>
      <c r="BA23" s="225">
        <f>IF(ISERROR('raw data'!CX24/'raw data'!CY24),0,'raw data'!CX24/'raw data'!CY24)</f>
        <v>9.6774193548387094E-2</v>
      </c>
      <c r="BB23" s="225">
        <f>IF(ISERROR('raw data'!CZ24/'raw data'!DA24),0,'raw data'!CZ24/'raw data'!DA24)</f>
        <v>0.28865979381443296</v>
      </c>
      <c r="BC23" s="225">
        <f>IF(ISERROR('raw data'!DB24/'raw data'!DC24),0,'raw data'!DB24/'raw data'!DC24)</f>
        <v>0.12745098039215685</v>
      </c>
      <c r="BD23" s="225">
        <v>5.6074766355140186E-2</v>
      </c>
      <c r="BE23" s="225">
        <f>IF(ISERROR('raw data'!DF24/'raw data'!DG24),0,'raw data'!DF24/'raw data'!DG24)</f>
        <v>0.11607142857142858</v>
      </c>
      <c r="BF23" s="225">
        <f>IF(ISERROR('raw data'!DH24/'raw data'!DI24),0,'raw data'!DH24/'raw data'!DI24)</f>
        <v>0.16279069767441862</v>
      </c>
      <c r="BG23" s="225">
        <f>IF(ISERROR('raw data'!DJ24/'raw data'!DK24),0,'raw data'!DJ24/'raw data'!DK24)</f>
        <v>6.4935064935064929E-2</v>
      </c>
      <c r="BH23" s="225">
        <f>IF(ISERROR('raw data'!DL24/'raw data'!DM24),0,'raw data'!DL24/'raw data'!DM24)</f>
        <v>9.0909090909090912E-2</v>
      </c>
      <c r="BI23" s="225">
        <f>IF(ISERROR('raw data'!DN24/'raw data'!DO24),0,'raw data'!DN24/'raw data'!DO24)</f>
        <v>0.12345679012345678</v>
      </c>
      <c r="BJ23" s="225">
        <f>IF(ISERROR('raw data'!DP24/'raw data'!DQ24),0,'raw data'!DP24/'raw data'!DQ24)</f>
        <v>0.10666666666666667</v>
      </c>
      <c r="BK23" s="225">
        <f>IF(ISERROR('raw data'!DR24/'raw data'!DS24),0,'raw data'!DR24/'raw data'!DS24)</f>
        <v>0.12987012987012986</v>
      </c>
      <c r="BL23" s="225">
        <f>IF(ISERROR('raw data'!DT24/'raw data'!DU24),0,'raw data'!DT24/'raw data'!DU24)</f>
        <v>0.11214953271028037</v>
      </c>
      <c r="BM23" s="225">
        <f>IF(ISERROR('raw data'!DV24/'raw data'!DW24),0,'raw data'!DV24/'raw data'!DW24)</f>
        <v>5.4945054945054944E-2</v>
      </c>
      <c r="BN23" s="225">
        <f>IF(ISERROR('raw data'!DX24/'raw data'!DY24),0,'raw data'!DX24/'raw data'!DY24)</f>
        <v>5.1948051948051951E-2</v>
      </c>
      <c r="BO23" s="225">
        <f>IF(ISERROR('raw data'!DZ24/'raw data'!EA24),0,'raw data'!DZ24/'raw data'!EA24)</f>
        <v>7.0175438596491224E-2</v>
      </c>
      <c r="BP23" s="225">
        <f>IF(ISERROR('raw data'!EB24/'raw data'!EC24),0,'raw data'!EB24/'raw data'!EC24)</f>
        <v>0.10112359550561797</v>
      </c>
      <c r="BQ23" s="225">
        <f>IF(ISERROR('raw data'!ED24/'raw data'!EE24),0,'raw data'!ED24/'raw data'!EE24)</f>
        <v>2.4096385542168676E-2</v>
      </c>
      <c r="BR23" s="225">
        <f>IF(ISERROR('raw data'!EF24/'raw data'!EG24),0,'raw data'!EF24/'raw data'!EG24)</f>
        <v>3.8834951456310676E-2</v>
      </c>
      <c r="BS23" s="225">
        <f>IF(ISERROR('raw data'!EH24/'raw data'!EI24),0,'raw data'!EH24/'raw data'!EI24)</f>
        <v>4.1237113402061855E-2</v>
      </c>
      <c r="BT23" s="225">
        <f>IF(ISERROR('raw data'!EJ24/'raw data'!EK24),0,'raw data'!EJ24/'raw data'!EK24)</f>
        <v>7.0588235294117646E-2</v>
      </c>
      <c r="BU23" s="225">
        <f>IF(ISERROR('raw data'!EL24/'raw data'!EM24),0,'raw data'!EL24/'raw data'!EM24)</f>
        <v>3.5714285714285712E-2</v>
      </c>
      <c r="BV23" s="225">
        <f>IF(ISERROR('raw data'!EN24/'raw data'!EO24),0,'raw data'!EN24/'raw data'!EO24)</f>
        <v>3.8461538461538464E-2</v>
      </c>
      <c r="BW23" s="225">
        <f>IF(ISERROR('raw data'!EP24/'raw data'!EQ24),0,'raw data'!EP24/'raw data'!EQ24)</f>
        <v>9.8901098901098897E-2</v>
      </c>
      <c r="BX23" s="225">
        <f>IF(ISERROR('raw data'!ER24/'raw data'!ES24),0,'raw data'!ER24/'raw data'!ES24)</f>
        <v>9.1836734693877556E-2</v>
      </c>
      <c r="BY23" s="225">
        <f>IF(ISERROR('raw data'!ET24/'raw data'!EU24),0,'raw data'!ET24/'raw data'!EU24)</f>
        <v>9.0909090909090912E-2</v>
      </c>
      <c r="BZ23" s="225">
        <f>IF(ISERROR('raw data'!EV24/'raw data'!EW24),0,'raw data'!EV24/'raw data'!EW24)</f>
        <v>4.3478260869565216E-2</v>
      </c>
      <c r="CA23" s="225">
        <f>IF(ISERROR('raw data'!EX24/'raw data'!EY24),0,'raw data'!EX24/'raw data'!EY24)</f>
        <v>7.7586206896551727E-2</v>
      </c>
      <c r="CB23" s="225">
        <f>IF(ISERROR('raw data'!EZ24/'raw data'!FA24),0,'raw data'!EZ24/'raw data'!FA24)</f>
        <v>8.6419753086419748E-2</v>
      </c>
      <c r="CC23" s="225">
        <f>IF(ISERROR('raw data'!FB24/'raw data'!FC24),0,'raw data'!FB24/'raw data'!FC24)</f>
        <v>0.11267605633802817</v>
      </c>
      <c r="CD23" s="225">
        <f>IF(ISERROR('raw data'!FD24/'raw data'!FE24),0,'raw data'!FD24/'raw data'!FE24)</f>
        <v>8.1081081081081086E-2</v>
      </c>
      <c r="CE23" s="225">
        <f>IF(ISERROR('raw data'!FF24/'raw data'!FG24),0,'raw data'!FF24/'raw data'!FG24)</f>
        <v>4.5045045045045043E-2</v>
      </c>
      <c r="CF23" s="225">
        <f>IF(ISERROR('raw data'!FH24/'raw data'!FI24),0,'raw data'!FH24/'raw data'!FI24)</f>
        <v>6.1855670103092786E-2</v>
      </c>
      <c r="CG23" s="225">
        <f>IF(ISERROR('raw data'!FJ24/'raw data'!FM24),0,'raw data'!FJ24/'raw data'!FM24)</f>
        <v>0</v>
      </c>
      <c r="CH23" s="232" t="s">
        <v>243</v>
      </c>
      <c r="CI23" s="232" t="s">
        <v>243</v>
      </c>
      <c r="CJ23" s="232" t="s">
        <v>243</v>
      </c>
      <c r="CK23" s="232" t="s">
        <v>243</v>
      </c>
      <c r="CL23" s="232" t="s">
        <v>243</v>
      </c>
      <c r="CM23" s="232" t="s">
        <v>243</v>
      </c>
      <c r="CN23" s="232" t="s">
        <v>243</v>
      </c>
      <c r="CO23" s="232" t="s">
        <v>243</v>
      </c>
      <c r="CP23" s="232" t="s">
        <v>243</v>
      </c>
      <c r="CQ23" s="232" t="s">
        <v>243</v>
      </c>
      <c r="CR23" s="232" t="s">
        <v>243</v>
      </c>
      <c r="CS23" s="232" t="s">
        <v>243</v>
      </c>
      <c r="CT23" s="232" t="s">
        <v>243</v>
      </c>
      <c r="CU23" s="232" t="s">
        <v>243</v>
      </c>
      <c r="CV23" s="232" t="s">
        <v>243</v>
      </c>
      <c r="CW23" s="232" t="s">
        <v>243</v>
      </c>
      <c r="CX23" s="232" t="s">
        <v>243</v>
      </c>
      <c r="CY23" s="232" t="s">
        <v>243</v>
      </c>
      <c r="CZ23" s="232" t="s">
        <v>243</v>
      </c>
      <c r="DA23" s="232" t="s">
        <v>243</v>
      </c>
      <c r="DB23" s="232" t="s">
        <v>243</v>
      </c>
      <c r="DC23" s="232" t="s">
        <v>243</v>
      </c>
      <c r="DD23" s="232" t="s">
        <v>243</v>
      </c>
      <c r="DE23" s="232" t="s">
        <v>243</v>
      </c>
      <c r="DF23" s="232" t="s">
        <v>243</v>
      </c>
      <c r="DG23" s="232" t="s">
        <v>243</v>
      </c>
      <c r="DH23" s="232" t="s">
        <v>243</v>
      </c>
      <c r="DI23" s="232" t="s">
        <v>243</v>
      </c>
      <c r="DJ23" s="232" t="s">
        <v>243</v>
      </c>
      <c r="DK23" s="232" t="s">
        <v>243</v>
      </c>
      <c r="DL23" s="232" t="s">
        <v>243</v>
      </c>
      <c r="DM23" s="232" t="s">
        <v>243</v>
      </c>
      <c r="DN23" s="232" t="s">
        <v>243</v>
      </c>
      <c r="DO23" s="232" t="s">
        <v>243</v>
      </c>
      <c r="DP23" s="232" t="s">
        <v>243</v>
      </c>
      <c r="DQ23" s="232" t="s">
        <v>243</v>
      </c>
      <c r="DR23" s="232" t="s">
        <v>243</v>
      </c>
      <c r="DS23" s="232" t="s">
        <v>243</v>
      </c>
      <c r="DT23" s="232" t="s">
        <v>243</v>
      </c>
      <c r="DU23" s="232" t="s">
        <v>243</v>
      </c>
      <c r="DV23" s="232" t="s">
        <v>243</v>
      </c>
      <c r="DW23" s="232" t="s">
        <v>243</v>
      </c>
      <c r="DX23" s="232" t="s">
        <v>243</v>
      </c>
      <c r="DY23" s="232" t="s">
        <v>243</v>
      </c>
      <c r="DZ23" s="232" t="s">
        <v>243</v>
      </c>
      <c r="EA23" s="232" t="s">
        <v>243</v>
      </c>
      <c r="EB23" s="232" t="s">
        <v>243</v>
      </c>
      <c r="EC23" s="232" t="s">
        <v>243</v>
      </c>
      <c r="ED23" s="226"/>
      <c r="EE23" s="227">
        <v>0</v>
      </c>
      <c r="EF23" s="227">
        <v>0</v>
      </c>
      <c r="EG23" s="228">
        <f t="shared" si="0"/>
        <v>0</v>
      </c>
      <c r="EH23" s="229"/>
    </row>
    <row r="24" spans="1:138" ht="25.5" customHeight="1" x14ac:dyDescent="0.15">
      <c r="A24" s="237">
        <v>1.24</v>
      </c>
      <c r="B24" s="223" t="str">
        <f>'raw data'!B25</f>
        <v>New (2 months or less) and sole account with NW, with CQ paid in and closed.</v>
      </c>
      <c r="C24" s="236" t="s">
        <v>49</v>
      </c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25">
        <f>IF(ISERROR('raw data'!BL25/'raw data'!BM25),0,'raw data'!BL25/'raw data'!BM25)</f>
        <v>0</v>
      </c>
      <c r="AI24" s="225">
        <f>IF(ISERROR('raw data'!BN25/'raw data'!BO25),0,'raw data'!BN25/'raw data'!BO25)</f>
        <v>1</v>
      </c>
      <c r="AJ24" s="225">
        <f>IF(ISERROR('raw data'!BP25/'raw data'!BQ25),0,'raw data'!BP25/'raw data'!BQ25)</f>
        <v>0</v>
      </c>
      <c r="AK24" s="225">
        <f>IF(ISERROR('raw data'!BR25/'raw data'!BS25),0,'raw data'!BR25/'raw data'!BS25)</f>
        <v>0</v>
      </c>
      <c r="AL24" s="225">
        <f>IF(ISERROR('raw data'!BT25/'raw data'!BU25),0,'raw data'!BT25/'raw data'!BU25)</f>
        <v>0</v>
      </c>
      <c r="AM24" s="225">
        <f>IF(ISERROR('raw data'!BV25/'raw data'!BW25),0,'raw data'!BV25/'raw data'!BW25)</f>
        <v>0</v>
      </c>
      <c r="AN24" s="225">
        <f>IF(ISERROR('raw data'!BX25/'raw data'!BY25),0,'raw data'!BX25/'raw data'!BY25)</f>
        <v>7.6923076923076927E-2</v>
      </c>
      <c r="AO24" s="225">
        <f>IF(ISERROR('raw data'!BZ25/'raw data'!CA25),0,'raw data'!BZ25/'raw data'!CA25)</f>
        <v>0</v>
      </c>
      <c r="AP24" s="225">
        <f>IF(ISERROR('raw data'!CB25/'raw data'!CC25),0,'raw data'!CB25/'raw data'!CC25)</f>
        <v>0</v>
      </c>
      <c r="AQ24" s="225">
        <f>IF(ISERROR('raw data'!CD25/'raw data'!CE25),0,'raw data'!CD25/'raw data'!CE25)</f>
        <v>3.5714285714285712E-2</v>
      </c>
      <c r="AR24" s="225">
        <f>IF(ISERROR('raw data'!CF25/'raw data'!CG25),0,'raw data'!CF25/'raw data'!CG25)</f>
        <v>2.6666666666666668E-2</v>
      </c>
      <c r="AS24" s="225">
        <f>IF(ISERROR('raw data'!CH25/'raw data'!CI25),0,'raw data'!CH25/'raw data'!CI25)</f>
        <v>4.7619047619047616E-2</v>
      </c>
      <c r="AT24" s="225">
        <f>IF(ISERROR('raw data'!CJ25/'raw data'!CK25),0,'raw data'!CJ25/'raw data'!CK25)</f>
        <v>1.4705882352941176E-2</v>
      </c>
      <c r="AU24" s="225">
        <f>IF(ISERROR('raw data'!CL25/'raw data'!CM25),0,'raw data'!CL25/'raw data'!CM25)</f>
        <v>7.3170731707317069E-2</v>
      </c>
      <c r="AV24" s="225">
        <f>IF(ISERROR('raw data'!CN25/'raw data'!CO25),0,'raw data'!CN25/'raw data'!CO25)</f>
        <v>1.8867924528301886E-2</v>
      </c>
      <c r="AW24" s="225">
        <f>IF(ISERROR('raw data'!CP25/'raw data'!CQ25),0,'raw data'!CP25/'raw data'!CQ25)</f>
        <v>4.878048780487805E-2</v>
      </c>
      <c r="AX24" s="225">
        <f>IF(ISERROR('raw data'!CR25/'raw data'!CS25),0,'raw data'!CR25/'raw data'!CS25)</f>
        <v>0.11904761904761904</v>
      </c>
      <c r="AY24" s="225">
        <f>IF(ISERROR('raw data'!CT25/'raw data'!CU25),0,'raw data'!CT25/'raw data'!CU25)</f>
        <v>2.5000000000000001E-2</v>
      </c>
      <c r="AZ24" s="225">
        <f>IF(ISERROR('raw data'!CV25/'raw data'!CW25),0,'raw data'!CV25/'raw data'!CW25)</f>
        <v>0</v>
      </c>
      <c r="BA24" s="225">
        <f>IF(ISERROR('raw data'!CX25/'raw data'!CY25),0,'raw data'!CX25/'raw data'!CY25)</f>
        <v>4.3478260869565216E-2</v>
      </c>
      <c r="BB24" s="225">
        <f>IF(ISERROR('raw data'!CZ25/'raw data'!DA25),0,'raw data'!CZ25/'raw data'!DA25)</f>
        <v>0.18518518518518517</v>
      </c>
      <c r="BC24" s="225">
        <f>IF(ISERROR('raw data'!DB25/'raw data'!DC25),0,'raw data'!DB25/'raw data'!DC25)</f>
        <v>0.16666666666666666</v>
      </c>
      <c r="BD24" s="225">
        <v>7.407407407407407E-2</v>
      </c>
      <c r="BE24" s="225">
        <f>IF(ISERROR('raw data'!DF25/'raw data'!DG25),0,'raw data'!DF25/'raw data'!DG25)</f>
        <v>0.18421052631578946</v>
      </c>
      <c r="BF24" s="225">
        <f>IF(ISERROR('raw data'!DH25/'raw data'!DI25),0,'raw data'!DH25/'raw data'!DI25)</f>
        <v>0.05</v>
      </c>
      <c r="BG24" s="225">
        <f>IF(ISERROR('raw data'!DJ25/'raw data'!DK25),0,'raw data'!DJ25/'raw data'!DK25)</f>
        <v>0.14893617021276595</v>
      </c>
      <c r="BH24" s="225">
        <f>IF(ISERROR('raw data'!DL25/'raw data'!DM25),0,'raw data'!DL25/'raw data'!DM25)</f>
        <v>8.3333333333333329E-2</v>
      </c>
      <c r="BI24" s="225">
        <f>IF(ISERROR('raw data'!DN25/'raw data'!DO25),0,'raw data'!DN25/'raw data'!DO25)</f>
        <v>5.2631578947368418E-2</v>
      </c>
      <c r="BJ24" s="225">
        <f>IF(ISERROR('raw data'!DP25/'raw data'!DQ25),0,'raw data'!DP25/'raw data'!DQ25)</f>
        <v>3.5714285714285712E-2</v>
      </c>
      <c r="BK24" s="225">
        <f>IF(ISERROR('raw data'!DR25/'raw data'!DS25),0,'raw data'!DR25/'raw data'!DS25)</f>
        <v>0</v>
      </c>
      <c r="BL24" s="225">
        <f>IF(ISERROR('raw data'!DT25/'raw data'!DU25),0,'raw data'!DT25/'raw data'!DU25)</f>
        <v>5.7142857142857141E-2</v>
      </c>
      <c r="BM24" s="225">
        <f>IF(ISERROR('raw data'!DV25/'raw data'!DW25),0,'raw data'!DV25/'raw data'!DW25)</f>
        <v>9.5238095238095233E-2</v>
      </c>
      <c r="BN24" s="225">
        <f>IF(ISERROR('raw data'!DX25/'raw data'!DY25),0,'raw data'!DX25/'raw data'!DY25)</f>
        <v>0</v>
      </c>
      <c r="BO24" s="225">
        <f>IF(ISERROR('raw data'!DZ25/'raw data'!EA25),0,'raw data'!DZ25/'raw data'!EA25)</f>
        <v>0</v>
      </c>
      <c r="BP24" s="225">
        <f>IF(ISERROR('raw data'!EB25/'raw data'!EC25),0,'raw data'!EB25/'raw data'!EC25)</f>
        <v>0</v>
      </c>
      <c r="BQ24" s="225">
        <f>IF(ISERROR('raw data'!ED25/'raw data'!EE25),0,'raw data'!ED25/'raw data'!EE25)</f>
        <v>0.04</v>
      </c>
      <c r="BR24" s="225">
        <f>IF(ISERROR('raw data'!EF25/'raw data'!EG25),0,'raw data'!EF25/'raw data'!EG25)</f>
        <v>0</v>
      </c>
      <c r="BS24" s="225">
        <f>IF(ISERROR('raw data'!EH25/'raw data'!EI25),0,'raw data'!EH25/'raw data'!EI25)</f>
        <v>3.0303030303030304E-2</v>
      </c>
      <c r="BT24" s="225">
        <f>IF(ISERROR('raw data'!EJ25/'raw data'!EK25),0,'raw data'!EJ25/'raw data'!EK25)</f>
        <v>6.5217391304347824E-2</v>
      </c>
      <c r="BU24" s="225">
        <f>IF(ISERROR('raw data'!EL25/'raw data'!EM25),0,'raw data'!EL25/'raw data'!EM25)</f>
        <v>0</v>
      </c>
      <c r="BV24" s="225">
        <f>IF(ISERROR('raw data'!EN25/'raw data'!EO25),0,'raw data'!EN25/'raw data'!EO25)</f>
        <v>0</v>
      </c>
      <c r="BW24" s="225">
        <f>IF(ISERROR('raw data'!EP25/'raw data'!EQ25),0,'raw data'!EP25/'raw data'!EQ25)</f>
        <v>0</v>
      </c>
      <c r="BX24" s="225">
        <f>IF(ISERROR('raw data'!ER25/'raw data'!ES25),0,'raw data'!ER25/'raw data'!ES25)</f>
        <v>0</v>
      </c>
      <c r="BY24" s="225">
        <f>IF(ISERROR('raw data'!ET25/'raw data'!EU25),0,'raw data'!ET25/'raw data'!EU25)</f>
        <v>4.7619047619047616E-2</v>
      </c>
      <c r="BZ24" s="225">
        <f>IF(ISERROR('raw data'!EV25/'raw data'!EW25),0,'raw data'!EV25/'raw data'!EW25)</f>
        <v>0</v>
      </c>
      <c r="CA24" s="225">
        <f>IF(ISERROR('raw data'!EX25/'raw data'!EY25),0,'raw data'!EX25/'raw data'!EY25)</f>
        <v>0</v>
      </c>
      <c r="CB24" s="225">
        <f>IF(ISERROR('raw data'!EZ25/'raw data'!FA25),0,'raw data'!EZ25/'raw data'!FA25)</f>
        <v>0</v>
      </c>
      <c r="CC24" s="225">
        <f>IF(ISERROR('raw data'!FB25/'raw data'!FC25),0,'raw data'!FB25/'raw data'!FC25)</f>
        <v>4.7619047619047616E-2</v>
      </c>
      <c r="CD24" s="225">
        <f>IF(ISERROR('raw data'!FD25/'raw data'!FE25),0,'raw data'!FD25/'raw data'!FE25)</f>
        <v>0.18181818181818182</v>
      </c>
      <c r="CE24" s="225">
        <f>IF(ISERROR('raw data'!FF25/'raw data'!FG25),0,'raw data'!FF25/'raw data'!FG25)</f>
        <v>0</v>
      </c>
      <c r="CF24" s="225">
        <f>IF(ISERROR('raw data'!FH25/'raw data'!FI25),0,'raw data'!FH25/'raw data'!FI25)</f>
        <v>3.4482758620689655E-2</v>
      </c>
      <c r="CG24" s="225">
        <f>IF(ISERROR('raw data'!FJ25/'raw data'!FM25),0,'raw data'!FJ25/'raw data'!FM25)</f>
        <v>0</v>
      </c>
      <c r="CH24" s="225">
        <f>IF(ISERROR('raw data'!FN25/'raw data'!FO25),0,'raw data'!FN25/'raw data'!FO25)</f>
        <v>0</v>
      </c>
      <c r="CI24" s="238" t="s">
        <v>30</v>
      </c>
      <c r="CJ24" s="238" t="s">
        <v>30</v>
      </c>
      <c r="CK24" s="238" t="s">
        <v>30</v>
      </c>
      <c r="CL24" s="238" t="s">
        <v>30</v>
      </c>
      <c r="CM24" s="238" t="s">
        <v>30</v>
      </c>
      <c r="CN24" s="238" t="s">
        <v>30</v>
      </c>
      <c r="CO24" s="238" t="s">
        <v>30</v>
      </c>
      <c r="CP24" s="238" t="s">
        <v>30</v>
      </c>
      <c r="CQ24" s="238" t="s">
        <v>30</v>
      </c>
      <c r="CR24" s="238" t="s">
        <v>30</v>
      </c>
      <c r="CS24" s="238" t="s">
        <v>30</v>
      </c>
      <c r="CT24" s="238" t="s">
        <v>30</v>
      </c>
      <c r="CU24" s="238" t="s">
        <v>30</v>
      </c>
      <c r="CV24" s="238" t="s">
        <v>30</v>
      </c>
      <c r="CW24" s="238" t="s">
        <v>30</v>
      </c>
      <c r="CX24" s="238" t="s">
        <v>30</v>
      </c>
      <c r="CY24" s="238" t="s">
        <v>30</v>
      </c>
      <c r="CZ24" s="238" t="s">
        <v>30</v>
      </c>
      <c r="DA24" s="238" t="s">
        <v>30</v>
      </c>
      <c r="DB24" s="238" t="s">
        <v>30</v>
      </c>
      <c r="DC24" s="238" t="s">
        <v>30</v>
      </c>
      <c r="DD24" s="238" t="s">
        <v>30</v>
      </c>
      <c r="DE24" s="238" t="s">
        <v>30</v>
      </c>
      <c r="DF24" s="238" t="s">
        <v>30</v>
      </c>
      <c r="DG24" s="238" t="s">
        <v>30</v>
      </c>
      <c r="DH24" s="238" t="s">
        <v>30</v>
      </c>
      <c r="DI24" s="238" t="s">
        <v>30</v>
      </c>
      <c r="DJ24" s="238" t="s">
        <v>30</v>
      </c>
      <c r="DK24" s="238" t="s">
        <v>30</v>
      </c>
      <c r="DL24" s="238" t="s">
        <v>30</v>
      </c>
      <c r="DM24" s="238" t="s">
        <v>30</v>
      </c>
      <c r="DN24" s="238" t="s">
        <v>30</v>
      </c>
      <c r="DO24" s="238" t="s">
        <v>30</v>
      </c>
      <c r="DP24" s="238" t="s">
        <v>30</v>
      </c>
      <c r="DQ24" s="238" t="s">
        <v>30</v>
      </c>
      <c r="DR24" s="238" t="s">
        <v>30</v>
      </c>
      <c r="DS24" s="238" t="s">
        <v>30</v>
      </c>
      <c r="DT24" s="238" t="s">
        <v>30</v>
      </c>
      <c r="DU24" s="238" t="s">
        <v>30</v>
      </c>
      <c r="DV24" s="238" t="s">
        <v>30</v>
      </c>
      <c r="DW24" s="238" t="s">
        <v>30</v>
      </c>
      <c r="DX24" s="238" t="s">
        <v>30</v>
      </c>
      <c r="DY24" s="238" t="s">
        <v>30</v>
      </c>
      <c r="DZ24" s="238" t="s">
        <v>30</v>
      </c>
      <c r="EA24" s="238" t="s">
        <v>30</v>
      </c>
      <c r="EB24" s="238" t="s">
        <v>30</v>
      </c>
      <c r="EC24" s="238" t="s">
        <v>30</v>
      </c>
      <c r="ED24" s="226"/>
      <c r="EE24" s="227">
        <v>0</v>
      </c>
      <c r="EF24" s="227">
        <v>0</v>
      </c>
      <c r="EG24" s="228">
        <f t="shared" si="0"/>
        <v>0</v>
      </c>
      <c r="EH24" s="229"/>
    </row>
    <row r="25" spans="1:138" ht="25.5" customHeight="1" x14ac:dyDescent="0.15">
      <c r="A25" s="237">
        <v>1.25</v>
      </c>
      <c r="B25" s="223" t="str">
        <f>'raw data'!B26</f>
        <v>Debit card purchase (£300+ per transaction and £2.5k+ in total) of large amount of booze/fags - Europe over past 3 months.</v>
      </c>
      <c r="C25" s="236" t="s">
        <v>51</v>
      </c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25">
        <f>IF(ISERROR('raw data'!BX26/'raw data'!BY26),0,'raw data'!BX26/'raw data'!BY26)</f>
        <v>0</v>
      </c>
      <c r="AO25" s="225">
        <f>IF(ISERROR('raw data'!BZ26/'raw data'!CA26),0,'raw data'!BZ26/'raw data'!CA26)</f>
        <v>0</v>
      </c>
      <c r="AP25" s="225">
        <f>IF(ISERROR('raw data'!CB26/'raw data'!CC26),0,'raw data'!CB26/'raw data'!CC26)</f>
        <v>0</v>
      </c>
      <c r="AQ25" s="225">
        <f>IF(ISERROR('raw data'!CD26/'raw data'!CE26),0,'raw data'!CD26/'raw data'!CE26)</f>
        <v>0</v>
      </c>
      <c r="AR25" s="225">
        <f>IF(ISERROR('raw data'!CF26/'raw data'!CG26),0,'raw data'!CF26/'raw data'!CG26)</f>
        <v>0</v>
      </c>
      <c r="AS25" s="225">
        <f>IF(ISERROR('raw data'!CH26/'raw data'!CI26),0,'raw data'!CH26/'raw data'!CI26)</f>
        <v>0</v>
      </c>
      <c r="AT25" s="225">
        <f>IF(ISERROR('raw data'!CJ26/'raw data'!CK26),0,'raw data'!CJ26/'raw data'!CK26)</f>
        <v>0.6</v>
      </c>
      <c r="AU25" s="225">
        <f>IF(ISERROR('raw data'!CL26/'raw data'!CM26),0,'raw data'!CL26/'raw data'!CM26)</f>
        <v>0</v>
      </c>
      <c r="AV25" s="225">
        <f>IF(ISERROR('raw data'!CN26/'raw data'!CO26),0,'raw data'!CN26/'raw data'!CO26)</f>
        <v>0</v>
      </c>
      <c r="AW25" s="225">
        <f>IF(ISERROR('raw data'!CP26/'raw data'!CQ26),0,'raw data'!CP26/'raw data'!CQ26)</f>
        <v>1</v>
      </c>
      <c r="AX25" s="225">
        <f>IF(ISERROR('raw data'!CR26/'raw data'!CS26),0,'raw data'!CR26/'raw data'!CS26)</f>
        <v>0</v>
      </c>
      <c r="AY25" s="225">
        <f>IF(ISERROR('raw data'!CT26/'raw data'!CU26),0,'raw data'!CT26/'raw data'!CU26)</f>
        <v>0</v>
      </c>
      <c r="AZ25" s="225">
        <f>IF(ISERROR('raw data'!CV26/'raw data'!CW26),0,'raw data'!CV26/'raw data'!CW26)</f>
        <v>0</v>
      </c>
      <c r="BA25" s="225">
        <f>IF(ISERROR('raw data'!CX26/'raw data'!CY26),0,'raw data'!CX26/'raw data'!CY26)</f>
        <v>0.5</v>
      </c>
      <c r="BB25" s="225">
        <f>IF(ISERROR('raw data'!CZ26/'raw data'!DA26),0,'raw data'!CZ26/'raw data'!DA26)</f>
        <v>1</v>
      </c>
      <c r="BC25" s="225">
        <f>IF(ISERROR('raw data'!DB26/'raw data'!DC26),0,'raw data'!DB26/'raw data'!DC26)</f>
        <v>0.2</v>
      </c>
      <c r="BD25" s="225">
        <v>0.33333333333333331</v>
      </c>
      <c r="BE25" s="225">
        <f>IF(ISERROR('raw data'!DF26/'raw data'!DG26),0,'raw data'!DF26/'raw data'!DG26)</f>
        <v>1</v>
      </c>
      <c r="BF25" s="225">
        <f>IF(ISERROR('raw data'!DH26/'raw data'!DI26),0,'raw data'!DH26/'raw data'!DI26)</f>
        <v>0.25</v>
      </c>
      <c r="BG25" s="225">
        <f>IF(ISERROR('raw data'!DJ26/'raw data'!DK26),0,'raw data'!DJ26/'raw data'!DK26)</f>
        <v>0</v>
      </c>
      <c r="BH25" s="225">
        <f>IF(ISERROR('raw data'!DL26/'raw data'!DM26),0,'raw data'!DL26/'raw data'!DM26)</f>
        <v>0.4</v>
      </c>
      <c r="BI25" s="225">
        <f>IF(ISERROR('raw data'!DN26/'raw data'!DO26),0,'raw data'!DN26/'raw data'!DO26)</f>
        <v>0.5</v>
      </c>
      <c r="BJ25" s="225">
        <f>IF(ISERROR('raw data'!DP26/'raw data'!DQ26),0,'raw data'!DP26/'raw data'!DQ26)</f>
        <v>0.5</v>
      </c>
      <c r="BK25" s="225">
        <f>IF(ISERROR('raw data'!DR26/'raw data'!DS26),0,'raw data'!DR26/'raw data'!DS26)</f>
        <v>0.5</v>
      </c>
      <c r="BL25" s="225">
        <f>IF(ISERROR('raw data'!DT26/'raw data'!DU26),0,'raw data'!DT26/'raw data'!DU26)</f>
        <v>1</v>
      </c>
      <c r="BM25" s="225">
        <f>IF(ISERROR('raw data'!DV26/'raw data'!DW26),0,'raw data'!DV26/'raw data'!DW26)</f>
        <v>0.5</v>
      </c>
      <c r="BN25" s="225">
        <f>IF(ISERROR('raw data'!DX26/'raw data'!DY26),0,'raw data'!DX26/'raw data'!DY26)</f>
        <v>1</v>
      </c>
      <c r="BO25" s="225">
        <f>IF(ISERROR('raw data'!DZ26/'raw data'!EA26),0,'raw data'!DZ26/'raw data'!EA26)</f>
        <v>0.33333333333333331</v>
      </c>
      <c r="BP25" s="225">
        <f>IF(ISERROR('raw data'!EB26/'raw data'!EC26),0,'raw data'!EB26/'raw data'!EC26)</f>
        <v>0</v>
      </c>
      <c r="BQ25" s="225">
        <f>IF(ISERROR('raw data'!ED26/'raw data'!EE26),0,'raw data'!ED26/'raw data'!EE26)</f>
        <v>0</v>
      </c>
      <c r="BR25" s="225">
        <f>IF(ISERROR('raw data'!EF26/'raw data'!EG26),0,'raw data'!EF26/'raw data'!EG26)</f>
        <v>0.5</v>
      </c>
      <c r="BS25" s="225">
        <f>IF(ISERROR('raw data'!EH26/'raw data'!EI26),0,'raw data'!EH26/'raw data'!EI26)</f>
        <v>0.5</v>
      </c>
      <c r="BT25" s="225">
        <f>IF(ISERROR('raw data'!EJ26/'raw data'!EK26),0,'raw data'!EJ26/'raw data'!EK26)</f>
        <v>0</v>
      </c>
      <c r="BU25" s="225">
        <f>IF(ISERROR('raw data'!EL26/'raw data'!EM26),0,'raw data'!EL26/'raw data'!EM26)</f>
        <v>0</v>
      </c>
      <c r="BV25" s="225">
        <f>IF(ISERROR('raw data'!EN26/'raw data'!EO26),0,'raw data'!EN26/'raw data'!EO26)</f>
        <v>0.2</v>
      </c>
      <c r="BW25" s="225">
        <f>IF(ISERROR('raw data'!EP26/'raw data'!EQ26),0,'raw data'!EP26/'raw data'!EQ26)</f>
        <v>1</v>
      </c>
      <c r="BX25" s="225">
        <f>IF(ISERROR('raw data'!ER26/'raw data'!ES26),0,'raw data'!ER26/'raw data'!ES26)</f>
        <v>0</v>
      </c>
      <c r="BY25" s="225">
        <f>IF(ISERROR('raw data'!ET26/'raw data'!EU26),0,'raw data'!ET26/'raw data'!EU26)</f>
        <v>0</v>
      </c>
      <c r="BZ25" s="225">
        <f>IF(ISERROR('raw data'!EV26/'raw data'!EW26),0,'raw data'!EV26/'raw data'!EW26)</f>
        <v>0.4</v>
      </c>
      <c r="CA25" s="225">
        <f>IF(ISERROR('raw data'!EX26/'raw data'!EY26),0,'raw data'!EX26/'raw data'!EY26)</f>
        <v>0.66666666666666663</v>
      </c>
      <c r="CB25" s="225">
        <f>IF(ISERROR('raw data'!EZ26/'raw data'!FA26),0,'raw data'!EZ26/'raw data'!FA26)</f>
        <v>1</v>
      </c>
      <c r="CC25" s="225">
        <f>IF(ISERROR('raw data'!FB26/'raw data'!FC26),0,'raw data'!FB26/'raw data'!FC26)</f>
        <v>0.5</v>
      </c>
      <c r="CD25" s="225">
        <f>IF(ISERROR('raw data'!FD26/'raw data'!FE26),0,'raw data'!FD26/'raw data'!FE26)</f>
        <v>1</v>
      </c>
      <c r="CE25" s="225">
        <f>IF(ISERROR('raw data'!FF26/'raw data'!FG26),0,'raw data'!FF26/'raw data'!FG26)</f>
        <v>0.5</v>
      </c>
      <c r="CF25" s="225">
        <f>IF(ISERROR('raw data'!FH26/'raw data'!FI26),0,'raw data'!FH26/'raw data'!FI26)</f>
        <v>0.5</v>
      </c>
      <c r="CG25" s="225">
        <f>IF(ISERROR('raw data'!FJ26/'raw data'!FM26),0,'raw data'!FJ26/'raw data'!FM26)</f>
        <v>0.5714285714285714</v>
      </c>
      <c r="CH25" s="225">
        <f>IF(ISERROR('raw data'!FN26/'raw data'!FO26),0,'raw data'!FN26/'raw data'!FO26)</f>
        <v>1</v>
      </c>
      <c r="CI25" s="225">
        <f>IF(ISERROR('raw data'!FP26/'raw data'!FQ26),0,'raw data'!FP26/'raw data'!FQ26)</f>
        <v>0</v>
      </c>
      <c r="CJ25" s="225">
        <f>IF(ISERROR('raw data'!FR26/'raw data'!FS26),0,'raw data'!FR26/'raw data'!FS26)</f>
        <v>1</v>
      </c>
      <c r="CK25" s="225">
        <f>IF(ISERROR('raw data'!FT26/'raw data'!FU26),0,'raw data'!FT26/'raw data'!FU26)</f>
        <v>0.5</v>
      </c>
      <c r="CL25" s="225">
        <f>IF(ISERROR('raw data'!FV26/'raw data'!FW26),0,'raw data'!FV26/'raw data'!FW26)</f>
        <v>1</v>
      </c>
      <c r="CM25" s="225">
        <f>IF(ISERROR('raw data'!FX26/'raw data'!FY26),0,'raw data'!FX26/'raw data'!FY26)</f>
        <v>0</v>
      </c>
      <c r="CN25" s="225">
        <f>IF(ISERROR('raw data'!FZ26/'raw data'!GA26),0,'raw data'!FZ26/'raw data'!GA26)</f>
        <v>1</v>
      </c>
      <c r="CO25" s="225">
        <f>IF(ISERROR('raw data'!GB26/'raw data'!GC26),0,'raw data'!GB26/'raw data'!GC26)</f>
        <v>0</v>
      </c>
      <c r="CP25" s="225">
        <f>IF(ISERROR('raw data'!GD26/'raw data'!GE26),0,'raw data'!GD26/'raw data'!GE26)</f>
        <v>0.5</v>
      </c>
      <c r="CQ25" s="225">
        <f>IF(ISERROR('raw data'!GF26/'raw data'!GG26),0,'raw data'!GF26/'raw data'!GG26)</f>
        <v>0.2</v>
      </c>
      <c r="CR25" s="225">
        <f>IF(ISERROR('raw data'!GH26/'raw data'!GI26),0,'raw data'!GH26/'raw data'!GI26)</f>
        <v>0.25</v>
      </c>
      <c r="CS25" s="225">
        <f>IF(ISERROR('raw data'!GJ26/'raw data'!GK26),0,'raw data'!GJ26/'raw data'!GK26)</f>
        <v>0</v>
      </c>
      <c r="CT25" s="225">
        <f>IF(ISERROR('raw data'!GL26/'raw data'!GM26),0,'raw data'!GL26/'raw data'!GM26)</f>
        <v>0.75</v>
      </c>
      <c r="CU25" s="225">
        <f>IF(ISERROR('raw data'!GN26/'raw data'!GO26),0,'raw data'!GN26/'raw data'!GO26)</f>
        <v>0.25</v>
      </c>
      <c r="CV25" s="225">
        <f>IF(ISERROR('raw data'!GP26/'raw data'!GQ26),0,'raw data'!GP26/'raw data'!GQ26)</f>
        <v>0.55555555555555558</v>
      </c>
      <c r="CW25" s="225">
        <f>IF(ISERROR('raw data'!GR26/'raw data'!GS26),0,'raw data'!GR26/'raw data'!GS26)</f>
        <v>0</v>
      </c>
      <c r="CX25" s="225">
        <f>IF(ISERROR('raw data'!GT26/'raw data'!GU26),0,'raw data'!GT26/'raw data'!GU26)</f>
        <v>0.5</v>
      </c>
      <c r="CY25" s="225">
        <f>IF(ISERROR('raw data'!GV26/'raw data'!GW26),0,'raw data'!GV26/'raw data'!GW26)</f>
        <v>0.16666666666666666</v>
      </c>
      <c r="CZ25" s="225">
        <f>IF(ISERROR('raw data'!GX26/'raw data'!GY26),0,'raw data'!GX26/'raw data'!GY26)</f>
        <v>0</v>
      </c>
      <c r="DA25" s="225">
        <f>IF(ISERROR('raw data'!GZ26/'raw data'!HA26),0,'raw data'!GZ26/'raw data'!HA26)</f>
        <v>0.25</v>
      </c>
      <c r="DB25" s="225">
        <f>IF(ISERROR('raw data'!HB26/'raw data'!HC26),0,'raw data'!HB26/'raw data'!HC26)</f>
        <v>0.75</v>
      </c>
      <c r="DC25" s="225">
        <f>IF(ISERROR('raw data'!HD26/'raw data'!HE26),0,'raw data'!HD26/'raw data'!HE26)</f>
        <v>1</v>
      </c>
      <c r="DD25" s="225">
        <f>IF(ISERROR('raw data'!HF26/'raw data'!HG26),0,'raw data'!HF26/'raw data'!HG26)</f>
        <v>0</v>
      </c>
      <c r="DE25" s="225">
        <f>IF(ISERROR('raw data'!HH26/'raw data'!HI26),0,'raw data'!HH26/'raw data'!HI26)</f>
        <v>0</v>
      </c>
      <c r="DF25" s="225">
        <f>IF(ISERROR('raw data'!HJ26/'raw data'!HK26),0,'raw data'!HJ26/'raw data'!HK26)</f>
        <v>0</v>
      </c>
      <c r="DG25" s="225">
        <f>IF(ISERROR('raw data'!HL26/'raw data'!HM26),0,'raw data'!HL26/'raw data'!HM26)</f>
        <v>0</v>
      </c>
      <c r="DH25" s="225">
        <f>IF(ISERROR('raw data'!HN26/'raw data'!HO26),0,'raw data'!HN26/'raw data'!HO26)</f>
        <v>0</v>
      </c>
      <c r="DI25" s="225">
        <f>IF(ISERROR('raw data'!HP26/'raw data'!HQ26),0,'raw data'!HP26/'raw data'!HQ26)</f>
        <v>0</v>
      </c>
      <c r="DJ25" s="225">
        <f>IF(ISERROR('raw data'!HR26/'raw data'!HS26),0,'raw data'!HR26/'raw data'!HS26)</f>
        <v>0</v>
      </c>
      <c r="DK25" s="225">
        <f>IF(ISERROR('raw data'!HT26/'raw data'!HU26),0,'raw data'!HT26/'raw data'!HU26)</f>
        <v>0</v>
      </c>
      <c r="DL25" s="225">
        <f>IF(ISERROR('raw data'!HV26/'raw data'!HW26),0,'raw data'!HV26/'raw data'!HW26)</f>
        <v>0</v>
      </c>
      <c r="DM25" s="225">
        <f>IF(ISERROR('raw data'!HX26/'raw data'!HY26),0,'raw data'!HX26/'raw data'!HY26)</f>
        <v>0</v>
      </c>
      <c r="DN25" s="225">
        <f>IF(ISERROR('raw data'!HZ26/'raw data'!IA26),0,'raw data'!HZ26/'raw data'!IA26)</f>
        <v>0</v>
      </c>
      <c r="DO25" s="225">
        <f>IF(ISERROR('raw data'!IB26/'raw data'!IC26),0,'raw data'!IB26/'raw data'!IC26)</f>
        <v>0</v>
      </c>
      <c r="DP25" s="225">
        <f>IF(ISERROR('raw data'!ID26/'raw data'!IE26),0,'raw data'!ID26/'raw data'!IE26)</f>
        <v>0</v>
      </c>
      <c r="DQ25" s="232" t="s">
        <v>243</v>
      </c>
      <c r="DR25" s="232" t="s">
        <v>243</v>
      </c>
      <c r="DS25" s="232" t="s">
        <v>243</v>
      </c>
      <c r="DT25" s="232" t="s">
        <v>243</v>
      </c>
      <c r="DU25" s="232" t="s">
        <v>243</v>
      </c>
      <c r="DV25" s="232" t="s">
        <v>243</v>
      </c>
      <c r="DW25" s="232" t="s">
        <v>243</v>
      </c>
      <c r="DX25" s="232" t="s">
        <v>243</v>
      </c>
      <c r="DY25" s="232" t="s">
        <v>243</v>
      </c>
      <c r="DZ25" s="232" t="s">
        <v>243</v>
      </c>
      <c r="EA25" s="232" t="s">
        <v>243</v>
      </c>
      <c r="EB25" s="232" t="s">
        <v>243</v>
      </c>
      <c r="EC25" s="232" t="s">
        <v>243</v>
      </c>
      <c r="ED25" s="226"/>
      <c r="EE25" s="227">
        <v>0</v>
      </c>
      <c r="EF25" s="227">
        <v>0</v>
      </c>
      <c r="EG25" s="228">
        <f t="shared" si="0"/>
        <v>0</v>
      </c>
      <c r="EH25" s="229"/>
    </row>
    <row r="26" spans="1:138" ht="25.5" customHeight="1" x14ac:dyDescent="0.15">
      <c r="A26" s="237">
        <v>1.26</v>
      </c>
      <c r="B26" s="223" t="str">
        <f>'raw data'!B27</f>
        <v>Treasurers Trust with high proportion (40% or greater) of cash WDs &amp; balance of £5k+.</v>
      </c>
      <c r="C26" s="236" t="s">
        <v>53</v>
      </c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25">
        <f>IF(ISERROR('raw data'!CB27/'raw data'!CC27),0,'raw data'!CB27/'raw data'!CC27)</f>
        <v>0</v>
      </c>
      <c r="AQ26" s="225">
        <f>IF(ISERROR('raw data'!CD27/'raw data'!CE27),0,'raw data'!CD27/'raw data'!CE27)</f>
        <v>0</v>
      </c>
      <c r="AR26" s="225">
        <f>IF(ISERROR('raw data'!CF27/'raw data'!CG27),0,'raw data'!CF27/'raw data'!CG27)</f>
        <v>0.5</v>
      </c>
      <c r="AS26" s="225">
        <f>IF(ISERROR('raw data'!CH27/'raw data'!CI27),0,'raw data'!CH27/'raw data'!CI27)</f>
        <v>0.1</v>
      </c>
      <c r="AT26" s="225">
        <f>IF(ISERROR('raw data'!CJ27/'raw data'!CK27),0,'raw data'!CJ27/'raw data'!CK27)</f>
        <v>0</v>
      </c>
      <c r="AU26" s="225">
        <f>IF(ISERROR('raw data'!CL27/'raw data'!CM27),0,'raw data'!CL27/'raw data'!CM27)</f>
        <v>4.7619047619047616E-2</v>
      </c>
      <c r="AV26" s="225">
        <f>IF(ISERROR('raw data'!CN27/'raw data'!CO27),0,'raw data'!CN27/'raw data'!CO27)</f>
        <v>0</v>
      </c>
      <c r="AW26" s="225">
        <f>IF(ISERROR('raw data'!CP27/'raw data'!CQ27),0,'raw data'!CP27/'raw data'!CQ27)</f>
        <v>0</v>
      </c>
      <c r="AX26" s="225">
        <f>IF(ISERROR('raw data'!CR27/'raw data'!CS27),0,'raw data'!CR27/'raw data'!CS27)</f>
        <v>7.6923076923076927E-2</v>
      </c>
      <c r="AY26" s="225">
        <f>IF(ISERROR('raw data'!CT27/'raw data'!CU27),0,'raw data'!CT27/'raw data'!CU27)</f>
        <v>0.04</v>
      </c>
      <c r="AZ26" s="225">
        <f>IF(ISERROR('raw data'!CV27/'raw data'!CW27),0,'raw data'!CV27/'raw data'!CW27)</f>
        <v>8.3333333333333329E-2</v>
      </c>
      <c r="BA26" s="225">
        <f>IF(ISERROR('raw data'!CX27/'raw data'!CY27),0,'raw data'!CX27/'raw data'!CY27)</f>
        <v>0</v>
      </c>
      <c r="BB26" s="225">
        <f>IF(ISERROR('raw data'!CZ27/'raw data'!DA27),0,'raw data'!CZ27/'raw data'!DA27)</f>
        <v>8.3333333333333329E-2</v>
      </c>
      <c r="BC26" s="225">
        <f>IF(ISERROR('raw data'!DB27/'raw data'!DC27),0,'raw data'!DB27/'raw data'!DC27)</f>
        <v>0</v>
      </c>
      <c r="BD26" s="225">
        <v>7.1428571428571425E-2</v>
      </c>
      <c r="BE26" s="225">
        <f>IF(ISERROR('raw data'!DF27/'raw data'!DG27),0,'raw data'!DF27/'raw data'!DG27)</f>
        <v>0</v>
      </c>
      <c r="BF26" s="225">
        <f>IF(ISERROR('raw data'!DH27/'raw data'!DI27),0,'raw data'!DH27/'raw data'!DI27)</f>
        <v>7.1428571428571425E-2</v>
      </c>
      <c r="BG26" s="225">
        <f>IF(ISERROR('raw data'!DJ27/'raw data'!DK27),0,'raw data'!DJ27/'raw data'!DK27)</f>
        <v>0.125</v>
      </c>
      <c r="BH26" s="225">
        <f>IF(ISERROR('raw data'!DL27/'raw data'!DM27),0,'raw data'!DL27/'raw data'!DM27)</f>
        <v>0.1111111111111111</v>
      </c>
      <c r="BI26" s="225">
        <f>IF(ISERROR('raw data'!DN27/'raw data'!DO27),0,'raw data'!DN27/'raw data'!DO27)</f>
        <v>0</v>
      </c>
      <c r="BJ26" s="225">
        <f>IF(ISERROR('raw data'!DP27/'raw data'!DQ27),0,'raw data'!DP27/'raw data'!DQ27)</f>
        <v>5.5555555555555552E-2</v>
      </c>
      <c r="BK26" s="225">
        <f>IF(ISERROR('raw data'!DR27/'raw data'!DS27),0,'raw data'!DR27/'raw data'!DS27)</f>
        <v>0</v>
      </c>
      <c r="BL26" s="225">
        <f>IF(ISERROR('raw data'!DT27/'raw data'!DU27),0,'raw data'!DT27/'raw data'!DU27)</f>
        <v>0</v>
      </c>
      <c r="BM26" s="225">
        <f>IF(ISERROR('raw data'!DV27/'raw data'!DW27),0,'raw data'!DV27/'raw data'!DW27)</f>
        <v>0</v>
      </c>
      <c r="BN26" s="225">
        <f>IF(ISERROR('raw data'!DX27/'raw data'!DY27),0,'raw data'!DX27/'raw data'!DY27)</f>
        <v>0</v>
      </c>
      <c r="BO26" s="225">
        <f>IF(ISERROR('raw data'!DZ27/'raw data'!EA27),0,'raw data'!DZ27/'raw data'!EA27)</f>
        <v>0</v>
      </c>
      <c r="BP26" s="225">
        <f>IF(ISERROR('raw data'!EB27/'raw data'!EC27),0,'raw data'!EB27/'raw data'!EC27)</f>
        <v>0.125</v>
      </c>
      <c r="BQ26" s="225">
        <f>IF(ISERROR('raw data'!ED27/'raw data'!EE27),0,'raw data'!ED27/'raw data'!EE27)</f>
        <v>0.14285714285714285</v>
      </c>
      <c r="BR26" s="225">
        <f>IF(ISERROR('raw data'!EF27/'raw data'!EG27),0,'raw data'!EF27/'raw data'!EG27)</f>
        <v>0</v>
      </c>
      <c r="BS26" s="225">
        <f>IF(ISERROR('raw data'!EH27/'raw data'!EI27),0,'raw data'!EH27/'raw data'!EI27)</f>
        <v>0</v>
      </c>
      <c r="BT26" s="225">
        <f>IF(ISERROR('raw data'!EJ27/'raw data'!EK27),0,'raw data'!EJ27/'raw data'!EK27)</f>
        <v>0</v>
      </c>
      <c r="BU26" s="225">
        <f>IF(ISERROR('raw data'!EL27/'raw data'!EM27),0,'raw data'!EL27/'raw data'!EM27)</f>
        <v>0.16666666666666666</v>
      </c>
      <c r="BV26" s="225">
        <f>IF(ISERROR('raw data'!EN27/'raw data'!EO27),0,'raw data'!EN27/'raw data'!EO27)</f>
        <v>8.3333333333333329E-2</v>
      </c>
      <c r="BW26" s="225">
        <f>IF(ISERROR('raw data'!EP27/'raw data'!EQ27),0,'raw data'!EP27/'raw data'!EQ27)</f>
        <v>0</v>
      </c>
      <c r="BX26" s="225">
        <f>IF(ISERROR('raw data'!ER27/'raw data'!ES27),0,'raw data'!ER27/'raw data'!ES27)</f>
        <v>0</v>
      </c>
      <c r="BY26" s="225">
        <f>IF(ISERROR('raw data'!ET27/'raw data'!EU27),0,'raw data'!ET27/'raw data'!EU27)</f>
        <v>0.14285714285714285</v>
      </c>
      <c r="BZ26" s="225">
        <f>IF(ISERROR('raw data'!EV27/'raw data'!EW27),0,'raw data'!EV27/'raw data'!EW27)</f>
        <v>0</v>
      </c>
      <c r="CA26" s="225">
        <f>IF(ISERROR('raw data'!EX27/'raw data'!EY27),0,'raw data'!EX27/'raw data'!EY27)</f>
        <v>0</v>
      </c>
      <c r="CB26" s="225">
        <f>IF(ISERROR('raw data'!EZ27/'raw data'!FA27),0,'raw data'!EZ27/'raw data'!FA27)</f>
        <v>0</v>
      </c>
      <c r="CC26" s="225">
        <f>IF(ISERROR('raw data'!FB27/'raw data'!FC27),0,'raw data'!FB27/'raw data'!FC27)</f>
        <v>0</v>
      </c>
      <c r="CD26" s="225">
        <f>IF(ISERROR('raw data'!FD27/'raw data'!FE27),0,'raw data'!FD27/'raw data'!FE27)</f>
        <v>0</v>
      </c>
      <c r="CE26" s="225">
        <f>IF(ISERROR('raw data'!FF27/'raw data'!FG27),0,'raw data'!FF27/'raw data'!FG27)</f>
        <v>0</v>
      </c>
      <c r="CF26" s="225">
        <f>IF(ISERROR('raw data'!FH27/'raw data'!FI27),0,'raw data'!FH27/'raw data'!FI27)</f>
        <v>0</v>
      </c>
      <c r="CG26" s="225">
        <f>IF(ISERROR('raw data'!FJ27/'raw data'!FM27),0,'raw data'!FJ27/'raw data'!FM27)</f>
        <v>0</v>
      </c>
      <c r="CH26" s="225">
        <f>IF(ISERROR('raw data'!FN27/'raw data'!FO27),0,'raw data'!FN27/'raw data'!FO27)</f>
        <v>0</v>
      </c>
      <c r="CI26" s="225">
        <f>IF(ISERROR('raw data'!FP27/'raw data'!FQ27),0,'raw data'!FP27/'raw data'!FQ27)</f>
        <v>0</v>
      </c>
      <c r="CJ26" s="225">
        <f>IF(ISERROR('raw data'!FR27/'raw data'!FS27),0,'raw data'!FR27/'raw data'!FS27)</f>
        <v>0</v>
      </c>
      <c r="CK26" s="225">
        <f>IF(ISERROR('raw data'!FT27/'raw data'!FU27),0,'raw data'!FT27/'raw data'!FU27)</f>
        <v>0</v>
      </c>
      <c r="CL26" s="225">
        <f>IF(ISERROR('raw data'!FV27/'raw data'!FW27),0,'raw data'!FV27/'raw data'!FW27)</f>
        <v>0</v>
      </c>
      <c r="CM26" s="225">
        <f>IF(ISERROR('raw data'!FX27/'raw data'!FY27),0,'raw data'!FX27/'raw data'!FY27)</f>
        <v>0</v>
      </c>
      <c r="CN26" s="225">
        <f>IF(ISERROR('raw data'!FZ27/'raw data'!GA27),0,'raw data'!FZ27/'raw data'!GA27)</f>
        <v>0</v>
      </c>
      <c r="CO26" s="225">
        <f>IF(ISERROR('raw data'!GB27/'raw data'!GC27),0,'raw data'!GB27/'raw data'!GC27)</f>
        <v>0</v>
      </c>
      <c r="CP26" s="225">
        <f>IF(ISERROR('raw data'!GD27/'raw data'!GE27),0,'raw data'!GD27/'raw data'!GE27)</f>
        <v>0</v>
      </c>
      <c r="CQ26" s="225">
        <f>IF(ISERROR('raw data'!GF27/'raw data'!GG27),0,'raw data'!GF27/'raw data'!GG27)</f>
        <v>0</v>
      </c>
      <c r="CR26" s="225">
        <f>IF(ISERROR('raw data'!GH27/'raw data'!GI27),0,'raw data'!GH27/'raw data'!GI27)</f>
        <v>0.16666666666666666</v>
      </c>
      <c r="CS26" s="225">
        <f>IF(ISERROR('raw data'!GJ27/'raw data'!GK27),0,'raw data'!GJ27/'raw data'!GK27)</f>
        <v>0</v>
      </c>
      <c r="CT26" s="225">
        <f>IF(ISERROR('raw data'!GL27/'raw data'!GM27),0,'raw data'!GL27/'raw data'!GM27)</f>
        <v>0</v>
      </c>
      <c r="CU26" s="225">
        <f>IF(ISERROR('raw data'!GN27/'raw data'!GO27),0,'raw data'!GN27/'raw data'!GO27)</f>
        <v>0</v>
      </c>
      <c r="CV26" s="225">
        <f>IF(ISERROR('raw data'!GP27/'raw data'!GQ27),0,'raw data'!GP27/'raw data'!GQ27)</f>
        <v>0</v>
      </c>
      <c r="CW26" s="225">
        <f>IF(ISERROR('raw data'!GR27/'raw data'!GS27),0,'raw data'!GR27/'raw data'!GS27)</f>
        <v>0</v>
      </c>
      <c r="CX26" s="225">
        <f>IF(ISERROR('raw data'!GT27/'raw data'!GU27),0,'raw data'!GT27/'raw data'!GU27)</f>
        <v>0</v>
      </c>
      <c r="CY26" s="225">
        <f>IF(ISERROR('raw data'!GV27/'raw data'!GW27),0,'raw data'!GV27/'raw data'!GW27)</f>
        <v>0</v>
      </c>
      <c r="CZ26" s="225">
        <f>IF(ISERROR('raw data'!GX27/'raw data'!GY27),0,'raw data'!GX27/'raw data'!GY27)</f>
        <v>0</v>
      </c>
      <c r="DA26" s="225">
        <f>IF(ISERROR('raw data'!GZ27/'raw data'!HA27),0,'raw data'!GZ27/'raw data'!HA27)</f>
        <v>0</v>
      </c>
      <c r="DB26" s="225">
        <f>IF(ISERROR('raw data'!HB27/'raw data'!HC27),0,'raw data'!HB27/'raw data'!HC27)</f>
        <v>0</v>
      </c>
      <c r="DC26" s="225">
        <f>IF(ISERROR('raw data'!HD27/'raw data'!HE27),0,'raw data'!HD27/'raw data'!HE27)</f>
        <v>0</v>
      </c>
      <c r="DD26" s="225">
        <f>IF(ISERROR('raw data'!HF27/'raw data'!HG27),0,'raw data'!HF27/'raw data'!HG27)</f>
        <v>0</v>
      </c>
      <c r="DE26" s="225">
        <f>IF(ISERROR('raw data'!HH27/'raw data'!HI27),0,'raw data'!HH27/'raw data'!HI27)</f>
        <v>0</v>
      </c>
      <c r="DF26" s="225">
        <f>IF(ISERROR('raw data'!HJ27/'raw data'!HK27),0,'raw data'!HJ27/'raw data'!HK27)</f>
        <v>0</v>
      </c>
      <c r="DG26" s="225">
        <f>IF(ISERROR('raw data'!HL27/'raw data'!HM27),0,'raw data'!HL27/'raw data'!HM27)</f>
        <v>0</v>
      </c>
      <c r="DH26" s="225">
        <f>IF(ISERROR('raw data'!HN27/'raw data'!HO27),0,'raw data'!HN27/'raw data'!HO27)</f>
        <v>0</v>
      </c>
      <c r="DI26" s="225">
        <f>IF(ISERROR('raw data'!HP27/'raw data'!HQ27),0,'raw data'!HP27/'raw data'!HQ27)</f>
        <v>0</v>
      </c>
      <c r="DJ26" s="225">
        <f>IF(ISERROR('raw data'!HR27/'raw data'!HS27),0,'raw data'!HR27/'raw data'!HS27)</f>
        <v>0</v>
      </c>
      <c r="DK26" s="225">
        <f>IF(ISERROR('raw data'!HT27/'raw data'!HU27),0,'raw data'!HT27/'raw data'!HU27)</f>
        <v>0</v>
      </c>
      <c r="DL26" s="225">
        <f>IF(ISERROR('raw data'!HV27/'raw data'!HW27),0,'raw data'!HV27/'raw data'!HW27)</f>
        <v>0</v>
      </c>
      <c r="DM26" s="225">
        <f>IF(ISERROR('raw data'!HX27/'raw data'!HY27),0,'raw data'!HX27/'raw data'!HY27)</f>
        <v>0</v>
      </c>
      <c r="DN26" s="225">
        <f>IF(ISERROR('raw data'!HZ27/'raw data'!IA27),0,'raw data'!HZ27/'raw data'!IA27)</f>
        <v>0</v>
      </c>
      <c r="DO26" s="225">
        <f>IF(ISERROR('raw data'!IB27/'raw data'!IC27),0,'raw data'!IB27/'raw data'!IC27)</f>
        <v>0</v>
      </c>
      <c r="DP26" s="225">
        <f>IF(ISERROR('raw data'!ID27/'raw data'!IE27),0,'raw data'!ID27/'raw data'!IE27)</f>
        <v>0</v>
      </c>
      <c r="DQ26" s="225">
        <f>IF(ISERROR('raw data'!IF27/'raw data'!IG27),0,'raw data'!IF27/'raw data'!IG27)</f>
        <v>0</v>
      </c>
      <c r="DR26" s="225">
        <f>IF(ISERROR('raw data'!IH27/'raw data'!II27),0,'raw data'!IH27/'raw data'!II27)</f>
        <v>0</v>
      </c>
      <c r="DS26" s="225">
        <f>IF(ISERROR('raw data'!IJ27/'raw data'!IK27),0,'raw data'!IJ27/'raw data'!IK27)</f>
        <v>0</v>
      </c>
      <c r="DT26" s="225">
        <f>IF(ISERROR('raw data'!IL27/'raw data'!IM27),0,'raw data'!IL27/'raw data'!IM27)</f>
        <v>0</v>
      </c>
      <c r="DU26" s="225">
        <f>IF(ISERROR('raw data'!IN27/'raw data'!IO27),0,'raw data'!IN27/'raw data'!IO27)</f>
        <v>0</v>
      </c>
      <c r="DV26" s="225">
        <f>IF(ISERROR('raw data'!IP27/'raw data'!IQ27),0,'raw data'!IP27/'raw data'!IQ27)</f>
        <v>0</v>
      </c>
      <c r="DW26" s="225">
        <f>IF(ISERROR('raw data'!IR27/'raw data'!IS27),0,'raw data'!IR27/'raw data'!IS27)</f>
        <v>0</v>
      </c>
      <c r="DX26" s="225">
        <f>IF(ISERROR('raw data'!IT27/'raw data'!IU27),0,'raw data'!IT27/'raw data'!IU27)</f>
        <v>0</v>
      </c>
      <c r="DY26" s="225">
        <f>IF(ISERROR('raw data'!IV27/'raw data'!IW27),0,'raw data'!IV27/'raw data'!IW27)</f>
        <v>0</v>
      </c>
      <c r="DZ26" s="225">
        <f>IF(ISERROR('raw data'!IX27/'raw data'!IY27),0,'raw data'!IX27/'raw data'!IY27)</f>
        <v>0.2</v>
      </c>
      <c r="EA26" s="225">
        <f>IF(ISERROR('raw data'!IZ27/'raw data'!JA27),0,'raw data'!IZ27/'raw data'!JA27)</f>
        <v>0</v>
      </c>
      <c r="EB26" s="225">
        <f>IF(ISERROR('raw data'!JB27/'raw data'!JC27),0,'raw data'!JB27/'raw data'!JC27)</f>
        <v>0</v>
      </c>
      <c r="EC26" s="225">
        <f>IF(ISERROR('raw data'!JD27/'raw data'!JE27),0,'raw data'!JD27/'raw data'!JE27)</f>
        <v>0</v>
      </c>
      <c r="ED26" s="226"/>
      <c r="EE26" s="227">
        <v>1</v>
      </c>
      <c r="EF26" s="227">
        <v>46</v>
      </c>
      <c r="EG26" s="228">
        <f t="shared" si="0"/>
        <v>2.1739130434782608E-2</v>
      </c>
    </row>
    <row r="27" spans="1:138" ht="25.5" customHeight="1" x14ac:dyDescent="0.15">
      <c r="A27" s="237">
        <v>1.27</v>
      </c>
      <c r="B27" s="223" t="str">
        <f>'raw data'!B28</f>
        <v xml:space="preserve">Accounts with £50k+ in and out via LAs (between 10-29), WPs &amp; VPs (WP+VP 25 plus).   </v>
      </c>
      <c r="C27" s="236" t="s">
        <v>55</v>
      </c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25">
        <f>IF(ISERROR('raw data'!CH28/'raw data'!CI28),0,'raw data'!CH28/'raw data'!CI28)</f>
        <v>0.15151515151515152</v>
      </c>
      <c r="AT27" s="225">
        <f>IF(ISERROR('raw data'!CJ28/'raw data'!CK28),0,'raw data'!CJ28/'raw data'!CK28)</f>
        <v>0.10909090909090909</v>
      </c>
      <c r="AU27" s="225">
        <f>IF(ISERROR('raw data'!CL28/'raw data'!CM28),0,'raw data'!CL28/'raw data'!CM28)</f>
        <v>8.3333333333333329E-2</v>
      </c>
      <c r="AV27" s="225">
        <f>IF(ISERROR('raw data'!CN28/'raw data'!CO28),0,'raw data'!CN28/'raw data'!CO28)</f>
        <v>8.1632653061224483E-2</v>
      </c>
      <c r="AW27" s="225">
        <f>IF(ISERROR('raw data'!CP28/'raw data'!CQ28),0,'raw data'!CP28/'raw data'!CQ28)</f>
        <v>6.7567567567567571E-2</v>
      </c>
      <c r="AX27" s="225">
        <f>IF(ISERROR('raw data'!CR28/'raw data'!CS28),0,'raw data'!CR28/'raw data'!CS28)</f>
        <v>4.3010752688172046E-2</v>
      </c>
      <c r="AY27" s="225">
        <f>IF(ISERROR('raw data'!CT28/'raw data'!CU28),0,'raw data'!CT28/'raw data'!CU28)</f>
        <v>0.1044776119402985</v>
      </c>
      <c r="AZ27" s="225">
        <f>IF(ISERROR('raw data'!CV28/'raw data'!CW28),0,'raw data'!CV28/'raw data'!CW28)</f>
        <v>0.12987012987012986</v>
      </c>
      <c r="BA27" s="225">
        <f>IF(ISERROR('raw data'!CX28/'raw data'!CY28),0,'raw data'!CX28/'raw data'!CY28)</f>
        <v>5.3333333333333337E-2</v>
      </c>
      <c r="BB27" s="225">
        <f>IF(ISERROR('raw data'!CZ28/'raw data'!DA28),0,'raw data'!CZ28/'raw data'!DA28)</f>
        <v>0.12</v>
      </c>
      <c r="BC27" s="225">
        <f>IF(ISERROR('raw data'!DB28/'raw data'!DC28),0,'raw data'!DB28/'raw data'!DC28)</f>
        <v>0.14285714285714285</v>
      </c>
      <c r="BD27" s="225">
        <v>8.7912087912087919E-2</v>
      </c>
      <c r="BE27" s="225">
        <f>IF(ISERROR('raw data'!DF28/'raw data'!DG28),0,'raw data'!DF28/'raw data'!DG28)</f>
        <v>8.5365853658536592E-2</v>
      </c>
      <c r="BF27" s="225">
        <f>IF(ISERROR('raw data'!DH28/'raw data'!DI28),0,'raw data'!DH28/'raw data'!DI28)</f>
        <v>8.6956521739130432E-2</v>
      </c>
      <c r="BG27" s="225">
        <f>IF(ISERROR('raw data'!DJ28/'raw data'!DK28),0,'raw data'!DJ28/'raw data'!DK28)</f>
        <v>0.17543859649122806</v>
      </c>
      <c r="BH27" s="225">
        <f>IF(ISERROR('raw data'!DL28/'raw data'!DM28),0,'raw data'!DL28/'raw data'!DM28)</f>
        <v>8.6538461538461536E-2</v>
      </c>
      <c r="BI27" s="225">
        <f>IF(ISERROR('raw data'!DN28/'raw data'!DO28),0,'raw data'!DN28/'raw data'!DO28)</f>
        <v>0.10377358490566038</v>
      </c>
      <c r="BJ27" s="225">
        <f>IF(ISERROR('raw data'!DP28/'raw data'!DQ28),0,'raw data'!DP28/'raw data'!DQ28)</f>
        <v>0.10434782608695652</v>
      </c>
      <c r="BK27" s="225">
        <f>IF(ISERROR('raw data'!DR28/'raw data'!DS28),0,'raw data'!DR28/'raw data'!DS28)</f>
        <v>4.6875E-2</v>
      </c>
      <c r="BL27" s="225">
        <f>IF(ISERROR('raw data'!DT28/'raw data'!DU28),0,'raw data'!DT28/'raw data'!DU28)</f>
        <v>0.10526315789473684</v>
      </c>
      <c r="BM27" s="225">
        <f>IF(ISERROR('raw data'!DV28/'raw data'!DW28),0,'raw data'!DV28/'raw data'!DW28)</f>
        <v>6.7307692307692304E-2</v>
      </c>
      <c r="BN27" s="225">
        <f>IF(ISERROR('raw data'!DX28/'raw data'!DY28),0,'raw data'!DX28/'raw data'!DY28)</f>
        <v>7.407407407407407E-2</v>
      </c>
      <c r="BO27" s="225">
        <f>IF(ISERROR('raw data'!DZ28/'raw data'!EA28),0,'raw data'!DZ28/'raw data'!EA28)</f>
        <v>4.7945205479452052E-2</v>
      </c>
      <c r="BP27" s="225">
        <f>IF(ISERROR('raw data'!EB28/'raw data'!EC28),0,'raw data'!EB28/'raw data'!EC28)</f>
        <v>7.0866141732283464E-2</v>
      </c>
      <c r="BQ27" s="225">
        <f>IF(ISERROR('raw data'!ED28/'raw data'!EE28),0,'raw data'!ED28/'raw data'!EE28)</f>
        <v>4.3859649122807015E-2</v>
      </c>
      <c r="BR27" s="225">
        <f>IF(ISERROR('raw data'!EF28/'raw data'!EG28),0,'raw data'!EF28/'raw data'!EG28)</f>
        <v>4.065040650406504E-2</v>
      </c>
      <c r="BS27" s="225">
        <f>IF(ISERROR('raw data'!EH28/'raw data'!EI28),0,'raw data'!EH28/'raw data'!EI28)</f>
        <v>1.7543859649122806E-2</v>
      </c>
      <c r="BT27" s="225">
        <f>IF(ISERROR('raw data'!EJ28/'raw data'!EK28),0,'raw data'!EJ28/'raw data'!EK28)</f>
        <v>4.6052631578947366E-2</v>
      </c>
      <c r="BU27" s="225">
        <f>IF(ISERROR('raw data'!EL28/'raw data'!EM28),0,'raw data'!EL28/'raw data'!EM28)</f>
        <v>3.8461538461538464E-2</v>
      </c>
      <c r="BV27" s="225">
        <f>IF(ISERROR('raw data'!EN28/'raw data'!EO28),0,'raw data'!EN28/'raw data'!EO28)</f>
        <v>9.7087378640776698E-2</v>
      </c>
      <c r="BW27" s="225">
        <f>IF(ISERROR('raw data'!EP28/'raw data'!EQ28),0,'raw data'!EP28/'raw data'!EQ28)</f>
        <v>3.4722222222222224E-2</v>
      </c>
      <c r="BX27" s="225">
        <f>IF(ISERROR('raw data'!ER28/'raw data'!ES28),0,'raw data'!ER28/'raw data'!ES28)</f>
        <v>6.0606060606060608E-2</v>
      </c>
      <c r="BY27" s="225">
        <f>IF(ISERROR('raw data'!ET28/'raw data'!EU28),0,'raw data'!ET28/'raw data'!EU28)</f>
        <v>6.535947712418301E-2</v>
      </c>
      <c r="BZ27" s="225">
        <f>IF(ISERROR('raw data'!EV28/'raw data'!EW28),0,'raw data'!EV28/'raw data'!EW28)</f>
        <v>8.6614173228346455E-2</v>
      </c>
      <c r="CA27" s="225">
        <f>IF(ISERROR('raw data'!EX28/'raw data'!EY28),0,'raw data'!EX28/'raw data'!EY28)</f>
        <v>3.8461538461538464E-2</v>
      </c>
      <c r="CB27" s="225">
        <f>IF(ISERROR('raw data'!EZ28/'raw data'!FA28),0,'raw data'!EZ28/'raw data'!FA28)</f>
        <v>9.2198581560283682E-2</v>
      </c>
      <c r="CC27" s="225">
        <f>IF(ISERROR('raw data'!FB28/'raw data'!FC28),0,'raw data'!FB28/'raw data'!FC28)</f>
        <v>6.0773480662983423E-2</v>
      </c>
      <c r="CD27" s="225">
        <f>IF(ISERROR('raw data'!FD28/'raw data'!FE28),0,'raw data'!FD28/'raw data'!FE28)</f>
        <v>5.232558139534884E-2</v>
      </c>
      <c r="CE27" s="225">
        <f>IF(ISERROR('raw data'!FF28/'raw data'!FG28),0,'raw data'!FF28/'raw data'!FG28)</f>
        <v>5.5276381909547742E-2</v>
      </c>
      <c r="CF27" s="225">
        <f>IF(ISERROR('raw data'!FH28/'raw data'!FI28),0,'raw data'!FH28/'raw data'!FI28)</f>
        <v>5.181347150259067E-2</v>
      </c>
      <c r="CG27" s="225">
        <f>IF(ISERROR('raw data'!FJ28/'raw data'!FM28),0,'raw data'!FJ28/'raw data'!FM28)</f>
        <v>9.7087378640776691E-3</v>
      </c>
      <c r="CH27" s="225">
        <f>IF(ISERROR('raw data'!FN28/'raw data'!FO28),0,'raw data'!FN28/'raw data'!FO28)</f>
        <v>0</v>
      </c>
      <c r="CI27" s="238" t="s">
        <v>30</v>
      </c>
      <c r="CJ27" s="238" t="s">
        <v>30</v>
      </c>
      <c r="CK27" s="238" t="s">
        <v>30</v>
      </c>
      <c r="CL27" s="238" t="s">
        <v>30</v>
      </c>
      <c r="CM27" s="238" t="s">
        <v>30</v>
      </c>
      <c r="CN27" s="238" t="s">
        <v>30</v>
      </c>
      <c r="CO27" s="238" t="s">
        <v>30</v>
      </c>
      <c r="CP27" s="238" t="s">
        <v>30</v>
      </c>
      <c r="CQ27" s="238" t="s">
        <v>30</v>
      </c>
      <c r="CR27" s="238" t="s">
        <v>30</v>
      </c>
      <c r="CS27" s="238" t="s">
        <v>30</v>
      </c>
      <c r="CT27" s="238" t="s">
        <v>30</v>
      </c>
      <c r="CU27" s="238" t="s">
        <v>30</v>
      </c>
      <c r="CV27" s="238" t="s">
        <v>30</v>
      </c>
      <c r="CW27" s="238" t="s">
        <v>30</v>
      </c>
      <c r="CX27" s="238" t="s">
        <v>30</v>
      </c>
      <c r="CY27" s="238" t="s">
        <v>30</v>
      </c>
      <c r="CZ27" s="238" t="s">
        <v>30</v>
      </c>
      <c r="DA27" s="238" t="s">
        <v>30</v>
      </c>
      <c r="DB27" s="238" t="s">
        <v>30</v>
      </c>
      <c r="DC27" s="238" t="s">
        <v>30</v>
      </c>
      <c r="DD27" s="238" t="s">
        <v>30</v>
      </c>
      <c r="DE27" s="238" t="s">
        <v>30</v>
      </c>
      <c r="DF27" s="238" t="s">
        <v>30</v>
      </c>
      <c r="DG27" s="238" t="s">
        <v>30</v>
      </c>
      <c r="DH27" s="238" t="s">
        <v>30</v>
      </c>
      <c r="DI27" s="238" t="s">
        <v>30</v>
      </c>
      <c r="DJ27" s="238" t="s">
        <v>30</v>
      </c>
      <c r="DK27" s="238" t="s">
        <v>30</v>
      </c>
      <c r="DL27" s="238" t="s">
        <v>30</v>
      </c>
      <c r="DM27" s="238" t="s">
        <v>30</v>
      </c>
      <c r="DN27" s="238" t="s">
        <v>30</v>
      </c>
      <c r="DO27" s="238" t="s">
        <v>30</v>
      </c>
      <c r="DP27" s="238" t="s">
        <v>30</v>
      </c>
      <c r="DQ27" s="238" t="s">
        <v>30</v>
      </c>
      <c r="DR27" s="238" t="s">
        <v>30</v>
      </c>
      <c r="DS27" s="238" t="s">
        <v>30</v>
      </c>
      <c r="DT27" s="238" t="s">
        <v>30</v>
      </c>
      <c r="DU27" s="238" t="s">
        <v>30</v>
      </c>
      <c r="DV27" s="238" t="s">
        <v>30</v>
      </c>
      <c r="DW27" s="238" t="s">
        <v>30</v>
      </c>
      <c r="DX27" s="238" t="s">
        <v>30</v>
      </c>
      <c r="DY27" s="238" t="s">
        <v>30</v>
      </c>
      <c r="DZ27" s="238" t="s">
        <v>30</v>
      </c>
      <c r="EA27" s="238" t="s">
        <v>30</v>
      </c>
      <c r="EB27" s="238" t="s">
        <v>30</v>
      </c>
      <c r="EC27" s="238" t="s">
        <v>30</v>
      </c>
      <c r="ED27" s="226"/>
      <c r="EE27" s="227">
        <v>0</v>
      </c>
      <c r="EF27" s="227">
        <v>0</v>
      </c>
      <c r="EG27" s="228">
        <f t="shared" si="0"/>
        <v>0</v>
      </c>
    </row>
    <row r="28" spans="1:138" ht="25.5" customHeight="1" x14ac:dyDescent="0.15">
      <c r="A28" s="237">
        <v>1.28</v>
      </c>
      <c r="B28" s="223" t="str">
        <f>'raw data'!B29</f>
        <v>Treasurers Trust, Business Investor and Portfolio Investor accounts conducting Swifts.</v>
      </c>
      <c r="C28" s="239" t="s">
        <v>57</v>
      </c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40"/>
      <c r="AI28" s="240"/>
      <c r="AJ28" s="240"/>
      <c r="AK28" s="240"/>
      <c r="AL28" s="240"/>
      <c r="AM28" s="240"/>
      <c r="AN28" s="240"/>
      <c r="AO28" s="240"/>
      <c r="AP28" s="240"/>
      <c r="AQ28" s="240"/>
      <c r="AR28" s="240"/>
      <c r="AS28" s="240"/>
      <c r="AT28" s="240"/>
      <c r="AU28" s="240"/>
      <c r="AV28" s="240"/>
      <c r="AW28" s="240"/>
      <c r="AX28" s="240"/>
      <c r="AY28" s="240"/>
      <c r="AZ28" s="225">
        <f>IF(ISERROR('raw data'!CV29/'raw data'!CW29),0,'raw data'!CV29/'raw data'!CW29)</f>
        <v>0</v>
      </c>
      <c r="BA28" s="225">
        <f>IF(ISERROR('raw data'!CX29/'raw data'!CY29),0,'raw data'!CX29/'raw data'!CY29)</f>
        <v>0</v>
      </c>
      <c r="BB28" s="225">
        <f>IF(ISERROR('raw data'!CZ29/'raw data'!DA29),0,'raw data'!CZ29/'raw data'!DA29)</f>
        <v>0</v>
      </c>
      <c r="BC28" s="225">
        <f>IF(ISERROR('raw data'!DB29/'raw data'!DC29),0,'raw data'!DB29/'raw data'!DC29)</f>
        <v>0</v>
      </c>
      <c r="BD28" s="225">
        <v>0</v>
      </c>
      <c r="BE28" s="225">
        <f>IF(ISERROR('raw data'!DF29/'raw data'!DG29),0,'raw data'!DF29/'raw data'!DG29)</f>
        <v>0.14285714285714285</v>
      </c>
      <c r="BF28" s="225">
        <f>IF(ISERROR('raw data'!DH29/'raw data'!DI29),0,'raw data'!DH29/'raw data'!DI29)</f>
        <v>0</v>
      </c>
      <c r="BG28" s="225">
        <f>IF(ISERROR('raw data'!DJ29/'raw data'!DK29),0,'raw data'!DJ29/'raw data'!DK29)</f>
        <v>0</v>
      </c>
      <c r="BH28" s="225">
        <f>IF(ISERROR('raw data'!DL29/'raw data'!DM29),0,'raw data'!DL29/'raw data'!DM29)</f>
        <v>0.22222222222222221</v>
      </c>
      <c r="BI28" s="225">
        <f>IF(ISERROR('raw data'!DN29/'raw data'!DO29),0,'raw data'!DN29/'raw data'!DO29)</f>
        <v>0.22222222222222221</v>
      </c>
      <c r="BJ28" s="225">
        <f>IF(ISERROR('raw data'!DP29/'raw data'!DQ29),0,'raw data'!DP29/'raw data'!DQ29)</f>
        <v>0.14285714285714285</v>
      </c>
      <c r="BK28" s="225">
        <f>IF(ISERROR('raw data'!DR29/'raw data'!DS29),0,'raw data'!DR29/'raw data'!DS29)</f>
        <v>0</v>
      </c>
      <c r="BL28" s="225">
        <f>IF(ISERROR('raw data'!DT29/'raw data'!DU29),0,'raw data'!DT29/'raw data'!DU29)</f>
        <v>0</v>
      </c>
      <c r="BM28" s="225">
        <f>IF(ISERROR('raw data'!DV29/'raw data'!DW29),0,'raw data'!DV29/'raw data'!DW29)</f>
        <v>0</v>
      </c>
      <c r="BN28" s="225">
        <f>IF(ISERROR('raw data'!DX29/'raw data'!DY29),0,'raw data'!DX29/'raw data'!DY29)</f>
        <v>0</v>
      </c>
      <c r="BO28" s="225">
        <f>IF(ISERROR('raw data'!DZ29/'raw data'!EA29),0,'raw data'!DZ29/'raw data'!EA29)</f>
        <v>0</v>
      </c>
      <c r="BP28" s="225">
        <f>IF(ISERROR('raw data'!EB29/'raw data'!EC29),0,'raw data'!EB29/'raw data'!EC29)</f>
        <v>0</v>
      </c>
      <c r="BQ28" s="225">
        <f>IF(ISERROR('raw data'!ED29/'raw data'!EE29),0,'raw data'!ED29/'raw data'!EE29)</f>
        <v>0</v>
      </c>
      <c r="BR28" s="225">
        <f>IF(ISERROR('raw data'!EF29/'raw data'!EG29),0,'raw data'!EF29/'raw data'!EG29)</f>
        <v>0</v>
      </c>
      <c r="BS28" s="225">
        <f>IF(ISERROR('raw data'!EH29/'raw data'!EI29),0,'raw data'!EH29/'raw data'!EI29)</f>
        <v>0</v>
      </c>
      <c r="BT28" s="225">
        <f>IF(ISERROR('raw data'!EJ29/'raw data'!EK29),0,'raw data'!EJ29/'raw data'!EK29)</f>
        <v>0</v>
      </c>
      <c r="BU28" s="225">
        <f>IF(ISERROR('raw data'!EL29/'raw data'!EM29),0,'raw data'!EL29/'raw data'!EM29)</f>
        <v>0</v>
      </c>
      <c r="BV28" s="225">
        <f>IF(ISERROR('raw data'!EN29/'raw data'!EO29),0,'raw data'!EN29/'raw data'!EO29)</f>
        <v>0</v>
      </c>
      <c r="BW28" s="225">
        <f>IF(ISERROR('raw data'!EP29/'raw data'!EQ29),0,'raw data'!EP29/'raw data'!EQ29)</f>
        <v>0.16666666666666666</v>
      </c>
      <c r="BX28" s="225">
        <f>IF(ISERROR('raw data'!ER29/'raw data'!ES29),0,'raw data'!ER29/'raw data'!ES29)</f>
        <v>0</v>
      </c>
      <c r="BY28" s="225">
        <f>IF(ISERROR('raw data'!ET29/'raw data'!EU29),0,'raw data'!ET29/'raw data'!EU29)</f>
        <v>0.2</v>
      </c>
      <c r="BZ28" s="225">
        <f>IF(ISERROR('raw data'!EV29/'raw data'!EW29),0,'raw data'!EV29/'raw data'!EW29)</f>
        <v>0</v>
      </c>
      <c r="CA28" s="225">
        <f>IF(ISERROR('raw data'!EX29/'raw data'!EY29),0,'raw data'!EX29/'raw data'!EY29)</f>
        <v>0</v>
      </c>
      <c r="CB28" s="225">
        <f>IF(ISERROR('raw data'!EZ29/'raw data'!FA29),0,'raw data'!EZ29/'raw data'!FA29)</f>
        <v>0</v>
      </c>
      <c r="CC28" s="225">
        <f>IF(ISERROR('raw data'!FB29/'raw data'!FC29),0,'raw data'!FB29/'raw data'!FC29)</f>
        <v>0</v>
      </c>
      <c r="CD28" s="225">
        <f>IF(ISERROR('raw data'!FD29/'raw data'!FE29),0,'raw data'!FD29/'raw data'!FE29)</f>
        <v>0</v>
      </c>
      <c r="CE28" s="225">
        <f>IF(ISERROR('raw data'!FF29/'raw data'!FG29),0,'raw data'!FF29/'raw data'!FG29)</f>
        <v>0</v>
      </c>
      <c r="CF28" s="225">
        <f>IF(ISERROR('raw data'!FH29/'raw data'!FI29),0,'raw data'!FH29/'raw data'!FI29)</f>
        <v>0</v>
      </c>
      <c r="CG28" s="225">
        <f>IF(ISERROR('raw data'!FJ29/'raw data'!FM29),0,'raw data'!FJ29/'raw data'!FM29)</f>
        <v>0</v>
      </c>
      <c r="CH28" s="225">
        <f>IF(ISERROR('raw data'!FN29/'raw data'!FO29),0,'raw data'!FN29/'raw data'!FO29)</f>
        <v>0</v>
      </c>
      <c r="CI28" s="225">
        <f>IF(ISERROR('raw data'!FP29/'raw data'!FQ29),0,'raw data'!FP29/'raw data'!FQ29)</f>
        <v>0</v>
      </c>
      <c r="CJ28" s="225">
        <f>IF(ISERROR('raw data'!FR29/'raw data'!FS29),0,'raw data'!FR29/'raw data'!FS29)</f>
        <v>0</v>
      </c>
      <c r="CK28" s="225">
        <f>IF(ISERROR('raw data'!FT29/'raw data'!FU29),0,'raw data'!FT29/'raw data'!FU29)</f>
        <v>0</v>
      </c>
      <c r="CL28" s="225">
        <f>IF(ISERROR('raw data'!FV29/'raw data'!FW29),0,'raw data'!FV29/'raw data'!FW29)</f>
        <v>0</v>
      </c>
      <c r="CM28" s="225">
        <f>IF(ISERROR('raw data'!FX29/'raw data'!FY29),0,'raw data'!FX29/'raw data'!FY29)</f>
        <v>0</v>
      </c>
      <c r="CN28" s="225">
        <f>IF(ISERROR('raw data'!FZ29/'raw data'!GA29),0,'raw data'!FZ29/'raw data'!GA29)</f>
        <v>0</v>
      </c>
      <c r="CO28" s="225">
        <f>IF(ISERROR('raw data'!GB29/'raw data'!GC29),0,'raw data'!GB29/'raw data'!GC29)</f>
        <v>0</v>
      </c>
      <c r="CP28" s="225">
        <f>IF(ISERROR('raw data'!GD29/'raw data'!GE29),0,'raw data'!GD29/'raw data'!GE29)</f>
        <v>0</v>
      </c>
      <c r="CQ28" s="225">
        <f>IF(ISERROR('raw data'!GF29/'raw data'!GG29),0,'raw data'!GF29/'raw data'!GG29)</f>
        <v>0</v>
      </c>
      <c r="CR28" s="225">
        <f>IF(ISERROR('raw data'!GH29/'raw data'!GI29),0,'raw data'!GH29/'raw data'!GI29)</f>
        <v>0</v>
      </c>
      <c r="CS28" s="225">
        <f>IF(ISERROR('raw data'!GJ29/'raw data'!GK29),0,'raw data'!GJ29/'raw data'!GK29)</f>
        <v>0</v>
      </c>
      <c r="CT28" s="225">
        <f>IF(ISERROR('raw data'!GL29/'raw data'!GM29),0,'raw data'!GL29/'raw data'!GM29)</f>
        <v>0</v>
      </c>
      <c r="CU28" s="225">
        <f>IF(ISERROR('raw data'!GN29/'raw data'!GO29),0,'raw data'!GN29/'raw data'!GO29)</f>
        <v>0</v>
      </c>
      <c r="CV28" s="225">
        <f>IF(ISERROR('raw data'!GP29/'raw data'!GQ29),0,'raw data'!GP29/'raw data'!GQ29)</f>
        <v>0</v>
      </c>
      <c r="CW28" s="225">
        <f>IF(ISERROR('raw data'!GR29/'raw data'!GS29),0,'raw data'!GR29/'raw data'!GS29)</f>
        <v>0</v>
      </c>
      <c r="CX28" s="225">
        <f>IF(ISERROR('raw data'!GT29/'raw data'!GU29),0,'raw data'!GT29/'raw data'!GU29)</f>
        <v>0</v>
      </c>
      <c r="CY28" s="225">
        <f>IF(ISERROR('raw data'!GV29/'raw data'!GW29),0,'raw data'!GV29/'raw data'!GW29)</f>
        <v>0</v>
      </c>
      <c r="CZ28" s="225">
        <f>IF(ISERROR('raw data'!GX29/'raw data'!GY29),0,'raw data'!GX29/'raw data'!GY29)</f>
        <v>0</v>
      </c>
      <c r="DA28" s="225">
        <f>IF(ISERROR('raw data'!GZ29/'raw data'!HA29),0,'raw data'!GZ29/'raw data'!HA29)</f>
        <v>0</v>
      </c>
      <c r="DB28" s="225">
        <f>IF(ISERROR('raw data'!HB29/'raw data'!HC29),0,'raw data'!HB29/'raw data'!HC29)</f>
        <v>0</v>
      </c>
      <c r="DC28" s="225">
        <f>IF(ISERROR('raw data'!HD29/'raw data'!HE29),0,'raw data'!HD29/'raw data'!HE29)</f>
        <v>0</v>
      </c>
      <c r="DD28" s="225">
        <f>IF(ISERROR('raw data'!HF29/'raw data'!HG29),0,'raw data'!HF29/'raw data'!HG29)</f>
        <v>0</v>
      </c>
      <c r="DE28" s="225">
        <f>IF(ISERROR('raw data'!HH29/'raw data'!HI29),0,'raw data'!HH29/'raw data'!HI29)</f>
        <v>0</v>
      </c>
      <c r="DF28" s="225">
        <f>IF(ISERROR('raw data'!HJ29/'raw data'!HK29),0,'raw data'!HJ29/'raw data'!HK29)</f>
        <v>0</v>
      </c>
      <c r="DG28" s="225">
        <f>IF(ISERROR('raw data'!HL29/'raw data'!HM29),0,'raw data'!HL29/'raw data'!HM29)</f>
        <v>0</v>
      </c>
      <c r="DH28" s="225">
        <f>IF(ISERROR('raw data'!HN29/'raw data'!HO29),0,'raw data'!HN29/'raw data'!HO29)</f>
        <v>0</v>
      </c>
      <c r="DI28" s="225">
        <f>IF(ISERROR('raw data'!HP29/'raw data'!HQ29),0,'raw data'!HP29/'raw data'!HQ29)</f>
        <v>0</v>
      </c>
      <c r="DJ28" s="225">
        <f>IF(ISERROR('raw data'!HR29/'raw data'!HS29),0,'raw data'!HR29/'raw data'!HS29)</f>
        <v>0</v>
      </c>
      <c r="DK28" s="225">
        <f>IF(ISERROR('raw data'!HT29/'raw data'!HU29),0,'raw data'!HT29/'raw data'!HU29)</f>
        <v>0</v>
      </c>
      <c r="DL28" s="225">
        <f>IF(ISERROR('raw data'!HV29/'raw data'!HW29),0,'raw data'!HV29/'raw data'!HW29)</f>
        <v>0</v>
      </c>
      <c r="DM28" s="225">
        <f>IF(ISERROR('raw data'!HX29/'raw data'!HY29),0,'raw data'!HX29/'raw data'!HY29)</f>
        <v>0</v>
      </c>
      <c r="DN28" s="225">
        <f>IF(ISERROR('raw data'!HZ29/'raw data'!IA29),0,'raw data'!HZ29/'raw data'!IA29)</f>
        <v>0</v>
      </c>
      <c r="DO28" s="225">
        <f>IF(ISERROR('raw data'!IB29/'raw data'!IC29),0,'raw data'!IB29/'raw data'!IC29)</f>
        <v>0</v>
      </c>
      <c r="DP28" s="225">
        <f>IF(ISERROR('raw data'!ID29/'raw data'!IE29),0,'raw data'!ID29/'raw data'!IE29)</f>
        <v>0</v>
      </c>
      <c r="DQ28" s="225">
        <f>IF(ISERROR('raw data'!IF29/'raw data'!IG29),0,'raw data'!IF29/'raw data'!IG29)</f>
        <v>0</v>
      </c>
      <c r="DR28" s="225">
        <f>IF(ISERROR('raw data'!IH29/'raw data'!II29),0,'raw data'!IH29/'raw data'!II29)</f>
        <v>0</v>
      </c>
      <c r="DS28" s="225">
        <f>IF(ISERROR('raw data'!IJ29/'raw data'!IK29),0,'raw data'!IJ29/'raw data'!IK29)</f>
        <v>0</v>
      </c>
      <c r="DT28" s="225">
        <f>IF(ISERROR('raw data'!IL29/'raw data'!IM29),0,'raw data'!IL29/'raw data'!IM29)</f>
        <v>0</v>
      </c>
      <c r="DU28" s="225">
        <f>IF(ISERROR('raw data'!IN29/'raw data'!IO29),0,'raw data'!IN29/'raw data'!IO29)</f>
        <v>0</v>
      </c>
      <c r="DV28" s="225">
        <f>IF(ISERROR('raw data'!IP29/'raw data'!IQ29),0,'raw data'!IP29/'raw data'!IQ29)</f>
        <v>0</v>
      </c>
      <c r="DW28" s="225">
        <f>IF(ISERROR('raw data'!IR29/'raw data'!IS29),0,'raw data'!IR29/'raw data'!IS29)</f>
        <v>0</v>
      </c>
      <c r="DX28" s="225">
        <f>IF(ISERROR('raw data'!IT29/'raw data'!IU29),0,'raw data'!IT29/'raw data'!IU29)</f>
        <v>0</v>
      </c>
      <c r="DY28" s="225">
        <f>IF(ISERROR('raw data'!IV29/'raw data'!IW29),0,'raw data'!IV29/'raw data'!IW29)</f>
        <v>0</v>
      </c>
      <c r="DZ28" s="225">
        <f>IF(ISERROR('raw data'!IX29/'raw data'!IY29),0,'raw data'!IX29/'raw data'!IY29)</f>
        <v>0</v>
      </c>
      <c r="EA28" s="225">
        <f>IF(ISERROR('raw data'!IZ29/'raw data'!JA29),0,'raw data'!IZ29/'raw data'!JA29)</f>
        <v>0</v>
      </c>
      <c r="EB28" s="225">
        <f>IF(ISERROR('raw data'!JB29/'raw data'!JC29),0,'raw data'!JB29/'raw data'!JC29)</f>
        <v>0</v>
      </c>
      <c r="EC28" s="225">
        <f>IF(ISERROR('raw data'!JD29/'raw data'!JE29),0,'raw data'!JD29/'raw data'!JE29)</f>
        <v>0</v>
      </c>
      <c r="ED28" s="226"/>
      <c r="EE28" s="227">
        <v>0</v>
      </c>
      <c r="EF28" s="227">
        <v>0</v>
      </c>
      <c r="EG28" s="228">
        <f t="shared" si="0"/>
        <v>0</v>
      </c>
    </row>
    <row r="29" spans="1:138" ht="25.5" customHeight="1" x14ac:dyDescent="0.15">
      <c r="A29" s="237">
        <v>1.29</v>
      </c>
      <c r="B29" s="223" t="str">
        <f>'raw data'!B30</f>
        <v>Accounts with a £40k+ turnover, where 80%+ of debit value is withdrawn via WP or Cash, receiving 20+ credits (each £900+) last month.</v>
      </c>
      <c r="C29" s="239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40"/>
      <c r="AS29" s="240"/>
      <c r="AT29" s="240"/>
      <c r="AU29" s="240"/>
      <c r="AV29" s="240"/>
      <c r="AW29" s="240"/>
      <c r="AX29" s="240"/>
      <c r="AY29" s="240"/>
      <c r="AZ29" s="240"/>
      <c r="BA29" s="240"/>
      <c r="BB29" s="240"/>
      <c r="BC29" s="225">
        <f>IF(ISERROR('raw data'!DB30/'raw data'!DC30),0,'raw data'!DB30/'raw data'!DC30)</f>
        <v>0.22727272727272727</v>
      </c>
      <c r="BD29" s="225">
        <v>0.29032258064516131</v>
      </c>
      <c r="BE29" s="225">
        <f>IF(ISERROR('raw data'!DF30/'raw data'!DG30),0,'raw data'!DF30/'raw data'!DG30)</f>
        <v>0.16455696202531644</v>
      </c>
      <c r="BF29" s="225">
        <f>IF(ISERROR('raw data'!DH30/'raw data'!DI30),0,'raw data'!DH30/'raw data'!DI30)</f>
        <v>0.25</v>
      </c>
      <c r="BG29" s="225">
        <f>IF(ISERROR('raw data'!DJ30/'raw data'!DK30),0,'raw data'!DJ30/'raw data'!DK30)</f>
        <v>0.26056338028169013</v>
      </c>
      <c r="BH29" s="225">
        <f>IF(ISERROR('raw data'!DL30/'raw data'!DM30),0,'raw data'!DL30/'raw data'!DM30)</f>
        <v>0.16447368421052633</v>
      </c>
      <c r="BI29" s="225">
        <f>IF(ISERROR('raw data'!DN30/'raw data'!DO30),0,'raw data'!DN30/'raw data'!DO30)</f>
        <v>0.20952380952380953</v>
      </c>
      <c r="BJ29" s="225">
        <f>IF(ISERROR('raw data'!DP30/'raw data'!DQ30),0,'raw data'!DP30/'raw data'!DQ30)</f>
        <v>0.21978021978021978</v>
      </c>
      <c r="BK29" s="225">
        <f>IF(ISERROR('raw data'!DR30/'raw data'!DS30),0,'raw data'!DR30/'raw data'!DS30)</f>
        <v>0.19148936170212766</v>
      </c>
      <c r="BL29" s="225">
        <f>IF(ISERROR('raw data'!DT30/'raw data'!DU30),0,'raw data'!DT30/'raw data'!DU30)</f>
        <v>0.2072072072072072</v>
      </c>
      <c r="BM29" s="225">
        <f>IF(ISERROR('raw data'!DV30/'raw data'!DW30),0,'raw data'!DV30/'raw data'!DW30)</f>
        <v>0.125</v>
      </c>
      <c r="BN29" s="225">
        <f>IF(ISERROR('raw data'!DX30/'raw data'!DY30),0,'raw data'!DX30/'raw data'!DY30)</f>
        <v>0.12871287128712872</v>
      </c>
      <c r="BO29" s="225">
        <f>IF(ISERROR('raw data'!DZ30/'raw data'!EA30),0,'raw data'!DZ30/'raw data'!EA30)</f>
        <v>0.11805555555555555</v>
      </c>
      <c r="BP29" s="225">
        <f>IF(ISERROR('raw data'!EB30/'raw data'!EC30),0,'raw data'!EB30/'raw data'!EC30)</f>
        <v>0.17599999999999999</v>
      </c>
      <c r="BQ29" s="225">
        <f>IF(ISERROR('raw data'!ED30/'raw data'!EE30),0,'raw data'!ED30/'raw data'!EE30)</f>
        <v>0.16981132075471697</v>
      </c>
      <c r="BR29" s="225">
        <f>IF(ISERROR('raw data'!EF30/'raw data'!EG30),0,'raw data'!EF30/'raw data'!EG30)</f>
        <v>0.14393939393939395</v>
      </c>
      <c r="BS29" s="225">
        <f>IF(ISERROR('raw data'!EH30/'raw data'!EI30),0,'raw data'!EH30/'raw data'!EI30)</f>
        <v>0.125</v>
      </c>
      <c r="BT29" s="225">
        <f>IF(ISERROR('raw data'!EJ30/'raw data'!EK30),0,'raw data'!EJ30/'raw data'!EK30)</f>
        <v>0.13333333333333333</v>
      </c>
      <c r="BU29" s="225">
        <f>IF(ISERROR('raw data'!EL30/'raw data'!EM30),0,'raw data'!EL30/'raw data'!EM30)</f>
        <v>0.14705882352941177</v>
      </c>
      <c r="BV29" s="225">
        <f>IF(ISERROR('raw data'!EN30/'raw data'!EO30),0,'raw data'!EN30/'raw data'!EO30)</f>
        <v>0.11827956989247312</v>
      </c>
      <c r="BW29" s="225">
        <f>IF(ISERROR('raw data'!EP30/'raw data'!EQ30),0,'raw data'!EP30/'raw data'!EQ30)</f>
        <v>0.16176470588235295</v>
      </c>
      <c r="BX29" s="225">
        <f>IF(ISERROR('raw data'!ER30/'raw data'!ES30),0,'raw data'!ER30/'raw data'!ES30)</f>
        <v>0.14285714285714285</v>
      </c>
      <c r="BY29" s="225">
        <f>IF(ISERROR('raw data'!ET30/'raw data'!EU30),0,'raw data'!ET30/'raw data'!EU30)</f>
        <v>0.13274336283185842</v>
      </c>
      <c r="BZ29" s="225">
        <f>IF(ISERROR('raw data'!EV30/'raw data'!EW30),0,'raw data'!EV30/'raw data'!EW30)</f>
        <v>0.17204301075268819</v>
      </c>
      <c r="CA29" s="225">
        <f>IF(ISERROR('raw data'!EX30/'raw data'!EY30),0,'raw data'!EX30/'raw data'!EY30)</f>
        <v>0.11585365853658537</v>
      </c>
      <c r="CB29" s="225">
        <f>IF(ISERROR('raw data'!EZ30/'raw data'!FA30),0,'raw data'!EZ30/'raw data'!FA30)</f>
        <v>0.10218978102189781</v>
      </c>
      <c r="CC29" s="225">
        <f>IF(ISERROR('raw data'!FB30/'raw data'!FC30),0,'raw data'!FB30/'raw data'!FC30)</f>
        <v>0.14492753623188406</v>
      </c>
      <c r="CD29" s="225">
        <f>IF(ISERROR('raw data'!FD30/'raw data'!FE30),0,'raw data'!FD30/'raw data'!FE30)</f>
        <v>0.1484375</v>
      </c>
      <c r="CE29" s="225">
        <f>IF(ISERROR('raw data'!FF30/'raw data'!FG30),0,'raw data'!FF30/'raw data'!FG30)</f>
        <v>0.11538461538461539</v>
      </c>
      <c r="CF29" s="225">
        <f>IF(ISERROR('raw data'!FH30/'raw data'!FI30),0,'raw data'!FH30/'raw data'!FI30)</f>
        <v>0.15343915343915343</v>
      </c>
      <c r="CG29" s="225">
        <f>IF(ISERROR('raw data'!FJ30/'raw data'!FM30),0,'raw data'!FJ30/'raw data'!FM30)</f>
        <v>0.155</v>
      </c>
      <c r="CH29" s="225">
        <f>IF(ISERROR('raw data'!FN30/'raw data'!FO30),0,'raw data'!FN30/'raw data'!FO30)</f>
        <v>0.1702127659574468</v>
      </c>
      <c r="CI29" s="225">
        <f>IF(ISERROR('raw data'!FP30/'raw data'!FQ30),0,'raw data'!FP30/'raw data'!FQ30)</f>
        <v>0.15662650602409639</v>
      </c>
      <c r="CJ29" s="225">
        <f>IF(ISERROR('raw data'!FR30/'raw data'!FS30),0,'raw data'!FR30/'raw data'!FS30)</f>
        <v>3.614457831325301E-2</v>
      </c>
      <c r="CK29" s="225">
        <f>IF(ISERROR('raw data'!FT30/'raw data'!FU30),0,'raw data'!FT30/'raw data'!FU30)</f>
        <v>0.12037037037037036</v>
      </c>
      <c r="CL29" s="225">
        <f>IF(ISERROR('raw data'!FV30/'raw data'!FW30),0,'raw data'!FV30/'raw data'!FW30)</f>
        <v>9.8765432098765427E-2</v>
      </c>
      <c r="CM29" s="225">
        <f>IF(ISERROR('raw data'!FX30/'raw data'!FY30),0,'raw data'!FX30/'raw data'!FY30)</f>
        <v>0.25252525252525254</v>
      </c>
      <c r="CN29" s="225">
        <f>IF(ISERROR('raw data'!FZ30/'raw data'!GA30),0,'raw data'!FZ30/'raw data'!GA30)</f>
        <v>0.15730337078651685</v>
      </c>
      <c r="CO29" s="225">
        <f>IF(ISERROR('raw data'!GB30/'raw data'!GC30),0,'raw data'!GB30/'raw data'!GC30)</f>
        <v>0.23364485981308411</v>
      </c>
      <c r="CP29" s="225">
        <f>IF(ISERROR('raw data'!GD30/'raw data'!GE30),0,'raw data'!GD30/'raw data'!GE30)</f>
        <v>0.14942528735632185</v>
      </c>
      <c r="CQ29" s="225">
        <f>IF(ISERROR('raw data'!GF30/'raw data'!GG30),0,'raw data'!GF30/'raw data'!GG30)</f>
        <v>0.15853658536585366</v>
      </c>
      <c r="CR29" s="225">
        <f>IF(ISERROR('raw data'!GH30/'raw data'!GI30),0,'raw data'!GH30/'raw data'!GI30)</f>
        <v>0.1</v>
      </c>
      <c r="CS29" s="225">
        <f>IF(ISERROR('raw data'!GJ30/'raw data'!GK30),0,'raw data'!GJ30/'raw data'!GK30)</f>
        <v>0.13636363636363635</v>
      </c>
      <c r="CT29" s="225">
        <f>IF(ISERROR('raw data'!GL30/'raw data'!GM30),0,'raw data'!GL30/'raw data'!GM30)</f>
        <v>0.12121212121212122</v>
      </c>
      <c r="CU29" s="225">
        <f>IF(ISERROR('raw data'!GN30/'raw data'!GO30),0,'raw data'!GN30/'raw data'!GO30)</f>
        <v>0.10576923076923077</v>
      </c>
      <c r="CV29" s="225">
        <f>IF(ISERROR('raw data'!GP30/'raw data'!GQ30),0,'raw data'!GP30/'raw data'!GQ30)</f>
        <v>0.12</v>
      </c>
      <c r="CW29" s="225">
        <f>IF(ISERROR('raw data'!GR30/'raw data'!GS30),0,'raw data'!GR30/'raw data'!GS30)</f>
        <v>0.16101694915254236</v>
      </c>
      <c r="CX29" s="225">
        <f>IF(ISERROR('raw data'!GT30/'raw data'!GU30),0,'raw data'!GT30/'raw data'!GU30)</f>
        <v>0.11764705882352941</v>
      </c>
      <c r="CY29" s="225">
        <f>IF(ISERROR('raw data'!GV30/'raw data'!GW30),0,'raw data'!GV30/'raw data'!GW30)</f>
        <v>0.1702127659574468</v>
      </c>
      <c r="CZ29" s="225">
        <f>IF(ISERROR('raw data'!GX30/'raw data'!GY30),0,'raw data'!GX30/'raw data'!GY30)</f>
        <v>8.59375E-2</v>
      </c>
      <c r="DA29" s="225">
        <f>IF(ISERROR('raw data'!GZ30/'raw data'!HA30),0,'raw data'!GZ30/'raw data'!HA30)</f>
        <v>0.16831683168316833</v>
      </c>
      <c r="DB29" s="225">
        <f>IF(ISERROR('raw data'!HB30/'raw data'!HC30),0,'raw data'!HB30/'raw data'!HC30)</f>
        <v>0.12087912087912088</v>
      </c>
      <c r="DC29" s="225">
        <f>IF(ISERROR('raw data'!HD30/'raw data'!HE30),0,'raw data'!HD30/'raw data'!HE30)</f>
        <v>0.18085106382978725</v>
      </c>
      <c r="DD29" s="225">
        <f>IF(ISERROR('raw data'!HF30/'raw data'!HG30),0,'raw data'!HF30/'raw data'!HG30)</f>
        <v>0.10679611650485436</v>
      </c>
      <c r="DE29" s="225">
        <f>IF(ISERROR('raw data'!HH30/'raw data'!HI30),0,'raw data'!HH30/'raw data'!HI30)</f>
        <v>0</v>
      </c>
      <c r="DF29" s="225">
        <f>IF(ISERROR('raw data'!HJ30/'raw data'!HK30),0,'raw data'!HJ30/'raw data'!HK30)</f>
        <v>0</v>
      </c>
      <c r="DG29" s="225">
        <f>IF(ISERROR('raw data'!HL30/'raw data'!HM30),0,'raw data'!HL30/'raw data'!HM30)</f>
        <v>7.4999999999999997E-2</v>
      </c>
      <c r="DH29" s="225">
        <f>IF(ISERROR('raw data'!HN30/'raw data'!HO30),0,'raw data'!HN30/'raw data'!HO30)</f>
        <v>3.125E-2</v>
      </c>
      <c r="DI29" s="225">
        <f>IF(ISERROR('raw data'!HP30/'raw data'!HQ30),0,'raw data'!HP30/'raw data'!HQ30)</f>
        <v>0.12903225806451613</v>
      </c>
      <c r="DJ29" s="225">
        <f>IF(ISERROR('raw data'!HR30/'raw data'!HS30),0,'raw data'!HR30/'raw data'!HS30)</f>
        <v>0.11764705882352941</v>
      </c>
      <c r="DK29" s="225">
        <f>IF(ISERROR('raw data'!HT30/'raw data'!HU30),0,'raw data'!HT30/'raw data'!HU30)</f>
        <v>0.14285714285714285</v>
      </c>
      <c r="DL29" s="225">
        <f>IF(ISERROR('raw data'!HV30/'raw data'!HW30),0,'raw data'!HV30/'raw data'!HW30)</f>
        <v>0.11475409836065574</v>
      </c>
      <c r="DM29" s="225">
        <f>IF(ISERROR('raw data'!HX30/'raw data'!HY30),0,'raw data'!HX30/'raw data'!HY30)</f>
        <v>0.11475409836065574</v>
      </c>
      <c r="DN29" s="225">
        <f>IF(ISERROR('raw data'!HZ30/'raw data'!IA30),0,'raw data'!HZ30/'raw data'!IA30)</f>
        <v>0.21153846153846154</v>
      </c>
      <c r="DO29" s="225">
        <f>IF(ISERROR('raw data'!IB30/'raw data'!IC30),0,'raw data'!IB30/'raw data'!IC30)</f>
        <v>0.28358208955223879</v>
      </c>
      <c r="DP29" s="225">
        <f>IF(ISERROR('raw data'!ID30/'raw data'!IE30),0,'raw data'!ID30/'raw data'!IE30)</f>
        <v>0.27777777777777779</v>
      </c>
      <c r="DQ29" s="225">
        <f>IF(ISERROR('raw data'!IF30/'raw data'!IG30),0,'raw data'!IF30/'raw data'!IG30)</f>
        <v>0.17073170731707318</v>
      </c>
      <c r="DR29" s="225">
        <f>IF(ISERROR('raw data'!IH30/'raw data'!II30),0,'raw data'!IH30/'raw data'!II30)</f>
        <v>0.28985507246376813</v>
      </c>
      <c r="DS29" s="225">
        <f>IF(ISERROR('raw data'!IJ30/'raw data'!IK30),0,'raw data'!IJ30/'raw data'!IK30)</f>
        <v>0.16949152542372881</v>
      </c>
      <c r="DT29" s="225">
        <f>IF(ISERROR('raw data'!IL30/'raw data'!IM30),0,'raw data'!IL30/'raw data'!IM30)</f>
        <v>0.25925925925925924</v>
      </c>
      <c r="DU29" s="225">
        <f>IF(ISERROR('raw data'!IN30/'raw data'!IO30),0,'raw data'!IN30/'raw data'!IO30)</f>
        <v>0</v>
      </c>
      <c r="DV29" s="225">
        <f>IF(ISERROR('raw data'!IP30/'raw data'!IQ30),0,'raw data'!IP30/'raw data'!IQ30)</f>
        <v>0</v>
      </c>
      <c r="DW29" s="225">
        <f>IF(ISERROR('raw data'!IR30/'raw data'!IS30),0,'raw data'!IR30/'raw data'!IS30)</f>
        <v>0</v>
      </c>
      <c r="DX29" s="225">
        <f>IF(ISERROR('raw data'!IT30/'raw data'!IU30),0,'raw data'!IT30/'raw data'!IU30)</f>
        <v>0</v>
      </c>
      <c r="DY29" s="225">
        <f>IF(ISERROR('raw data'!IV30/'raw data'!IW30),0,'raw data'!IV30/'raw data'!IW30)</f>
        <v>0</v>
      </c>
      <c r="DZ29" s="225">
        <f>IF(ISERROR('raw data'!IX30/'raw data'!IY30),0,'raw data'!IX30/'raw data'!IY30)</f>
        <v>0</v>
      </c>
      <c r="EA29" s="225">
        <f>IF(ISERROR('raw data'!IZ30/'raw data'!JA30),0,'raw data'!IZ30/'raw data'!JA30)</f>
        <v>0</v>
      </c>
      <c r="EB29" s="225">
        <f>IF(ISERROR('raw data'!JB30/'raw data'!JC30),0,'raw data'!JB30/'raw data'!JC30)</f>
        <v>0</v>
      </c>
      <c r="EC29" s="225">
        <f>IF(ISERROR('raw data'!JD30/'raw data'!JE30),0,'raw data'!JD30/'raw data'!JE30)</f>
        <v>0</v>
      </c>
      <c r="ED29" s="226"/>
      <c r="EE29" s="227">
        <v>44</v>
      </c>
      <c r="EF29" s="227">
        <v>182</v>
      </c>
      <c r="EG29" s="228">
        <f t="shared" si="0"/>
        <v>0.24175824175824176</v>
      </c>
    </row>
    <row r="30" spans="1:138" ht="14" x14ac:dyDescent="0.15">
      <c r="A30" s="241"/>
      <c r="B30" s="242" t="s">
        <v>59</v>
      </c>
      <c r="C30" s="242" t="s">
        <v>59</v>
      </c>
      <c r="D30" s="243">
        <f>+'raw data'!D31/'raw data'!E31</f>
        <v>0.43715846994535518</v>
      </c>
      <c r="E30" s="243">
        <f>+'raw data'!F31/'raw data'!G31</f>
        <v>0.3046875</v>
      </c>
      <c r="F30" s="243">
        <f>'raw data'!H31/'raw data'!I31</f>
        <v>0.25</v>
      </c>
      <c r="G30" s="243">
        <f>'raw data'!J31/'raw data'!K31</f>
        <v>0.26457399103139012</v>
      </c>
      <c r="H30" s="243">
        <f>'raw data'!L31/'raw data'!M31</f>
        <v>0.20930232558139536</v>
      </c>
      <c r="I30" s="243">
        <f>'raw data'!N31/'raw data'!O31</f>
        <v>0.24609375</v>
      </c>
      <c r="J30" s="243">
        <f>'raw data'!P31/'raw data'!Q31</f>
        <v>0.10714285714285714</v>
      </c>
      <c r="K30" s="243">
        <f>'raw data'!R31/'raw data'!S31</f>
        <v>0.22134387351778656</v>
      </c>
      <c r="L30" s="243">
        <f>'raw data'!T31/'raw data'!U31</f>
        <v>0.19696969696969696</v>
      </c>
      <c r="M30" s="243">
        <f>'raw data'!V31/'raw data'!W31</f>
        <v>0.27924528301886792</v>
      </c>
      <c r="N30" s="243">
        <f>'raw data'!X31/'raw data'!Y31</f>
        <v>0.18483412322274881</v>
      </c>
      <c r="O30" s="243">
        <f>IF(ISERROR('raw data'!Z31/'raw data'!AA31),0,'raw data'!Z31/'raw data'!AA31)</f>
        <v>0.20707070707070707</v>
      </c>
      <c r="P30" s="243">
        <f>IF(ISERROR('raw data'!AB31/'raw data'!AC31),0,'raw data'!AB31/'raw data'!AC31)</f>
        <v>0.21649484536082475</v>
      </c>
      <c r="Q30" s="243">
        <f>IF(ISERROR('raw data'!AD31/'raw data'!AE31),0,'raw data'!AD31/'raw data'!AE31)</f>
        <v>0.12056737588652482</v>
      </c>
      <c r="R30" s="243">
        <f>IF(ISERROR('raw data'!AF31/'raw data'!AG31),0,'raw data'!AF31/'raw data'!AG31)</f>
        <v>0.23616236162361623</v>
      </c>
      <c r="S30" s="243">
        <f>IF(ISERROR('raw data'!AH31/'raw data'!AI31),0,'raw data'!AH31/'raw data'!AI31)</f>
        <v>0.28238341968911918</v>
      </c>
      <c r="T30" s="243">
        <f>IF(ISERROR('raw data'!AJ31/'raw data'!AK31),0,'raw data'!AJ31/'raw data'!AK31)</f>
        <v>0.23780487804878048</v>
      </c>
      <c r="U30" s="243">
        <f>IF(ISERROR('raw data'!AL31/'raw data'!AM31),0,'raw data'!AL31/'raw data'!AM31)</f>
        <v>0.23701298701298701</v>
      </c>
      <c r="V30" s="243">
        <f>IF(ISERROR('raw data'!AN31/'raw data'!AO31),0,'raw data'!AN31/'raw data'!AO31)</f>
        <v>0.29699248120300753</v>
      </c>
      <c r="W30" s="243">
        <f>IF(ISERROR('raw data'!AP31/'raw data'!AQ31),0,'raw data'!AP31/'raw data'!AQ31)</f>
        <v>0.20408163265306123</v>
      </c>
      <c r="X30" s="243">
        <f>IF(ISERROR('raw data'!AR31/'raw data'!AS31),0,'raw data'!AR31/'raw data'!AS31)</f>
        <v>0.1958997722095672</v>
      </c>
      <c r="Y30" s="243">
        <f>IF(ISERROR('raw data'!AT31/'raw data'!AU31),0,'raw data'!AT31/'raw data'!AU31)</f>
        <v>0.2847058823529412</v>
      </c>
      <c r="Z30" s="243">
        <f>IF(ISERROR('raw data'!AV31/'raw data'!AW31),0,'raw data'!AV31/'raw data'!AW31)</f>
        <v>0.25122349102773245</v>
      </c>
      <c r="AA30" s="243">
        <f>IF(ISERROR('raw data'!AX31/'raw data'!AY31),0,'raw data'!AX31/'raw data'!AY31)</f>
        <v>0.21505376344086022</v>
      </c>
      <c r="AB30" s="243">
        <f>IF(ISERROR('raw data'!AZ31/'raw data'!BA31),0,'raw data'!AZ31/'raw data'!BA31)</f>
        <v>0.19733333333333333</v>
      </c>
      <c r="AC30" s="243">
        <f>IF(ISERROR('raw data'!BB31/'raw data'!BC31),0,'raw data'!BB31/'raw data'!BC31)</f>
        <v>0.26275992438563328</v>
      </c>
      <c r="AD30" s="243">
        <f>IF(ISERROR('raw data'!BD31/'raw data'!BE31),0,'raw data'!BD31/'raw data'!BE31)</f>
        <v>0.23755656108597284</v>
      </c>
      <c r="AE30" s="243">
        <f>IF(ISERROR('raw data'!BF31/'raw data'!BG31),0,'raw data'!BF31/'raw data'!BG31)</f>
        <v>0.17371601208459214</v>
      </c>
      <c r="AF30" s="243">
        <f>IF(ISERROR('raw data'!BH31/'raw data'!BI31),0,'raw data'!BH31/'raw data'!BI31)</f>
        <v>0.1737891737891738</v>
      </c>
      <c r="AG30" s="243">
        <f>IF(ISERROR('raw data'!BJ31/'raw data'!BK31),0,'raw data'!BJ31/'raw data'!BK31)</f>
        <v>0.13188405797101449</v>
      </c>
      <c r="AH30" s="243">
        <f>IF(ISERROR('raw data'!BL31/'raw data'!BM31),0,'raw data'!BL31/'raw data'!BM31)</f>
        <v>0.16107382550335569</v>
      </c>
      <c r="AI30" s="243">
        <f>IF(ISERROR('raw data'!BN31/'raw data'!BO31),0,'raw data'!BN31/'raw data'!BO31)</f>
        <v>0.15950920245398773</v>
      </c>
      <c r="AJ30" s="243">
        <f>IF(ISERROR('raw data'!BP31/'raw data'!BQ31),0,'raw data'!BP31/'raw data'!BQ31)</f>
        <v>0.12903225806451613</v>
      </c>
      <c r="AK30" s="243">
        <f>IF(ISERROR('raw data'!BR31/'raw data'!BS31),0,'raw data'!BR31/'raw data'!BS31)</f>
        <v>0.17483660130718953</v>
      </c>
      <c r="AL30" s="243">
        <f>IF(ISERROR('raw data'!BT31/'raw data'!BU31),0,'raw data'!BT31/'raw data'!BU31)</f>
        <v>0.1473551637279597</v>
      </c>
      <c r="AM30" s="243">
        <f>IF(ISERROR('raw data'!BV31/'raw data'!BW31),0,'raw data'!BV31/'raw data'!BW31)</f>
        <v>0.2244165170556553</v>
      </c>
      <c r="AN30" s="243">
        <f>IF(ISERROR('raw data'!BX31/'raw data'!BY31),0,'raw data'!BX31/'raw data'!BY31)</f>
        <v>0.23809523809523808</v>
      </c>
      <c r="AO30" s="243">
        <f>IF(ISERROR('raw data'!BZ31/'raw data'!CA31),0,'raw data'!BZ31/'raw data'!CA31)</f>
        <v>0.14899713467048711</v>
      </c>
      <c r="AP30" s="243">
        <f>IF(ISERROR('raw data'!CB31/'raw data'!CC31),0,'raw data'!CB31/'raw data'!CC31)</f>
        <v>0.20224719101123595</v>
      </c>
      <c r="AQ30" s="243">
        <f>IF(ISERROR('raw data'!CD31/'raw data'!CE31),0,'raw data'!CD31/'raw data'!CE31)</f>
        <v>0.18106139438085328</v>
      </c>
      <c r="AR30" s="243">
        <f>IF(ISERROR('raw data'!CF31/'raw data'!CG31),0,'raw data'!CF31/'raw data'!CG31)</f>
        <v>0.15795328142380421</v>
      </c>
      <c r="AS30" s="243">
        <f>IF(ISERROR('raw data'!CH31/'raw data'!CI31),0,'raw data'!CH31/'raw data'!CI31)</f>
        <v>0.18415637860082304</v>
      </c>
      <c r="AT30" s="243">
        <f>IF(ISERROR('raw data'!CJ31/'raw data'!CK31),0,'raw data'!CJ31/'raw data'!CK31)</f>
        <v>0.16166883963494133</v>
      </c>
      <c r="AU30" s="243">
        <f>IF(ISERROR('raw data'!CL31/'raw data'!CM31),0,'raw data'!CL31/'raw data'!CM31)</f>
        <v>0.17377567140600317</v>
      </c>
      <c r="AV30" s="243">
        <f>IF(ISERROR('raw data'!CN31/'raw data'!CO31),0,'raw data'!CN31/'raw data'!CO31)</f>
        <v>0.1721311475409836</v>
      </c>
      <c r="AW30" s="243">
        <f>IF(ISERROR('raw data'!CP31/'raw data'!CQ31),0,'raw data'!CP31/'raw data'!CQ31)</f>
        <v>0.16485355648535566</v>
      </c>
      <c r="AX30" s="243">
        <f>IF(ISERROR('raw data'!CR31/'raw data'!CS31),0,'raw data'!CR31/'raw data'!CS31)</f>
        <v>0.15638963360142985</v>
      </c>
      <c r="AY30" s="243">
        <f>IF(ISERROR('raw data'!CT31/'raw data'!CU31),0,'raw data'!CT31/'raw data'!CU31)</f>
        <v>0.21841332027424093</v>
      </c>
      <c r="AZ30" s="243">
        <f>IF(ISERROR('raw data'!CV31/'raw data'!CW31),0,'raw data'!CV31/'raw data'!CW31)</f>
        <v>0.20876494023904382</v>
      </c>
      <c r="BA30" s="243">
        <f>IF(ISERROR('raw data'!CX31/'raw data'!CY31),0,'raw data'!CX31/'raw data'!CY31)</f>
        <v>0.16221374045801526</v>
      </c>
      <c r="BB30" s="243">
        <f>IF(ISERROR('raw data'!CZ31/'raw data'!DA31),0,'raw data'!CZ31/'raw data'!DA31)</f>
        <v>0.22848034006376194</v>
      </c>
      <c r="BC30" s="243">
        <f>IF(ISERROR('raw data'!DB31/'raw data'!DC31),0,'raw data'!DB31/'raw data'!DC31)</f>
        <v>0.22540125610607117</v>
      </c>
      <c r="BD30" s="243">
        <v>0.20177838577291382</v>
      </c>
      <c r="BE30" s="243">
        <f>IF(ISERROR('raw data'!DF31/'raw data'!DG31),0,'raw data'!DF31/'raw data'!DG31)</f>
        <v>0.23804971319311663</v>
      </c>
      <c r="BF30" s="243">
        <f>IF(ISERROR('raw data'!DH31/'raw data'!DI31),0,'raw data'!DH31/'raw data'!DI31)</f>
        <v>0.26359447004608294</v>
      </c>
      <c r="BG30" s="243">
        <f>IF(ISERROR('raw data'!DJ31/'raw data'!DK31),0,'raw data'!DJ31/'raw data'!DK31)</f>
        <v>0.24980174464710547</v>
      </c>
      <c r="BH30" s="243">
        <f>IF(ISERROR('raw data'!DL31/'raw data'!DM31),0,'raw data'!DL31/'raw data'!DM31)</f>
        <v>0.23380726698262244</v>
      </c>
      <c r="BI30" s="243">
        <f>IF(ISERROR('raw data'!DN31/'raw data'!DO31),0,'raw data'!DN31/'raw data'!DO31)</f>
        <v>0.24649122807017543</v>
      </c>
      <c r="BJ30" s="243">
        <f>IF(ISERROR('raw data'!DP31/'raw data'!DQ31),0,'raw data'!DP31/'raw data'!DQ31)</f>
        <v>0.27630375114364136</v>
      </c>
      <c r="BK30" s="243">
        <f>IF(ISERROR('raw data'!DR31/'raw data'!DS31),0,'raw data'!DR31/'raw data'!DS31)</f>
        <v>0.24630541871921183</v>
      </c>
      <c r="BL30" s="243">
        <f>IF(ISERROR('raw data'!DT31/'raw data'!DU31),0,'raw data'!DT31/'raw data'!DU31)</f>
        <v>0.24980361351139041</v>
      </c>
      <c r="BM30" s="243">
        <f>IF(ISERROR('raw data'!DV31/'raw data'!DW31),0,'raw data'!DV31/'raw data'!DW31)</f>
        <v>0.1543026706231454</v>
      </c>
      <c r="BN30" s="243">
        <f>IF(ISERROR('raw data'!DX31/'raw data'!DY31),0,'raw data'!DX31/'raw data'!DY31)</f>
        <v>0.15894039735099338</v>
      </c>
      <c r="BO30" s="243">
        <f>IF(ISERROR('raw data'!DZ31/'raw data'!EA31),0,'raw data'!DZ31/'raw data'!EA31)</f>
        <v>0.15185185185185185</v>
      </c>
      <c r="BP30" s="243">
        <f>IF(ISERROR('raw data'!EB31/'raw data'!EC31),0,'raw data'!EB31/'raw data'!EC31)</f>
        <v>0.22527881040892192</v>
      </c>
      <c r="BQ30" s="243">
        <f>IF(ISERROR('raw data'!ED31/'raw data'!EE31),0,'raw data'!ED31/'raw data'!EE31)</f>
        <v>0.18794964028776978</v>
      </c>
      <c r="BR30" s="243">
        <f>IF(ISERROR('raw data'!EF31/'raw data'!EG31),0,'raw data'!EF31/'raw data'!EG31)</f>
        <v>0.13739897134459955</v>
      </c>
      <c r="BS30" s="243">
        <f>IF(ISERROR('raw data'!EH31/'raw data'!EI31),0,'raw data'!EH31/'raw data'!EI31)</f>
        <v>0.15867768595041323</v>
      </c>
      <c r="BT30" s="243">
        <f>IF(ISERROR('raw data'!EJ31/'raw data'!EK31),0,'raw data'!EJ31/'raw data'!EK31)</f>
        <v>0.17098092643051771</v>
      </c>
      <c r="BU30" s="243">
        <f>IF(ISERROR('raw data'!EL31/'raw data'!EM31),0,'raw data'!EL31/'raw data'!EM31)</f>
        <v>0.17160686427457097</v>
      </c>
      <c r="BV30" s="243">
        <f>IF(ISERROR('raw data'!EN31/'raw data'!EO31),0,'raw data'!EN31/'raw data'!EO31)</f>
        <v>0.19884726224783861</v>
      </c>
      <c r="BW30" s="243">
        <f>IF(ISERROR('raw data'!EP31/'raw data'!EQ31),0,'raw data'!EP31/'raw data'!EQ31)</f>
        <v>0.22239263803680981</v>
      </c>
      <c r="BX30" s="243">
        <f>IF(ISERROR('raw data'!ER31/'raw data'!ES31),0,'raw data'!ER31/'raw data'!ES31)</f>
        <v>0.21299093655589124</v>
      </c>
      <c r="BY30" s="243">
        <f>IF(ISERROR('raw data'!ET31/'raw data'!EU31),0,'raw data'!ET31/'raw data'!EU31)</f>
        <v>0.19561815336463223</v>
      </c>
      <c r="BZ30" s="243">
        <f>IF(ISERROR('raw data'!EV31/'raw data'!EW31),0,'raw data'!EV31/'raw data'!EW31)</f>
        <v>0.1962962962962963</v>
      </c>
      <c r="CA30" s="243">
        <f>IF(ISERROR('raw data'!EX31/'raw data'!EY31),0,'raw data'!EX31/'raw data'!EY31)</f>
        <v>0.17718446601941748</v>
      </c>
      <c r="CB30" s="243">
        <f>IF(ISERROR('raw data'!EZ31/'raw data'!FA31),0,'raw data'!EZ31/'raw data'!FA31)</f>
        <v>0.18675721561969441</v>
      </c>
      <c r="CC30" s="243">
        <f>IF(ISERROR('raw data'!FB31/'raw data'!FC31),0,'raw data'!FB31/'raw data'!FC31)</f>
        <v>0.19185687847008021</v>
      </c>
      <c r="CD30" s="243">
        <f>IF(ISERROR('raw data'!FD31/'raw data'!FE31),0,'raw data'!FD31/'raw data'!FE31)</f>
        <v>0.17062937062937064</v>
      </c>
      <c r="CE30" s="243">
        <f>IF(ISERROR('raw data'!FF31/'raw data'!FG31),0,'raw data'!FF31/'raw data'!FG31)</f>
        <v>0.19693945442448438</v>
      </c>
      <c r="CF30" s="243">
        <f>IF(ISERROR('raw data'!FH31/'raw data'!FI31),0,'raw data'!FH31/'raw data'!FI31)</f>
        <v>0.17906683480453972</v>
      </c>
      <c r="CG30" s="243">
        <f>IF(ISERROR('raw data'!FJ31/'raw data'!FM31),0,'raw data'!FJ31/'raw data'!FM31)</f>
        <v>0.15230071289695399</v>
      </c>
      <c r="CH30" s="243">
        <f>IF(ISERROR('raw data'!FN31/'raw data'!FO31),0,'raw data'!FN31/'raw data'!FO31)</f>
        <v>0.20408163265306123</v>
      </c>
      <c r="CI30" s="243">
        <f>IF(ISERROR('raw data'!FP31/'raw data'!FQ31),0,'raw data'!FP31/'raw data'!FQ31)</f>
        <v>0.20018975332068312</v>
      </c>
      <c r="CJ30" s="243">
        <f>IF(ISERROR('raw data'!FR31/'raw data'!FS31),0,'raw data'!FR31/'raw data'!FS31)</f>
        <v>0.17263843648208468</v>
      </c>
      <c r="CK30" s="243">
        <f>IF(ISERROR('raw data'!FT31/'raw data'!FU31),0,'raw data'!FT31/'raw data'!FU31)</f>
        <v>0.20403022670025189</v>
      </c>
      <c r="CL30" s="243">
        <f>IF(ISERROR('raw data'!FV31/'raw data'!FW31),0,'raw data'!FV31/'raw data'!FW31)</f>
        <v>0.15129151291512916</v>
      </c>
      <c r="CM30" s="243">
        <f>IF(ISERROR('raw data'!FX31/'raw data'!FY31),0,'raw data'!FX31/'raw data'!FY31)</f>
        <v>0.19120458891013384</v>
      </c>
      <c r="CN30" s="243">
        <f>IF(ISERROR('raw data'!FZ31/'raw data'!GA31),0,'raw data'!FZ31/'raw data'!GA31)</f>
        <v>0.16630196936542668</v>
      </c>
      <c r="CO30" s="243">
        <f>IF(ISERROR('raw data'!GB31/'raw data'!GC31),0,'raw data'!GB31/'raw data'!GC31)</f>
        <v>0.17889908256880735</v>
      </c>
      <c r="CP30" s="243">
        <f>IF(ISERROR('raw data'!GD31/'raw data'!GE31),0,'raw data'!GD31/'raw data'!GE31)</f>
        <v>0.16561181434599156</v>
      </c>
      <c r="CQ30" s="243">
        <f>IF(ISERROR('raw data'!GF31/'raw data'!GG31),0,'raw data'!GF31/'raw data'!GG31)</f>
        <v>0.21126760563380281</v>
      </c>
      <c r="CR30" s="243">
        <f>IF(ISERROR('raw data'!GH31/'raw data'!GI31),0,'raw data'!GH31/'raw data'!GI31)</f>
        <v>0.18596491228070175</v>
      </c>
      <c r="CS30" s="243">
        <f>IF(ISERROR('raw data'!GJ31/'raw data'!GK31),0,'raw data'!GJ31/'raw data'!GK31)</f>
        <v>0.20272314674735251</v>
      </c>
      <c r="CT30" s="243">
        <f>IF(ISERROR('raw data'!GL31/'raw data'!GM31),0,'raw data'!GL31/'raw data'!GM31)</f>
        <v>0.18898385565052231</v>
      </c>
      <c r="CU30" s="243">
        <f>IF(ISERROR('raw data'!GN31/'raw data'!GO31),0,'raw data'!GN31/'raw data'!GO31)</f>
        <v>0.19239373601789708</v>
      </c>
      <c r="CV30" s="243">
        <f>IF(ISERROR('raw data'!GP31/'raw data'!GQ31),0,'raw data'!GP31/'raw data'!GQ31)</f>
        <v>0.18383311603650587</v>
      </c>
      <c r="CW30" s="243">
        <f>IF(ISERROR('raw data'!GR31/'raw data'!GS31),0,'raw data'!GR31/'raw data'!GS31)</f>
        <v>0.19557195571955718</v>
      </c>
      <c r="CX30" s="243">
        <f>IF(ISERROR('raw data'!GT31/'raw data'!GU31),0,'raw data'!GT31/'raw data'!GU31)</f>
        <v>0.19419237749546278</v>
      </c>
      <c r="CY30" s="243">
        <f>IF(ISERROR('raw data'!GV31/'raw data'!GW31),0,'raw data'!GV31/'raw data'!GW31)</f>
        <v>0.2491506228765572</v>
      </c>
      <c r="CZ30" s="243">
        <f>IF(ISERROR('raw data'!GX31/'raw data'!GY31),0,'raw data'!GX31/'raw data'!GY31)</f>
        <v>0.20338983050847459</v>
      </c>
      <c r="DA30" s="243">
        <f>IF(ISERROR('raw data'!GZ31/'raw data'!HA31),0,'raw data'!GZ31/'raw data'!HA31)</f>
        <v>0.24272930648769575</v>
      </c>
      <c r="DB30" s="243">
        <f>IF(ISERROR('raw data'!HB31/'raw data'!HC31),0,'raw data'!HB31/'raw data'!HC31)</f>
        <v>0.23766816143497757</v>
      </c>
      <c r="DC30" s="243">
        <f>IF(ISERROR('raw data'!HD31/'raw data'!HE31),0,'raw data'!HD31/'raw data'!HE31)</f>
        <v>0.26882966396292007</v>
      </c>
      <c r="DD30" s="243">
        <f>IF(ISERROR('raw data'!HF31/'raw data'!HG31),0,'raw data'!HF31/'raw data'!HG31)</f>
        <v>0.29305555555555557</v>
      </c>
      <c r="DE30" s="243">
        <f>IF(ISERROR('raw data'!HH31/'raw data'!HI31),0,'raw data'!HH31/'raw data'!HI31)</f>
        <v>0.2345890410958904</v>
      </c>
      <c r="DF30" s="243">
        <f>IF(ISERROR('raw data'!HJ31/'raw data'!HK31),0,'raw data'!HJ31/'raw data'!HK31)</f>
        <v>0.29382303839732887</v>
      </c>
      <c r="DG30" s="243">
        <f>IF(ISERROR('raw data'!HL31/'raw data'!HM31),0,'raw data'!HL31/'raw data'!HM31)</f>
        <v>0.21316614420062696</v>
      </c>
      <c r="DH30" s="243">
        <f>IF(ISERROR('raw data'!HN31/'raw data'!HO31),0,'raw data'!HN31/'raw data'!HO31)</f>
        <v>0.28378378378378377</v>
      </c>
      <c r="DI30" s="243">
        <f>IF(ISERROR('raw data'!HP31/'raw data'!HQ31),0,'raw data'!HP31/'raw data'!HQ31)</f>
        <v>0.17914831130690162</v>
      </c>
      <c r="DJ30" s="243">
        <f>IF(ISERROR('raw data'!HR31/'raw data'!HS31),0,'raw data'!HR31/'raw data'!HS31)</f>
        <v>0.27552986512524086</v>
      </c>
      <c r="DK30" s="243">
        <f>IF(ISERROR('raw data'!HT31/'raw data'!HU31),0,'raw data'!HT31/'raw data'!HU31)</f>
        <v>0.28037383177570091</v>
      </c>
      <c r="DL30" s="243">
        <f>IF(ISERROR('raw data'!HV31/'raw data'!HW31),0,'raw data'!HV31/'raw data'!HW31)</f>
        <v>0.29295426452410384</v>
      </c>
      <c r="DM30" s="243">
        <f>IF(ISERROR('raw data'!HX31/'raw data'!HY31),0,'raw data'!HX31/'raw data'!HY31)</f>
        <v>0.28698224852071008</v>
      </c>
      <c r="DN30" s="243">
        <f>IF(ISERROR('raw data'!HZ31/'raw data'!IA31),0,'raw data'!HZ31/'raw data'!IA31)</f>
        <v>0.29162561576354679</v>
      </c>
      <c r="DO30" s="243">
        <f>IF(ISERROR('raw data'!IB31/'raw data'!IC31),0,'raw data'!IB31/'raw data'!IC31)</f>
        <v>0.35791217895608946</v>
      </c>
      <c r="DP30" s="243">
        <f>IF(ISERROR('raw data'!ID31/'raw data'!IE31),0,'raw data'!ID31/'raw data'!IE31)</f>
        <v>0.37419354838709679</v>
      </c>
      <c r="DQ30" s="243">
        <f>IF(ISERROR('raw data'!IF31/'raw data'!IG31),0,'raw data'!IF31/'raw data'!IG31)</f>
        <v>0.31728880157170924</v>
      </c>
      <c r="DR30" s="243">
        <f>IF(ISERROR('raw data'!IH31/'raw data'!II31),0,'raw data'!IH31/'raw data'!II31)</f>
        <v>0.38035714285714284</v>
      </c>
      <c r="DS30" s="243">
        <f>IF(ISERROR('raw data'!IJ31/'raw data'!IK31),0,'raw data'!IJ31/'raw data'!IK31)</f>
        <v>0.46416083916083917</v>
      </c>
      <c r="DT30" s="243">
        <f>IF(ISERROR('raw data'!IL31/'raw data'!IM31),0,'raw data'!IL31/'raw data'!IM31)</f>
        <v>0.42262372348782401</v>
      </c>
      <c r="DU30" s="243">
        <f>IF(ISERROR('raw data'!IN31/'raw data'!IO31),0,'raw data'!IN31/'raw data'!IO31)</f>
        <v>0.49304812834224598</v>
      </c>
      <c r="DV30" s="243">
        <f>IF(ISERROR('raw data'!IP31/'raw data'!IQ31),0,'raw data'!IP31/'raw data'!IQ31)</f>
        <v>0.49943757030371205</v>
      </c>
      <c r="DW30" s="243">
        <f>IF(ISERROR('raw data'!IR31/'raw data'!IS31),0,'raw data'!IR31/'raw data'!IS31)</f>
        <v>0.4865819209039548</v>
      </c>
      <c r="DX30" s="243">
        <f>IF(ISERROR('raw data'!IT31/'raw data'!IU31),0,'raw data'!IT31/'raw data'!IU31)</f>
        <v>0.44970906068162925</v>
      </c>
      <c r="DY30" s="243">
        <f>IF(ISERROR('raw data'!IV31/'raw data'!IW31),0,'raw data'!IV31/'raw data'!IW31)</f>
        <v>0.46789883268482491</v>
      </c>
      <c r="DZ30" s="243">
        <f>IF(ISERROR('raw data'!IX31/'raw data'!IY31),0,'raw data'!IX31/'raw data'!IY31)</f>
        <v>0.46153846153846156</v>
      </c>
      <c r="EA30" s="243">
        <f>IF(ISERROR('raw data'!IZ31/'raw data'!JA31),0,'raw data'!IZ31/'raw data'!JA31)</f>
        <v>0.42545771578029645</v>
      </c>
      <c r="EB30" s="243">
        <f>IF(ISERROR('raw data'!JB31/'raw data'!JC31),0,'raw data'!JB31/'raw data'!JC31)</f>
        <v>0.40166975881261596</v>
      </c>
      <c r="EC30" s="243">
        <f>IF(ISERROR('raw data'!JD31/'raw data'!JE31),0,'raw data'!JD31/'raw data'!JE31)</f>
        <v>0.45044160942100098</v>
      </c>
      <c r="ED30" s="243"/>
      <c r="EE30" s="244">
        <f>SUM(EE2:EE29)</f>
        <v>5929</v>
      </c>
      <c r="EF30" s="244">
        <f>SUM(EF2:EF29)</f>
        <v>13201</v>
      </c>
      <c r="EG30" s="245">
        <f t="shared" si="0"/>
        <v>0.44913264146655557</v>
      </c>
      <c r="EH30" s="229"/>
    </row>
    <row r="31" spans="1:138" ht="28" x14ac:dyDescent="0.15">
      <c r="A31" s="57">
        <v>28</v>
      </c>
      <c r="B31" s="58" t="s">
        <v>60</v>
      </c>
      <c r="C31" s="58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  <c r="BA31" s="246"/>
      <c r="BB31" s="246"/>
      <c r="BC31" s="246"/>
      <c r="BD31" s="246"/>
      <c r="BE31" s="246"/>
      <c r="BF31" s="246"/>
      <c r="BG31" s="246"/>
      <c r="BH31" s="246"/>
      <c r="BI31" s="246"/>
      <c r="BJ31" s="246"/>
      <c r="BK31" s="246"/>
      <c r="BL31" s="246"/>
      <c r="BM31" s="246"/>
      <c r="BN31" s="246"/>
      <c r="BO31" s="246"/>
      <c r="BP31" s="246"/>
      <c r="BQ31" s="246"/>
      <c r="BR31" s="246"/>
      <c r="BS31" s="246"/>
      <c r="BT31" s="246"/>
      <c r="BU31" s="246"/>
      <c r="BV31" s="246"/>
      <c r="BW31" s="246"/>
      <c r="BX31" s="246"/>
      <c r="BY31" s="246"/>
      <c r="BZ31" s="246"/>
      <c r="CA31" s="246"/>
      <c r="CB31" s="246"/>
      <c r="CC31" s="246"/>
      <c r="CD31" s="246"/>
      <c r="CE31" s="246"/>
      <c r="CF31" s="246"/>
      <c r="CG31" s="246"/>
      <c r="CH31" s="246"/>
      <c r="CI31" s="246"/>
      <c r="CJ31" s="246"/>
      <c r="CK31" s="246"/>
      <c r="CL31" s="246"/>
      <c r="CM31" s="246"/>
      <c r="CN31" s="246"/>
      <c r="CO31" s="246"/>
      <c r="CP31" s="246"/>
      <c r="CQ31" s="246"/>
      <c r="CR31" s="246"/>
      <c r="CS31" s="246"/>
      <c r="CT31" s="246"/>
      <c r="CU31" s="246"/>
      <c r="CV31" s="246"/>
      <c r="CW31" s="246"/>
      <c r="CX31" s="246"/>
      <c r="CY31" s="246"/>
      <c r="CZ31" s="246"/>
      <c r="DA31" s="246"/>
      <c r="DB31" s="246"/>
      <c r="DC31" s="246"/>
      <c r="DD31" s="246"/>
      <c r="DE31" s="246"/>
      <c r="DF31" s="246"/>
      <c r="DG31" s="246"/>
      <c r="DH31" s="246"/>
      <c r="DI31" s="246"/>
      <c r="DJ31" s="246"/>
      <c r="DK31" s="246"/>
      <c r="DL31" s="246"/>
      <c r="DM31" s="246"/>
      <c r="DN31" s="246"/>
      <c r="DO31" s="246"/>
      <c r="DP31" s="246"/>
      <c r="DQ31" s="246"/>
      <c r="DR31" s="246"/>
      <c r="DS31" s="246"/>
      <c r="DT31" s="246"/>
      <c r="DU31" s="246"/>
      <c r="DV31" s="246"/>
      <c r="DW31" s="246"/>
      <c r="DX31" s="246"/>
      <c r="DY31" s="247">
        <f>IF(ISERROR('raw data'!IV32/'raw data'!IW32),0,'raw data'!IV32/'raw data'!IW32)</f>
        <v>0</v>
      </c>
      <c r="DZ31" s="247">
        <f>IF(ISERROR('raw data'!IX32/'raw data'!IY32),0,'raw data'!IX32/'raw data'!IY32)</f>
        <v>0.54032258064516125</v>
      </c>
      <c r="EA31" s="247">
        <f>IF(ISERROR('raw data'!IZ32/'raw data'!JA32),0,'raw data'!IZ32/'raw data'!JA32)</f>
        <v>0.51388888888888884</v>
      </c>
      <c r="EB31" s="247">
        <f>IF(ISERROR('raw data'!JB32/'raw data'!JC32),0,'raw data'!JB32/'raw data'!JC32)</f>
        <v>0.33766233766233766</v>
      </c>
      <c r="EC31" s="247">
        <f>IF(ISERROR('raw data'!JD32/'raw data'!JE32),0,'raw data'!JD32/'raw data'!JE32)</f>
        <v>0.28985507246376813</v>
      </c>
      <c r="ED31" s="243"/>
      <c r="EE31" s="248">
        <v>150</v>
      </c>
      <c r="EF31" s="248">
        <v>342</v>
      </c>
      <c r="EG31" s="249">
        <f>IF(ISERROR(EE31/EF31),0,EE31/EF31)</f>
        <v>0.43859649122807015</v>
      </c>
      <c r="EH31" s="229"/>
    </row>
    <row r="32" spans="1:138" ht="25" customHeight="1" x14ac:dyDescent="0.15">
      <c r="A32" s="57">
        <v>44</v>
      </c>
      <c r="B32" s="58" t="s">
        <v>61</v>
      </c>
      <c r="C32" s="58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  <c r="BA32" s="246"/>
      <c r="BB32" s="246"/>
      <c r="BC32" s="246"/>
      <c r="BD32" s="246"/>
      <c r="BE32" s="246"/>
      <c r="BF32" s="246"/>
      <c r="BG32" s="246"/>
      <c r="BH32" s="246"/>
      <c r="BI32" s="246"/>
      <c r="BJ32" s="246"/>
      <c r="BK32" s="246"/>
      <c r="BL32" s="246"/>
      <c r="BM32" s="246"/>
      <c r="BN32" s="246"/>
      <c r="BO32" s="246"/>
      <c r="BP32" s="246"/>
      <c r="BQ32" s="246"/>
      <c r="BR32" s="246"/>
      <c r="BS32" s="246"/>
      <c r="BT32" s="246"/>
      <c r="BU32" s="246"/>
      <c r="BV32" s="246"/>
      <c r="BW32" s="246"/>
      <c r="BX32" s="246"/>
      <c r="BY32" s="246"/>
      <c r="BZ32" s="246"/>
      <c r="CA32" s="246"/>
      <c r="CB32" s="246"/>
      <c r="CC32" s="246"/>
      <c r="CD32" s="246"/>
      <c r="CE32" s="246"/>
      <c r="CF32" s="246"/>
      <c r="CG32" s="246"/>
      <c r="CH32" s="246"/>
      <c r="CI32" s="246"/>
      <c r="CJ32" s="246"/>
      <c r="CK32" s="246"/>
      <c r="CL32" s="246"/>
      <c r="CM32" s="246"/>
      <c r="CN32" s="246"/>
      <c r="CO32" s="246"/>
      <c r="CP32" s="246"/>
      <c r="CQ32" s="246"/>
      <c r="CR32" s="246"/>
      <c r="CS32" s="246"/>
      <c r="CT32" s="246"/>
      <c r="CU32" s="246"/>
      <c r="CV32" s="246"/>
      <c r="CW32" s="246"/>
      <c r="CX32" s="246"/>
      <c r="CY32" s="246"/>
      <c r="CZ32" s="246"/>
      <c r="DA32" s="246"/>
      <c r="DB32" s="246"/>
      <c r="DC32" s="246"/>
      <c r="DD32" s="246"/>
      <c r="DE32" s="246"/>
      <c r="DF32" s="246"/>
      <c r="DG32" s="246"/>
      <c r="DH32" s="246"/>
      <c r="DI32" s="246"/>
      <c r="DJ32" s="246"/>
      <c r="DK32" s="246"/>
      <c r="DL32" s="246"/>
      <c r="DM32" s="246"/>
      <c r="DN32" s="246"/>
      <c r="DO32" s="246"/>
      <c r="DP32" s="246"/>
      <c r="DQ32" s="246"/>
      <c r="DR32" s="246"/>
      <c r="DS32" s="246"/>
      <c r="DT32" s="246"/>
      <c r="DU32" s="246"/>
      <c r="DV32" s="246"/>
      <c r="DW32" s="247">
        <f>IF(ISERROR('raw data'!IR33/'raw data'!IS33),0,'raw data'!IR33/'raw data'!IS33)</f>
        <v>0.18666666666666668</v>
      </c>
      <c r="DX32" s="247">
        <f>IF(ISERROR('raw data'!IT33/'raw data'!IU33),0,'raw data'!IT33/'raw data'!IU33)</f>
        <v>0.19230769230769232</v>
      </c>
      <c r="DY32" s="247">
        <f>IF(ISERROR('raw data'!IV33/'raw data'!IW33),0,'raw data'!IV33/'raw data'!IW33)</f>
        <v>0.18067226890756302</v>
      </c>
      <c r="DZ32" s="247">
        <f>IF(ISERROR('raw data'!IX33/'raw data'!IY33),0,'raw data'!IX33/'raw data'!IY33)</f>
        <v>0.125</v>
      </c>
      <c r="EA32" s="247">
        <f>IF(ISERROR('raw data'!IZ33/'raw data'!JA33),0,'raw data'!IZ33/'raw data'!JA33)</f>
        <v>0.16981132075471697</v>
      </c>
      <c r="EB32" s="247">
        <f>IF(ISERROR('raw data'!JB33/'raw data'!JC33),0,'raw data'!JB33/'raw data'!JC33)</f>
        <v>0.15625</v>
      </c>
      <c r="EC32" s="247">
        <f>IF(ISERROR('raw data'!JD33/'raw data'!JE33),0,'raw data'!JD33/'raw data'!JE33)</f>
        <v>6.6147859922178989E-2</v>
      </c>
      <c r="ED32" s="243"/>
      <c r="EE32" s="248">
        <v>261</v>
      </c>
      <c r="EF32" s="248">
        <v>1697</v>
      </c>
      <c r="EG32" s="249">
        <f>IF(ISERROR(EE32/EF32),0,EE32/EF32)</f>
        <v>0.15380082498526812</v>
      </c>
      <c r="EH32" s="229"/>
    </row>
    <row r="33" spans="1:138" ht="25" customHeight="1" x14ac:dyDescent="0.15">
      <c r="A33" s="57">
        <v>45</v>
      </c>
      <c r="B33" s="58" t="s">
        <v>62</v>
      </c>
      <c r="C33" s="58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  <c r="BI33" s="246"/>
      <c r="BJ33" s="246"/>
      <c r="BK33" s="246"/>
      <c r="BL33" s="246"/>
      <c r="BM33" s="246"/>
      <c r="BN33" s="246"/>
      <c r="BO33" s="246"/>
      <c r="BP33" s="246"/>
      <c r="BQ33" s="246"/>
      <c r="BR33" s="246"/>
      <c r="BS33" s="246"/>
      <c r="BT33" s="246"/>
      <c r="BU33" s="246"/>
      <c r="BV33" s="246"/>
      <c r="BW33" s="246"/>
      <c r="BX33" s="246"/>
      <c r="BY33" s="246"/>
      <c r="BZ33" s="246"/>
      <c r="CA33" s="246"/>
      <c r="CB33" s="246"/>
      <c r="CC33" s="246"/>
      <c r="CD33" s="246"/>
      <c r="CE33" s="246"/>
      <c r="CF33" s="246"/>
      <c r="CG33" s="246"/>
      <c r="CH33" s="246"/>
      <c r="CI33" s="246"/>
      <c r="CJ33" s="246"/>
      <c r="CK33" s="246"/>
      <c r="CL33" s="246"/>
      <c r="CM33" s="246"/>
      <c r="CN33" s="246"/>
      <c r="CO33" s="246"/>
      <c r="CP33" s="246"/>
      <c r="CQ33" s="246"/>
      <c r="CR33" s="246"/>
      <c r="CS33" s="246"/>
      <c r="CT33" s="246"/>
      <c r="CU33" s="246"/>
      <c r="CV33" s="246"/>
      <c r="CW33" s="246"/>
      <c r="CX33" s="246"/>
      <c r="CY33" s="246"/>
      <c r="CZ33" s="246"/>
      <c r="DA33" s="246"/>
      <c r="DB33" s="246"/>
      <c r="DC33" s="246"/>
      <c r="DD33" s="246"/>
      <c r="DE33" s="246"/>
      <c r="DF33" s="246"/>
      <c r="DG33" s="246"/>
      <c r="DH33" s="246"/>
      <c r="DI33" s="246"/>
      <c r="DJ33" s="246"/>
      <c r="DK33" s="246"/>
      <c r="DL33" s="246"/>
      <c r="DM33" s="246"/>
      <c r="DN33" s="246"/>
      <c r="DO33" s="246"/>
      <c r="DP33" s="246"/>
      <c r="DQ33" s="246"/>
      <c r="DR33" s="246"/>
      <c r="DS33" s="246"/>
      <c r="DT33" s="246"/>
      <c r="DU33" s="246"/>
      <c r="DV33" s="246"/>
      <c r="DW33" s="247">
        <f>IF(ISERROR('raw data'!IR34/'raw data'!IS34),0,'raw data'!IR34/'raw data'!IS34)</f>
        <v>0.52127659574468088</v>
      </c>
      <c r="DX33" s="247">
        <f>IF(ISERROR('raw data'!IT34/'raw data'!IU34),0,'raw data'!IT34/'raw data'!IU34)</f>
        <v>0.42622950819672129</v>
      </c>
      <c r="DY33" s="247">
        <f>IF(ISERROR('raw data'!IV34/'raw data'!IW34),0,'raw data'!IV34/'raw data'!IW34)</f>
        <v>0.5168539325842697</v>
      </c>
      <c r="DZ33" s="247">
        <f>IF(ISERROR('raw data'!IX34/'raw data'!IY34),0,'raw data'!IX34/'raw data'!IY34)</f>
        <v>0.45161290322580644</v>
      </c>
      <c r="EA33" s="247">
        <f>IF(ISERROR('raw data'!IZ34/'raw data'!JA34),0,'raw data'!IZ34/'raw data'!JA34)</f>
        <v>0.36842105263157893</v>
      </c>
      <c r="EB33" s="247">
        <f>IF(ISERROR('raw data'!JB34/'raw data'!JC34),0,'raw data'!JB34/'raw data'!JC34)</f>
        <v>0.35</v>
      </c>
      <c r="EC33" s="247">
        <f>IF(ISERROR('raw data'!JD34/'raw data'!JE34),0,'raw data'!JD34/'raw data'!JE34)</f>
        <v>0.11650485436893204</v>
      </c>
      <c r="ED33" s="243"/>
      <c r="EE33" s="248">
        <v>264</v>
      </c>
      <c r="EF33" s="248">
        <v>676</v>
      </c>
      <c r="EG33" s="249">
        <f t="shared" si="0"/>
        <v>0.39053254437869822</v>
      </c>
      <c r="EH33" s="229"/>
    </row>
    <row r="34" spans="1:138" ht="25" customHeight="1" x14ac:dyDescent="0.15">
      <c r="A34" s="57">
        <v>46</v>
      </c>
      <c r="B34" s="58" t="s">
        <v>63</v>
      </c>
      <c r="C34" s="58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6"/>
      <c r="BB34" s="246"/>
      <c r="BC34" s="246"/>
      <c r="BD34" s="246"/>
      <c r="BE34" s="246"/>
      <c r="BF34" s="246"/>
      <c r="BG34" s="246"/>
      <c r="BH34" s="246"/>
      <c r="BI34" s="246"/>
      <c r="BJ34" s="246"/>
      <c r="BK34" s="246"/>
      <c r="BL34" s="246"/>
      <c r="BM34" s="246"/>
      <c r="BN34" s="246"/>
      <c r="BO34" s="246"/>
      <c r="BP34" s="246"/>
      <c r="BQ34" s="246"/>
      <c r="BR34" s="246"/>
      <c r="BS34" s="246"/>
      <c r="BT34" s="246"/>
      <c r="BU34" s="246"/>
      <c r="BV34" s="246"/>
      <c r="BW34" s="246"/>
      <c r="BX34" s="246"/>
      <c r="BY34" s="246"/>
      <c r="BZ34" s="246"/>
      <c r="CA34" s="246"/>
      <c r="CB34" s="246"/>
      <c r="CC34" s="246"/>
      <c r="CD34" s="246"/>
      <c r="CE34" s="246"/>
      <c r="CF34" s="246"/>
      <c r="CG34" s="246"/>
      <c r="CH34" s="246"/>
      <c r="CI34" s="246"/>
      <c r="CJ34" s="246"/>
      <c r="CK34" s="246"/>
      <c r="CL34" s="246"/>
      <c r="CM34" s="246"/>
      <c r="CN34" s="246"/>
      <c r="CO34" s="246"/>
      <c r="CP34" s="246"/>
      <c r="CQ34" s="246"/>
      <c r="CR34" s="246"/>
      <c r="CS34" s="246"/>
      <c r="CT34" s="246"/>
      <c r="CU34" s="246"/>
      <c r="CV34" s="246"/>
      <c r="CW34" s="246"/>
      <c r="CX34" s="246"/>
      <c r="CY34" s="246"/>
      <c r="CZ34" s="246"/>
      <c r="DA34" s="246"/>
      <c r="DB34" s="246"/>
      <c r="DC34" s="246"/>
      <c r="DD34" s="246"/>
      <c r="DE34" s="246"/>
      <c r="DF34" s="246"/>
      <c r="DG34" s="246"/>
      <c r="DH34" s="246"/>
      <c r="DI34" s="246"/>
      <c r="DJ34" s="246"/>
      <c r="DK34" s="246"/>
      <c r="DL34" s="246"/>
      <c r="DM34" s="246"/>
      <c r="DN34" s="246"/>
      <c r="DO34" s="246"/>
      <c r="DP34" s="246"/>
      <c r="DQ34" s="246"/>
      <c r="DR34" s="246"/>
      <c r="DS34" s="246"/>
      <c r="DT34" s="246"/>
      <c r="DU34" s="246"/>
      <c r="DV34" s="246"/>
      <c r="DW34" s="247">
        <f>IF(ISERROR('raw data'!IR35/'raw data'!IS35),0,'raw data'!IR35/'raw data'!IS35)</f>
        <v>0.57594936708860756</v>
      </c>
      <c r="DX34" s="247">
        <f>IF(ISERROR('raw data'!IT35/'raw data'!IU35),0,'raw data'!IT35/'raw data'!IU35)</f>
        <v>0.52032520325203258</v>
      </c>
      <c r="DY34" s="247">
        <f>IF(ISERROR('raw data'!IV35/'raw data'!IW35),0,'raw data'!IV35/'raw data'!IW35)</f>
        <v>0.46564885496183206</v>
      </c>
      <c r="DZ34" s="247">
        <f>IF(ISERROR('raw data'!IX35/'raw data'!IY35),0,'raw data'!IX35/'raw data'!IY35)</f>
        <v>0.57763975155279501</v>
      </c>
      <c r="EA34" s="247">
        <f>IF(ISERROR('raw data'!IZ35/'raw data'!JA35),0,'raw data'!IZ35/'raw data'!JA35)</f>
        <v>0.4</v>
      </c>
      <c r="EB34" s="247">
        <f>IF(ISERROR('raw data'!JB35/'raw data'!JC35),0,'raw data'!JB35/'raw data'!JC35)</f>
        <v>0.38356164383561642</v>
      </c>
      <c r="EC34" s="247">
        <f>IF(ISERROR('raw data'!JD35/'raw data'!JE35),0,'raw data'!JD35/'raw data'!JE35)</f>
        <v>0.24390243902439024</v>
      </c>
      <c r="ED34" s="243"/>
      <c r="EE34" s="248">
        <v>459</v>
      </c>
      <c r="EF34" s="248">
        <v>1018</v>
      </c>
      <c r="EG34" s="249">
        <f t="shared" si="0"/>
        <v>0.45088408644400785</v>
      </c>
      <c r="EH34" s="229"/>
    </row>
    <row r="35" spans="1:138" ht="25" customHeight="1" x14ac:dyDescent="0.15">
      <c r="A35" s="64" t="s">
        <v>64</v>
      </c>
      <c r="B35" s="58" t="s">
        <v>65</v>
      </c>
      <c r="C35" s="58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7">
        <f>IF(ISERROR('raw data'!IR36/'raw data'!IS36),0,'raw data'!IR36/'raw data'!IS36)</f>
        <v>0.29496402877697842</v>
      </c>
      <c r="DX35" s="247">
        <f>IF(ISERROR('raw data'!IT36/'raw data'!IU36),0,'raw data'!IT36/'raw data'!IU36)</f>
        <v>0.21167883211678831</v>
      </c>
      <c r="DY35" s="247">
        <f>IF(ISERROR('raw data'!IV36/'raw data'!IW36),0,'raw data'!IV36/'raw data'!IW36)</f>
        <v>0.20279720279720279</v>
      </c>
      <c r="DZ35" s="247">
        <f>IF(ISERROR('raw data'!IX36/'raw data'!IY36),0,'raw data'!IX36/'raw data'!IY36)</f>
        <v>0.18103448275862069</v>
      </c>
      <c r="EA35" s="247">
        <f>IF(ISERROR('raw data'!IZ36/'raw data'!JA36),0,'raw data'!IZ36/'raw data'!JA36)</f>
        <v>0.28421052631578947</v>
      </c>
      <c r="EB35" s="247">
        <f>IF(ISERROR('raw data'!JB36/'raw data'!JC36),0,'raw data'!JB36/'raw data'!JC36)</f>
        <v>0.15454545454545454</v>
      </c>
      <c r="EC35" s="247">
        <f>IF(ISERROR('raw data'!JD36/'raw data'!JE36),0,'raw data'!JD36/'raw data'!JE36)</f>
        <v>7.575757575757576E-2</v>
      </c>
      <c r="ED35" s="243"/>
      <c r="EE35" s="248">
        <v>174</v>
      </c>
      <c r="EF35" s="248">
        <v>872</v>
      </c>
      <c r="EG35" s="249">
        <f t="shared" si="0"/>
        <v>0.19954128440366972</v>
      </c>
      <c r="EH35" s="229"/>
    </row>
    <row r="36" spans="1:138" ht="25" customHeight="1" x14ac:dyDescent="0.15">
      <c r="A36" s="64" t="s">
        <v>66</v>
      </c>
      <c r="B36" s="58" t="s">
        <v>67</v>
      </c>
      <c r="C36" s="58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  <c r="AH36" s="246"/>
      <c r="AI36" s="246"/>
      <c r="AJ36" s="246"/>
      <c r="AK36" s="246"/>
      <c r="AL36" s="246"/>
      <c r="AM36" s="246"/>
      <c r="AN36" s="246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  <c r="AZ36" s="246"/>
      <c r="BA36" s="246"/>
      <c r="BB36" s="246"/>
      <c r="BC36" s="246"/>
      <c r="BD36" s="246"/>
      <c r="BE36" s="246"/>
      <c r="BF36" s="246"/>
      <c r="BG36" s="246"/>
      <c r="BH36" s="246"/>
      <c r="BI36" s="246"/>
      <c r="BJ36" s="246"/>
      <c r="BK36" s="246"/>
      <c r="BL36" s="246"/>
      <c r="BM36" s="246"/>
      <c r="BN36" s="246"/>
      <c r="BO36" s="246"/>
      <c r="BP36" s="246"/>
      <c r="BQ36" s="246"/>
      <c r="BR36" s="246"/>
      <c r="BS36" s="246"/>
      <c r="BT36" s="246"/>
      <c r="BU36" s="246"/>
      <c r="BV36" s="246"/>
      <c r="BW36" s="246"/>
      <c r="BX36" s="246"/>
      <c r="BY36" s="246"/>
      <c r="BZ36" s="246"/>
      <c r="CA36" s="246"/>
      <c r="CB36" s="246"/>
      <c r="CC36" s="246"/>
      <c r="CD36" s="246"/>
      <c r="CE36" s="246"/>
      <c r="CF36" s="246"/>
      <c r="CG36" s="246"/>
      <c r="CH36" s="246"/>
      <c r="CI36" s="246"/>
      <c r="CJ36" s="246"/>
      <c r="CK36" s="246"/>
      <c r="CL36" s="246"/>
      <c r="CM36" s="246"/>
      <c r="CN36" s="246"/>
      <c r="CO36" s="246"/>
      <c r="CP36" s="246"/>
      <c r="CQ36" s="246"/>
      <c r="CR36" s="246"/>
      <c r="CS36" s="246"/>
      <c r="CT36" s="246"/>
      <c r="CU36" s="246"/>
      <c r="CV36" s="246"/>
      <c r="CW36" s="246"/>
      <c r="CX36" s="246"/>
      <c r="CY36" s="246"/>
      <c r="CZ36" s="246"/>
      <c r="DA36" s="246"/>
      <c r="DB36" s="246"/>
      <c r="DC36" s="246"/>
      <c r="DD36" s="246"/>
      <c r="DE36" s="246"/>
      <c r="DF36" s="246"/>
      <c r="DG36" s="246"/>
      <c r="DH36" s="246"/>
      <c r="DI36" s="246"/>
      <c r="DJ36" s="246"/>
      <c r="DK36" s="246"/>
      <c r="DL36" s="246"/>
      <c r="DM36" s="246"/>
      <c r="DN36" s="246"/>
      <c r="DO36" s="246"/>
      <c r="DP36" s="246"/>
      <c r="DQ36" s="246"/>
      <c r="DR36" s="246"/>
      <c r="DS36" s="246"/>
      <c r="DT36" s="246"/>
      <c r="DU36" s="246"/>
      <c r="DV36" s="246"/>
      <c r="DW36" s="247">
        <f>IF(ISERROR('raw data'!IR37/'raw data'!IS37),0,'raw data'!IR37/'raw data'!IS37)</f>
        <v>0.27906976744186046</v>
      </c>
      <c r="DX36" s="247">
        <f>IF(ISERROR('raw data'!IT37/'raw data'!IU37),0,'raw data'!IT37/'raw data'!IU37)</f>
        <v>0.24096385542168675</v>
      </c>
      <c r="DY36" s="247">
        <f>IF(ISERROR('raw data'!IV37/'raw data'!IW37),0,'raw data'!IV37/'raw data'!IW37)</f>
        <v>0.26315789473684209</v>
      </c>
      <c r="DZ36" s="247">
        <f>IF(ISERROR('raw data'!IX37/'raw data'!IY37),0,'raw data'!IX37/'raw data'!IY37)</f>
        <v>0.24590163934426229</v>
      </c>
      <c r="EA36" s="247">
        <f>IF(ISERROR('raw data'!IZ37/'raw data'!JA37),0,'raw data'!IZ37/'raw data'!JA37)</f>
        <v>0.189873417721519</v>
      </c>
      <c r="EB36" s="247">
        <f>IF(ISERROR('raw data'!JB37/'raw data'!JC37),0,'raw data'!JB37/'raw data'!JC37)</f>
        <v>0.14444444444444443</v>
      </c>
      <c r="EC36" s="247">
        <f>IF(ISERROR('raw data'!JD37/'raw data'!JE37),0,'raw data'!JD37/'raw data'!JE37)</f>
        <v>4.0540540540540543E-2</v>
      </c>
      <c r="ED36" s="243"/>
      <c r="EE36" s="248">
        <v>110</v>
      </c>
      <c r="EF36" s="248">
        <v>549</v>
      </c>
      <c r="EG36" s="249">
        <f t="shared" si="0"/>
        <v>0.20036429872495445</v>
      </c>
      <c r="EH36" s="229"/>
    </row>
    <row r="37" spans="1:138" ht="25" customHeight="1" x14ac:dyDescent="0.15">
      <c r="A37" s="57">
        <v>48</v>
      </c>
      <c r="B37" s="58" t="s">
        <v>68</v>
      </c>
      <c r="C37" s="58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6"/>
      <c r="AV37" s="246"/>
      <c r="AW37" s="246"/>
      <c r="AX37" s="246"/>
      <c r="AY37" s="246"/>
      <c r="AZ37" s="246"/>
      <c r="BA37" s="246"/>
      <c r="BB37" s="246"/>
      <c r="BC37" s="246"/>
      <c r="BD37" s="246"/>
      <c r="BE37" s="246"/>
      <c r="BF37" s="246"/>
      <c r="BG37" s="246"/>
      <c r="BH37" s="246"/>
      <c r="BI37" s="246"/>
      <c r="BJ37" s="246"/>
      <c r="BK37" s="246"/>
      <c r="BL37" s="246"/>
      <c r="BM37" s="246"/>
      <c r="BN37" s="246"/>
      <c r="BO37" s="246"/>
      <c r="BP37" s="246"/>
      <c r="BQ37" s="246"/>
      <c r="BR37" s="246"/>
      <c r="BS37" s="246"/>
      <c r="BT37" s="246"/>
      <c r="BU37" s="246"/>
      <c r="BV37" s="246"/>
      <c r="BW37" s="246"/>
      <c r="BX37" s="246"/>
      <c r="BY37" s="246"/>
      <c r="BZ37" s="246"/>
      <c r="CA37" s="246"/>
      <c r="CB37" s="246"/>
      <c r="CC37" s="246"/>
      <c r="CD37" s="246"/>
      <c r="CE37" s="246"/>
      <c r="CF37" s="246"/>
      <c r="CG37" s="246"/>
      <c r="CH37" s="246"/>
      <c r="CI37" s="246"/>
      <c r="CJ37" s="246"/>
      <c r="CK37" s="246"/>
      <c r="CL37" s="246"/>
      <c r="CM37" s="246"/>
      <c r="CN37" s="246"/>
      <c r="CO37" s="246"/>
      <c r="CP37" s="246"/>
      <c r="CQ37" s="246"/>
      <c r="CR37" s="246"/>
      <c r="CS37" s="246"/>
      <c r="CT37" s="246"/>
      <c r="CU37" s="246"/>
      <c r="CV37" s="246"/>
      <c r="CW37" s="246"/>
      <c r="CX37" s="246"/>
      <c r="CY37" s="246"/>
      <c r="CZ37" s="246"/>
      <c r="DA37" s="246"/>
      <c r="DB37" s="246"/>
      <c r="DC37" s="246"/>
      <c r="DD37" s="246"/>
      <c r="DE37" s="246"/>
      <c r="DF37" s="246"/>
      <c r="DG37" s="246"/>
      <c r="DH37" s="246"/>
      <c r="DI37" s="246"/>
      <c r="DJ37" s="246"/>
      <c r="DK37" s="246"/>
      <c r="DL37" s="246"/>
      <c r="DM37" s="246"/>
      <c r="DN37" s="246"/>
      <c r="DO37" s="246"/>
      <c r="DP37" s="246"/>
      <c r="DQ37" s="246"/>
      <c r="DR37" s="246"/>
      <c r="DS37" s="246"/>
      <c r="DT37" s="246"/>
      <c r="DU37" s="246"/>
      <c r="DV37" s="246"/>
      <c r="DW37" s="246"/>
      <c r="DX37" s="246"/>
      <c r="DY37" s="247">
        <f>IF(ISERROR('raw data'!IV38/'raw data'!IW38),0,'raw data'!IV38/'raw data'!IW38)</f>
        <v>0.40514469453376206</v>
      </c>
      <c r="DZ37" s="247">
        <f>IF(ISERROR('raw data'!IX38/'raw data'!IY38),0,'raw data'!IX38/'raw data'!IY38)</f>
        <v>0.21070234113712374</v>
      </c>
      <c r="EA37" s="247">
        <f>IF(ISERROR('raw data'!IZ38/'raw data'!JA38),0,'raw data'!IZ38/'raw data'!JA38)</f>
        <v>0.22525597269624573</v>
      </c>
      <c r="EB37" s="247">
        <f>IF(ISERROR('raw data'!JB38/'raw data'!JC38),0,'raw data'!JB38/'raw data'!JC38)</f>
        <v>0.24723247232472326</v>
      </c>
      <c r="EC37" s="247">
        <f>IF(ISERROR('raw data'!JD38/'raw data'!JE38),0,'raw data'!JD38/'raw data'!JE38)</f>
        <v>6.1538461538461542E-2</v>
      </c>
      <c r="ED37" s="243"/>
      <c r="EE37" s="248">
        <v>338</v>
      </c>
      <c r="EF37" s="248">
        <v>1434</v>
      </c>
      <c r="EG37" s="249">
        <f t="shared" si="0"/>
        <v>0.23570432357043236</v>
      </c>
      <c r="EH37" s="229"/>
    </row>
    <row r="38" spans="1:138" ht="25" customHeight="1" x14ac:dyDescent="0.15">
      <c r="A38" s="57" t="s">
        <v>69</v>
      </c>
      <c r="B38" s="58" t="s">
        <v>68</v>
      </c>
      <c r="C38" s="58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246"/>
      <c r="AK38" s="246"/>
      <c r="AL38" s="246"/>
      <c r="AM38" s="246"/>
      <c r="AN38" s="246"/>
      <c r="AO38" s="246"/>
      <c r="AP38" s="246"/>
      <c r="AQ38" s="246"/>
      <c r="AR38" s="246"/>
      <c r="AS38" s="246"/>
      <c r="AT38" s="246"/>
      <c r="AU38" s="246"/>
      <c r="AV38" s="246"/>
      <c r="AW38" s="246"/>
      <c r="AX38" s="246"/>
      <c r="AY38" s="246"/>
      <c r="AZ38" s="246"/>
      <c r="BA38" s="246"/>
      <c r="BB38" s="246"/>
      <c r="BC38" s="246"/>
      <c r="BD38" s="246"/>
      <c r="BE38" s="246"/>
      <c r="BF38" s="246"/>
      <c r="BG38" s="246"/>
      <c r="BH38" s="246"/>
      <c r="BI38" s="246"/>
      <c r="BJ38" s="246"/>
      <c r="BK38" s="246"/>
      <c r="BL38" s="246"/>
      <c r="BM38" s="246"/>
      <c r="BN38" s="246"/>
      <c r="BO38" s="246"/>
      <c r="BP38" s="246"/>
      <c r="BQ38" s="246"/>
      <c r="BR38" s="246"/>
      <c r="BS38" s="246"/>
      <c r="BT38" s="246"/>
      <c r="BU38" s="246"/>
      <c r="BV38" s="246"/>
      <c r="BW38" s="246"/>
      <c r="BX38" s="246"/>
      <c r="BY38" s="246"/>
      <c r="BZ38" s="246"/>
      <c r="CA38" s="246"/>
      <c r="CB38" s="246"/>
      <c r="CC38" s="246"/>
      <c r="CD38" s="246"/>
      <c r="CE38" s="246"/>
      <c r="CF38" s="246"/>
      <c r="CG38" s="246"/>
      <c r="CH38" s="246"/>
      <c r="CI38" s="246"/>
      <c r="CJ38" s="246"/>
      <c r="CK38" s="246"/>
      <c r="CL38" s="246"/>
      <c r="CM38" s="246"/>
      <c r="CN38" s="246"/>
      <c r="CO38" s="246"/>
      <c r="CP38" s="246"/>
      <c r="CQ38" s="246"/>
      <c r="CR38" s="246"/>
      <c r="CS38" s="246"/>
      <c r="CT38" s="246"/>
      <c r="CU38" s="246"/>
      <c r="CV38" s="246"/>
      <c r="CW38" s="246"/>
      <c r="CX38" s="246"/>
      <c r="CY38" s="246"/>
      <c r="CZ38" s="246"/>
      <c r="DA38" s="246"/>
      <c r="DB38" s="246"/>
      <c r="DC38" s="246"/>
      <c r="DD38" s="246"/>
      <c r="DE38" s="246"/>
      <c r="DF38" s="246"/>
      <c r="DG38" s="246"/>
      <c r="DH38" s="246"/>
      <c r="DI38" s="246"/>
      <c r="DJ38" s="246"/>
      <c r="DK38" s="246"/>
      <c r="DL38" s="246"/>
      <c r="DM38" s="246"/>
      <c r="DN38" s="246"/>
      <c r="DO38" s="246"/>
      <c r="DP38" s="246"/>
      <c r="DQ38" s="246"/>
      <c r="DR38" s="246"/>
      <c r="DS38" s="246"/>
      <c r="DT38" s="246"/>
      <c r="DU38" s="246"/>
      <c r="DV38" s="246"/>
      <c r="DW38" s="246"/>
      <c r="DX38" s="246"/>
      <c r="DY38" s="246"/>
      <c r="DZ38" s="246"/>
      <c r="EA38" s="246"/>
      <c r="EB38" s="247">
        <f>IF(ISERROR('raw data'!JB39/'raw data'!JC39),0,'raw data'!JB39/'raw data'!JC39)</f>
        <v>7.1428571428571425E-2</v>
      </c>
      <c r="EC38" s="247">
        <f>IF(ISERROR('raw data'!JD39/'raw data'!JE39),0,'raw data'!JD39/'raw data'!JE39)</f>
        <v>0</v>
      </c>
      <c r="ED38" s="243"/>
      <c r="EE38" s="248">
        <v>1</v>
      </c>
      <c r="EF38" s="248">
        <v>27</v>
      </c>
      <c r="EG38" s="249">
        <f t="shared" si="0"/>
        <v>3.7037037037037035E-2</v>
      </c>
      <c r="EH38" s="229"/>
    </row>
    <row r="39" spans="1:138" ht="25" customHeight="1" x14ac:dyDescent="0.15">
      <c r="A39" s="57">
        <v>49</v>
      </c>
      <c r="B39" s="58" t="s">
        <v>70</v>
      </c>
      <c r="C39" s="58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7">
        <f>IF(ISERROR('raw data'!IV40/'raw data'!IW40),0,'raw data'!IV40/'raw data'!IW40)</f>
        <v>0.56797583081571001</v>
      </c>
      <c r="DZ39" s="247">
        <f>IF(ISERROR('raw data'!IX40/'raw data'!IY40),0,'raw data'!IX40/'raw data'!IY40)</f>
        <v>0.33423913043478259</v>
      </c>
      <c r="EA39" s="247">
        <f>IF(ISERROR('raw data'!IZ40/'raw data'!JA40),0,'raw data'!IZ40/'raw data'!JA40)</f>
        <v>0.32228915662650603</v>
      </c>
      <c r="EB39" s="247">
        <f>IF(ISERROR('raw data'!JB40/'raw data'!JC40),0,'raw data'!JB40/'raw data'!JC40)</f>
        <v>0.35409836065573769</v>
      </c>
      <c r="EC39" s="247">
        <f>IF(ISERROR('raw data'!JD40/'raw data'!JE40),0,'raw data'!JD40/'raw data'!JE40)</f>
        <v>0.15666666666666668</v>
      </c>
      <c r="ED39" s="243"/>
      <c r="EE39" s="248">
        <v>573</v>
      </c>
      <c r="EF39" s="248">
        <v>1636</v>
      </c>
      <c r="EG39" s="249">
        <f t="shared" si="0"/>
        <v>0.35024449877750613</v>
      </c>
      <c r="EH39" s="229"/>
    </row>
    <row r="40" spans="1:138" ht="25" customHeight="1" x14ac:dyDescent="0.15">
      <c r="A40" s="57" t="s">
        <v>71</v>
      </c>
      <c r="B40" s="58" t="s">
        <v>70</v>
      </c>
      <c r="C40" s="58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  <c r="AF40" s="246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6"/>
      <c r="AT40" s="246"/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6"/>
      <c r="BF40" s="246"/>
      <c r="BG40" s="246"/>
      <c r="BH40" s="246"/>
      <c r="BI40" s="246"/>
      <c r="BJ40" s="246"/>
      <c r="BK40" s="246"/>
      <c r="BL40" s="246"/>
      <c r="BM40" s="246"/>
      <c r="BN40" s="246"/>
      <c r="BO40" s="246"/>
      <c r="BP40" s="246"/>
      <c r="BQ40" s="246"/>
      <c r="BR40" s="246"/>
      <c r="BS40" s="246"/>
      <c r="BT40" s="246"/>
      <c r="BU40" s="246"/>
      <c r="BV40" s="246"/>
      <c r="BW40" s="246"/>
      <c r="BX40" s="246"/>
      <c r="BY40" s="246"/>
      <c r="BZ40" s="246"/>
      <c r="CA40" s="246"/>
      <c r="CB40" s="246"/>
      <c r="CC40" s="246"/>
      <c r="CD40" s="246"/>
      <c r="CE40" s="246"/>
      <c r="CF40" s="246"/>
      <c r="CG40" s="246"/>
      <c r="CH40" s="246"/>
      <c r="CI40" s="246"/>
      <c r="CJ40" s="246"/>
      <c r="CK40" s="246"/>
      <c r="CL40" s="246"/>
      <c r="CM40" s="246"/>
      <c r="CN40" s="246"/>
      <c r="CO40" s="246"/>
      <c r="CP40" s="246"/>
      <c r="CQ40" s="246"/>
      <c r="CR40" s="246"/>
      <c r="CS40" s="246"/>
      <c r="CT40" s="246"/>
      <c r="CU40" s="246"/>
      <c r="CV40" s="246"/>
      <c r="CW40" s="246"/>
      <c r="CX40" s="246"/>
      <c r="CY40" s="246"/>
      <c r="CZ40" s="246"/>
      <c r="DA40" s="246"/>
      <c r="DB40" s="246"/>
      <c r="DC40" s="246"/>
      <c r="DD40" s="246"/>
      <c r="DE40" s="246"/>
      <c r="DF40" s="246"/>
      <c r="DG40" s="246"/>
      <c r="DH40" s="246"/>
      <c r="DI40" s="246"/>
      <c r="DJ40" s="246"/>
      <c r="DK40" s="246"/>
      <c r="DL40" s="246"/>
      <c r="DM40" s="246"/>
      <c r="DN40" s="246"/>
      <c r="DO40" s="246"/>
      <c r="DP40" s="246"/>
      <c r="DQ40" s="246"/>
      <c r="DR40" s="246"/>
      <c r="DS40" s="246"/>
      <c r="DT40" s="246"/>
      <c r="DU40" s="246"/>
      <c r="DV40" s="246"/>
      <c r="DW40" s="246"/>
      <c r="DX40" s="246"/>
      <c r="DY40" s="246"/>
      <c r="DZ40" s="246"/>
      <c r="EA40" s="246"/>
      <c r="EB40" s="247">
        <f>IF(ISERROR('raw data'!JB41/'raw data'!JC41),0,'raw data'!JB41/'raw data'!JC41)</f>
        <v>0.375</v>
      </c>
      <c r="EC40" s="247">
        <f>IF(ISERROR('raw data'!JD41/'raw data'!JE41),0,'raw data'!JD41/'raw data'!JE41)</f>
        <v>6.6666666666666666E-2</v>
      </c>
      <c r="ED40" s="243"/>
      <c r="EE40" s="248">
        <v>7</v>
      </c>
      <c r="EF40" s="248">
        <v>31</v>
      </c>
      <c r="EG40" s="249">
        <f t="shared" si="0"/>
        <v>0.22580645161290322</v>
      </c>
      <c r="EH40" s="229"/>
    </row>
    <row r="41" spans="1:138" ht="25" customHeight="1" x14ac:dyDescent="0.15">
      <c r="A41" s="57">
        <v>51</v>
      </c>
      <c r="B41" s="58" t="s">
        <v>72</v>
      </c>
      <c r="C41" s="58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6"/>
      <c r="AT41" s="246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6"/>
      <c r="BG41" s="246"/>
      <c r="BH41" s="246"/>
      <c r="BI41" s="246"/>
      <c r="BJ41" s="246"/>
      <c r="BK41" s="246"/>
      <c r="BL41" s="246"/>
      <c r="BM41" s="246"/>
      <c r="BN41" s="246"/>
      <c r="BO41" s="246"/>
      <c r="BP41" s="246"/>
      <c r="BQ41" s="246"/>
      <c r="BR41" s="246"/>
      <c r="BS41" s="246"/>
      <c r="BT41" s="246"/>
      <c r="BU41" s="246"/>
      <c r="BV41" s="246"/>
      <c r="BW41" s="246"/>
      <c r="BX41" s="246"/>
      <c r="BY41" s="246"/>
      <c r="BZ41" s="246"/>
      <c r="CA41" s="246"/>
      <c r="CB41" s="246"/>
      <c r="CC41" s="246"/>
      <c r="CD41" s="246"/>
      <c r="CE41" s="246"/>
      <c r="CF41" s="246"/>
      <c r="CG41" s="246"/>
      <c r="CH41" s="246"/>
      <c r="CI41" s="246"/>
      <c r="CJ41" s="246"/>
      <c r="CK41" s="246"/>
      <c r="CL41" s="246"/>
      <c r="CM41" s="246"/>
      <c r="CN41" s="246"/>
      <c r="CO41" s="246"/>
      <c r="CP41" s="246"/>
      <c r="CQ41" s="246"/>
      <c r="CR41" s="246"/>
      <c r="CS41" s="246"/>
      <c r="CT41" s="246"/>
      <c r="CU41" s="246"/>
      <c r="CV41" s="246"/>
      <c r="CW41" s="246"/>
      <c r="CX41" s="246"/>
      <c r="CY41" s="246"/>
      <c r="CZ41" s="246"/>
      <c r="DA41" s="246"/>
      <c r="DB41" s="246"/>
      <c r="DC41" s="246"/>
      <c r="DD41" s="246"/>
      <c r="DE41" s="246"/>
      <c r="DF41" s="246"/>
      <c r="DG41" s="246"/>
      <c r="DH41" s="246"/>
      <c r="DI41" s="246"/>
      <c r="DJ41" s="246"/>
      <c r="DK41" s="246"/>
      <c r="DL41" s="246"/>
      <c r="DM41" s="246"/>
      <c r="DN41" s="246"/>
      <c r="DO41" s="246"/>
      <c r="DP41" s="246"/>
      <c r="DQ41" s="246"/>
      <c r="DR41" s="246"/>
      <c r="DS41" s="246"/>
      <c r="DT41" s="246"/>
      <c r="DU41" s="246"/>
      <c r="DV41" s="246"/>
      <c r="DW41" s="246"/>
      <c r="DX41" s="246"/>
      <c r="DY41" s="247">
        <f>IF(ISERROR('raw data'!IV42/'raw data'!IW42),0,'raw data'!IV42/'raw data'!IW42)</f>
        <v>0.52509652509652505</v>
      </c>
      <c r="DZ41" s="247">
        <f>IF(ISERROR('raw data'!IX42/'raw data'!IY42),0,'raw data'!IX42/'raw data'!IY42)</f>
        <v>0.4</v>
      </c>
      <c r="EA41" s="247">
        <f>IF(ISERROR('raw data'!IZ42/'raw data'!JA42),0,'raw data'!IZ42/'raw data'!JA42)</f>
        <v>0.39687499999999998</v>
      </c>
      <c r="EB41" s="247">
        <f>IF(ISERROR('raw data'!JB42/'raw data'!JC42),0,'raw data'!JB42/'raw data'!JC42)</f>
        <v>0.37966101694915255</v>
      </c>
      <c r="EC41" s="247">
        <f>IF(ISERROR('raw data'!JD42/'raw data'!JE42),0,'raw data'!JD42/'raw data'!JE42)</f>
        <v>0.20714285714285716</v>
      </c>
      <c r="ED41" s="243"/>
      <c r="EE41" s="248">
        <v>531</v>
      </c>
      <c r="EF41" s="248">
        <v>1399</v>
      </c>
      <c r="EG41" s="249">
        <f t="shared" si="0"/>
        <v>0.37955682630450321</v>
      </c>
      <c r="EH41" s="229"/>
    </row>
    <row r="42" spans="1:138" ht="25" customHeight="1" x14ac:dyDescent="0.15">
      <c r="A42" s="57" t="s">
        <v>73</v>
      </c>
      <c r="B42" s="58" t="s">
        <v>72</v>
      </c>
      <c r="C42" s="58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  <c r="CJ42" s="246"/>
      <c r="CK42" s="246"/>
      <c r="CL42" s="246"/>
      <c r="CM42" s="246"/>
      <c r="CN42" s="246"/>
      <c r="CO42" s="246"/>
      <c r="CP42" s="246"/>
      <c r="CQ42" s="246"/>
      <c r="CR42" s="246"/>
      <c r="CS42" s="246"/>
      <c r="CT42" s="246"/>
      <c r="CU42" s="246"/>
      <c r="CV42" s="246"/>
      <c r="CW42" s="246"/>
      <c r="CX42" s="246"/>
      <c r="CY42" s="246"/>
      <c r="CZ42" s="246"/>
      <c r="DA42" s="246"/>
      <c r="DB42" s="246"/>
      <c r="DC42" s="246"/>
      <c r="DD42" s="246"/>
      <c r="DE42" s="246"/>
      <c r="DF42" s="246"/>
      <c r="DG42" s="246"/>
      <c r="DH42" s="246"/>
      <c r="DI42" s="246"/>
      <c r="DJ42" s="246"/>
      <c r="DK42" s="246"/>
      <c r="DL42" s="246"/>
      <c r="DM42" s="246"/>
      <c r="DN42" s="246"/>
      <c r="DO42" s="246"/>
      <c r="DP42" s="246"/>
      <c r="DQ42" s="246"/>
      <c r="DR42" s="246"/>
      <c r="DS42" s="246"/>
      <c r="DT42" s="246"/>
      <c r="DU42" s="246"/>
      <c r="DV42" s="246"/>
      <c r="DW42" s="246"/>
      <c r="DX42" s="246"/>
      <c r="DY42" s="246"/>
      <c r="DZ42" s="246"/>
      <c r="EA42" s="246"/>
      <c r="EB42" s="247">
        <f>IF(ISERROR('raw data'!JB43/'raw data'!JC43),0,'raw data'!JB43/'raw data'!JC43)</f>
        <v>0.13333333333333333</v>
      </c>
      <c r="EC42" s="247">
        <f>IF(ISERROR('raw data'!JD43/'raw data'!JE43),0,'raw data'!JD43/'raw data'!JE43)</f>
        <v>0</v>
      </c>
      <c r="ED42" s="243"/>
      <c r="EE42" s="248">
        <v>2</v>
      </c>
      <c r="EF42" s="248">
        <v>29</v>
      </c>
      <c r="EG42" s="249">
        <f t="shared" si="0"/>
        <v>6.8965517241379309E-2</v>
      </c>
      <c r="EH42" s="229"/>
    </row>
    <row r="43" spans="1:138" ht="14" x14ac:dyDescent="0.15">
      <c r="A43" s="241"/>
      <c r="B43" s="242" t="s">
        <v>74</v>
      </c>
      <c r="C43" s="242" t="s">
        <v>74</v>
      </c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  <c r="BB43" s="243"/>
      <c r="BC43" s="243"/>
      <c r="BD43" s="243"/>
      <c r="BE43" s="243"/>
      <c r="BF43" s="243"/>
      <c r="BG43" s="243"/>
      <c r="BH43" s="243"/>
      <c r="BI43" s="243"/>
      <c r="BJ43" s="243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  <c r="BX43" s="243"/>
      <c r="BY43" s="243"/>
      <c r="BZ43" s="243"/>
      <c r="CA43" s="243"/>
      <c r="CB43" s="243"/>
      <c r="CC43" s="243"/>
      <c r="CD43" s="243"/>
      <c r="CE43" s="243"/>
      <c r="CF43" s="243"/>
      <c r="CG43" s="243"/>
      <c r="CH43" s="243"/>
      <c r="CI43" s="243"/>
      <c r="CJ43" s="243"/>
      <c r="CK43" s="243"/>
      <c r="CL43" s="243"/>
      <c r="CM43" s="243"/>
      <c r="CN43" s="243"/>
      <c r="CO43" s="243"/>
      <c r="CP43" s="243"/>
      <c r="CQ43" s="243"/>
      <c r="CR43" s="243"/>
      <c r="CS43" s="243"/>
      <c r="CT43" s="243"/>
      <c r="CU43" s="243"/>
      <c r="CV43" s="243"/>
      <c r="CW43" s="243"/>
      <c r="CX43" s="243"/>
      <c r="CY43" s="243"/>
      <c r="CZ43" s="243"/>
      <c r="DA43" s="243"/>
      <c r="DB43" s="243"/>
      <c r="DC43" s="243"/>
      <c r="DD43" s="243"/>
      <c r="DE43" s="243"/>
      <c r="DF43" s="243"/>
      <c r="DG43" s="243"/>
      <c r="DH43" s="243"/>
      <c r="DI43" s="243"/>
      <c r="DJ43" s="243"/>
      <c r="DK43" s="243"/>
      <c r="DL43" s="243"/>
      <c r="DM43" s="243"/>
      <c r="DN43" s="243"/>
      <c r="DO43" s="243"/>
      <c r="DP43" s="243"/>
      <c r="DQ43" s="243"/>
      <c r="DR43" s="243"/>
      <c r="DS43" s="243"/>
      <c r="DT43" s="243"/>
      <c r="DU43" s="243"/>
      <c r="DV43" s="243"/>
      <c r="DW43" s="243">
        <f>IF(ISERROR('raw data'!IR44/'raw data'!IS44),0,'raw data'!IR44/'raw data'!IS44)</f>
        <v>0.3359073359073359</v>
      </c>
      <c r="DX43" s="243">
        <f>IF(ISERROR('raw data'!IT44/'raw data'!IU44),0,'raw data'!IT44/'raw data'!IU44)</f>
        <v>0.30042918454935624</v>
      </c>
      <c r="DY43" s="243">
        <f>IF(ISERROR('raw data'!IV44/'raw data'!IW44),0,'raw data'!IV44/'raw data'!IW44)</f>
        <v>0.41128010139416982</v>
      </c>
      <c r="DZ43" s="243">
        <f>IF(ISERROR('raw data'!IX44/'raw data'!IY44),0,'raw data'!IX44/'raw data'!IY44)</f>
        <v>0.32430841671571514</v>
      </c>
      <c r="EA43" s="243">
        <f>IF(ISERROR('raw data'!IZ44/'raw data'!JA44),0,'raw data'!IZ44/'raw data'!JA44)</f>
        <v>0.30863441518677281</v>
      </c>
      <c r="EB43" s="243">
        <f>IF(ISERROR('raw data'!JB44/'raw data'!JC44),0,'raw data'!JB44/'raw data'!JC44)</f>
        <v>0.2866707242848448</v>
      </c>
      <c r="EC43" s="243">
        <f>IF(ISERROR('raw data'!JD44/'raw data'!JE44),0,'raw data'!JD44/'raw data'!JE44)</f>
        <v>0.13325401546698393</v>
      </c>
      <c r="ED43" s="243"/>
      <c r="EE43" s="244">
        <f>SUM(EE31:EE41)</f>
        <v>2868</v>
      </c>
      <c r="EF43" s="244">
        <f>SUM(EF31:EF41)</f>
        <v>9681</v>
      </c>
      <c r="EG43" s="245">
        <f>IF(ISERROR(EE43/EF43),0,EE43/EF43)</f>
        <v>0.29625038735667802</v>
      </c>
      <c r="EH43" s="229"/>
    </row>
    <row r="44" spans="1:138" ht="25.5" customHeight="1" x14ac:dyDescent="0.15">
      <c r="A44" s="250">
        <v>3.1</v>
      </c>
      <c r="B44" s="251" t="str">
        <f>'raw data'!B45</f>
        <v xml:space="preserve">Accounts, 24+ months old, redeemed whilst in arrears for 12+ months with a £5k+ payment. </v>
      </c>
      <c r="C44" s="252" t="s">
        <v>76</v>
      </c>
      <c r="D44" s="253">
        <f>+'raw data'!D45/'raw data'!E45</f>
        <v>0</v>
      </c>
      <c r="E44" s="253">
        <v>0</v>
      </c>
      <c r="F44" s="253">
        <v>0</v>
      </c>
      <c r="G44" s="253">
        <f>'raw data'!J45/'raw data'!K45</f>
        <v>0</v>
      </c>
      <c r="H44" s="253">
        <f>'raw data'!L45/'raw data'!M45</f>
        <v>0</v>
      </c>
      <c r="I44" s="253">
        <v>0</v>
      </c>
      <c r="J44" s="253">
        <v>0</v>
      </c>
      <c r="K44" s="253">
        <v>0</v>
      </c>
      <c r="L44" s="253">
        <v>0</v>
      </c>
      <c r="M44" s="253">
        <v>0</v>
      </c>
      <c r="N44" s="253">
        <f>'raw data'!X45/'raw data'!Y45</f>
        <v>0</v>
      </c>
      <c r="O44" s="253">
        <f>IF(ISERROR('raw data'!Z45/'raw data'!AA45),0,'raw data'!Z45/'raw data'!AA45)</f>
        <v>0</v>
      </c>
      <c r="P44" s="253">
        <f>IF(ISERROR('raw data'!AB45/'raw data'!AC45),0,'raw data'!AB45/'raw data'!AC45)</f>
        <v>0</v>
      </c>
      <c r="Q44" s="253">
        <f>IF(ISERROR('raw data'!AD45/'raw data'!AE45),0,'raw data'!AD45/'raw data'!AE45)</f>
        <v>0</v>
      </c>
      <c r="R44" s="253">
        <f>IF(ISERROR('raw data'!AF45/'raw data'!AG45),0,'raw data'!AF45/'raw data'!AG45)</f>
        <v>0</v>
      </c>
      <c r="S44" s="253">
        <f>IF(ISERROR('raw data'!AH45/'raw data'!AI45),0,'raw data'!AH45/'raw data'!AI45)</f>
        <v>0</v>
      </c>
      <c r="T44" s="253">
        <f>IF(ISERROR('raw data'!AJ45/'raw data'!AK45),0,'raw data'!AJ45/'raw data'!AK45)</f>
        <v>0</v>
      </c>
      <c r="U44" s="253">
        <f>IF(ISERROR('raw data'!AL45/'raw data'!AM45),0,'raw data'!AL45/'raw data'!AM45)</f>
        <v>0</v>
      </c>
      <c r="V44" s="253">
        <f>IF(ISERROR('raw data'!AN45/'raw data'!AO45),0,'raw data'!AN45/'raw data'!AO45)</f>
        <v>0</v>
      </c>
      <c r="W44" s="253">
        <f>IF(ISERROR('raw data'!AP45/'raw data'!AQ45),0,'raw data'!AP45/'raw data'!AQ45)</f>
        <v>0</v>
      </c>
      <c r="X44" s="253">
        <f>IF(ISERROR('raw data'!AR45/'raw data'!AS45),0,'raw data'!AR45/'raw data'!AS45)</f>
        <v>0</v>
      </c>
      <c r="Y44" s="253">
        <f>IF(ISERROR('raw data'!AT45/'raw data'!AU45),0,'raw data'!AT45/'raw data'!AU45)</f>
        <v>0</v>
      </c>
      <c r="Z44" s="253">
        <f>IF(ISERROR('raw data'!AV45/'raw data'!AW45),0,'raw data'!AV45/'raw data'!AW45)</f>
        <v>0</v>
      </c>
      <c r="AA44" s="253">
        <f>IF(ISERROR('raw data'!AX45/'raw data'!AY45),0,'raw data'!AX45/'raw data'!AY45)</f>
        <v>0</v>
      </c>
      <c r="AB44" s="253">
        <f>IF(ISERROR('raw data'!AZ45/'raw data'!BA45),0,'raw data'!AZ45/'raw data'!BA45)</f>
        <v>0</v>
      </c>
      <c r="AC44" s="253">
        <f>IF(ISERROR('raw data'!BB45/'raw data'!BC45),0,'raw data'!BB45/'raw data'!BC45)</f>
        <v>0</v>
      </c>
      <c r="AD44" s="253">
        <f>IF(ISERROR('raw data'!BD45/'raw data'!BE45),0,'raw data'!BD45/'raw data'!BE45)</f>
        <v>0</v>
      </c>
      <c r="AE44" s="253">
        <f>IF(ISERROR('raw data'!BF45/'raw data'!BG45),0,'raw data'!BF45/'raw data'!BG45)</f>
        <v>0</v>
      </c>
      <c r="AF44" s="254">
        <f>IF(ISERROR('raw data'!BH45/'raw data'!BI45),0,'raw data'!BH45/'raw data'!BI45)</f>
        <v>0</v>
      </c>
      <c r="AG44" s="253">
        <f>IF(ISERROR('raw data'!BJ45/'raw data'!BK45),0,'raw data'!BJ45/'raw data'!BK45)</f>
        <v>0</v>
      </c>
      <c r="AH44" s="253">
        <f>IF(ISERROR('raw data'!BL45/'raw data'!BM45),0,'raw data'!BL45/'raw data'!BM45)</f>
        <v>0</v>
      </c>
      <c r="AI44" s="253">
        <f>IF(ISERROR('raw data'!BN45/'raw data'!BO45),0,'raw data'!BN45/'raw data'!BO45)</f>
        <v>0</v>
      </c>
      <c r="AJ44" s="253">
        <f>IF(ISERROR('raw data'!BP45/'raw data'!BQ45),0,'raw data'!BP45/'raw data'!BQ45)</f>
        <v>0</v>
      </c>
      <c r="AK44" s="253">
        <f>IF(ISERROR('raw data'!BR45/'raw data'!BS45),0,'raw data'!BR45/'raw data'!BS45)</f>
        <v>0</v>
      </c>
      <c r="AL44" s="253">
        <f>IF(ISERROR('raw data'!BT45/'raw data'!BU45),0,'raw data'!BT45/'raw data'!BU45)</f>
        <v>0</v>
      </c>
      <c r="AM44" s="253">
        <f>IF(ISERROR('raw data'!BV45/'raw data'!BW45),0,'raw data'!BV45/'raw data'!BW45)</f>
        <v>0</v>
      </c>
      <c r="AN44" s="253">
        <f>IF(ISERROR('raw data'!BX45/'raw data'!BY45),0,'raw data'!BX45/'raw data'!BY45)</f>
        <v>0</v>
      </c>
      <c r="AO44" s="253">
        <f>IF(ISERROR('raw data'!BZ45/'raw data'!CA45),0,'raw data'!BZ45/'raw data'!CA45)</f>
        <v>0</v>
      </c>
      <c r="AP44" s="253">
        <f>IF(ISERROR('raw data'!CB45/'raw data'!CC45),0,'raw data'!CB45/'raw data'!CC45)</f>
        <v>0</v>
      </c>
      <c r="AQ44" s="253">
        <f>IF(ISERROR('raw data'!CD45/'raw data'!CE45),0,'raw data'!CD45/'raw data'!CE45)</f>
        <v>0</v>
      </c>
      <c r="AR44" s="253">
        <f>IF(ISERROR('raw data'!CF45/'raw data'!CG45),0,'raw data'!CF45/'raw data'!CG45)</f>
        <v>0</v>
      </c>
      <c r="AS44" s="253">
        <f>IF(ISERROR('raw data'!CH45/'raw data'!CI45),0,'raw data'!CH45/'raw data'!CI45)</f>
        <v>0</v>
      </c>
      <c r="AT44" s="253">
        <f>IF(ISERROR('raw data'!CJ45/'raw data'!CK45),0,'raw data'!CJ45/'raw data'!CK45)</f>
        <v>0</v>
      </c>
      <c r="AU44" s="253">
        <f>IF(ISERROR('raw data'!CL45/'raw data'!CM45),0,'raw data'!CL45/'raw data'!CM45)</f>
        <v>0.33333333333333331</v>
      </c>
      <c r="AV44" s="253">
        <f>IF(ISERROR('raw data'!CN45/'raw data'!CO45),0,'raw data'!CN45/'raw data'!CO45)</f>
        <v>0</v>
      </c>
      <c r="AW44" s="253">
        <f>IF(ISERROR('raw data'!CP45/'raw data'!CQ45),0,'raw data'!CP45/'raw data'!CQ45)</f>
        <v>0</v>
      </c>
      <c r="AX44" s="253">
        <f>IF(ISERROR('raw data'!CR45/'raw data'!CS45),0,'raw data'!CR45/'raw data'!CS45)</f>
        <v>0</v>
      </c>
      <c r="AY44" s="253">
        <f>IF(ISERROR('raw data'!CT45/'raw data'!CU45),0,'raw data'!CT45/'raw data'!CU45)</f>
        <v>0</v>
      </c>
      <c r="AZ44" s="253">
        <f>IF(ISERROR('raw data'!CV45/'raw data'!CW45),0,'raw data'!CV45/'raw data'!CW45)</f>
        <v>0</v>
      </c>
      <c r="BA44" s="253">
        <f>IF(ISERROR('raw data'!CX45/'raw data'!CY45),0,'raw data'!CX45/'raw data'!CY45)</f>
        <v>0</v>
      </c>
      <c r="BB44" s="253">
        <f>IF(ISERROR('raw data'!CZ45/'raw data'!DA45),0,'raw data'!CZ45/'raw data'!DA45)</f>
        <v>0</v>
      </c>
      <c r="BC44" s="253">
        <f>IF(ISERROR('raw data'!DB45/'raw data'!DC45),0,'raw data'!DB45/'raw data'!DC45)</f>
        <v>0</v>
      </c>
      <c r="BD44" s="253">
        <v>0</v>
      </c>
      <c r="BE44" s="253">
        <f>IF(ISERROR('raw data'!DF45/'raw data'!DG45),0,'raw data'!DF45/'raw data'!DG45)</f>
        <v>0</v>
      </c>
      <c r="BF44" s="253">
        <f>IF(ISERROR('raw data'!DH45/'raw data'!DI45),0,'raw data'!DH45/'raw data'!DI45)</f>
        <v>0</v>
      </c>
      <c r="BG44" s="253">
        <f>IF(ISERROR('raw data'!DJ45/'raw data'!DK45),0,'raw data'!DJ45/'raw data'!DK45)</f>
        <v>0</v>
      </c>
      <c r="BH44" s="253">
        <f>IF(ISERROR('raw data'!DL45/'raw data'!DM45),0,'raw data'!DL45/'raw data'!DM45)</f>
        <v>0</v>
      </c>
      <c r="BI44" s="253">
        <f>IF(ISERROR('raw data'!DN45/'raw data'!DO45),0,'raw data'!DN45/'raw data'!DO45)</f>
        <v>0</v>
      </c>
      <c r="BJ44" s="253">
        <f>IF(ISERROR('raw data'!DP45/'raw data'!DQ45),0,'raw data'!DP45/'raw data'!DQ45)</f>
        <v>0</v>
      </c>
      <c r="BK44" s="253">
        <f>IF(ISERROR('raw data'!DR45/'raw data'!DS45),0,'raw data'!DR45/'raw data'!DS45)</f>
        <v>0</v>
      </c>
      <c r="BL44" s="253">
        <f>IF(ISERROR('raw data'!DT45/'raw data'!DU45),0,'raw data'!DT45/'raw data'!DU45)</f>
        <v>0</v>
      </c>
      <c r="BM44" s="253">
        <f>IF(ISERROR('raw data'!DV45/'raw data'!DW45),0,'raw data'!DV45/'raw data'!DW45)</f>
        <v>0</v>
      </c>
      <c r="BN44" s="253">
        <f>IF(ISERROR('raw data'!DX45/'raw data'!DY45),0,'raw data'!DX45/'raw data'!DY45)</f>
        <v>0</v>
      </c>
      <c r="BO44" s="253">
        <f>IF(ISERROR('raw data'!DZ45/'raw data'!EA45),0,'raw data'!DZ45/'raw data'!EA45)</f>
        <v>0</v>
      </c>
      <c r="BP44" s="253">
        <f>IF(ISERROR('raw data'!EB45/'raw data'!EC45),0,'raw data'!EB45/'raw data'!EC45)</f>
        <v>0</v>
      </c>
      <c r="BQ44" s="253">
        <f>IF(ISERROR('raw data'!ED45/'raw data'!EE45),0,'raw data'!ED45/'raw data'!EE45)</f>
        <v>0</v>
      </c>
      <c r="BR44" s="253">
        <f>IF(ISERROR('raw data'!EF45/'raw data'!EG45),0,'raw data'!EF45/'raw data'!EG45)</f>
        <v>0</v>
      </c>
      <c r="BS44" s="253">
        <f>IF(ISERROR('raw data'!EH45/'raw data'!EI45),0,'raw data'!EH45/'raw data'!EI45)</f>
        <v>0</v>
      </c>
      <c r="BT44" s="253">
        <f>IF(ISERROR('raw data'!EJ45/'raw data'!EK45),0,'raw data'!EJ45/'raw data'!EK45)</f>
        <v>0</v>
      </c>
      <c r="BU44" s="253">
        <f>IF(ISERROR('raw data'!EL45/'raw data'!EM45),0,'raw data'!EL45/'raw data'!EM45)</f>
        <v>0</v>
      </c>
      <c r="BV44" s="253">
        <f>IF(ISERROR('raw data'!EN45/'raw data'!EO45),0,'raw data'!EN45/'raw data'!EO45)</f>
        <v>0</v>
      </c>
      <c r="BW44" s="253">
        <f>IF(ISERROR('raw data'!EP45/'raw data'!EQ45),0,'raw data'!EP45/'raw data'!EQ45)</f>
        <v>0</v>
      </c>
      <c r="BX44" s="253">
        <f>IF(ISERROR('raw data'!ER45/'raw data'!ES45),0,'raw data'!ER45/'raw data'!ES45)</f>
        <v>0</v>
      </c>
      <c r="BY44" s="253">
        <f>IF(ISERROR('raw data'!ET45/'raw data'!EU45),0,'raw data'!ET45/'raw data'!EU45)</f>
        <v>0</v>
      </c>
      <c r="BZ44" s="232" t="s">
        <v>243</v>
      </c>
      <c r="CA44" s="232" t="s">
        <v>243</v>
      </c>
      <c r="CB44" s="232" t="s">
        <v>243</v>
      </c>
      <c r="CC44" s="232" t="s">
        <v>243</v>
      </c>
      <c r="CD44" s="232" t="s">
        <v>243</v>
      </c>
      <c r="CE44" s="232" t="s">
        <v>243</v>
      </c>
      <c r="CF44" s="232" t="s">
        <v>243</v>
      </c>
      <c r="CG44" s="232" t="s">
        <v>243</v>
      </c>
      <c r="CH44" s="232" t="s">
        <v>243</v>
      </c>
      <c r="CI44" s="232" t="s">
        <v>243</v>
      </c>
      <c r="CJ44" s="232" t="s">
        <v>243</v>
      </c>
      <c r="CK44" s="232" t="s">
        <v>243</v>
      </c>
      <c r="CL44" s="232" t="s">
        <v>243</v>
      </c>
      <c r="CM44" s="232" t="s">
        <v>243</v>
      </c>
      <c r="CN44" s="232" t="s">
        <v>243</v>
      </c>
      <c r="CO44" s="232" t="s">
        <v>243</v>
      </c>
      <c r="CP44" s="232" t="s">
        <v>243</v>
      </c>
      <c r="CQ44" s="232" t="s">
        <v>243</v>
      </c>
      <c r="CR44" s="232" t="s">
        <v>243</v>
      </c>
      <c r="CS44" s="232" t="s">
        <v>243</v>
      </c>
      <c r="CT44" s="232" t="s">
        <v>243</v>
      </c>
      <c r="CU44" s="232" t="s">
        <v>243</v>
      </c>
      <c r="CV44" s="232" t="s">
        <v>243</v>
      </c>
      <c r="CW44" s="232" t="s">
        <v>243</v>
      </c>
      <c r="CX44" s="232" t="s">
        <v>243</v>
      </c>
      <c r="CY44" s="232" t="s">
        <v>243</v>
      </c>
      <c r="CZ44" s="232" t="s">
        <v>243</v>
      </c>
      <c r="DA44" s="232" t="s">
        <v>243</v>
      </c>
      <c r="DB44" s="232" t="s">
        <v>243</v>
      </c>
      <c r="DC44" s="232" t="s">
        <v>243</v>
      </c>
      <c r="DD44" s="232" t="s">
        <v>243</v>
      </c>
      <c r="DE44" s="232" t="s">
        <v>243</v>
      </c>
      <c r="DF44" s="232" t="s">
        <v>243</v>
      </c>
      <c r="DG44" s="232" t="s">
        <v>243</v>
      </c>
      <c r="DH44" s="232" t="s">
        <v>243</v>
      </c>
      <c r="DI44" s="232" t="s">
        <v>243</v>
      </c>
      <c r="DJ44" s="232" t="s">
        <v>243</v>
      </c>
      <c r="DK44" s="232" t="s">
        <v>243</v>
      </c>
      <c r="DL44" s="232" t="s">
        <v>243</v>
      </c>
      <c r="DM44" s="232" t="s">
        <v>243</v>
      </c>
      <c r="DN44" s="232" t="s">
        <v>243</v>
      </c>
      <c r="DO44" s="232" t="s">
        <v>243</v>
      </c>
      <c r="DP44" s="232" t="s">
        <v>243</v>
      </c>
      <c r="DQ44" s="232" t="s">
        <v>243</v>
      </c>
      <c r="DR44" s="232" t="s">
        <v>243</v>
      </c>
      <c r="DS44" s="232" t="s">
        <v>243</v>
      </c>
      <c r="DT44" s="232" t="s">
        <v>243</v>
      </c>
      <c r="DU44" s="232" t="s">
        <v>243</v>
      </c>
      <c r="DV44" s="232" t="s">
        <v>243</v>
      </c>
      <c r="DW44" s="232" t="s">
        <v>243</v>
      </c>
      <c r="DX44" s="232" t="s">
        <v>243</v>
      </c>
      <c r="DY44" s="232" t="s">
        <v>243</v>
      </c>
      <c r="DZ44" s="232" t="s">
        <v>243</v>
      </c>
      <c r="EA44" s="232" t="s">
        <v>243</v>
      </c>
      <c r="EB44" s="232" t="s">
        <v>243</v>
      </c>
      <c r="EC44" s="232" t="s">
        <v>243</v>
      </c>
      <c r="ED44" s="226"/>
      <c r="EE44" s="255">
        <v>0</v>
      </c>
      <c r="EF44" s="255">
        <v>0</v>
      </c>
      <c r="EG44" s="256">
        <f t="shared" si="0"/>
        <v>0</v>
      </c>
    </row>
    <row r="45" spans="1:138" ht="25.5" customHeight="1" x14ac:dyDescent="0.15">
      <c r="A45" s="250">
        <v>3.2</v>
      </c>
      <c r="B45" s="251" t="str">
        <f>'raw data'!B46</f>
        <v>Accounts (with at least six excepted payments) receiving overpayments totalling at least £10k, for 3+ months in the past 6 months.</v>
      </c>
      <c r="C45" s="252" t="s">
        <v>78</v>
      </c>
      <c r="D45" s="253">
        <f>+'raw data'!D46/'raw data'!E46</f>
        <v>0.125</v>
      </c>
      <c r="E45" s="253">
        <f>+'raw data'!F46/'raw data'!G46</f>
        <v>0.10256410256410256</v>
      </c>
      <c r="F45" s="253">
        <f>+'raw data'!H46/'raw data'!I46</f>
        <v>2.7027027027027029E-2</v>
      </c>
      <c r="G45" s="253">
        <f>'raw data'!J46/'raw data'!K46</f>
        <v>6.6666666666666666E-2</v>
      </c>
      <c r="H45" s="253">
        <f>'raw data'!L46/'raw data'!M46</f>
        <v>2.6315789473684209E-2</v>
      </c>
      <c r="I45" s="253">
        <f>'raw data'!N46/'raw data'!O46</f>
        <v>4.0816326530612242E-2</v>
      </c>
      <c r="J45" s="253">
        <f>'raw data'!P46/'raw data'!Q46</f>
        <v>6.6666666666666666E-2</v>
      </c>
      <c r="K45" s="253">
        <f>'raw data'!R46/'raw data'!S46</f>
        <v>2.5000000000000001E-2</v>
      </c>
      <c r="L45" s="253">
        <f>'raw data'!T46/'raw data'!U46</f>
        <v>2.3809523809523808E-2</v>
      </c>
      <c r="M45" s="253">
        <f>'raw data'!V46/'raw data'!W46</f>
        <v>4.6511627906976744E-2</v>
      </c>
      <c r="N45" s="253">
        <f>'raw data'!X46/'raw data'!Y46</f>
        <v>0</v>
      </c>
      <c r="O45" s="253">
        <f>IF(ISERROR('raw data'!Z46/'raw data'!AA46),0,'raw data'!Z46/'raw data'!AA46)</f>
        <v>0</v>
      </c>
      <c r="P45" s="253">
        <f>IF(ISERROR('raw data'!AB46/'raw data'!AC46),0,'raw data'!AB46/'raw data'!AC46)</f>
        <v>0</v>
      </c>
      <c r="Q45" s="253">
        <f>IF(ISERROR('raw data'!AD46/'raw data'!AE46),0,'raw data'!AD46/'raw data'!AE46)</f>
        <v>0</v>
      </c>
      <c r="R45" s="253">
        <f>IF(ISERROR('raw data'!AF46/'raw data'!AG46),0,'raw data'!AF46/'raw data'!AG46)</f>
        <v>0.14285714285714285</v>
      </c>
      <c r="S45" s="253">
        <f>IF(ISERROR('raw data'!AH46/'raw data'!AI46),0,'raw data'!AH46/'raw data'!AI46)</f>
        <v>0</v>
      </c>
      <c r="T45" s="253">
        <f>IF(ISERROR('raw data'!AJ46/'raw data'!AK46),0,'raw data'!AJ46/'raw data'!AK46)</f>
        <v>0</v>
      </c>
      <c r="U45" s="253">
        <f>IF(ISERROR('raw data'!AL46/'raw data'!AM46),0,'raw data'!AL46/'raw data'!AM46)</f>
        <v>0</v>
      </c>
      <c r="V45" s="253">
        <f>IF(ISERROR('raw data'!AN46/'raw data'!AO46),0,'raw data'!AN46/'raw data'!AO46)</f>
        <v>0.1111111111111111</v>
      </c>
      <c r="W45" s="253">
        <f>IF(ISERROR('raw data'!AP46/'raw data'!AQ46),0,'raw data'!AP46/'raw data'!AQ46)</f>
        <v>0</v>
      </c>
      <c r="X45" s="253">
        <f>IF(ISERROR('raw data'!AR46/'raw data'!AS46),0,'raw data'!AR46/'raw data'!AS46)</f>
        <v>0</v>
      </c>
      <c r="Y45" s="253">
        <f>IF(ISERROR('raw data'!AT46/'raw data'!AU46),0,'raw data'!AT46/'raw data'!AU46)</f>
        <v>0</v>
      </c>
      <c r="Z45" s="253">
        <f>IF(ISERROR('raw data'!AV46/'raw data'!AW46),0,'raw data'!AV46/'raw data'!AW46)</f>
        <v>0.16666666666666666</v>
      </c>
      <c r="AA45" s="253">
        <f>IF(ISERROR('raw data'!AX46/'raw data'!AY46),0,'raw data'!AX46/'raw data'!AY46)</f>
        <v>0</v>
      </c>
      <c r="AB45" s="253">
        <f>IF(ISERROR('raw data'!AZ46/'raw data'!BA46),0,'raw data'!AZ46/'raw data'!BA46)</f>
        <v>0</v>
      </c>
      <c r="AC45" s="253">
        <f>IF(ISERROR('raw data'!BB46/'raw data'!BC46),0,'raw data'!BB46/'raw data'!BC46)</f>
        <v>0</v>
      </c>
      <c r="AD45" s="253">
        <f>IF(ISERROR('raw data'!BD46/'raw data'!BE46),0,'raw data'!BD46/'raw data'!BE46)</f>
        <v>0</v>
      </c>
      <c r="AE45" s="253">
        <f>IF(ISERROR('raw data'!BF46/'raw data'!BG46),0,'raw data'!BF46/'raw data'!BG46)</f>
        <v>0</v>
      </c>
      <c r="AF45" s="254">
        <f>IF(ISERROR('raw data'!BH46/'raw data'!BI46),0,'raw data'!BH46/'raw data'!BI46)</f>
        <v>0</v>
      </c>
      <c r="AG45" s="253">
        <f>IF(ISERROR('raw data'!BJ46/'raw data'!BK46),0,'raw data'!BJ46/'raw data'!BK46)</f>
        <v>2.3255813953488372E-2</v>
      </c>
      <c r="AH45" s="253">
        <f>IF(ISERROR('raw data'!BL46/'raw data'!BM46),0,'raw data'!BL46/'raw data'!BM46)</f>
        <v>3.3333333333333333E-2</v>
      </c>
      <c r="AI45" s="253">
        <f>IF(ISERROR('raw data'!BN46/'raw data'!BO46),0,'raw data'!BN46/'raw data'!BO46)</f>
        <v>0</v>
      </c>
      <c r="AJ45" s="253">
        <f>IF(ISERROR('raw data'!BP46/'raw data'!BQ46),0,'raw data'!BP46/'raw data'!BQ46)</f>
        <v>0</v>
      </c>
      <c r="AK45" s="253">
        <f>IF(ISERROR('raw data'!BR46/'raw data'!BS46),0,'raw data'!BR46/'raw data'!BS46)</f>
        <v>6.25E-2</v>
      </c>
      <c r="AL45" s="253">
        <f>IF(ISERROR('raw data'!BT46/'raw data'!BU46),0,'raw data'!BT46/'raw data'!BU46)</f>
        <v>0</v>
      </c>
      <c r="AM45" s="253">
        <f>IF(ISERROR('raw data'!BV46/'raw data'!BW46),0,'raw data'!BV46/'raw data'!BW46)</f>
        <v>6.25E-2</v>
      </c>
      <c r="AN45" s="253">
        <f>IF(ISERROR('raw data'!BX46/'raw data'!BY46),0,'raw data'!BX46/'raw data'!BY46)</f>
        <v>0</v>
      </c>
      <c r="AO45" s="253">
        <f>IF(ISERROR('raw data'!BZ46/'raw data'!CA46),0,'raw data'!BZ46/'raw data'!CA46)</f>
        <v>0.1111111111111111</v>
      </c>
      <c r="AP45" s="253">
        <f>IF(ISERROR('raw data'!CB46/'raw data'!CC46),0,'raw data'!CB46/'raw data'!CC46)</f>
        <v>4.7619047619047616E-2</v>
      </c>
      <c r="AQ45" s="253">
        <f>IF(ISERROR('raw data'!CD46/'raw data'!CE46),0,'raw data'!CD46/'raw data'!CE46)</f>
        <v>0</v>
      </c>
      <c r="AR45" s="253">
        <f>IF(ISERROR('raw data'!CF46/'raw data'!CG46),0,'raw data'!CF46/'raw data'!CG46)</f>
        <v>0</v>
      </c>
      <c r="AS45" s="253">
        <f>IF(ISERROR('raw data'!CH46/'raw data'!CI46),0,'raw data'!CH46/'raw data'!CI46)</f>
        <v>4.3478260869565216E-2</v>
      </c>
      <c r="AT45" s="253">
        <f>IF(ISERROR('raw data'!CJ46/'raw data'!CK46),0,'raw data'!CJ46/'raw data'!CK46)</f>
        <v>0</v>
      </c>
      <c r="AU45" s="253">
        <f>IF(ISERROR('raw data'!CL46/'raw data'!CM46),0,'raw data'!CL46/'raw data'!CM46)</f>
        <v>0</v>
      </c>
      <c r="AV45" s="253">
        <f>IF(ISERROR('raw data'!CN46/'raw data'!CO46),0,'raw data'!CN46/'raw data'!CO46)</f>
        <v>0</v>
      </c>
      <c r="AW45" s="253">
        <f>IF(ISERROR('raw data'!CP46/'raw data'!CQ46),0,'raw data'!CP46/'raw data'!CQ46)</f>
        <v>7.1428571428571425E-2</v>
      </c>
      <c r="AX45" s="253">
        <f>IF(ISERROR('raw data'!CR46/'raw data'!CS46),0,'raw data'!CR46/'raw data'!CS46)</f>
        <v>0</v>
      </c>
      <c r="AY45" s="253">
        <f>IF(ISERROR('raw data'!CT46/'raw data'!CU46),0,'raw data'!CT46/'raw data'!CU46)</f>
        <v>0</v>
      </c>
      <c r="AZ45" s="253">
        <f>IF(ISERROR('raw data'!CV46/'raw data'!CW46),0,'raw data'!CV46/'raw data'!CW46)</f>
        <v>7.6923076923076927E-2</v>
      </c>
      <c r="BA45" s="253">
        <f>IF(ISERROR('raw data'!CX46/'raw data'!CY46),0,'raw data'!CX46/'raw data'!CY46)</f>
        <v>0</v>
      </c>
      <c r="BB45" s="253">
        <f>IF(ISERROR('raw data'!CZ46/'raw data'!DA46),0,'raw data'!CZ46/'raw data'!DA46)</f>
        <v>9.0909090909090912E-2</v>
      </c>
      <c r="BC45" s="253">
        <f>IF(ISERROR('raw data'!DB46/'raw data'!DC46),0,'raw data'!DB46/'raw data'!DC46)</f>
        <v>0.33333333333333331</v>
      </c>
      <c r="BD45" s="253">
        <v>0</v>
      </c>
      <c r="BE45" s="253">
        <f>IF(ISERROR('raw data'!DF46/'raw data'!DG46),0,'raw data'!DF46/'raw data'!DG46)</f>
        <v>7.6923076923076927E-2</v>
      </c>
      <c r="BF45" s="253">
        <f>IF(ISERROR('raw data'!DH46/'raw data'!DI46),0,'raw data'!DH46/'raw data'!DI46)</f>
        <v>7.1428571428571425E-2</v>
      </c>
      <c r="BG45" s="253">
        <f>IF(ISERROR('raw data'!DJ46/'raw data'!DK46),0,'raw data'!DJ46/'raw data'!DK46)</f>
        <v>0.1111111111111111</v>
      </c>
      <c r="BH45" s="253">
        <f>IF(ISERROR('raw data'!DL46/'raw data'!DM46),0,'raw data'!DL46/'raw data'!DM46)</f>
        <v>0</v>
      </c>
      <c r="BI45" s="253">
        <f>IF(ISERROR('raw data'!DN46/'raw data'!DO46),0,'raw data'!DN46/'raw data'!DO46)</f>
        <v>9.0909090909090912E-2</v>
      </c>
      <c r="BJ45" s="253">
        <f>IF(ISERROR('raw data'!DP46/'raw data'!DQ46),0,'raw data'!DP46/'raw data'!DQ46)</f>
        <v>7.6923076923076927E-2</v>
      </c>
      <c r="BK45" s="253">
        <f>IF(ISERROR('raw data'!DR46/'raw data'!DS46),0,'raw data'!DR46/'raw data'!DS46)</f>
        <v>0</v>
      </c>
      <c r="BL45" s="253">
        <f>IF(ISERROR('raw data'!DT46/'raw data'!DU46),0,'raw data'!DT46/'raw data'!DU46)</f>
        <v>0</v>
      </c>
      <c r="BM45" s="253">
        <f>IF(ISERROR('raw data'!DV46/'raw data'!DW46),0,'raw data'!DV46/'raw data'!DW46)</f>
        <v>0.1</v>
      </c>
      <c r="BN45" s="253">
        <f>IF(ISERROR('raw data'!DX46/'raw data'!DY46),0,'raw data'!DX46/'raw data'!DY46)</f>
        <v>6.6666666666666666E-2</v>
      </c>
      <c r="BO45" s="253">
        <f>IF(ISERROR('raw data'!DZ46/'raw data'!EA46),0,'raw data'!DZ46/'raw data'!EA46)</f>
        <v>7.6923076923076927E-2</v>
      </c>
      <c r="BP45" s="253">
        <f>IF(ISERROR('raw data'!EB46/'raw data'!EC46),0,'raw data'!EB46/'raw data'!EC46)</f>
        <v>8.3333333333333329E-2</v>
      </c>
      <c r="BQ45" s="253">
        <f>IF(ISERROR('raw data'!ED46/'raw data'!EE46),0,'raw data'!ED46/'raw data'!EE46)</f>
        <v>7.6923076923076927E-2</v>
      </c>
      <c r="BR45" s="253">
        <f>IF(ISERROR('raw data'!EF46/'raw data'!EG46),0,'raw data'!EF46/'raw data'!EG46)</f>
        <v>0</v>
      </c>
      <c r="BS45" s="253">
        <f>IF(ISERROR('raw data'!EH46/'raw data'!EI46),0,'raw data'!EH46/'raw data'!EI46)</f>
        <v>7.6923076923076927E-2</v>
      </c>
      <c r="BT45" s="253">
        <f>IF(ISERROR('raw data'!EJ46/'raw data'!EK46),0,'raw data'!EJ46/'raw data'!EK46)</f>
        <v>4.7619047619047616E-2</v>
      </c>
      <c r="BU45" s="253">
        <f>IF(ISERROR('raw data'!EL46/'raw data'!EM46),0,'raw data'!EL46/'raw data'!EM46)</f>
        <v>0</v>
      </c>
      <c r="BV45" s="253">
        <f>IF(ISERROR('raw data'!EN46/'raw data'!EO46),0,'raw data'!EN46/'raw data'!EO46)</f>
        <v>9.0909090909090912E-2</v>
      </c>
      <c r="BW45" s="253">
        <f>IF(ISERROR('raw data'!EP46/'raw data'!EQ46),0,'raw data'!EP46/'raw data'!EQ46)</f>
        <v>0.05</v>
      </c>
      <c r="BX45" s="253">
        <f>IF(ISERROR('raw data'!ER46/'raw data'!ES46),0,'raw data'!ER46/'raw data'!ES46)</f>
        <v>0</v>
      </c>
      <c r="BY45" s="253">
        <f>IF(ISERROR('raw data'!ET46/'raw data'!EU46),0,'raw data'!ET46/'raw data'!EU46)</f>
        <v>0</v>
      </c>
      <c r="BZ45" s="253">
        <f>IF(ISERROR('raw data'!EV46/'raw data'!EW46),0,'raw data'!EV46/'raw data'!EW46)</f>
        <v>0.16666666666666666</v>
      </c>
      <c r="CA45" s="253">
        <f>IF(ISERROR('raw data'!EX46/'raw data'!EY46),0,'raw data'!EX46/'raw data'!EY46)</f>
        <v>0</v>
      </c>
      <c r="CB45" s="253">
        <f>IF(ISERROR('raw data'!EZ46/'raw data'!FA46),0,'raw data'!EZ46/'raw data'!FA46)</f>
        <v>6.6666666666666666E-2</v>
      </c>
      <c r="CC45" s="232" t="s">
        <v>243</v>
      </c>
      <c r="CD45" s="232" t="s">
        <v>243</v>
      </c>
      <c r="CE45" s="232" t="s">
        <v>243</v>
      </c>
      <c r="CF45" s="232" t="s">
        <v>243</v>
      </c>
      <c r="CG45" s="232" t="s">
        <v>243</v>
      </c>
      <c r="CH45" s="232" t="s">
        <v>243</v>
      </c>
      <c r="CI45" s="232" t="s">
        <v>243</v>
      </c>
      <c r="CJ45" s="232" t="s">
        <v>243</v>
      </c>
      <c r="CK45" s="232" t="s">
        <v>243</v>
      </c>
      <c r="CL45" s="232" t="s">
        <v>243</v>
      </c>
      <c r="CM45" s="232" t="s">
        <v>243</v>
      </c>
      <c r="CN45" s="232" t="s">
        <v>243</v>
      </c>
      <c r="CO45" s="232" t="s">
        <v>243</v>
      </c>
      <c r="CP45" s="232" t="s">
        <v>243</v>
      </c>
      <c r="CQ45" s="232" t="s">
        <v>243</v>
      </c>
      <c r="CR45" s="232" t="s">
        <v>243</v>
      </c>
      <c r="CS45" s="232" t="s">
        <v>243</v>
      </c>
      <c r="CT45" s="232" t="s">
        <v>243</v>
      </c>
      <c r="CU45" s="232" t="s">
        <v>243</v>
      </c>
      <c r="CV45" s="232" t="s">
        <v>243</v>
      </c>
      <c r="CW45" s="232" t="s">
        <v>243</v>
      </c>
      <c r="CX45" s="232" t="s">
        <v>243</v>
      </c>
      <c r="CY45" s="232" t="s">
        <v>243</v>
      </c>
      <c r="CZ45" s="232" t="s">
        <v>243</v>
      </c>
      <c r="DA45" s="232" t="s">
        <v>243</v>
      </c>
      <c r="DB45" s="232" t="s">
        <v>243</v>
      </c>
      <c r="DC45" s="232" t="s">
        <v>243</v>
      </c>
      <c r="DD45" s="232" t="s">
        <v>243</v>
      </c>
      <c r="DE45" s="232" t="s">
        <v>243</v>
      </c>
      <c r="DF45" s="232" t="s">
        <v>243</v>
      </c>
      <c r="DG45" s="232" t="s">
        <v>243</v>
      </c>
      <c r="DH45" s="232" t="s">
        <v>243</v>
      </c>
      <c r="DI45" s="232" t="s">
        <v>243</v>
      </c>
      <c r="DJ45" s="232" t="s">
        <v>243</v>
      </c>
      <c r="DK45" s="232" t="s">
        <v>243</v>
      </c>
      <c r="DL45" s="232" t="s">
        <v>243</v>
      </c>
      <c r="DM45" s="232" t="s">
        <v>243</v>
      </c>
      <c r="DN45" s="232" t="s">
        <v>243</v>
      </c>
      <c r="DO45" s="232" t="s">
        <v>243</v>
      </c>
      <c r="DP45" s="232" t="s">
        <v>243</v>
      </c>
      <c r="DQ45" s="232" t="s">
        <v>243</v>
      </c>
      <c r="DR45" s="232" t="s">
        <v>243</v>
      </c>
      <c r="DS45" s="232" t="s">
        <v>243</v>
      </c>
      <c r="DT45" s="232" t="s">
        <v>243</v>
      </c>
      <c r="DU45" s="232" t="s">
        <v>243</v>
      </c>
      <c r="DV45" s="232" t="s">
        <v>243</v>
      </c>
      <c r="DW45" s="232" t="s">
        <v>243</v>
      </c>
      <c r="DX45" s="232" t="s">
        <v>243</v>
      </c>
      <c r="DY45" s="232" t="s">
        <v>243</v>
      </c>
      <c r="DZ45" s="232" t="s">
        <v>243</v>
      </c>
      <c r="EA45" s="232" t="s">
        <v>243</v>
      </c>
      <c r="EB45" s="232" t="s">
        <v>243</v>
      </c>
      <c r="EC45" s="232" t="s">
        <v>243</v>
      </c>
      <c r="ED45" s="226"/>
      <c r="EE45" s="255">
        <v>0</v>
      </c>
      <c r="EF45" s="255">
        <v>0</v>
      </c>
      <c r="EG45" s="256">
        <f t="shared" si="0"/>
        <v>0</v>
      </c>
    </row>
    <row r="46" spans="1:138" ht="25.5" customHeight="1" x14ac:dyDescent="0.15">
      <c r="A46" s="250">
        <v>3.3</v>
      </c>
      <c r="B46" s="251" t="str">
        <f>'raw data'!B47</f>
        <v xml:space="preserve">Mortgages (customer &lt; 55 years old) with variable overpayments over the past 3 months: 1st month overpay &gt;=£2k, next month no overpay, 3rd month overpay &gt;=£1k. </v>
      </c>
      <c r="C46" s="252" t="s">
        <v>248</v>
      </c>
      <c r="D46" s="235"/>
      <c r="E46" s="235"/>
      <c r="F46" s="235"/>
      <c r="G46" s="235"/>
      <c r="H46" s="253">
        <f>'raw data'!L47/'raw data'!M47</f>
        <v>2.5000000000000001E-2</v>
      </c>
      <c r="I46" s="253">
        <f>'raw data'!N47/'raw data'!O47</f>
        <v>1.8518518518518517E-2</v>
      </c>
      <c r="J46" s="253">
        <f>'raw data'!P47/'raw data'!Q47</f>
        <v>0</v>
      </c>
      <c r="K46" s="253">
        <v>0</v>
      </c>
      <c r="L46" s="253">
        <f>'raw data'!T47/'raw data'!U47</f>
        <v>0</v>
      </c>
      <c r="M46" s="253">
        <f>'raw data'!V47/'raw data'!W47</f>
        <v>1.8867924528301886E-2</v>
      </c>
      <c r="N46" s="253">
        <f>'raw data'!X47/'raw data'!Y47</f>
        <v>0</v>
      </c>
      <c r="O46" s="253">
        <f>IF(ISERROR('raw data'!Z47/'raw data'!AA47),0,'raw data'!Z47/'raw data'!AA47)</f>
        <v>3.9473684210526314E-2</v>
      </c>
      <c r="P46" s="253">
        <f>IF(ISERROR('raw data'!AB47/'raw data'!AC47),0,'raw data'!AB47/'raw data'!AC47)</f>
        <v>0</v>
      </c>
      <c r="Q46" s="253">
        <f>IF(ISERROR('raw data'!AD47/'raw data'!AE47),0,'raw data'!AD47/'raw data'!AE47)</f>
        <v>0</v>
      </c>
      <c r="R46" s="253">
        <f>IF(ISERROR('raw data'!AF47/'raw data'!AG47),0,'raw data'!AF47/'raw data'!AG47)</f>
        <v>4.3478260869565216E-2</v>
      </c>
      <c r="S46" s="253">
        <f>IF(ISERROR('raw data'!AH47/'raw data'!AI47),0,'raw data'!AH47/'raw data'!AI47)</f>
        <v>3.2258064516129031E-2</v>
      </c>
      <c r="T46" s="253">
        <f>IF(ISERROR('raw data'!AJ47/'raw data'!AK47),0,'raw data'!AJ47/'raw data'!AK47)</f>
        <v>0</v>
      </c>
      <c r="U46" s="253">
        <f>IF(ISERROR('raw data'!AL47/'raw data'!AM47),0,'raw data'!AL47/'raw data'!AM47)</f>
        <v>3.7037037037037035E-2</v>
      </c>
      <c r="V46" s="253">
        <f>IF(ISERROR('raw data'!AN47/'raw data'!AO47),0,'raw data'!AN47/'raw data'!AO47)</f>
        <v>0</v>
      </c>
      <c r="W46" s="253">
        <f>IF(ISERROR('raw data'!AP47/'raw data'!AQ47),0,'raw data'!AP47/'raw data'!AQ47)</f>
        <v>4.1666666666666664E-2</v>
      </c>
      <c r="X46" s="253">
        <f>IF(ISERROR('raw data'!AR47/'raw data'!AS47),0,'raw data'!AR47/'raw data'!AS47)</f>
        <v>0</v>
      </c>
      <c r="Y46" s="253">
        <f>IF(ISERROR('raw data'!AT47/'raw data'!AU47),0,'raw data'!AT47/'raw data'!AU47)</f>
        <v>0</v>
      </c>
      <c r="Z46" s="253">
        <f>IF(ISERROR('raw data'!AV47/'raw data'!AW47),0,'raw data'!AV47/'raw data'!AW47)</f>
        <v>0</v>
      </c>
      <c r="AA46" s="253">
        <f>IF(ISERROR('raw data'!AX47/'raw data'!AY47),0,'raw data'!AX47/'raw data'!AY47)</f>
        <v>0</v>
      </c>
      <c r="AB46" s="253">
        <f>IF(ISERROR('raw data'!AZ47/'raw data'!BA47),0,'raw data'!AZ47/'raw data'!BA47)</f>
        <v>0.1111111111111111</v>
      </c>
      <c r="AC46" s="253">
        <f>IF(ISERROR('raw data'!BB47/'raw data'!BC47),0,'raw data'!BB47/'raw data'!BC47)</f>
        <v>5.2631578947368418E-2</v>
      </c>
      <c r="AD46" s="253">
        <f>IF(ISERROR('raw data'!BD47/'raw data'!BE47),0,'raw data'!BD47/'raw data'!BE47)</f>
        <v>0</v>
      </c>
      <c r="AE46" s="253">
        <f>IF(ISERROR('raw data'!BF47/'raw data'!BG47),0,'raw data'!BF47/'raw data'!BG47)</f>
        <v>0</v>
      </c>
      <c r="AF46" s="254">
        <f>IF(ISERROR('raw data'!BH47/'raw data'!BI47),0,'raw data'!BH47/'raw data'!BI47)</f>
        <v>0</v>
      </c>
      <c r="AG46" s="253">
        <f>IF(ISERROR('raw data'!BJ47/'raw data'!BK47),0,'raw data'!BJ47/'raw data'!BK47)</f>
        <v>0</v>
      </c>
      <c r="AH46" s="253">
        <f>IF(ISERROR('raw data'!BL47/'raw data'!BM47),0,'raw data'!BL47/'raw data'!BM47)</f>
        <v>3.7037037037037035E-2</v>
      </c>
      <c r="AI46" s="253">
        <f>IF(ISERROR('raw data'!BN47/'raw data'!BO47),0,'raw data'!BN47/'raw data'!BO47)</f>
        <v>0</v>
      </c>
      <c r="AJ46" s="253">
        <f>IF(ISERROR('raw data'!BP47/'raw data'!BQ47),0,'raw data'!BP47/'raw data'!BQ47)</f>
        <v>0</v>
      </c>
      <c r="AK46" s="253">
        <f>IF(ISERROR('raw data'!BR47/'raw data'!BS47),0,'raw data'!BR47/'raw data'!BS47)</f>
        <v>0</v>
      </c>
      <c r="AL46" s="253">
        <f>IF(ISERROR('raw data'!BT47/'raw data'!BU47),0,'raw data'!BT47/'raw data'!BU47)</f>
        <v>7.407407407407407E-2</v>
      </c>
      <c r="AM46" s="253">
        <f>IF(ISERROR('raw data'!BV47/'raw data'!BW47),0,'raw data'!BV47/'raw data'!BW47)</f>
        <v>0</v>
      </c>
      <c r="AN46" s="253">
        <f>IF(ISERROR('raw data'!BX47/'raw data'!BY47),0,'raw data'!BX47/'raw data'!BY47)</f>
        <v>0</v>
      </c>
      <c r="AO46" s="253">
        <f>IF(ISERROR('raw data'!BZ47/'raw data'!CA47),0,'raw data'!BZ47/'raw data'!CA47)</f>
        <v>0</v>
      </c>
      <c r="AP46" s="253">
        <f>IF(ISERROR('raw data'!CB47/'raw data'!CC47),0,'raw data'!CB47/'raw data'!CC47)</f>
        <v>0</v>
      </c>
      <c r="AQ46" s="253">
        <f>IF(ISERROR('raw data'!CD47/'raw data'!CE47),0,'raw data'!CD47/'raw data'!CE47)</f>
        <v>0</v>
      </c>
      <c r="AR46" s="253">
        <f>IF(ISERROR('raw data'!CF47/'raw data'!CG47),0,'raw data'!CF47/'raw data'!CG47)</f>
        <v>0</v>
      </c>
      <c r="AS46" s="253">
        <f>IF(ISERROR('raw data'!CH47/'raw data'!CI47),0,'raw data'!CH47/'raw data'!CI47)</f>
        <v>7.1428571428571425E-2</v>
      </c>
      <c r="AT46" s="253">
        <f>IF(ISERROR('raw data'!CJ47/'raw data'!CK47),0,'raw data'!CJ47/'raw data'!CK47)</f>
        <v>9.0909090909090912E-2</v>
      </c>
      <c r="AU46" s="253">
        <f>IF(ISERROR('raw data'!CL47/'raw data'!CM47),0,'raw data'!CL47/'raw data'!CM47)</f>
        <v>0.05</v>
      </c>
      <c r="AV46" s="253">
        <f>IF(ISERROR('raw data'!CN47/'raw data'!CO47),0,'raw data'!CN47/'raw data'!CO47)</f>
        <v>4.3478260869565216E-2</v>
      </c>
      <c r="AW46" s="253">
        <f>IF(ISERROR('raw data'!CP47/'raw data'!CQ47),0,'raw data'!CP47/'raw data'!CQ47)</f>
        <v>0</v>
      </c>
      <c r="AX46" s="253">
        <f>IF(ISERROR('raw data'!CR47/'raw data'!CS47),0,'raw data'!CR47/'raw data'!CS47)</f>
        <v>0.125</v>
      </c>
      <c r="AY46" s="253">
        <f>IF(ISERROR('raw data'!CT47/'raw data'!CU47),0,'raw data'!CT47/'raw data'!CU47)</f>
        <v>8.3333333333333329E-2</v>
      </c>
      <c r="AZ46" s="253">
        <f>IF(ISERROR('raw data'!CV47/'raw data'!CW47),0,'raw data'!CV47/'raw data'!CW47)</f>
        <v>0</v>
      </c>
      <c r="BA46" s="253">
        <f>IF(ISERROR('raw data'!CX47/'raw data'!CY47),0,'raw data'!CX47/'raw data'!CY47)</f>
        <v>6.25E-2</v>
      </c>
      <c r="BB46" s="253">
        <f>IF(ISERROR('raw data'!CZ47/'raw data'!DA47),0,'raw data'!CZ47/'raw data'!DA47)</f>
        <v>9.0909090909090912E-2</v>
      </c>
      <c r="BC46" s="253">
        <f>IF(ISERROR('raw data'!DB47/'raw data'!DC47),0,'raw data'!DB47/'raw data'!DC47)</f>
        <v>7.5471698113207544E-2</v>
      </c>
      <c r="BD46" s="253">
        <v>4.6511627906976744E-2</v>
      </c>
      <c r="BE46" s="253">
        <f>IF(ISERROR('raw data'!DF47/'raw data'!DG47),0,'raw data'!DF47/'raw data'!DG47)</f>
        <v>4.0816326530612242E-2</v>
      </c>
      <c r="BF46" s="253">
        <f>IF(ISERROR('raw data'!DH47/'raw data'!DI47),0,'raw data'!DH47/'raw data'!DI47)</f>
        <v>9.0909090909090912E-2</v>
      </c>
      <c r="BG46" s="253">
        <f>IF(ISERROR('raw data'!DJ47/'raw data'!DK47),0,'raw data'!DJ47/'raw data'!DK47)</f>
        <v>9.7560975609756101E-2</v>
      </c>
      <c r="BH46" s="253">
        <f>IF(ISERROR('raw data'!DL47/'raw data'!DM47),0,'raw data'!DL47/'raw data'!DM47)</f>
        <v>5.3571428571428568E-2</v>
      </c>
      <c r="BI46" s="253">
        <f>IF(ISERROR('raw data'!DN47/'raw data'!DO47),0,'raw data'!DN47/'raw data'!DO47)</f>
        <v>7.1428571428571425E-2</v>
      </c>
      <c r="BJ46" s="253">
        <f>IF(ISERROR('raw data'!DP47/'raw data'!DQ47),0,'raw data'!DP47/'raw data'!DQ47)</f>
        <v>4.4444444444444446E-2</v>
      </c>
      <c r="BK46" s="253">
        <f>IF(ISERROR('raw data'!DR47/'raw data'!DS47),0,'raw data'!DR47/'raw data'!DS47)</f>
        <v>0</v>
      </c>
      <c r="BL46" s="253">
        <f>IF(ISERROR('raw data'!DT47/'raw data'!DU47),0,'raw data'!DT47/'raw data'!DU47)</f>
        <v>0</v>
      </c>
      <c r="BM46" s="253">
        <f>IF(ISERROR('raw data'!DV47/'raw data'!DW47),0,'raw data'!DV47/'raw data'!DW47)</f>
        <v>8.3333333333333329E-2</v>
      </c>
      <c r="BN46" s="253">
        <f>IF(ISERROR('raw data'!DX47/'raw data'!DY47),0,'raw data'!DX47/'raw data'!DY47)</f>
        <v>0</v>
      </c>
      <c r="BO46" s="253">
        <f>IF(ISERROR('raw data'!DZ47/'raw data'!EA47),0,'raw data'!DZ47/'raw data'!EA47)</f>
        <v>6.5217391304347824E-2</v>
      </c>
      <c r="BP46" s="253">
        <f>IF(ISERROR('raw data'!EB47/'raw data'!EC47),0,'raw data'!EB47/'raw data'!EC47)</f>
        <v>0.05</v>
      </c>
      <c r="BQ46" s="253">
        <f>IF(ISERROR('raw data'!ED47/'raw data'!EE47),0,'raw data'!ED47/'raw data'!EE47)</f>
        <v>0</v>
      </c>
      <c r="BR46" s="253">
        <f>IF(ISERROR('raw data'!EF47/'raw data'!EG47),0,'raw data'!EF47/'raw data'!EG47)</f>
        <v>1.8181818181818181E-2</v>
      </c>
      <c r="BS46" s="253">
        <f>IF(ISERROR('raw data'!EH47/'raw data'!EI47),0,'raw data'!EH47/'raw data'!EI47)</f>
        <v>3.125E-2</v>
      </c>
      <c r="BT46" s="253">
        <f>IF(ISERROR('raw data'!EJ47/'raw data'!EK47),0,'raw data'!EJ47/'raw data'!EK47)</f>
        <v>6.25E-2</v>
      </c>
      <c r="BU46" s="253">
        <f>IF(ISERROR('raw data'!EL47/'raw data'!EM47),0,'raw data'!EL47/'raw data'!EM47)</f>
        <v>0</v>
      </c>
      <c r="BV46" s="253">
        <f>IF(ISERROR('raw data'!EN47/'raw data'!EO47),0,'raw data'!EN47/'raw data'!EO47)</f>
        <v>0</v>
      </c>
      <c r="BW46" s="253">
        <f>IF(ISERROR('raw data'!EP47/'raw data'!EQ47),0,'raw data'!EP47/'raw data'!EQ47)</f>
        <v>2.564102564102564E-2</v>
      </c>
      <c r="BX46" s="253">
        <f>IF(ISERROR('raw data'!ER47/'raw data'!ES47),0,'raw data'!ER47/'raw data'!ES47)</f>
        <v>0</v>
      </c>
      <c r="BY46" s="253">
        <f>IF(ISERROR('raw data'!ET47/'raw data'!EU47),0,'raw data'!ET47/'raw data'!EU47)</f>
        <v>7.3170731707317069E-2</v>
      </c>
      <c r="BZ46" s="253">
        <f>IF(ISERROR('raw data'!EV47/'raw data'!EW47),0,'raw data'!EV47/'raw data'!EW47)</f>
        <v>0.08</v>
      </c>
      <c r="CA46" s="253">
        <f>IF(ISERROR('raw data'!EX47/'raw data'!EY47),0,'raw data'!EX47/'raw data'!EY47)</f>
        <v>2.1276595744680851E-2</v>
      </c>
      <c r="CB46" s="253">
        <f>IF(ISERROR('raw data'!EZ47/'raw data'!FA47),0,'raw data'!EZ47/'raw data'!FA47)</f>
        <v>0</v>
      </c>
      <c r="CC46" s="232" t="s">
        <v>243</v>
      </c>
      <c r="CD46" s="232" t="s">
        <v>243</v>
      </c>
      <c r="CE46" s="232" t="s">
        <v>243</v>
      </c>
      <c r="CF46" s="232" t="s">
        <v>243</v>
      </c>
      <c r="CG46" s="232" t="s">
        <v>243</v>
      </c>
      <c r="CH46" s="232" t="s">
        <v>243</v>
      </c>
      <c r="CI46" s="232" t="s">
        <v>243</v>
      </c>
      <c r="CJ46" s="232" t="s">
        <v>243</v>
      </c>
      <c r="CK46" s="232" t="s">
        <v>243</v>
      </c>
      <c r="CL46" s="232" t="s">
        <v>243</v>
      </c>
      <c r="CM46" s="232" t="s">
        <v>243</v>
      </c>
      <c r="CN46" s="232" t="s">
        <v>243</v>
      </c>
      <c r="CO46" s="232" t="s">
        <v>243</v>
      </c>
      <c r="CP46" s="232" t="s">
        <v>243</v>
      </c>
      <c r="CQ46" s="232" t="s">
        <v>243</v>
      </c>
      <c r="CR46" s="232" t="s">
        <v>243</v>
      </c>
      <c r="CS46" s="232" t="s">
        <v>243</v>
      </c>
      <c r="CT46" s="232" t="s">
        <v>243</v>
      </c>
      <c r="CU46" s="232" t="s">
        <v>243</v>
      </c>
      <c r="CV46" s="232" t="s">
        <v>243</v>
      </c>
      <c r="CW46" s="232" t="s">
        <v>243</v>
      </c>
      <c r="CX46" s="232" t="s">
        <v>243</v>
      </c>
      <c r="CY46" s="232" t="s">
        <v>243</v>
      </c>
      <c r="CZ46" s="232" t="s">
        <v>243</v>
      </c>
      <c r="DA46" s="232" t="s">
        <v>243</v>
      </c>
      <c r="DB46" s="232" t="s">
        <v>243</v>
      </c>
      <c r="DC46" s="232" t="s">
        <v>243</v>
      </c>
      <c r="DD46" s="232" t="s">
        <v>243</v>
      </c>
      <c r="DE46" s="232" t="s">
        <v>243</v>
      </c>
      <c r="DF46" s="232" t="s">
        <v>243</v>
      </c>
      <c r="DG46" s="232" t="s">
        <v>243</v>
      </c>
      <c r="DH46" s="232" t="s">
        <v>243</v>
      </c>
      <c r="DI46" s="232" t="s">
        <v>243</v>
      </c>
      <c r="DJ46" s="232" t="s">
        <v>243</v>
      </c>
      <c r="DK46" s="232" t="s">
        <v>243</v>
      </c>
      <c r="DL46" s="232" t="s">
        <v>243</v>
      </c>
      <c r="DM46" s="232" t="s">
        <v>243</v>
      </c>
      <c r="DN46" s="232" t="s">
        <v>243</v>
      </c>
      <c r="DO46" s="232" t="s">
        <v>243</v>
      </c>
      <c r="DP46" s="232" t="s">
        <v>243</v>
      </c>
      <c r="DQ46" s="232" t="s">
        <v>243</v>
      </c>
      <c r="DR46" s="232" t="s">
        <v>243</v>
      </c>
      <c r="DS46" s="232" t="s">
        <v>243</v>
      </c>
      <c r="DT46" s="232" t="s">
        <v>243</v>
      </c>
      <c r="DU46" s="232" t="s">
        <v>243</v>
      </c>
      <c r="DV46" s="232" t="s">
        <v>243</v>
      </c>
      <c r="DW46" s="232" t="s">
        <v>243</v>
      </c>
      <c r="DX46" s="232" t="s">
        <v>243</v>
      </c>
      <c r="DY46" s="232" t="s">
        <v>243</v>
      </c>
      <c r="DZ46" s="232" t="s">
        <v>243</v>
      </c>
      <c r="EA46" s="232" t="s">
        <v>243</v>
      </c>
      <c r="EB46" s="232" t="s">
        <v>243</v>
      </c>
      <c r="EC46" s="232" t="s">
        <v>243</v>
      </c>
      <c r="ED46" s="226"/>
      <c r="EE46" s="255">
        <v>0</v>
      </c>
      <c r="EF46" s="255">
        <v>0</v>
      </c>
      <c r="EG46" s="256">
        <f t="shared" si="0"/>
        <v>0</v>
      </c>
    </row>
    <row r="47" spans="1:138" ht="25.5" customHeight="1" x14ac:dyDescent="0.15">
      <c r="A47" s="250">
        <v>3.4</v>
      </c>
      <c r="B47" s="251" t="str">
        <f>'raw data'!B48</f>
        <v xml:space="preserve">Overpayments totalling £501+ each month, for past 6 months, on mortgages &lt;12 months old. </v>
      </c>
      <c r="C47" s="252" t="s">
        <v>82</v>
      </c>
      <c r="D47" s="235"/>
      <c r="E47" s="235"/>
      <c r="F47" s="235"/>
      <c r="G47" s="235"/>
      <c r="H47" s="235"/>
      <c r="I47" s="253">
        <f>'raw data'!N48/'raw data'!O48</f>
        <v>0</v>
      </c>
      <c r="J47" s="253">
        <f>'raw data'!P48/'raw data'!Q48</f>
        <v>0</v>
      </c>
      <c r="K47" s="253">
        <v>0</v>
      </c>
      <c r="L47" s="253">
        <f>'raw data'!T48/'raw data'!U48</f>
        <v>0</v>
      </c>
      <c r="M47" s="253">
        <f>'raw data'!V48/'raw data'!W48</f>
        <v>0</v>
      </c>
      <c r="N47" s="253">
        <f>'raw data'!X48/'raw data'!Y48</f>
        <v>0</v>
      </c>
      <c r="O47" s="253">
        <f>IF(ISERROR('raw data'!Z48/'raw data'!AA48),0,'raw data'!Z48/'raw data'!AA48)</f>
        <v>1.9230769230769232E-2</v>
      </c>
      <c r="P47" s="253">
        <f>IF(ISERROR('raw data'!AB48/'raw data'!AC48),0,'raw data'!AB48/'raw data'!AC48)</f>
        <v>0</v>
      </c>
      <c r="Q47" s="253">
        <f>IF(ISERROR('raw data'!AD48/'raw data'!AE48),0,'raw data'!AD48/'raw data'!AE48)</f>
        <v>0</v>
      </c>
      <c r="R47" s="253">
        <f>IF(ISERROR('raw data'!AF48/'raw data'!AG48),0,'raw data'!AF48/'raw data'!AG48)</f>
        <v>0</v>
      </c>
      <c r="S47" s="253">
        <f>IF(ISERROR('raw data'!AH48/'raw data'!AI48),0,'raw data'!AH48/'raw data'!AI48)</f>
        <v>1.6393442622950821E-2</v>
      </c>
      <c r="T47" s="253">
        <f>IF(ISERROR('raw data'!AJ48/'raw data'!AK48),0,'raw data'!AJ48/'raw data'!AK48)</f>
        <v>0</v>
      </c>
      <c r="U47" s="253">
        <f>IF(ISERROR('raw data'!AL48/'raw data'!AM48),0,'raw data'!AL48/'raw data'!AM48)</f>
        <v>0</v>
      </c>
      <c r="V47" s="253">
        <f>IF(ISERROR('raw data'!AN48/'raw data'!AO48),0,'raw data'!AN48/'raw data'!AO48)</f>
        <v>0</v>
      </c>
      <c r="W47" s="253">
        <f>IF(ISERROR('raw data'!AP48/'raw data'!AQ48),0,'raw data'!AP48/'raw data'!AQ48)</f>
        <v>0</v>
      </c>
      <c r="X47" s="253">
        <f>IF(ISERROR('raw data'!AR48/'raw data'!AS48),0,'raw data'!AR48/'raw data'!AS48)</f>
        <v>0</v>
      </c>
      <c r="Y47" s="253">
        <f>IF(ISERROR('raw data'!AT48/'raw data'!AU48),0,'raw data'!AT48/'raw data'!AU48)</f>
        <v>0</v>
      </c>
      <c r="Z47" s="253">
        <f>IF(ISERROR('raw data'!AV48/'raw data'!AW48),0,'raw data'!AV48/'raw data'!AW48)</f>
        <v>0</v>
      </c>
      <c r="AA47" s="253">
        <f>IF(ISERROR('raw data'!AX48/'raw data'!AY48),0,'raw data'!AX48/'raw data'!AY48)</f>
        <v>0</v>
      </c>
      <c r="AB47" s="253">
        <f>IF(ISERROR('raw data'!AZ48/'raw data'!BA48),0,'raw data'!AZ48/'raw data'!BA48)</f>
        <v>0</v>
      </c>
      <c r="AC47" s="253">
        <f>IF(ISERROR('raw data'!BB48/'raw data'!BC48),0,'raw data'!BB48/'raw data'!BC48)</f>
        <v>0</v>
      </c>
      <c r="AD47" s="253">
        <f>IF(ISERROR('raw data'!BD48/'raw data'!BE48),0,'raw data'!BD48/'raw data'!BE48)</f>
        <v>0</v>
      </c>
      <c r="AE47" s="253">
        <f>IF(ISERROR('raw data'!BF48/'raw data'!BG48),0,'raw data'!BF48/'raw data'!BG48)</f>
        <v>0</v>
      </c>
      <c r="AF47" s="254">
        <f>IF(ISERROR('raw data'!BH48/'raw data'!BI48),0,'raw data'!BH48/'raw data'!BI48)</f>
        <v>0</v>
      </c>
      <c r="AG47" s="253">
        <f>IF(ISERROR('raw data'!BJ48/'raw data'!BK48),0,'raw data'!BJ48/'raw data'!BK48)</f>
        <v>0</v>
      </c>
      <c r="AH47" s="253">
        <f>IF(ISERROR('raw data'!BL48/'raw data'!BM48),0,'raw data'!BL48/'raw data'!BM48)</f>
        <v>0</v>
      </c>
      <c r="AI47" s="253">
        <f>IF(ISERROR('raw data'!BN48/'raw data'!BO48),0,'raw data'!BN48/'raw data'!BO48)</f>
        <v>0</v>
      </c>
      <c r="AJ47" s="253">
        <f>IF(ISERROR('raw data'!BP48/'raw data'!BQ48),0,'raw data'!BP48/'raw data'!BQ48)</f>
        <v>0</v>
      </c>
      <c r="AK47" s="253">
        <f>IF(ISERROR('raw data'!BR48/'raw data'!BS48),0,'raw data'!BR48/'raw data'!BS48)</f>
        <v>0</v>
      </c>
      <c r="AL47" s="253">
        <f>IF(ISERROR('raw data'!BT48/'raw data'!BU48),0,'raw data'!BT48/'raw data'!BU48)</f>
        <v>0</v>
      </c>
      <c r="AM47" s="253">
        <f>IF(ISERROR('raw data'!BV48/'raw data'!BW48),0,'raw data'!BV48/'raw data'!BW48)</f>
        <v>0</v>
      </c>
      <c r="AN47" s="253">
        <f>IF(ISERROR('raw data'!BX48/'raw data'!BY48),0,'raw data'!BX48/'raw data'!BY48)</f>
        <v>0</v>
      </c>
      <c r="AO47" s="253">
        <f>IF(ISERROR('raw data'!BZ48/'raw data'!CA48),0,'raw data'!BZ48/'raw data'!CA48)</f>
        <v>0</v>
      </c>
      <c r="AP47" s="253">
        <f>IF(ISERROR('raw data'!CB48/'raw data'!CC48),0,'raw data'!CB48/'raw data'!CC48)</f>
        <v>0</v>
      </c>
      <c r="AQ47" s="253">
        <f>IF(ISERROR('raw data'!CD48/'raw data'!CE48),0,'raw data'!CD48/'raw data'!CE48)</f>
        <v>0</v>
      </c>
      <c r="AR47" s="253">
        <f>IF(ISERROR('raw data'!CF48/'raw data'!CG48),0,'raw data'!CF48/'raw data'!CG48)</f>
        <v>0</v>
      </c>
      <c r="AS47" s="253">
        <f>IF(ISERROR('raw data'!CH48/'raw data'!CI48),0,'raw data'!CH48/'raw data'!CI48)</f>
        <v>0</v>
      </c>
      <c r="AT47" s="253">
        <f>IF(ISERROR('raw data'!CJ48/'raw data'!CK48),0,'raw data'!CJ48/'raw data'!CK48)</f>
        <v>4.1666666666666664E-2</v>
      </c>
      <c r="AU47" s="253">
        <f>IF(ISERROR('raw data'!CL48/'raw data'!CM48),0,'raw data'!CL48/'raw data'!CM48)</f>
        <v>0</v>
      </c>
      <c r="AV47" s="253">
        <f>IF(ISERROR('raw data'!CN48/'raw data'!CO48),0,'raw data'!CN48/'raw data'!CO48)</f>
        <v>0</v>
      </c>
      <c r="AW47" s="253">
        <f>IF(ISERROR('raw data'!CP48/'raw data'!CQ48),0,'raw data'!CP48/'raw data'!CQ48)</f>
        <v>0</v>
      </c>
      <c r="AX47" s="253">
        <f>IF(ISERROR('raw data'!CR48/'raw data'!CS48),0,'raw data'!CR48/'raw data'!CS48)</f>
        <v>0</v>
      </c>
      <c r="AY47" s="253">
        <f>IF(ISERROR('raw data'!CT48/'raw data'!CU48),0,'raw data'!CT48/'raw data'!CU48)</f>
        <v>0</v>
      </c>
      <c r="AZ47" s="253">
        <f>IF(ISERROR('raw data'!CV48/'raw data'!CW48),0,'raw data'!CV48/'raw data'!CW48)</f>
        <v>0</v>
      </c>
      <c r="BA47" s="253">
        <f>IF(ISERROR('raw data'!CX48/'raw data'!CY48),0,'raw data'!CX48/'raw data'!CY48)</f>
        <v>0</v>
      </c>
      <c r="BB47" s="253">
        <f>IF(ISERROR('raw data'!CZ48/'raw data'!DA48),0,'raw data'!CZ48/'raw data'!DA48)</f>
        <v>1.9607843137254902E-2</v>
      </c>
      <c r="BC47" s="253">
        <f>IF(ISERROR('raw data'!DB48/'raw data'!DC48),0,'raw data'!DB48/'raw data'!DC48)</f>
        <v>0</v>
      </c>
      <c r="BD47" s="253">
        <v>0</v>
      </c>
      <c r="BE47" s="253">
        <f>IF(ISERROR('raw data'!DF48/'raw data'!DG48),0,'raw data'!DF48/'raw data'!DG48)</f>
        <v>0</v>
      </c>
      <c r="BF47" s="253">
        <f>IF(ISERROR('raw data'!DH48/'raw data'!DI48),0,'raw data'!DH48/'raw data'!DI48)</f>
        <v>0</v>
      </c>
      <c r="BG47" s="253">
        <f>IF(ISERROR('raw data'!DJ48/'raw data'!DK48),0,'raw data'!DJ48/'raw data'!DK48)</f>
        <v>2.4390243902439025E-2</v>
      </c>
      <c r="BH47" s="253">
        <f>IF(ISERROR('raw data'!DL48/'raw data'!DM48),0,'raw data'!DL48/'raw data'!DM48)</f>
        <v>0</v>
      </c>
      <c r="BI47" s="253">
        <f>IF(ISERROR('raw data'!DN48/'raw data'!DO48),0,'raw data'!DN48/'raw data'!DO48)</f>
        <v>3.3333333333333333E-2</v>
      </c>
      <c r="BJ47" s="253">
        <f>IF(ISERROR('raw data'!DP48/'raw data'!DQ48),0,'raw data'!DP48/'raw data'!DQ48)</f>
        <v>0</v>
      </c>
      <c r="BK47" s="253">
        <f>IF(ISERROR('raw data'!DR48/'raw data'!DS48),0,'raw data'!DR48/'raw data'!DS48)</f>
        <v>0</v>
      </c>
      <c r="BL47" s="253">
        <f>IF(ISERROR('raw data'!DT48/'raw data'!DU48),0,'raw data'!DT48/'raw data'!DU48)</f>
        <v>0</v>
      </c>
      <c r="BM47" s="253">
        <f>IF(ISERROR('raw data'!DV48/'raw data'!DW48),0,'raw data'!DV48/'raw data'!DW48)</f>
        <v>0</v>
      </c>
      <c r="BN47" s="253">
        <f>IF(ISERROR('raw data'!DX48/'raw data'!DY48),0,'raw data'!DX48/'raw data'!DY48)</f>
        <v>2.564102564102564E-2</v>
      </c>
      <c r="BO47" s="253">
        <f>IF(ISERROR('raw data'!DZ48/'raw data'!EA48),0,'raw data'!DZ48/'raw data'!EA48)</f>
        <v>0</v>
      </c>
      <c r="BP47" s="253">
        <f>IF(ISERROR('raw data'!EB48/'raw data'!EC48),0,'raw data'!EB48/'raw data'!EC48)</f>
        <v>0</v>
      </c>
      <c r="BQ47" s="253">
        <f>IF(ISERROR('raw data'!ED48/'raw data'!EE48),0,'raw data'!ED48/'raw data'!EE48)</f>
        <v>0</v>
      </c>
      <c r="BR47" s="253">
        <f>IF(ISERROR('raw data'!EF48/'raw data'!EG48),0,'raw data'!EF48/'raw data'!EG48)</f>
        <v>0</v>
      </c>
      <c r="BS47" s="253">
        <f>IF(ISERROR('raw data'!EH48/'raw data'!EI48),0,'raw data'!EH48/'raw data'!EI48)</f>
        <v>0</v>
      </c>
      <c r="BT47" s="253">
        <f>IF(ISERROR('raw data'!EJ48/'raw data'!EK48),0,'raw data'!EJ48/'raw data'!EK48)</f>
        <v>0</v>
      </c>
      <c r="BU47" s="253">
        <f>IF(ISERROR('raw data'!EL48/'raw data'!EM48),0,'raw data'!EL48/'raw data'!EM48)</f>
        <v>0</v>
      </c>
      <c r="BV47" s="253">
        <f>IF(ISERROR('raw data'!EN48/'raw data'!EO48),0,'raw data'!EN48/'raw data'!EO48)</f>
        <v>0</v>
      </c>
      <c r="BW47" s="232" t="s">
        <v>243</v>
      </c>
      <c r="BX47" s="232" t="s">
        <v>243</v>
      </c>
      <c r="BY47" s="232" t="s">
        <v>243</v>
      </c>
      <c r="BZ47" s="232" t="s">
        <v>243</v>
      </c>
      <c r="CA47" s="232" t="s">
        <v>243</v>
      </c>
      <c r="CB47" s="232" t="s">
        <v>243</v>
      </c>
      <c r="CC47" s="232" t="s">
        <v>243</v>
      </c>
      <c r="CD47" s="232" t="s">
        <v>243</v>
      </c>
      <c r="CE47" s="232" t="s">
        <v>243</v>
      </c>
      <c r="CF47" s="232" t="s">
        <v>243</v>
      </c>
      <c r="CG47" s="232" t="s">
        <v>243</v>
      </c>
      <c r="CH47" s="232" t="s">
        <v>243</v>
      </c>
      <c r="CI47" s="232" t="s">
        <v>243</v>
      </c>
      <c r="CJ47" s="232" t="s">
        <v>243</v>
      </c>
      <c r="CK47" s="232" t="s">
        <v>243</v>
      </c>
      <c r="CL47" s="232" t="s">
        <v>243</v>
      </c>
      <c r="CM47" s="232" t="s">
        <v>243</v>
      </c>
      <c r="CN47" s="232" t="s">
        <v>243</v>
      </c>
      <c r="CO47" s="232" t="s">
        <v>243</v>
      </c>
      <c r="CP47" s="232" t="s">
        <v>243</v>
      </c>
      <c r="CQ47" s="232" t="s">
        <v>243</v>
      </c>
      <c r="CR47" s="232" t="s">
        <v>243</v>
      </c>
      <c r="CS47" s="232" t="s">
        <v>243</v>
      </c>
      <c r="CT47" s="232" t="s">
        <v>243</v>
      </c>
      <c r="CU47" s="232" t="s">
        <v>243</v>
      </c>
      <c r="CV47" s="232" t="s">
        <v>243</v>
      </c>
      <c r="CW47" s="232" t="s">
        <v>243</v>
      </c>
      <c r="CX47" s="232" t="s">
        <v>243</v>
      </c>
      <c r="CY47" s="232" t="s">
        <v>243</v>
      </c>
      <c r="CZ47" s="232" t="s">
        <v>243</v>
      </c>
      <c r="DA47" s="232" t="s">
        <v>243</v>
      </c>
      <c r="DB47" s="232" t="s">
        <v>243</v>
      </c>
      <c r="DC47" s="232" t="s">
        <v>243</v>
      </c>
      <c r="DD47" s="232" t="s">
        <v>243</v>
      </c>
      <c r="DE47" s="232" t="s">
        <v>243</v>
      </c>
      <c r="DF47" s="232" t="s">
        <v>243</v>
      </c>
      <c r="DG47" s="232" t="s">
        <v>243</v>
      </c>
      <c r="DH47" s="232" t="s">
        <v>243</v>
      </c>
      <c r="DI47" s="232" t="s">
        <v>243</v>
      </c>
      <c r="DJ47" s="232" t="s">
        <v>243</v>
      </c>
      <c r="DK47" s="232" t="s">
        <v>243</v>
      </c>
      <c r="DL47" s="232" t="s">
        <v>243</v>
      </c>
      <c r="DM47" s="232" t="s">
        <v>243</v>
      </c>
      <c r="DN47" s="232" t="s">
        <v>243</v>
      </c>
      <c r="DO47" s="232" t="s">
        <v>243</v>
      </c>
      <c r="DP47" s="232" t="s">
        <v>243</v>
      </c>
      <c r="DQ47" s="232" t="s">
        <v>243</v>
      </c>
      <c r="DR47" s="232" t="s">
        <v>243</v>
      </c>
      <c r="DS47" s="232" t="s">
        <v>243</v>
      </c>
      <c r="DT47" s="232" t="s">
        <v>243</v>
      </c>
      <c r="DU47" s="232" t="s">
        <v>243</v>
      </c>
      <c r="DV47" s="232" t="s">
        <v>243</v>
      </c>
      <c r="DW47" s="232" t="s">
        <v>243</v>
      </c>
      <c r="DX47" s="232" t="s">
        <v>243</v>
      </c>
      <c r="DY47" s="232" t="s">
        <v>243</v>
      </c>
      <c r="DZ47" s="232" t="s">
        <v>243</v>
      </c>
      <c r="EA47" s="232" t="s">
        <v>243</v>
      </c>
      <c r="EB47" s="232" t="s">
        <v>243</v>
      </c>
      <c r="EC47" s="232" t="s">
        <v>243</v>
      </c>
      <c r="ED47" s="226"/>
      <c r="EE47" s="255">
        <v>0</v>
      </c>
      <c r="EF47" s="255">
        <v>0</v>
      </c>
      <c r="EG47" s="256">
        <f t="shared" si="0"/>
        <v>0</v>
      </c>
    </row>
    <row r="48" spans="1:138" ht="25.5" customHeight="1" x14ac:dyDescent="0.15">
      <c r="A48" s="250">
        <v>3.5</v>
      </c>
      <c r="B48" s="251" t="str">
        <f>'raw data'!B49</f>
        <v xml:space="preserve">Mortages with one or more drawdowns and one or more repayments, each totalling £5k+, in past 6 months. </v>
      </c>
      <c r="C48" s="252" t="s">
        <v>84</v>
      </c>
      <c r="D48" s="253">
        <v>0</v>
      </c>
      <c r="E48" s="253">
        <f>+'raw data'!F49/'raw data'!G49</f>
        <v>0</v>
      </c>
      <c r="F48" s="253">
        <f>+'raw data'!H49/'raw data'!I49</f>
        <v>0</v>
      </c>
      <c r="G48" s="253">
        <f>'raw data'!J49/'raw data'!K49</f>
        <v>0</v>
      </c>
      <c r="H48" s="253">
        <f>'raw data'!L49/'raw data'!M49</f>
        <v>0</v>
      </c>
      <c r="I48" s="253">
        <f>'raw data'!N49/'raw data'!O49</f>
        <v>0</v>
      </c>
      <c r="J48" s="253">
        <v>0</v>
      </c>
      <c r="K48" s="253">
        <v>0</v>
      </c>
      <c r="L48" s="253">
        <f>'raw data'!T49/'raw data'!U49</f>
        <v>0</v>
      </c>
      <c r="M48" s="253">
        <f>'raw data'!V49/'raw data'!W49</f>
        <v>0</v>
      </c>
      <c r="N48" s="253">
        <f>'raw data'!X49/'raw data'!Y49</f>
        <v>0</v>
      </c>
      <c r="O48" s="253">
        <f>IF(ISERROR('raw data'!Z49/'raw data'!AA49),0,'raw data'!Z49/'raw data'!AA49)</f>
        <v>0</v>
      </c>
      <c r="P48" s="253">
        <f>IF(ISERROR('raw data'!AB49/'raw data'!AC49),0,'raw data'!AB49/'raw data'!AC49)</f>
        <v>0</v>
      </c>
      <c r="Q48" s="253">
        <f>IF(ISERROR('raw data'!AD49/'raw data'!AE49),0,'raw data'!AD49/'raw data'!AE49)</f>
        <v>0</v>
      </c>
      <c r="R48" s="253">
        <f>IF(ISERROR('raw data'!AF49/'raw data'!AG49),0,'raw data'!AF49/'raw data'!AG49)</f>
        <v>0</v>
      </c>
      <c r="S48" s="253">
        <f>IF(ISERROR('raw data'!AH49/'raw data'!AI49),0,'raw data'!AH49/'raw data'!AI49)</f>
        <v>0</v>
      </c>
      <c r="T48" s="253">
        <f>IF(ISERROR('raw data'!AJ49/'raw data'!AK49),0,'raw data'!AJ49/'raw data'!AK49)</f>
        <v>0</v>
      </c>
      <c r="U48" s="253">
        <f>IF(ISERROR('raw data'!AL49/'raw data'!AM49),0,'raw data'!AL49/'raw data'!AM49)</f>
        <v>0</v>
      </c>
      <c r="V48" s="253">
        <f>IF(ISERROR('raw data'!AN49/'raw data'!AO49),0,'raw data'!AN49/'raw data'!AO49)</f>
        <v>0</v>
      </c>
      <c r="W48" s="253">
        <f>IF(ISERROR('raw data'!AP49/'raw data'!AQ49),0,'raw data'!AP49/'raw data'!AQ49)</f>
        <v>0</v>
      </c>
      <c r="X48" s="253">
        <f>IF(ISERROR('raw data'!AR49/'raw data'!AS49),0,'raw data'!AR49/'raw data'!AS49)</f>
        <v>0</v>
      </c>
      <c r="Y48" s="253">
        <f>IF(ISERROR('raw data'!AT49/'raw data'!AU49),0,'raw data'!AT49/'raw data'!AU49)</f>
        <v>0</v>
      </c>
      <c r="Z48" s="253">
        <f>IF(ISERROR('raw data'!AV49/'raw data'!AW49),0,'raw data'!AV49/'raw data'!AW49)</f>
        <v>0</v>
      </c>
      <c r="AA48" s="253">
        <f>IF(ISERROR('raw data'!AX49/'raw data'!AY49),0,'raw data'!AX49/'raw data'!AY49)</f>
        <v>0</v>
      </c>
      <c r="AB48" s="253">
        <f>IF(ISERROR('raw data'!AZ49/'raw data'!BA49),0,'raw data'!AZ49/'raw data'!BA49)</f>
        <v>0</v>
      </c>
      <c r="AC48" s="253">
        <f>IF(ISERROR('raw data'!BB49/'raw data'!BC49),0,'raw data'!BB49/'raw data'!BC49)</f>
        <v>0</v>
      </c>
      <c r="AD48" s="253">
        <f>IF(ISERROR('raw data'!BD49/'raw data'!BE49),0,'raw data'!BD49/'raw data'!BE49)</f>
        <v>0</v>
      </c>
      <c r="AE48" s="253">
        <f>IF(ISERROR('raw data'!BF49/'raw data'!BG49),0,'raw data'!BF49/'raw data'!BG49)</f>
        <v>0</v>
      </c>
      <c r="AF48" s="254">
        <f>IF(ISERROR('raw data'!BH49/'raw data'!BI49),0,'raw data'!BH49/'raw data'!BI49)</f>
        <v>0</v>
      </c>
      <c r="AG48" s="253">
        <f>IF(ISERROR('raw data'!BJ49/'raw data'!BK49),0,'raw data'!BJ49/'raw data'!BK49)</f>
        <v>0</v>
      </c>
      <c r="AH48" s="253">
        <f>IF(ISERROR('raw data'!BL49/'raw data'!BM49),0,'raw data'!BL49/'raw data'!BM49)</f>
        <v>0</v>
      </c>
      <c r="AI48" s="253">
        <f>IF(ISERROR('raw data'!BN49/'raw data'!BO49),0,'raw data'!BN49/'raw data'!BO49)</f>
        <v>0</v>
      </c>
      <c r="AJ48" s="253">
        <f>IF(ISERROR('raw data'!BP49/'raw data'!BQ49),0,'raw data'!BP49/'raw data'!BQ49)</f>
        <v>0</v>
      </c>
      <c r="AK48" s="253">
        <f>IF(ISERROR('raw data'!BR49/'raw data'!BS49),0,'raw data'!BR49/'raw data'!BS49)</f>
        <v>0</v>
      </c>
      <c r="AL48" s="253">
        <f>IF(ISERROR('raw data'!BT49/'raw data'!BU49),0,'raw data'!BT49/'raw data'!BU49)</f>
        <v>0</v>
      </c>
      <c r="AM48" s="253">
        <f>IF(ISERROR('raw data'!BV49/'raw data'!BW49),0,'raw data'!BV49/'raw data'!BW49)</f>
        <v>0</v>
      </c>
      <c r="AN48" s="253">
        <f>IF(ISERROR('raw data'!BX49/'raw data'!BY49),0,'raw data'!BX49/'raw data'!BY49)</f>
        <v>0</v>
      </c>
      <c r="AO48" s="253">
        <f>IF(ISERROR('raw data'!BZ49/'raw data'!CA49),0,'raw data'!BZ49/'raw data'!CA49)</f>
        <v>0</v>
      </c>
      <c r="AP48" s="253">
        <f>IF(ISERROR('raw data'!CB49/'raw data'!CC49),0,'raw data'!CB49/'raw data'!CC49)</f>
        <v>0</v>
      </c>
      <c r="AQ48" s="253">
        <f>IF(ISERROR('raw data'!CD49/'raw data'!CE49),0,'raw data'!CD49/'raw data'!CE49)</f>
        <v>0</v>
      </c>
      <c r="AR48" s="253">
        <f>IF(ISERROR('raw data'!CF49/'raw data'!CG49),0,'raw data'!CF49/'raw data'!CG49)</f>
        <v>0</v>
      </c>
      <c r="AS48" s="253">
        <f>IF(ISERROR('raw data'!CH49/'raw data'!CI49),0,'raw data'!CH49/'raw data'!CI49)</f>
        <v>0</v>
      </c>
      <c r="AT48" s="253">
        <f>IF(ISERROR('raw data'!CJ49/'raw data'!CK49),0,'raw data'!CJ49/'raw data'!CK49)</f>
        <v>0</v>
      </c>
      <c r="AU48" s="253">
        <f>IF(ISERROR('raw data'!CL49/'raw data'!CM49),0,'raw data'!CL49/'raw data'!CM49)</f>
        <v>0</v>
      </c>
      <c r="AV48" s="253">
        <f>IF(ISERROR('raw data'!CN49/'raw data'!CO49),0,'raw data'!CN49/'raw data'!CO49)</f>
        <v>0</v>
      </c>
      <c r="AW48" s="253">
        <f>IF(ISERROR('raw data'!CP49/'raw data'!CQ49),0,'raw data'!CP49/'raw data'!CQ49)</f>
        <v>0</v>
      </c>
      <c r="AX48" s="253">
        <f>IF(ISERROR('raw data'!CR49/'raw data'!CS49),0,'raw data'!CR49/'raw data'!CS49)</f>
        <v>0</v>
      </c>
      <c r="AY48" s="253">
        <f>IF(ISERROR('raw data'!CT49/'raw data'!CU49),0,'raw data'!CT49/'raw data'!CU49)</f>
        <v>0</v>
      </c>
      <c r="AZ48" s="253">
        <f>IF(ISERROR('raw data'!CV49/'raw data'!CW49),0,'raw data'!CV49/'raw data'!CW49)</f>
        <v>0</v>
      </c>
      <c r="BA48" s="253">
        <f>IF(ISERROR('raw data'!CX49/'raw data'!CY49),0,'raw data'!CX49/'raw data'!CY49)</f>
        <v>0</v>
      </c>
      <c r="BB48" s="253">
        <f>IF(ISERROR('raw data'!CZ49/'raw data'!DA49),0,'raw data'!CZ49/'raw data'!DA49)</f>
        <v>0</v>
      </c>
      <c r="BC48" s="253">
        <f>IF(ISERROR('raw data'!DB49/'raw data'!DC49),0,'raw data'!DB49/'raw data'!DC49)</f>
        <v>0</v>
      </c>
      <c r="BD48" s="253">
        <v>0</v>
      </c>
      <c r="BE48" s="253">
        <f>IF(ISERROR('raw data'!DF49/'raw data'!DG49),0,'raw data'!DF49/'raw data'!DG49)</f>
        <v>0</v>
      </c>
      <c r="BF48" s="253">
        <f>IF(ISERROR('raw data'!DH49/'raw data'!DI49),0,'raw data'!DH49/'raw data'!DI49)</f>
        <v>0</v>
      </c>
      <c r="BG48" s="253">
        <f>IF(ISERROR('raw data'!DJ49/'raw data'!DK49),0,'raw data'!DJ49/'raw data'!DK49)</f>
        <v>0</v>
      </c>
      <c r="BH48" s="253">
        <f>IF(ISERROR('raw data'!DL49/'raw data'!DM49),0,'raw data'!DL49/'raw data'!DM49)</f>
        <v>0</v>
      </c>
      <c r="BI48" s="253">
        <f>IF(ISERROR('raw data'!DN49/'raw data'!DO49),0,'raw data'!DN49/'raw data'!DO49)</f>
        <v>0</v>
      </c>
      <c r="BJ48" s="253">
        <f>IF(ISERROR('raw data'!DP49/'raw data'!DQ49),0,'raw data'!DP49/'raw data'!DQ49)</f>
        <v>0</v>
      </c>
      <c r="BK48" s="253">
        <f>IF(ISERROR('raw data'!DR49/'raw data'!DS49),0,'raw data'!DR49/'raw data'!DS49)</f>
        <v>0</v>
      </c>
      <c r="BL48" s="253">
        <f>IF(ISERROR('raw data'!DT49/'raw data'!DU49),0,'raw data'!DT49/'raw data'!DU49)</f>
        <v>0</v>
      </c>
      <c r="BM48" s="253">
        <f>IF(ISERROR('raw data'!DV49/'raw data'!DW49),0,'raw data'!DV49/'raw data'!DW49)</f>
        <v>0</v>
      </c>
      <c r="BN48" s="253">
        <f>IF(ISERROR('raw data'!DX49/'raw data'!DY49),0,'raw data'!DX49/'raw data'!DY49)</f>
        <v>0</v>
      </c>
      <c r="BO48" s="253">
        <f>IF(ISERROR('raw data'!DZ49/'raw data'!EA49),0,'raw data'!DZ49/'raw data'!EA49)</f>
        <v>0</v>
      </c>
      <c r="BP48" s="253">
        <f>IF(ISERROR('raw data'!EB49/'raw data'!EC49),0,'raw data'!EB49/'raw data'!EC49)</f>
        <v>0</v>
      </c>
      <c r="BQ48" s="253">
        <f>IF(ISERROR('raw data'!ED49/'raw data'!EE49),0,'raw data'!ED49/'raw data'!EE49)</f>
        <v>0</v>
      </c>
      <c r="BR48" s="253">
        <f>IF(ISERROR('raw data'!EF49/'raw data'!EG49),0,'raw data'!EF49/'raw data'!EG49)</f>
        <v>0</v>
      </c>
      <c r="BS48" s="253">
        <f>IF(ISERROR('raw data'!EH49/'raw data'!EI49),0,'raw data'!EH49/'raw data'!EI49)</f>
        <v>0</v>
      </c>
      <c r="BT48" s="253">
        <f>IF(ISERROR('raw data'!EJ49/'raw data'!EK49),0,'raw data'!EJ49/'raw data'!EK49)</f>
        <v>0</v>
      </c>
      <c r="BU48" s="253">
        <f>IF(ISERROR('raw data'!EL49/'raw data'!EM49),0,'raw data'!EL49/'raw data'!EM49)</f>
        <v>0</v>
      </c>
      <c r="BV48" s="253">
        <f>IF(ISERROR('raw data'!EN49/'raw data'!EO49),0,'raw data'!EN49/'raw data'!EO49)</f>
        <v>0</v>
      </c>
      <c r="BW48" s="253">
        <f>IF(ISERROR('raw data'!EP49/'raw data'!EQ49),0,'raw data'!EP49/'raw data'!EQ49)</f>
        <v>0</v>
      </c>
      <c r="BX48" s="253">
        <f>IF(ISERROR('raw data'!ER49/'raw data'!ES49),0,'raw data'!ER49/'raw data'!ES49)</f>
        <v>0</v>
      </c>
      <c r="BY48" s="253">
        <f>IF(ISERROR('raw data'!ET49/'raw data'!EU49),0,'raw data'!ET49/'raw data'!EU49)</f>
        <v>0</v>
      </c>
      <c r="BZ48" s="232" t="s">
        <v>243</v>
      </c>
      <c r="CA48" s="232" t="s">
        <v>243</v>
      </c>
      <c r="CB48" s="232" t="s">
        <v>243</v>
      </c>
      <c r="CC48" s="232" t="s">
        <v>243</v>
      </c>
      <c r="CD48" s="232" t="s">
        <v>243</v>
      </c>
      <c r="CE48" s="232" t="s">
        <v>243</v>
      </c>
      <c r="CF48" s="232" t="s">
        <v>243</v>
      </c>
      <c r="CG48" s="232" t="s">
        <v>243</v>
      </c>
      <c r="CH48" s="232" t="s">
        <v>243</v>
      </c>
      <c r="CI48" s="232" t="s">
        <v>243</v>
      </c>
      <c r="CJ48" s="232" t="s">
        <v>243</v>
      </c>
      <c r="CK48" s="232" t="s">
        <v>243</v>
      </c>
      <c r="CL48" s="232" t="s">
        <v>243</v>
      </c>
      <c r="CM48" s="232" t="s">
        <v>243</v>
      </c>
      <c r="CN48" s="232" t="s">
        <v>243</v>
      </c>
      <c r="CO48" s="232" t="s">
        <v>243</v>
      </c>
      <c r="CP48" s="232" t="s">
        <v>243</v>
      </c>
      <c r="CQ48" s="232" t="s">
        <v>243</v>
      </c>
      <c r="CR48" s="232" t="s">
        <v>243</v>
      </c>
      <c r="CS48" s="232" t="s">
        <v>243</v>
      </c>
      <c r="CT48" s="232" t="s">
        <v>243</v>
      </c>
      <c r="CU48" s="232" t="s">
        <v>243</v>
      </c>
      <c r="CV48" s="232" t="s">
        <v>243</v>
      </c>
      <c r="CW48" s="232" t="s">
        <v>243</v>
      </c>
      <c r="CX48" s="232" t="s">
        <v>243</v>
      </c>
      <c r="CY48" s="232" t="s">
        <v>243</v>
      </c>
      <c r="CZ48" s="232" t="s">
        <v>243</v>
      </c>
      <c r="DA48" s="232" t="s">
        <v>243</v>
      </c>
      <c r="DB48" s="232" t="s">
        <v>243</v>
      </c>
      <c r="DC48" s="232" t="s">
        <v>243</v>
      </c>
      <c r="DD48" s="232" t="s">
        <v>243</v>
      </c>
      <c r="DE48" s="232" t="s">
        <v>243</v>
      </c>
      <c r="DF48" s="232" t="s">
        <v>243</v>
      </c>
      <c r="DG48" s="232" t="s">
        <v>243</v>
      </c>
      <c r="DH48" s="232" t="s">
        <v>243</v>
      </c>
      <c r="DI48" s="232" t="s">
        <v>243</v>
      </c>
      <c r="DJ48" s="232" t="s">
        <v>243</v>
      </c>
      <c r="DK48" s="232" t="s">
        <v>243</v>
      </c>
      <c r="DL48" s="232" t="s">
        <v>243</v>
      </c>
      <c r="DM48" s="232" t="s">
        <v>243</v>
      </c>
      <c r="DN48" s="232" t="s">
        <v>243</v>
      </c>
      <c r="DO48" s="232" t="s">
        <v>243</v>
      </c>
      <c r="DP48" s="232" t="s">
        <v>243</v>
      </c>
      <c r="DQ48" s="232" t="s">
        <v>243</v>
      </c>
      <c r="DR48" s="232" t="s">
        <v>243</v>
      </c>
      <c r="DS48" s="232" t="s">
        <v>243</v>
      </c>
      <c r="DT48" s="232" t="s">
        <v>243</v>
      </c>
      <c r="DU48" s="232" t="s">
        <v>243</v>
      </c>
      <c r="DV48" s="232" t="s">
        <v>243</v>
      </c>
      <c r="DW48" s="232" t="s">
        <v>243</v>
      </c>
      <c r="DX48" s="232" t="s">
        <v>243</v>
      </c>
      <c r="DY48" s="232" t="s">
        <v>243</v>
      </c>
      <c r="DZ48" s="232" t="s">
        <v>243</v>
      </c>
      <c r="EA48" s="232" t="s">
        <v>243</v>
      </c>
      <c r="EB48" s="232" t="s">
        <v>243</v>
      </c>
      <c r="EC48" s="232" t="s">
        <v>243</v>
      </c>
      <c r="ED48" s="226"/>
      <c r="EE48" s="255">
        <v>0</v>
      </c>
      <c r="EF48" s="255">
        <v>0</v>
      </c>
      <c r="EG48" s="256">
        <f t="shared" si="0"/>
        <v>0</v>
      </c>
    </row>
    <row r="49" spans="1:137" ht="25.5" customHeight="1" x14ac:dyDescent="0.15">
      <c r="A49" s="250">
        <v>3.6</v>
      </c>
      <c r="B49" s="251" t="str">
        <f>'raw data'!B50</f>
        <v>Mortgage redeemed with a large overpayment - subsequent cheque refund for £5k+.</v>
      </c>
      <c r="C49" s="252" t="s">
        <v>86</v>
      </c>
      <c r="D49" s="253">
        <f>+'raw data'!D50/'raw data'!E50</f>
        <v>6.6666666666666666E-2</v>
      </c>
      <c r="E49" s="253">
        <f>+'raw data'!F50/'raw data'!G50</f>
        <v>0</v>
      </c>
      <c r="F49" s="253">
        <f>+'raw data'!H50/'raw data'!I50</f>
        <v>0</v>
      </c>
      <c r="G49" s="253">
        <f>'raw data'!J50/'raw data'!K50</f>
        <v>0</v>
      </c>
      <c r="H49" s="253">
        <f>'raw data'!L50/'raw data'!M50</f>
        <v>0</v>
      </c>
      <c r="I49" s="253">
        <f>'raw data'!N50/'raw data'!O50</f>
        <v>0</v>
      </c>
      <c r="J49" s="253">
        <f>'raw data'!P50/'raw data'!Q50</f>
        <v>0</v>
      </c>
      <c r="K49" s="253">
        <v>0</v>
      </c>
      <c r="L49" s="253">
        <f>'raw data'!T50/'raw data'!U50</f>
        <v>0</v>
      </c>
      <c r="M49" s="253">
        <f>'raw data'!V50/'raw data'!W50</f>
        <v>0</v>
      </c>
      <c r="N49" s="253">
        <f>'raw data'!X50/'raw data'!Y50</f>
        <v>0</v>
      </c>
      <c r="O49" s="253">
        <f>IF(ISERROR('raw data'!Z50/'raw data'!AA50),0,'raw data'!Z50/'raw data'!AA50)</f>
        <v>0</v>
      </c>
      <c r="P49" s="253">
        <f>IF(ISERROR('raw data'!AB50/'raw data'!AC50),0,'raw data'!AB50/'raw data'!AC50)</f>
        <v>0</v>
      </c>
      <c r="Q49" s="253">
        <f>IF(ISERROR('raw data'!AD50/'raw data'!AE50),0,'raw data'!AD50/'raw data'!AE50)</f>
        <v>0</v>
      </c>
      <c r="R49" s="253">
        <f>IF(ISERROR('raw data'!AF50/'raw data'!AG50),0,'raw data'!AF50/'raw data'!AG50)</f>
        <v>0</v>
      </c>
      <c r="S49" s="253">
        <f>IF(ISERROR('raw data'!AH50/'raw data'!AI50),0,'raw data'!AH50/'raw data'!AI50)</f>
        <v>0</v>
      </c>
      <c r="T49" s="253">
        <f>IF(ISERROR('raw data'!AJ50/'raw data'!AK50),0,'raw data'!AJ50/'raw data'!AK50)</f>
        <v>0</v>
      </c>
      <c r="U49" s="253">
        <f>IF(ISERROR('raw data'!AL50/'raw data'!AM50),0,'raw data'!AL50/'raw data'!AM50)</f>
        <v>0</v>
      </c>
      <c r="V49" s="253">
        <f>IF(ISERROR('raw data'!AN50/'raw data'!AO50),0,'raw data'!AN50/'raw data'!AO50)</f>
        <v>0</v>
      </c>
      <c r="W49" s="253">
        <f>IF(ISERROR('raw data'!AP50/'raw data'!AQ50),0,'raw data'!AP50/'raw data'!AQ50)</f>
        <v>0</v>
      </c>
      <c r="X49" s="253">
        <f>IF(ISERROR('raw data'!AR50/'raw data'!AS50),0,'raw data'!AR50/'raw data'!AS50)</f>
        <v>0</v>
      </c>
      <c r="Y49" s="253">
        <f>IF(ISERROR('raw data'!AT50/'raw data'!AU50),0,'raw data'!AT50/'raw data'!AU50)</f>
        <v>0</v>
      </c>
      <c r="Z49" s="253">
        <f>IF(ISERROR('raw data'!AV50/'raw data'!AW50),0,'raw data'!AV50/'raw data'!AW50)</f>
        <v>0</v>
      </c>
      <c r="AA49" s="253">
        <f>IF(ISERROR('raw data'!AX50/'raw data'!AY50),0,'raw data'!AX50/'raw data'!AY50)</f>
        <v>0</v>
      </c>
      <c r="AB49" s="253">
        <f>IF(ISERROR('raw data'!AZ50/'raw data'!BA50),0,'raw data'!AZ50/'raw data'!BA50)</f>
        <v>0</v>
      </c>
      <c r="AC49" s="253">
        <f>IF(ISERROR('raw data'!BB50/'raw data'!BC50),0,'raw data'!BB50/'raw data'!BC50)</f>
        <v>0</v>
      </c>
      <c r="AD49" s="253">
        <f>IF(ISERROR('raw data'!BD50/'raw data'!BE50),0,'raw data'!BD50/'raw data'!BE50)</f>
        <v>0</v>
      </c>
      <c r="AE49" s="253">
        <f>IF(ISERROR('raw data'!BF50/'raw data'!BG50),0,'raw data'!BF50/'raw data'!BG50)</f>
        <v>0</v>
      </c>
      <c r="AF49" s="254">
        <f>IF(ISERROR('raw data'!BH50/'raw data'!BI50),0,'raw data'!BH50/'raw data'!BI50)</f>
        <v>0</v>
      </c>
      <c r="AG49" s="253">
        <f>IF(ISERROR('raw data'!BJ50/'raw data'!BK50),0,'raw data'!BJ50/'raw data'!BK50)</f>
        <v>0</v>
      </c>
      <c r="AH49" s="253">
        <f>IF(ISERROR('raw data'!BL50/'raw data'!BM50),0,'raw data'!BL50/'raw data'!BM50)</f>
        <v>0</v>
      </c>
      <c r="AI49" s="253">
        <f>IF(ISERROR('raw data'!BN50/'raw data'!BO50),0,'raw data'!BN50/'raw data'!BO50)</f>
        <v>0</v>
      </c>
      <c r="AJ49" s="253">
        <f>IF(ISERROR('raw data'!BP50/'raw data'!BQ50),0,'raw data'!BP50/'raw data'!BQ50)</f>
        <v>0</v>
      </c>
      <c r="AK49" s="253">
        <f>IF(ISERROR('raw data'!BR50/'raw data'!BS50),0,'raw data'!BR50/'raw data'!BS50)</f>
        <v>0</v>
      </c>
      <c r="AL49" s="253">
        <f>IF(ISERROR('raw data'!BT50/'raw data'!BU50),0,'raw data'!BT50/'raw data'!BU50)</f>
        <v>0</v>
      </c>
      <c r="AM49" s="253">
        <f>IF(ISERROR('raw data'!BV50/'raw data'!BW50),0,'raw data'!BV50/'raw data'!BW50)</f>
        <v>0</v>
      </c>
      <c r="AN49" s="253">
        <f>IF(ISERROR('raw data'!BX50/'raw data'!BY50),0,'raw data'!BX50/'raw data'!BY50)</f>
        <v>0</v>
      </c>
      <c r="AO49" s="253">
        <f>IF(ISERROR('raw data'!BZ50/'raw data'!CA50),0,'raw data'!BZ50/'raw data'!CA50)</f>
        <v>0</v>
      </c>
      <c r="AP49" s="253">
        <f>IF(ISERROR('raw data'!CB50/'raw data'!CC50),0,'raw data'!CB50/'raw data'!CC50)</f>
        <v>0</v>
      </c>
      <c r="AQ49" s="253">
        <f>IF(ISERROR('raw data'!CD50/'raw data'!CE50),0,'raw data'!CD50/'raw data'!CE50)</f>
        <v>0</v>
      </c>
      <c r="AR49" s="253">
        <f>IF(ISERROR('raw data'!CF50/'raw data'!CG50),0,'raw data'!CF50/'raw data'!CG50)</f>
        <v>0</v>
      </c>
      <c r="AS49" s="253">
        <f>IF(ISERROR('raw data'!CH50/'raw data'!CI50),0,'raw data'!CH50/'raw data'!CI50)</f>
        <v>0</v>
      </c>
      <c r="AT49" s="253">
        <f>IF(ISERROR('raw data'!CJ50/'raw data'!CK50),0,'raw data'!CJ50/'raw data'!CK50)</f>
        <v>0</v>
      </c>
      <c r="AU49" s="253">
        <f>IF(ISERROR('raw data'!CL50/'raw data'!CM50),0,'raw data'!CL50/'raw data'!CM50)</f>
        <v>0</v>
      </c>
      <c r="AV49" s="253">
        <f>IF(ISERROR('raw data'!CN50/'raw data'!CO50),0,'raw data'!CN50/'raw data'!CO50)</f>
        <v>0</v>
      </c>
      <c r="AW49" s="253">
        <f>IF(ISERROR('raw data'!CP50/'raw data'!CQ50),0,'raw data'!CP50/'raw data'!CQ50)</f>
        <v>0</v>
      </c>
      <c r="AX49" s="253">
        <f>IF(ISERROR('raw data'!CR50/'raw data'!CS50),0,'raw data'!CR50/'raw data'!CS50)</f>
        <v>0</v>
      </c>
      <c r="AY49" s="253">
        <f>IF(ISERROR('raw data'!CT50/'raw data'!CU50),0,'raw data'!CT50/'raw data'!CU50)</f>
        <v>0</v>
      </c>
      <c r="AZ49" s="253">
        <f>IF(ISERROR('raw data'!CV50/'raw data'!CW50),0,'raw data'!CV50/'raw data'!CW50)</f>
        <v>0</v>
      </c>
      <c r="BA49" s="253">
        <f>IF(ISERROR('raw data'!CX50/'raw data'!CY50),0,'raw data'!CX50/'raw data'!CY50)</f>
        <v>0</v>
      </c>
      <c r="BB49" s="253">
        <f>IF(ISERROR('raw data'!CZ50/'raw data'!DA50),0,'raw data'!CZ50/'raw data'!DA50)</f>
        <v>0</v>
      </c>
      <c r="BC49" s="253">
        <f>IF(ISERROR('raw data'!DB50/'raw data'!DC50),0,'raw data'!DB50/'raw data'!DC50)</f>
        <v>0</v>
      </c>
      <c r="BD49" s="253">
        <v>0</v>
      </c>
      <c r="BE49" s="253">
        <f>IF(ISERROR('raw data'!DF50/'raw data'!DG50),0,'raw data'!DF50/'raw data'!DG50)</f>
        <v>0</v>
      </c>
      <c r="BF49" s="253">
        <f>IF(ISERROR('raw data'!DH50/'raw data'!DI50),0,'raw data'!DH50/'raw data'!DI50)</f>
        <v>0</v>
      </c>
      <c r="BG49" s="253">
        <f>IF(ISERROR('raw data'!DJ50/'raw data'!DK50),0,'raw data'!DJ50/'raw data'!DK50)</f>
        <v>0</v>
      </c>
      <c r="BH49" s="253">
        <f>IF(ISERROR('raw data'!DL50/'raw data'!DM50),0,'raw data'!DL50/'raw data'!DM50)</f>
        <v>0</v>
      </c>
      <c r="BI49" s="253">
        <f>IF(ISERROR('raw data'!DN50/'raw data'!DO50),0,'raw data'!DN50/'raw data'!DO50)</f>
        <v>0</v>
      </c>
      <c r="BJ49" s="253">
        <f>IF(ISERROR('raw data'!DP50/'raw data'!DQ50),0,'raw data'!DP50/'raw data'!DQ50)</f>
        <v>0</v>
      </c>
      <c r="BK49" s="253">
        <f>IF(ISERROR('raw data'!DR50/'raw data'!DS50),0,'raw data'!DR50/'raw data'!DS50)</f>
        <v>0</v>
      </c>
      <c r="BL49" s="253">
        <f>IF(ISERROR('raw data'!DT50/'raw data'!DU50),0,'raw data'!DT50/'raw data'!DU50)</f>
        <v>0</v>
      </c>
      <c r="BM49" s="253">
        <f>IF(ISERROR('raw data'!DV50/'raw data'!DW50),0,'raw data'!DV50/'raw data'!DW50)</f>
        <v>0</v>
      </c>
      <c r="BN49" s="253">
        <f>IF(ISERROR('raw data'!DX50/'raw data'!DY50),0,'raw data'!DX50/'raw data'!DY50)</f>
        <v>0</v>
      </c>
      <c r="BO49" s="253">
        <f>IF(ISERROR('raw data'!DZ50/'raw data'!EA50),0,'raw data'!DZ50/'raw data'!EA50)</f>
        <v>0</v>
      </c>
      <c r="BP49" s="253">
        <f>IF(ISERROR('raw data'!EB50/'raw data'!EC50),0,'raw data'!EB50/'raw data'!EC50)</f>
        <v>0</v>
      </c>
      <c r="BQ49" s="253">
        <f>IF(ISERROR('raw data'!ED50/'raw data'!EE50),0,'raw data'!ED50/'raw data'!EE50)</f>
        <v>0</v>
      </c>
      <c r="BR49" s="253">
        <f>IF(ISERROR('raw data'!EF50/'raw data'!EG50),0,'raw data'!EF50/'raw data'!EG50)</f>
        <v>0</v>
      </c>
      <c r="BS49" s="253">
        <f>IF(ISERROR('raw data'!EH50/'raw data'!EI50),0,'raw data'!EH50/'raw data'!EI50)</f>
        <v>0</v>
      </c>
      <c r="BT49" s="253">
        <f>IF(ISERROR('raw data'!EJ50/'raw data'!EK50),0,'raw data'!EJ50/'raw data'!EK50)</f>
        <v>0</v>
      </c>
      <c r="BU49" s="253">
        <f>IF(ISERROR('raw data'!EL50/'raw data'!EM50),0,'raw data'!EL50/'raw data'!EM50)</f>
        <v>0</v>
      </c>
      <c r="BV49" s="253">
        <f>IF(ISERROR('raw data'!EN50/'raw data'!EO50),0,'raw data'!EN50/'raw data'!EO50)</f>
        <v>0</v>
      </c>
      <c r="BW49" s="253">
        <f>IF(ISERROR('raw data'!EP50/'raw data'!EQ50),0,'raw data'!EP50/'raw data'!EQ50)</f>
        <v>0</v>
      </c>
      <c r="BX49" s="253">
        <f>IF(ISERROR('raw data'!ER50/'raw data'!ES50),0,'raw data'!ER50/'raw data'!ES50)</f>
        <v>0</v>
      </c>
      <c r="BY49" s="253">
        <f>IF(ISERROR('raw data'!ET50/'raw data'!EU50),0,'raw data'!ET50/'raw data'!EU50)</f>
        <v>0</v>
      </c>
      <c r="BZ49" s="238" t="s">
        <v>30</v>
      </c>
      <c r="CA49" s="238" t="s">
        <v>30</v>
      </c>
      <c r="CB49" s="238" t="s">
        <v>30</v>
      </c>
      <c r="CC49" s="232" t="s">
        <v>243</v>
      </c>
      <c r="CD49" s="232" t="s">
        <v>243</v>
      </c>
      <c r="CE49" s="232" t="s">
        <v>243</v>
      </c>
      <c r="CF49" s="232" t="s">
        <v>243</v>
      </c>
      <c r="CG49" s="232" t="s">
        <v>243</v>
      </c>
      <c r="CH49" s="232" t="s">
        <v>243</v>
      </c>
      <c r="CI49" s="232" t="s">
        <v>243</v>
      </c>
      <c r="CJ49" s="232" t="s">
        <v>243</v>
      </c>
      <c r="CK49" s="232" t="s">
        <v>243</v>
      </c>
      <c r="CL49" s="232" t="s">
        <v>243</v>
      </c>
      <c r="CM49" s="232" t="s">
        <v>243</v>
      </c>
      <c r="CN49" s="232" t="s">
        <v>243</v>
      </c>
      <c r="CO49" s="232" t="s">
        <v>243</v>
      </c>
      <c r="CP49" s="232" t="s">
        <v>243</v>
      </c>
      <c r="CQ49" s="232" t="s">
        <v>243</v>
      </c>
      <c r="CR49" s="232" t="s">
        <v>243</v>
      </c>
      <c r="CS49" s="232" t="s">
        <v>243</v>
      </c>
      <c r="CT49" s="232" t="s">
        <v>243</v>
      </c>
      <c r="CU49" s="232" t="s">
        <v>243</v>
      </c>
      <c r="CV49" s="232" t="s">
        <v>243</v>
      </c>
      <c r="CW49" s="232" t="s">
        <v>243</v>
      </c>
      <c r="CX49" s="232" t="s">
        <v>243</v>
      </c>
      <c r="CY49" s="232" t="s">
        <v>243</v>
      </c>
      <c r="CZ49" s="232" t="s">
        <v>243</v>
      </c>
      <c r="DA49" s="232" t="s">
        <v>243</v>
      </c>
      <c r="DB49" s="232" t="s">
        <v>243</v>
      </c>
      <c r="DC49" s="232" t="s">
        <v>243</v>
      </c>
      <c r="DD49" s="232" t="s">
        <v>243</v>
      </c>
      <c r="DE49" s="232" t="s">
        <v>243</v>
      </c>
      <c r="DF49" s="232" t="s">
        <v>243</v>
      </c>
      <c r="DG49" s="232" t="s">
        <v>243</v>
      </c>
      <c r="DH49" s="232" t="s">
        <v>243</v>
      </c>
      <c r="DI49" s="232" t="s">
        <v>243</v>
      </c>
      <c r="DJ49" s="232" t="s">
        <v>243</v>
      </c>
      <c r="DK49" s="232" t="s">
        <v>243</v>
      </c>
      <c r="DL49" s="232" t="s">
        <v>243</v>
      </c>
      <c r="DM49" s="232" t="s">
        <v>243</v>
      </c>
      <c r="DN49" s="232" t="s">
        <v>243</v>
      </c>
      <c r="DO49" s="232" t="s">
        <v>243</v>
      </c>
      <c r="DP49" s="232" t="s">
        <v>243</v>
      </c>
      <c r="DQ49" s="232" t="s">
        <v>243</v>
      </c>
      <c r="DR49" s="232" t="s">
        <v>243</v>
      </c>
      <c r="DS49" s="232" t="s">
        <v>243</v>
      </c>
      <c r="DT49" s="232" t="s">
        <v>243</v>
      </c>
      <c r="DU49" s="232" t="s">
        <v>243</v>
      </c>
      <c r="DV49" s="232" t="s">
        <v>243</v>
      </c>
      <c r="DW49" s="232" t="s">
        <v>243</v>
      </c>
      <c r="DX49" s="232" t="s">
        <v>243</v>
      </c>
      <c r="DY49" s="232" t="s">
        <v>243</v>
      </c>
      <c r="DZ49" s="232" t="s">
        <v>243</v>
      </c>
      <c r="EA49" s="232" t="s">
        <v>243</v>
      </c>
      <c r="EB49" s="232" t="s">
        <v>243</v>
      </c>
      <c r="EC49" s="232" t="s">
        <v>243</v>
      </c>
      <c r="ED49" s="226"/>
      <c r="EE49" s="255">
        <v>0</v>
      </c>
      <c r="EF49" s="255">
        <v>0</v>
      </c>
      <c r="EG49" s="256">
        <f t="shared" si="0"/>
        <v>0</v>
      </c>
    </row>
    <row r="50" spans="1:137" ht="25.5" customHeight="1" x14ac:dyDescent="0.15">
      <c r="A50" s="250">
        <v>3.7</v>
      </c>
      <c r="B50" s="251" t="str">
        <f>'raw data'!B51</f>
        <v>Accounts redeemed within 12 months of inception (customer &lt;55 years old).</v>
      </c>
      <c r="C50" s="252" t="s">
        <v>88</v>
      </c>
      <c r="D50" s="253">
        <f>+'raw data'!D51/'raw data'!E51</f>
        <v>0</v>
      </c>
      <c r="E50" s="253">
        <f>+'raw data'!F51/'raw data'!G51</f>
        <v>0</v>
      </c>
      <c r="F50" s="253">
        <f>+'raw data'!H51/'raw data'!I51</f>
        <v>2.1739130434782608E-2</v>
      </c>
      <c r="G50" s="253">
        <f>'raw data'!J51/'raw data'!K51</f>
        <v>0</v>
      </c>
      <c r="H50" s="253">
        <f>'raw data'!L51/'raw data'!M51</f>
        <v>0</v>
      </c>
      <c r="I50" s="253">
        <f>'raw data'!N51/'raw data'!O51</f>
        <v>0</v>
      </c>
      <c r="J50" s="253">
        <f>'raw data'!P51/'raw data'!Q51</f>
        <v>0</v>
      </c>
      <c r="K50" s="253">
        <v>0</v>
      </c>
      <c r="L50" s="253">
        <f>'raw data'!T51/'raw data'!U51</f>
        <v>0</v>
      </c>
      <c r="M50" s="253">
        <f>'raw data'!V51/'raw data'!W51</f>
        <v>0</v>
      </c>
      <c r="N50" s="253">
        <f>'raw data'!X51/'raw data'!Y51</f>
        <v>0</v>
      </c>
      <c r="O50" s="253">
        <f>IF(ISERROR('raw data'!Z51/'raw data'!AA51),0,'raw data'!Z51/'raw data'!AA51)</f>
        <v>0</v>
      </c>
      <c r="P50" s="253">
        <f>IF(ISERROR('raw data'!AB51/'raw data'!AC51),0,'raw data'!AB51/'raw data'!AC51)</f>
        <v>0</v>
      </c>
      <c r="Q50" s="253">
        <f>IF(ISERROR('raw data'!AD51/'raw data'!AE51),0,'raw data'!AD51/'raw data'!AE51)</f>
        <v>0</v>
      </c>
      <c r="R50" s="253">
        <f>IF(ISERROR('raw data'!AF51/'raw data'!AG51),0,'raw data'!AF51/'raw data'!AG51)</f>
        <v>0</v>
      </c>
      <c r="S50" s="253">
        <f>IF(ISERROR('raw data'!AH51/'raw data'!AI51),0,'raw data'!AH51/'raw data'!AI51)</f>
        <v>0.2</v>
      </c>
      <c r="T50" s="253">
        <f>IF(ISERROR('raw data'!AJ51/'raw data'!AK51),0,'raw data'!AJ51/'raw data'!AK51)</f>
        <v>0</v>
      </c>
      <c r="U50" s="253">
        <f>IF(ISERROR('raw data'!AL51/'raw data'!AM51),0,'raw data'!AL51/'raw data'!AM51)</f>
        <v>0</v>
      </c>
      <c r="V50" s="253">
        <f>IF(ISERROR('raw data'!AN51/'raw data'!AO51),0,'raw data'!AN51/'raw data'!AO51)</f>
        <v>0</v>
      </c>
      <c r="W50" s="253">
        <f>IF(ISERROR('raw data'!AP51/'raw data'!AQ51),0,'raw data'!AP51/'raw data'!AQ51)</f>
        <v>0</v>
      </c>
      <c r="X50" s="253">
        <f>IF(ISERROR('raw data'!AR51/'raw data'!AS51),0,'raw data'!AR51/'raw data'!AS51)</f>
        <v>0</v>
      </c>
      <c r="Y50" s="253">
        <f>IF(ISERROR('raw data'!AT51/'raw data'!AU51),0,'raw data'!AT51/'raw data'!AU51)</f>
        <v>0</v>
      </c>
      <c r="Z50" s="253">
        <f>IF(ISERROR('raw data'!AV51/'raw data'!AW51),0,'raw data'!AV51/'raw data'!AW51)</f>
        <v>0</v>
      </c>
      <c r="AA50" s="253">
        <f>IF(ISERROR('raw data'!AX51/'raw data'!AY51),0,'raw data'!AX51/'raw data'!AY51)</f>
        <v>0</v>
      </c>
      <c r="AB50" s="253">
        <f>IF(ISERROR('raw data'!AZ51/'raw data'!BA51),0,'raw data'!AZ51/'raw data'!BA51)</f>
        <v>0</v>
      </c>
      <c r="AC50" s="253">
        <f>IF(ISERROR('raw data'!BB51/'raw data'!BC51),0,'raw data'!BB51/'raw data'!BC51)</f>
        <v>0</v>
      </c>
      <c r="AD50" s="253">
        <f>IF(ISERROR('raw data'!BD51/'raw data'!BE51),0,'raw data'!BD51/'raw data'!BE51)</f>
        <v>0</v>
      </c>
      <c r="AE50" s="253">
        <f>IF(ISERROR('raw data'!BF51/'raw data'!BG51),0,'raw data'!BF51/'raw data'!BG51)</f>
        <v>0</v>
      </c>
      <c r="AF50" s="254">
        <f>IF(ISERROR('raw data'!BH51/'raw data'!BI51),0,'raw data'!BH51/'raw data'!BI51)</f>
        <v>0</v>
      </c>
      <c r="AG50" s="253">
        <f>IF(ISERROR('raw data'!BJ51/'raw data'!BK51),0,'raw data'!BJ51/'raw data'!BK51)</f>
        <v>0</v>
      </c>
      <c r="AH50" s="253">
        <f>IF(ISERROR('raw data'!BL51/'raw data'!BM51),0,'raw data'!BL51/'raw data'!BM51)</f>
        <v>0</v>
      </c>
      <c r="AI50" s="253">
        <f>IF(ISERROR('raw data'!BN51/'raw data'!BO51),0,'raw data'!BN51/'raw data'!BO51)</f>
        <v>0</v>
      </c>
      <c r="AJ50" s="253">
        <f>IF(ISERROR('raw data'!BP51/'raw data'!BQ51),0,'raw data'!BP51/'raw data'!BQ51)</f>
        <v>0</v>
      </c>
      <c r="AK50" s="253">
        <f>IF(ISERROR('raw data'!BR51/'raw data'!BS51),0,'raw data'!BR51/'raw data'!BS51)</f>
        <v>0</v>
      </c>
      <c r="AL50" s="253">
        <f>IF(ISERROR('raw data'!BT51/'raw data'!BU51),0,'raw data'!BT51/'raw data'!BU51)</f>
        <v>0</v>
      </c>
      <c r="AM50" s="253">
        <f>IF(ISERROR('raw data'!BV51/'raw data'!BW51),0,'raw data'!BV51/'raw data'!BW51)</f>
        <v>0</v>
      </c>
      <c r="AN50" s="253">
        <f>IF(ISERROR('raw data'!BX51/'raw data'!BY51),0,'raw data'!BX51/'raw data'!BY51)</f>
        <v>0</v>
      </c>
      <c r="AO50" s="253">
        <f>IF(ISERROR('raw data'!BZ51/'raw data'!CA51),0,'raw data'!BZ51/'raw data'!CA51)</f>
        <v>0</v>
      </c>
      <c r="AP50" s="253">
        <f>IF(ISERROR('raw data'!CB51/'raw data'!CC51),0,'raw data'!CB51/'raw data'!CC51)</f>
        <v>0</v>
      </c>
      <c r="AQ50" s="253">
        <f>IF(ISERROR('raw data'!CD51/'raw data'!CE51),0,'raw data'!CD51/'raw data'!CE51)</f>
        <v>0</v>
      </c>
      <c r="AR50" s="253">
        <f>IF(ISERROR('raw data'!CF51/'raw data'!CG51),0,'raw data'!CF51/'raw data'!CG51)</f>
        <v>0</v>
      </c>
      <c r="AS50" s="253">
        <f>IF(ISERROR('raw data'!CH51/'raw data'!CI51),0,'raw data'!CH51/'raw data'!CI51)</f>
        <v>0</v>
      </c>
      <c r="AT50" s="253">
        <f>IF(ISERROR('raw data'!CJ51/'raw data'!CK51),0,'raw data'!CJ51/'raw data'!CK51)</f>
        <v>0</v>
      </c>
      <c r="AU50" s="253">
        <f>IF(ISERROR('raw data'!CL51/'raw data'!CM51),0,'raw data'!CL51/'raw data'!CM51)</f>
        <v>0</v>
      </c>
      <c r="AV50" s="253">
        <f>IF(ISERROR('raw data'!CN51/'raw data'!CO51),0,'raw data'!CN51/'raw data'!CO51)</f>
        <v>0</v>
      </c>
      <c r="AW50" s="253">
        <f>IF(ISERROR('raw data'!CP51/'raw data'!CQ51),0,'raw data'!CP51/'raw data'!CQ51)</f>
        <v>0</v>
      </c>
      <c r="AX50" s="253">
        <f>IF(ISERROR('raw data'!CR51/'raw data'!CS51),0,'raw data'!CR51/'raw data'!CS51)</f>
        <v>0</v>
      </c>
      <c r="AY50" s="253">
        <f>IF(ISERROR('raw data'!CT51/'raw data'!CU51),0,'raw data'!CT51/'raw data'!CU51)</f>
        <v>0</v>
      </c>
      <c r="AZ50" s="253">
        <f>IF(ISERROR('raw data'!CV51/'raw data'!CW51),0,'raw data'!CV51/'raw data'!CW51)</f>
        <v>0</v>
      </c>
      <c r="BA50" s="253">
        <f>IF(ISERROR('raw data'!CX51/'raw data'!CY51),0,'raw data'!CX51/'raw data'!CY51)</f>
        <v>0</v>
      </c>
      <c r="BB50" s="253">
        <f>IF(ISERROR('raw data'!CZ51/'raw data'!DA51),0,'raw data'!CZ51/'raw data'!DA51)</f>
        <v>0</v>
      </c>
      <c r="BC50" s="253">
        <f>IF(ISERROR('raw data'!DB51/'raw data'!DC51),0,'raw data'!DB51/'raw data'!DC51)</f>
        <v>0</v>
      </c>
      <c r="BD50" s="253">
        <v>0</v>
      </c>
      <c r="BE50" s="253">
        <f>IF(ISERROR('raw data'!DF51/'raw data'!DG51),0,'raw data'!DF51/'raw data'!DG51)</f>
        <v>0</v>
      </c>
      <c r="BF50" s="253">
        <f>IF(ISERROR('raw data'!DH51/'raw data'!DI51),0,'raw data'!DH51/'raw data'!DI51)</f>
        <v>0</v>
      </c>
      <c r="BG50" s="253">
        <f>IF(ISERROR('raw data'!DJ51/'raw data'!DK51),0,'raw data'!DJ51/'raw data'!DK51)</f>
        <v>0</v>
      </c>
      <c r="BH50" s="253">
        <f>IF(ISERROR('raw data'!DL51/'raw data'!DM51),0,'raw data'!DL51/'raw data'!DM51)</f>
        <v>0</v>
      </c>
      <c r="BI50" s="253">
        <f>IF(ISERROR('raw data'!DN51/'raw data'!DO51),0,'raw data'!DN51/'raw data'!DO51)</f>
        <v>0.2</v>
      </c>
      <c r="BJ50" s="253">
        <f>IF(ISERROR('raw data'!DP51/'raw data'!DQ51),0,'raw data'!DP51/'raw data'!DQ51)</f>
        <v>0</v>
      </c>
      <c r="BK50" s="253">
        <f>IF(ISERROR('raw data'!DR51/'raw data'!DS51),0,'raw data'!DR51/'raw data'!DS51)</f>
        <v>0</v>
      </c>
      <c r="BL50" s="253">
        <f>IF(ISERROR('raw data'!DT51/'raw data'!DU51),0,'raw data'!DT51/'raw data'!DU51)</f>
        <v>0</v>
      </c>
      <c r="BM50" s="253">
        <f>IF(ISERROR('raw data'!DV51/'raw data'!DW51),0,'raw data'!DV51/'raw data'!DW51)</f>
        <v>0</v>
      </c>
      <c r="BN50" s="253">
        <f>IF(ISERROR('raw data'!DX51/'raw data'!DY51),0,'raw data'!DX51/'raw data'!DY51)</f>
        <v>0</v>
      </c>
      <c r="BO50" s="253">
        <f>IF(ISERROR('raw data'!DZ51/'raw data'!EA51),0,'raw data'!DZ51/'raw data'!EA51)</f>
        <v>0</v>
      </c>
      <c r="BP50" s="253">
        <f>IF(ISERROR('raw data'!EB51/'raw data'!EC51),0,'raw data'!EB51/'raw data'!EC51)</f>
        <v>0</v>
      </c>
      <c r="BQ50" s="253">
        <f>IF(ISERROR('raw data'!ED51/'raw data'!EE51),0,'raw data'!ED51/'raw data'!EE51)</f>
        <v>0</v>
      </c>
      <c r="BR50" s="253">
        <f>IF(ISERROR('raw data'!EF51/'raw data'!EG51),0,'raw data'!EF51/'raw data'!EG51)</f>
        <v>0</v>
      </c>
      <c r="BS50" s="253">
        <f>IF(ISERROR('raw data'!EH51/'raw data'!EI51),0,'raw data'!EH51/'raw data'!EI51)</f>
        <v>0</v>
      </c>
      <c r="BT50" s="253">
        <f>IF(ISERROR('raw data'!EJ51/'raw data'!EK51),0,'raw data'!EJ51/'raw data'!EK51)</f>
        <v>0</v>
      </c>
      <c r="BU50" s="253">
        <f>IF(ISERROR('raw data'!EL51/'raw data'!EM51),0,'raw data'!EL51/'raw data'!EM51)</f>
        <v>0</v>
      </c>
      <c r="BV50" s="253">
        <f>IF(ISERROR('raw data'!EN51/'raw data'!EO51),0,'raw data'!EN51/'raw data'!EO51)</f>
        <v>0</v>
      </c>
      <c r="BW50" s="253">
        <f>IF(ISERROR('raw data'!EP51/'raw data'!EQ51),0,'raw data'!EP51/'raw data'!EQ51)</f>
        <v>0</v>
      </c>
      <c r="BX50" s="253">
        <f>IF(ISERROR('raw data'!ER51/'raw data'!ES51),0,'raw data'!ER51/'raw data'!ES51)</f>
        <v>0.125</v>
      </c>
      <c r="BY50" s="253">
        <f>IF(ISERROR('raw data'!ET51/'raw data'!EU51),0,'raw data'!ET51/'raw data'!EU51)</f>
        <v>0</v>
      </c>
      <c r="BZ50" s="238" t="s">
        <v>30</v>
      </c>
      <c r="CA50" s="238" t="s">
        <v>30</v>
      </c>
      <c r="CB50" s="238" t="s">
        <v>30</v>
      </c>
      <c r="CC50" s="232" t="s">
        <v>243</v>
      </c>
      <c r="CD50" s="232" t="s">
        <v>243</v>
      </c>
      <c r="CE50" s="232" t="s">
        <v>243</v>
      </c>
      <c r="CF50" s="232" t="s">
        <v>243</v>
      </c>
      <c r="CG50" s="232" t="s">
        <v>243</v>
      </c>
      <c r="CH50" s="232" t="s">
        <v>243</v>
      </c>
      <c r="CI50" s="232" t="s">
        <v>243</v>
      </c>
      <c r="CJ50" s="232" t="s">
        <v>243</v>
      </c>
      <c r="CK50" s="232" t="s">
        <v>243</v>
      </c>
      <c r="CL50" s="232" t="s">
        <v>243</v>
      </c>
      <c r="CM50" s="232" t="s">
        <v>243</v>
      </c>
      <c r="CN50" s="232" t="s">
        <v>243</v>
      </c>
      <c r="CO50" s="232" t="s">
        <v>243</v>
      </c>
      <c r="CP50" s="232" t="s">
        <v>243</v>
      </c>
      <c r="CQ50" s="232" t="s">
        <v>243</v>
      </c>
      <c r="CR50" s="232" t="s">
        <v>243</v>
      </c>
      <c r="CS50" s="232" t="s">
        <v>243</v>
      </c>
      <c r="CT50" s="232" t="s">
        <v>243</v>
      </c>
      <c r="CU50" s="232" t="s">
        <v>243</v>
      </c>
      <c r="CV50" s="232" t="s">
        <v>243</v>
      </c>
      <c r="CW50" s="232" t="s">
        <v>243</v>
      </c>
      <c r="CX50" s="232" t="s">
        <v>243</v>
      </c>
      <c r="CY50" s="232" t="s">
        <v>243</v>
      </c>
      <c r="CZ50" s="232" t="s">
        <v>243</v>
      </c>
      <c r="DA50" s="232" t="s">
        <v>243</v>
      </c>
      <c r="DB50" s="232" t="s">
        <v>243</v>
      </c>
      <c r="DC50" s="232" t="s">
        <v>243</v>
      </c>
      <c r="DD50" s="232" t="s">
        <v>243</v>
      </c>
      <c r="DE50" s="232" t="s">
        <v>243</v>
      </c>
      <c r="DF50" s="232" t="s">
        <v>243</v>
      </c>
      <c r="DG50" s="232" t="s">
        <v>243</v>
      </c>
      <c r="DH50" s="232" t="s">
        <v>243</v>
      </c>
      <c r="DI50" s="232" t="s">
        <v>243</v>
      </c>
      <c r="DJ50" s="232" t="s">
        <v>243</v>
      </c>
      <c r="DK50" s="232" t="s">
        <v>243</v>
      </c>
      <c r="DL50" s="232" t="s">
        <v>243</v>
      </c>
      <c r="DM50" s="232" t="s">
        <v>243</v>
      </c>
      <c r="DN50" s="232" t="s">
        <v>243</v>
      </c>
      <c r="DO50" s="232" t="s">
        <v>243</v>
      </c>
      <c r="DP50" s="232" t="s">
        <v>243</v>
      </c>
      <c r="DQ50" s="232" t="s">
        <v>243</v>
      </c>
      <c r="DR50" s="232" t="s">
        <v>243</v>
      </c>
      <c r="DS50" s="232" t="s">
        <v>243</v>
      </c>
      <c r="DT50" s="232" t="s">
        <v>243</v>
      </c>
      <c r="DU50" s="232" t="s">
        <v>243</v>
      </c>
      <c r="DV50" s="232" t="s">
        <v>243</v>
      </c>
      <c r="DW50" s="232" t="s">
        <v>243</v>
      </c>
      <c r="DX50" s="232" t="s">
        <v>243</v>
      </c>
      <c r="DY50" s="232" t="s">
        <v>243</v>
      </c>
      <c r="DZ50" s="232" t="s">
        <v>243</v>
      </c>
      <c r="EA50" s="232" t="s">
        <v>243</v>
      </c>
      <c r="EB50" s="232" t="s">
        <v>243</v>
      </c>
      <c r="EC50" s="232" t="s">
        <v>243</v>
      </c>
      <c r="ED50" s="226"/>
      <c r="EE50" s="255">
        <v>0</v>
      </c>
      <c r="EF50" s="255">
        <v>0</v>
      </c>
      <c r="EG50" s="256">
        <f t="shared" si="0"/>
        <v>0</v>
      </c>
    </row>
    <row r="51" spans="1:137" ht="14" hidden="1" x14ac:dyDescent="0.15">
      <c r="A51" s="250">
        <v>3.8</v>
      </c>
      <c r="B51" s="251">
        <f>'raw data'!B52</f>
        <v>0</v>
      </c>
      <c r="C51" s="252" t="s">
        <v>249</v>
      </c>
      <c r="D51" s="235"/>
      <c r="E51" s="235"/>
      <c r="F51" s="235"/>
      <c r="G51" s="235"/>
      <c r="H51" s="253">
        <f>'raw data'!L52/'raw data'!M52</f>
        <v>0</v>
      </c>
      <c r="I51" s="253">
        <f>'raw data'!N52/'raw data'!O52</f>
        <v>0</v>
      </c>
      <c r="J51" s="253">
        <v>0</v>
      </c>
      <c r="K51" s="253">
        <v>0</v>
      </c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235">
        <f>IF(ISERROR('raw data'!CX52/'raw data'!CY52),0,'raw data'!CX52/'raw data'!CY52)</f>
        <v>0</v>
      </c>
      <c r="BB51" s="235">
        <f>IF(ISERROR('raw data'!CZ52/'raw data'!DA52),0,'raw data'!CZ52/'raw data'!DA52)</f>
        <v>0</v>
      </c>
      <c r="BC51" s="235">
        <f>IF(ISERROR('raw data'!DB52/'raw data'!DC52),0,'raw data'!DB52/'raw data'!DC52)</f>
        <v>0</v>
      </c>
      <c r="BD51" s="235">
        <v>0</v>
      </c>
      <c r="BE51" s="235">
        <f>IF(ISERROR('raw data'!DF52/'raw data'!DG52),0,'raw data'!DF52/'raw data'!DG52)</f>
        <v>0</v>
      </c>
      <c r="BF51" s="235">
        <f>IF(ISERROR('raw data'!DH52/'raw data'!DI52),0,'raw data'!DH52/'raw data'!DI52)</f>
        <v>0</v>
      </c>
      <c r="BG51" s="235">
        <f>IF(ISERROR('raw data'!DJ52/'raw data'!DK52),0,'raw data'!DJ52/'raw data'!DK52)</f>
        <v>0</v>
      </c>
      <c r="BH51" s="235">
        <f>IF(ISERROR('raw data'!DL52/'raw data'!DM52),0,'raw data'!DL52/'raw data'!DM52)</f>
        <v>0</v>
      </c>
      <c r="BI51" s="235">
        <f>IF(ISERROR('raw data'!DN52/'raw data'!DO52),0,'raw data'!DN52/'raw data'!DO52)</f>
        <v>0</v>
      </c>
      <c r="BJ51" s="235">
        <f>IF(ISERROR('raw data'!DP52/'raw data'!DQ52),0,'raw data'!DP52/'raw data'!DQ52)</f>
        <v>0</v>
      </c>
      <c r="BK51" s="235">
        <f>IF(ISERROR('raw data'!DR52/'raw data'!DS52),0,'raw data'!DR52/'raw data'!DS52)</f>
        <v>0</v>
      </c>
      <c r="BL51" s="235">
        <f>IF(ISERROR('raw data'!DT52/'raw data'!DU52),0,'raw data'!DT52/'raw data'!DU52)</f>
        <v>0</v>
      </c>
      <c r="BM51" s="235">
        <f>IF(ISERROR('raw data'!DV52/'raw data'!DW52),0,'raw data'!DV52/'raw data'!DW52)</f>
        <v>0</v>
      </c>
      <c r="BN51" s="235">
        <f>IF(ISERROR('raw data'!DX52/'raw data'!DY52),0,'raw data'!DX52/'raw data'!DY52)</f>
        <v>0</v>
      </c>
      <c r="BO51" s="235">
        <f>IF(ISERROR('raw data'!DZ52/'raw data'!EA52),0,'raw data'!DZ52/'raw data'!EA52)</f>
        <v>0</v>
      </c>
      <c r="BP51" s="235">
        <f>IF(ISERROR('raw data'!EB52/'raw data'!EC52),0,'raw data'!EB52/'raw data'!EC52)</f>
        <v>0</v>
      </c>
      <c r="BQ51" s="235">
        <f>IF(ISERROR('raw data'!ED52/'raw data'!EE52),0,'raw data'!ED52/'raw data'!EE52)</f>
        <v>0</v>
      </c>
      <c r="BR51" s="235">
        <f>IF(ISERROR('raw data'!EF52/'raw data'!EG52),0,'raw data'!EF52/'raw data'!EG52)</f>
        <v>0</v>
      </c>
      <c r="BS51" s="235">
        <f>IF(ISERROR('raw data'!EH52/'raw data'!EI52),0,'raw data'!EH52/'raw data'!EI52)</f>
        <v>0</v>
      </c>
      <c r="BT51" s="235">
        <f>IF(ISERROR('raw data'!EJ52/'raw data'!EK52),0,'raw data'!EJ52/'raw data'!EK52)</f>
        <v>0</v>
      </c>
      <c r="BU51" s="235">
        <f>IF(ISERROR('raw data'!EL52/'raw data'!EM52),0,'raw data'!EL52/'raw data'!EM52)</f>
        <v>0</v>
      </c>
      <c r="BV51" s="235">
        <f>IF(ISERROR('raw data'!EN52/'raw data'!EO52),0,'raw data'!EN52/'raw data'!EO52)</f>
        <v>0</v>
      </c>
      <c r="BW51" s="235">
        <f>IF(ISERROR('raw data'!EP52/'raw data'!EQ52),0,'raw data'!EP52/'raw data'!EQ52)</f>
        <v>0</v>
      </c>
      <c r="BX51" s="235">
        <f>IF(ISERROR('raw data'!ER52/'raw data'!ES52),0,'raw data'!ER52/'raw data'!ES52)</f>
        <v>0</v>
      </c>
      <c r="BY51" s="235">
        <f>IF(ISERROR('raw data'!ET52/'raw data'!EU52),0,'raw data'!ET52/'raw data'!EU52)</f>
        <v>0</v>
      </c>
      <c r="BZ51" s="235">
        <f>IF(ISERROR('raw data'!EV52/'raw data'!EW52),0,'raw data'!EV52/'raw data'!EW52)</f>
        <v>0</v>
      </c>
      <c r="CA51" s="235">
        <f>IF(ISERROR('raw data'!EX52/'raw data'!EY52),0,'raw data'!EX52/'raw data'!EY52)</f>
        <v>0</v>
      </c>
      <c r="CB51" s="235">
        <f>IF(ISERROR('raw data'!EZ52/'raw data'!FA52),0,'raw data'!EZ52/'raw data'!FA52)</f>
        <v>0</v>
      </c>
      <c r="CC51" s="232" t="s">
        <v>243</v>
      </c>
      <c r="CD51" s="232" t="s">
        <v>243</v>
      </c>
      <c r="CE51" s="232" t="s">
        <v>243</v>
      </c>
      <c r="CF51" s="232" t="s">
        <v>243</v>
      </c>
      <c r="CG51" s="232" t="s">
        <v>243</v>
      </c>
      <c r="CH51" s="232" t="s">
        <v>243</v>
      </c>
      <c r="CI51" s="232" t="s">
        <v>243</v>
      </c>
      <c r="CJ51" s="232" t="s">
        <v>243</v>
      </c>
      <c r="CK51" s="232" t="s">
        <v>243</v>
      </c>
      <c r="CL51" s="232" t="s">
        <v>243</v>
      </c>
      <c r="CM51" s="232" t="s">
        <v>243</v>
      </c>
      <c r="CN51" s="232" t="s">
        <v>243</v>
      </c>
      <c r="CO51" s="232" t="s">
        <v>243</v>
      </c>
      <c r="CP51" s="232" t="s">
        <v>243</v>
      </c>
      <c r="CQ51" s="232" t="s">
        <v>243</v>
      </c>
      <c r="CR51" s="232" t="s">
        <v>243</v>
      </c>
      <c r="CS51" s="232" t="s">
        <v>243</v>
      </c>
      <c r="CT51" s="232" t="s">
        <v>243</v>
      </c>
      <c r="CU51" s="232" t="s">
        <v>243</v>
      </c>
      <c r="CV51" s="232" t="s">
        <v>243</v>
      </c>
      <c r="CW51" s="232" t="s">
        <v>243</v>
      </c>
      <c r="CX51" s="232" t="s">
        <v>243</v>
      </c>
      <c r="CY51" s="232" t="s">
        <v>243</v>
      </c>
      <c r="CZ51" s="232" t="s">
        <v>243</v>
      </c>
      <c r="DA51" s="232" t="s">
        <v>243</v>
      </c>
      <c r="DB51" s="232" t="s">
        <v>243</v>
      </c>
      <c r="DC51" s="232" t="s">
        <v>243</v>
      </c>
      <c r="DD51" s="232" t="s">
        <v>243</v>
      </c>
      <c r="DE51" s="232" t="s">
        <v>243</v>
      </c>
      <c r="DF51" s="232" t="s">
        <v>243</v>
      </c>
      <c r="DG51" s="232" t="s">
        <v>243</v>
      </c>
      <c r="DH51" s="232" t="s">
        <v>243</v>
      </c>
      <c r="DI51" s="232" t="s">
        <v>243</v>
      </c>
      <c r="DJ51" s="232" t="s">
        <v>243</v>
      </c>
      <c r="DK51" s="232" t="s">
        <v>243</v>
      </c>
      <c r="DL51" s="232" t="s">
        <v>243</v>
      </c>
      <c r="DM51" s="232" t="s">
        <v>243</v>
      </c>
      <c r="DN51" s="232" t="s">
        <v>243</v>
      </c>
      <c r="DO51" s="232" t="s">
        <v>243</v>
      </c>
      <c r="DP51" s="232" t="s">
        <v>243</v>
      </c>
      <c r="DQ51" s="232" t="s">
        <v>243</v>
      </c>
      <c r="DR51" s="232" t="s">
        <v>243</v>
      </c>
      <c r="DS51" s="232" t="s">
        <v>243</v>
      </c>
      <c r="DT51" s="232" t="s">
        <v>243</v>
      </c>
      <c r="DU51" s="232" t="s">
        <v>243</v>
      </c>
      <c r="DV51" s="232" t="s">
        <v>243</v>
      </c>
      <c r="DW51" s="232" t="s">
        <v>243</v>
      </c>
      <c r="DX51" s="232" t="s">
        <v>243</v>
      </c>
      <c r="DY51" s="232" t="s">
        <v>243</v>
      </c>
      <c r="DZ51" s="232" t="s">
        <v>243</v>
      </c>
      <c r="EA51" s="232" t="s">
        <v>243</v>
      </c>
      <c r="EB51" s="232" t="s">
        <v>243</v>
      </c>
      <c r="EC51" s="232" t="s">
        <v>243</v>
      </c>
      <c r="ED51" s="226"/>
      <c r="EE51" s="255">
        <v>0</v>
      </c>
      <c r="EF51" s="255">
        <v>0</v>
      </c>
      <c r="EG51" s="256">
        <f t="shared" si="0"/>
        <v>0</v>
      </c>
    </row>
    <row r="52" spans="1:137" ht="28" x14ac:dyDescent="0.15">
      <c r="A52" s="250">
        <v>3.9</v>
      </c>
      <c r="B52" s="251" t="str">
        <f>'raw data'!B53</f>
        <v>An overpayment incurring an early redemption fee on a mortgage &lt;= 12 months old.</v>
      </c>
      <c r="C52" s="252" t="s">
        <v>91</v>
      </c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53">
        <f>IF(ISERROR('raw data'!AH53/'raw data'!AI53),0,'raw data'!AH53/'raw data'!AI53)</f>
        <v>1.7857142857142856E-2</v>
      </c>
      <c r="T52" s="253">
        <f>IF(ISERROR('raw data'!AJ53/'raw data'!AK53),0,'raw data'!AJ53/'raw data'!AK53)</f>
        <v>0</v>
      </c>
      <c r="U52" s="253">
        <f>IF(ISERROR('raw data'!AL53/'raw data'!AM53),0,'raw data'!AL53/'raw data'!AM53)</f>
        <v>0</v>
      </c>
      <c r="V52" s="253">
        <f>IF(ISERROR('raw data'!AN53/'raw data'!AO53),0,'raw data'!AN53/'raw data'!AO53)</f>
        <v>4.5454545454545456E-2</v>
      </c>
      <c r="W52" s="253">
        <f>IF(ISERROR('raw data'!AP53/'raw data'!AQ53),0,'raw data'!AP53/'raw data'!AQ53)</f>
        <v>0</v>
      </c>
      <c r="X52" s="253">
        <f>IF(ISERROR('raw data'!AR53/'raw data'!AS53),0,'raw data'!AR53/'raw data'!AS53)</f>
        <v>0</v>
      </c>
      <c r="Y52" s="253">
        <f>IF(ISERROR('raw data'!AT53/'raw data'!AU53),0,'raw data'!AT53/'raw data'!AU53)</f>
        <v>0</v>
      </c>
      <c r="Z52" s="253">
        <f>IF(ISERROR('raw data'!AV53/'raw data'!AW53),0,'raw data'!AV53/'raw data'!AW53)</f>
        <v>0</v>
      </c>
      <c r="AA52" s="253">
        <f>IF(ISERROR('raw data'!AX53/'raw data'!AY53),0,'raw data'!AX53/'raw data'!AY53)</f>
        <v>0</v>
      </c>
      <c r="AB52" s="253">
        <f>IF(ISERROR('raw data'!AZ53/'raw data'!BA53),0,'raw data'!AZ53/'raw data'!BA53)</f>
        <v>0</v>
      </c>
      <c r="AC52" s="253">
        <f>IF(ISERROR('raw data'!BB53/'raw data'!BC53),0,'raw data'!BB53/'raw data'!BC53)</f>
        <v>0</v>
      </c>
      <c r="AD52" s="253">
        <f>IF(ISERROR('raw data'!BD53/'raw data'!BE53),0,'raw data'!BD53/'raw data'!BE53)</f>
        <v>0</v>
      </c>
      <c r="AE52" s="253">
        <f>IF(ISERROR('raw data'!BF53/'raw data'!BG53),0,'raw data'!BF53/'raw data'!BG53)</f>
        <v>0</v>
      </c>
      <c r="AF52" s="254">
        <f>IF(ISERROR('raw data'!BH53/'raw data'!BI53),0,'raw data'!BH53/'raw data'!BI53)</f>
        <v>0</v>
      </c>
      <c r="AG52" s="253">
        <f>IF(ISERROR('raw data'!BJ53/'raw data'!BK53),0,'raw data'!BJ53/'raw data'!BK53)</f>
        <v>0</v>
      </c>
      <c r="AH52" s="253">
        <f>IF(ISERROR('raw data'!BL53/'raw data'!BM53),0,'raw data'!BL53/'raw data'!BM53)</f>
        <v>0</v>
      </c>
      <c r="AI52" s="253">
        <f>IF(ISERROR('raw data'!BN53/'raw data'!BO53),0,'raw data'!BN53/'raw data'!BO53)</f>
        <v>0</v>
      </c>
      <c r="AJ52" s="253">
        <f>IF(ISERROR('raw data'!BP53/'raw data'!BQ53),0,'raw data'!BP53/'raw data'!BQ53)</f>
        <v>0</v>
      </c>
      <c r="AK52" s="253">
        <f>IF(ISERROR('raw data'!BR53/'raw data'!BS53),0,'raw data'!BR53/'raw data'!BS53)</f>
        <v>0</v>
      </c>
      <c r="AL52" s="253">
        <f>IF(ISERROR('raw data'!BT53/'raw data'!BU53),0,'raw data'!BT53/'raw data'!BU53)</f>
        <v>0</v>
      </c>
      <c r="AM52" s="253">
        <f>IF(ISERROR('raw data'!BV53/'raw data'!BW53),0,'raw data'!BV53/'raw data'!BW53)</f>
        <v>0</v>
      </c>
      <c r="AN52" s="253">
        <f>IF(ISERROR('raw data'!BX53/'raw data'!BY53),0,'raw data'!BX53/'raw data'!BY53)</f>
        <v>0</v>
      </c>
      <c r="AO52" s="253">
        <f>IF(ISERROR('raw data'!BZ53/'raw data'!CA53),0,'raw data'!BZ53/'raw data'!CA53)</f>
        <v>0</v>
      </c>
      <c r="AP52" s="253">
        <f>IF(ISERROR('raw data'!CB53/'raw data'!CC53),0,'raw data'!CB53/'raw data'!CC53)</f>
        <v>0</v>
      </c>
      <c r="AQ52" s="253">
        <f>IF(ISERROR('raw data'!CD53/'raw data'!CE53),0,'raw data'!CD53/'raw data'!CE53)</f>
        <v>0</v>
      </c>
      <c r="AR52" s="253">
        <f>IF(ISERROR('raw data'!CF53/'raw data'!CG53),0,'raw data'!CF53/'raw data'!CG53)</f>
        <v>0</v>
      </c>
      <c r="AS52" s="253">
        <f>IF(ISERROR('raw data'!CH53/'raw data'!CI53),0,'raw data'!CH53/'raw data'!CI53)</f>
        <v>0</v>
      </c>
      <c r="AT52" s="253">
        <f>IF(ISERROR('raw data'!CJ53/'raw data'!CK53),0,'raw data'!CJ53/'raw data'!CK53)</f>
        <v>0</v>
      </c>
      <c r="AU52" s="253">
        <f>IF(ISERROR('raw data'!CL53/'raw data'!CM53),0,'raw data'!CL53/'raw data'!CM53)</f>
        <v>0</v>
      </c>
      <c r="AV52" s="253">
        <f>IF(ISERROR('raw data'!CN53/'raw data'!CO53),0,'raw data'!CN53/'raw data'!CO53)</f>
        <v>0</v>
      </c>
      <c r="AW52" s="253">
        <f>IF(ISERROR('raw data'!CP53/'raw data'!CQ53),0,'raw data'!CP53/'raw data'!CQ53)</f>
        <v>0</v>
      </c>
      <c r="AX52" s="253">
        <f>IF(ISERROR('raw data'!CR53/'raw data'!CS53),0,'raw data'!CR53/'raw data'!CS53)</f>
        <v>0</v>
      </c>
      <c r="AY52" s="253">
        <f>IF(ISERROR('raw data'!CT53/'raw data'!CU53),0,'raw data'!CT53/'raw data'!CU53)</f>
        <v>0</v>
      </c>
      <c r="AZ52" s="253">
        <f>IF(ISERROR('raw data'!CV53/'raw data'!CW53),0,'raw data'!CV53/'raw data'!CW53)</f>
        <v>0</v>
      </c>
      <c r="BA52" s="253">
        <f>IF(ISERROR('raw data'!CX53/'raw data'!CY53),0,'raw data'!CX53/'raw data'!CY53)</f>
        <v>0</v>
      </c>
      <c r="BB52" s="253">
        <f>IF(ISERROR('raw data'!CZ53/'raw data'!DA53),0,'raw data'!CZ53/'raw data'!DA53)</f>
        <v>0</v>
      </c>
      <c r="BC52" s="253">
        <f>IF(ISERROR('raw data'!DB53/'raw data'!DC53),0,'raw data'!DB53/'raw data'!DC53)</f>
        <v>0</v>
      </c>
      <c r="BD52" s="253">
        <v>0</v>
      </c>
      <c r="BE52" s="253">
        <f>IF(ISERROR('raw data'!DF53/'raw data'!DG53),0,'raw data'!DF53/'raw data'!DG53)</f>
        <v>0</v>
      </c>
      <c r="BF52" s="253">
        <f>IF(ISERROR('raw data'!DH53/'raw data'!DI53),0,'raw data'!DH53/'raw data'!DI53)</f>
        <v>0</v>
      </c>
      <c r="BG52" s="253">
        <f>IF(ISERROR('raw data'!DJ53/'raw data'!DK53),0,'raw data'!DJ53/'raw data'!DK53)</f>
        <v>0</v>
      </c>
      <c r="BH52" s="253">
        <f>IF(ISERROR('raw data'!DL53/'raw data'!DM53),0,'raw data'!DL53/'raw data'!DM53)</f>
        <v>0</v>
      </c>
      <c r="BI52" s="253">
        <f>IF(ISERROR('raw data'!DN53/'raw data'!DO53),0,'raw data'!DN53/'raw data'!DO53)</f>
        <v>0</v>
      </c>
      <c r="BJ52" s="253">
        <f>IF(ISERROR('raw data'!DP53/'raw data'!DQ53),0,'raw data'!DP53/'raw data'!DQ53)</f>
        <v>0</v>
      </c>
      <c r="BK52" s="253">
        <f>IF(ISERROR('raw data'!DR53/'raw data'!DS53),0,'raw data'!DR53/'raw data'!DS53)</f>
        <v>0</v>
      </c>
      <c r="BL52" s="253">
        <f>IF(ISERROR('raw data'!DT53/'raw data'!DU53),0,'raw data'!DT53/'raw data'!DU53)</f>
        <v>0</v>
      </c>
      <c r="BM52" s="253">
        <f>IF(ISERROR('raw data'!DV53/'raw data'!DW53),0,'raw data'!DV53/'raw data'!DW53)</f>
        <v>0</v>
      </c>
      <c r="BN52" s="253">
        <f>IF(ISERROR('raw data'!DX53/'raw data'!DY53),0,'raw data'!DX53/'raw data'!DY53)</f>
        <v>0</v>
      </c>
      <c r="BO52" s="253">
        <f>IF(ISERROR('raw data'!DZ53/'raw data'!EA53),0,'raw data'!DZ53/'raw data'!EA53)</f>
        <v>0</v>
      </c>
      <c r="BP52" s="253">
        <f>IF(ISERROR('raw data'!EB53/'raw data'!EC53),0,'raw data'!EB53/'raw data'!EC53)</f>
        <v>0</v>
      </c>
      <c r="BQ52" s="253">
        <f>IF(ISERROR('raw data'!ED53/'raw data'!EE53),0,'raw data'!ED53/'raw data'!EE53)</f>
        <v>0</v>
      </c>
      <c r="BR52" s="253">
        <f>IF(ISERROR('raw data'!EF53/'raw data'!EG53),0,'raw data'!EF53/'raw data'!EG53)</f>
        <v>0</v>
      </c>
      <c r="BS52" s="253">
        <f>IF(ISERROR('raw data'!EH53/'raw data'!EI53),0,'raw data'!EH53/'raw data'!EI53)</f>
        <v>0</v>
      </c>
      <c r="BT52" s="253">
        <f>IF(ISERROR('raw data'!EJ53/'raw data'!EK53),0,'raw data'!EJ53/'raw data'!EK53)</f>
        <v>0</v>
      </c>
      <c r="BU52" s="253">
        <f>IF(ISERROR('raw data'!EL53/'raw data'!EM53),0,'raw data'!EL53/'raw data'!EM53)</f>
        <v>0</v>
      </c>
      <c r="BV52" s="253">
        <f>IF(ISERROR('raw data'!EN53/'raw data'!EO53),0,'raw data'!EN53/'raw data'!EO53)</f>
        <v>0</v>
      </c>
      <c r="BW52" s="253">
        <f>IF(ISERROR('raw data'!EP53/'raw data'!EQ53),0,'raw data'!EP53/'raw data'!EQ53)</f>
        <v>0</v>
      </c>
      <c r="BX52" s="253">
        <f>IF(ISERROR('raw data'!ER53/'raw data'!ES53),0,'raw data'!ER53/'raw data'!ES53)</f>
        <v>0</v>
      </c>
      <c r="BY52" s="253">
        <f>IF(ISERROR('raw data'!ET53/'raw data'!EU53),0,'raw data'!ET53/'raw data'!EU53)</f>
        <v>0</v>
      </c>
      <c r="BZ52" s="238" t="s">
        <v>30</v>
      </c>
      <c r="CA52" s="238" t="s">
        <v>30</v>
      </c>
      <c r="CB52" s="238" t="s">
        <v>30</v>
      </c>
      <c r="CC52" s="232" t="s">
        <v>243</v>
      </c>
      <c r="CD52" s="232" t="s">
        <v>243</v>
      </c>
      <c r="CE52" s="232" t="s">
        <v>243</v>
      </c>
      <c r="CF52" s="232" t="s">
        <v>243</v>
      </c>
      <c r="CG52" s="232" t="s">
        <v>243</v>
      </c>
      <c r="CH52" s="232" t="s">
        <v>243</v>
      </c>
      <c r="CI52" s="232" t="s">
        <v>243</v>
      </c>
      <c r="CJ52" s="232" t="s">
        <v>243</v>
      </c>
      <c r="CK52" s="232" t="s">
        <v>243</v>
      </c>
      <c r="CL52" s="232" t="s">
        <v>243</v>
      </c>
      <c r="CM52" s="232" t="s">
        <v>243</v>
      </c>
      <c r="CN52" s="232" t="s">
        <v>243</v>
      </c>
      <c r="CO52" s="232" t="s">
        <v>243</v>
      </c>
      <c r="CP52" s="232" t="s">
        <v>243</v>
      </c>
      <c r="CQ52" s="232" t="s">
        <v>243</v>
      </c>
      <c r="CR52" s="232" t="s">
        <v>243</v>
      </c>
      <c r="CS52" s="232" t="s">
        <v>243</v>
      </c>
      <c r="CT52" s="232" t="s">
        <v>243</v>
      </c>
      <c r="CU52" s="232" t="s">
        <v>243</v>
      </c>
      <c r="CV52" s="232" t="s">
        <v>243</v>
      </c>
      <c r="CW52" s="232" t="s">
        <v>243</v>
      </c>
      <c r="CX52" s="232" t="s">
        <v>243</v>
      </c>
      <c r="CY52" s="232" t="s">
        <v>243</v>
      </c>
      <c r="CZ52" s="232" t="s">
        <v>243</v>
      </c>
      <c r="DA52" s="232" t="s">
        <v>243</v>
      </c>
      <c r="DB52" s="232" t="s">
        <v>243</v>
      </c>
      <c r="DC52" s="232" t="s">
        <v>243</v>
      </c>
      <c r="DD52" s="232" t="s">
        <v>243</v>
      </c>
      <c r="DE52" s="232" t="s">
        <v>243</v>
      </c>
      <c r="DF52" s="232" t="s">
        <v>243</v>
      </c>
      <c r="DG52" s="232" t="s">
        <v>243</v>
      </c>
      <c r="DH52" s="232" t="s">
        <v>243</v>
      </c>
      <c r="DI52" s="232" t="s">
        <v>243</v>
      </c>
      <c r="DJ52" s="232" t="s">
        <v>243</v>
      </c>
      <c r="DK52" s="232" t="s">
        <v>243</v>
      </c>
      <c r="DL52" s="232" t="s">
        <v>243</v>
      </c>
      <c r="DM52" s="232" t="s">
        <v>243</v>
      </c>
      <c r="DN52" s="232" t="s">
        <v>243</v>
      </c>
      <c r="DO52" s="232" t="s">
        <v>243</v>
      </c>
      <c r="DP52" s="232" t="s">
        <v>243</v>
      </c>
      <c r="DQ52" s="232" t="s">
        <v>243</v>
      </c>
      <c r="DR52" s="232" t="s">
        <v>243</v>
      </c>
      <c r="DS52" s="232" t="s">
        <v>243</v>
      </c>
      <c r="DT52" s="232" t="s">
        <v>243</v>
      </c>
      <c r="DU52" s="232" t="s">
        <v>243</v>
      </c>
      <c r="DV52" s="232" t="s">
        <v>243</v>
      </c>
      <c r="DW52" s="232" t="s">
        <v>243</v>
      </c>
      <c r="DX52" s="232" t="s">
        <v>243</v>
      </c>
      <c r="DY52" s="232" t="s">
        <v>243</v>
      </c>
      <c r="DZ52" s="232" t="s">
        <v>243</v>
      </c>
      <c r="EA52" s="232" t="s">
        <v>243</v>
      </c>
      <c r="EB52" s="232" t="s">
        <v>243</v>
      </c>
      <c r="EC52" s="232" t="s">
        <v>243</v>
      </c>
      <c r="ED52" s="226"/>
      <c r="EE52" s="255">
        <v>0</v>
      </c>
      <c r="EF52" s="255">
        <v>0</v>
      </c>
      <c r="EG52" s="256">
        <f t="shared" si="0"/>
        <v>0</v>
      </c>
    </row>
    <row r="53" spans="1:137" ht="28" x14ac:dyDescent="0.15">
      <c r="A53" s="257" t="s">
        <v>92</v>
      </c>
      <c r="B53" s="251" t="str">
        <f>'raw data'!B54</f>
        <v>Mortgage accounts receiving 6 or more electronic payments last month.</v>
      </c>
      <c r="C53" s="258" t="s">
        <v>94</v>
      </c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54">
        <f>IF(ISERROR('raw data'!BH54/'raw data'!BI54),0,'raw data'!BH54/'raw data'!BI54)</f>
        <v>0</v>
      </c>
      <c r="AG53" s="253">
        <f>IF(ISERROR('raw data'!BJ54/'raw data'!BK54),0,'raw data'!BJ54/'raw data'!BK54)</f>
        <v>0</v>
      </c>
      <c r="AH53" s="253">
        <f>IF(ISERROR('raw data'!BL54/'raw data'!BM54),0,'raw data'!BL54/'raw data'!BM54)</f>
        <v>0.2</v>
      </c>
      <c r="AI53" s="253">
        <f>IF(ISERROR('raw data'!BN54/'raw data'!BO54),0,'raw data'!BN54/'raw data'!BO54)</f>
        <v>0</v>
      </c>
      <c r="AJ53" s="253">
        <f>IF(ISERROR('raw data'!BP54/'raw data'!BQ54),0,'raw data'!BP54/'raw data'!BQ54)</f>
        <v>0</v>
      </c>
      <c r="AK53" s="253">
        <f>IF(ISERROR('raw data'!BR54/'raw data'!BS54),0,'raw data'!BR54/'raw data'!BS54)</f>
        <v>0</v>
      </c>
      <c r="AL53" s="253">
        <f>IF(ISERROR('raw data'!BT54/'raw data'!BU54),0,'raw data'!BT54/'raw data'!BU54)</f>
        <v>0</v>
      </c>
      <c r="AM53" s="253">
        <f>IF(ISERROR('raw data'!BV54/'raw data'!BW54),0,'raw data'!BV54/'raw data'!BW54)</f>
        <v>0</v>
      </c>
      <c r="AN53" s="253">
        <f>IF(ISERROR('raw data'!BX54/'raw data'!BY54),0,'raw data'!BX54/'raw data'!BY54)</f>
        <v>0</v>
      </c>
      <c r="AO53" s="253">
        <f>IF(ISERROR('raw data'!BZ54/'raw data'!CA54),0,'raw data'!BZ54/'raw data'!CA54)</f>
        <v>0</v>
      </c>
      <c r="AP53" s="253">
        <f>IF(ISERROR('raw data'!CB54/'raw data'!CC54),0,'raw data'!CB54/'raw data'!CC54)</f>
        <v>0</v>
      </c>
      <c r="AQ53" s="253">
        <f>IF(ISERROR('raw data'!CD54/'raw data'!CE54),0,'raw data'!CD54/'raw data'!CE54)</f>
        <v>0</v>
      </c>
      <c r="AR53" s="253">
        <f>IF(ISERROR('raw data'!CF54/'raw data'!CG54),0,'raw data'!CF54/'raw data'!CG54)</f>
        <v>0</v>
      </c>
      <c r="AS53" s="253">
        <f>IF(ISERROR('raw data'!CH54/'raw data'!CI54),0,'raw data'!CH54/'raw data'!CI54)</f>
        <v>0</v>
      </c>
      <c r="AT53" s="253">
        <f>IF(ISERROR('raw data'!CJ54/'raw data'!CK54),0,'raw data'!CJ54/'raw data'!CK54)</f>
        <v>0</v>
      </c>
      <c r="AU53" s="253">
        <f>IF(ISERROR('raw data'!CL54/'raw data'!CM54),0,'raw data'!CL54/'raw data'!CM54)</f>
        <v>0</v>
      </c>
      <c r="AV53" s="253">
        <f>IF(ISERROR('raw data'!CN54/'raw data'!CO54),0,'raw data'!CN54/'raw data'!CO54)</f>
        <v>0</v>
      </c>
      <c r="AW53" s="253">
        <f>IF(ISERROR('raw data'!CP54/'raw data'!CQ54),0,'raw data'!CP54/'raw data'!CQ54)</f>
        <v>0</v>
      </c>
      <c r="AX53" s="253">
        <f>IF(ISERROR('raw data'!CR54/'raw data'!CS54),0,'raw data'!CR54/'raw data'!CS54)</f>
        <v>0</v>
      </c>
      <c r="AY53" s="253">
        <f>IF(ISERROR('raw data'!CT54/'raw data'!CU54),0,'raw data'!CT54/'raw data'!CU54)</f>
        <v>0</v>
      </c>
      <c r="AZ53" s="253">
        <f>IF(ISERROR('raw data'!CV54/'raw data'!CW54),0,'raw data'!CV54/'raw data'!CW54)</f>
        <v>0</v>
      </c>
      <c r="BA53" s="253">
        <f>IF(ISERROR('raw data'!CX54/'raw data'!CY54),0,'raw data'!CX54/'raw data'!CY54)</f>
        <v>0</v>
      </c>
      <c r="BB53" s="253">
        <f>IF(ISERROR('raw data'!CZ54/'raw data'!DA54),0,'raw data'!CZ54/'raw data'!DA54)</f>
        <v>0</v>
      </c>
      <c r="BC53" s="253">
        <f>IF(ISERROR('raw data'!DB54/'raw data'!DC54),0,'raw data'!DB54/'raw data'!DC54)</f>
        <v>0.5</v>
      </c>
      <c r="BD53" s="253">
        <v>0</v>
      </c>
      <c r="BE53" s="253">
        <f>IF(ISERROR('raw data'!DF54/'raw data'!DG54),0,'raw data'!DF54/'raw data'!DG54)</f>
        <v>0</v>
      </c>
      <c r="BF53" s="253">
        <f>IF(ISERROR('raw data'!DH54/'raw data'!DI54),0,'raw data'!DH54/'raw data'!DI54)</f>
        <v>0</v>
      </c>
      <c r="BG53" s="253">
        <f>IF(ISERROR('raw data'!DJ54/'raw data'!DK54),0,'raw data'!DJ54/'raw data'!DK54)</f>
        <v>0</v>
      </c>
      <c r="BH53" s="253">
        <f>IF(ISERROR('raw data'!DL54/'raw data'!DM54),0,'raw data'!DL54/'raw data'!DM54)</f>
        <v>0</v>
      </c>
      <c r="BI53" s="253">
        <f>IF(ISERROR('raw data'!DN54/'raw data'!DO54),0,'raw data'!DN54/'raw data'!DO54)</f>
        <v>0</v>
      </c>
      <c r="BJ53" s="253">
        <f>IF(ISERROR('raw data'!DP54/'raw data'!DQ54),0,'raw data'!DP54/'raw data'!DQ54)</f>
        <v>0</v>
      </c>
      <c r="BK53" s="253">
        <f>IF(ISERROR('raw data'!DR54/'raw data'!DS54),0,'raw data'!DR54/'raw data'!DS54)</f>
        <v>0</v>
      </c>
      <c r="BL53" s="253">
        <f>IF(ISERROR('raw data'!DT54/'raw data'!DU54),0,'raw data'!DT54/'raw data'!DU54)</f>
        <v>0</v>
      </c>
      <c r="BM53" s="253">
        <f>IF(ISERROR('raw data'!DV54/'raw data'!DW54),0,'raw data'!DV54/'raw data'!DW54)</f>
        <v>0</v>
      </c>
      <c r="BN53" s="253">
        <f>IF(ISERROR('raw data'!DX54/'raw data'!DY54),0,'raw data'!DX54/'raw data'!DY54)</f>
        <v>0</v>
      </c>
      <c r="BO53" s="253">
        <f>IF(ISERROR('raw data'!DZ54/'raw data'!EA54),0,'raw data'!DZ54/'raw data'!EA54)</f>
        <v>0</v>
      </c>
      <c r="BP53" s="253">
        <f>IF(ISERROR('raw data'!EB54/'raw data'!EC54),0,'raw data'!EB54/'raw data'!EC54)</f>
        <v>0</v>
      </c>
      <c r="BQ53" s="253">
        <f>IF(ISERROR('raw data'!ED54/'raw data'!EE54),0,'raw data'!ED54/'raw data'!EE54)</f>
        <v>0</v>
      </c>
      <c r="BR53" s="253">
        <f>IF(ISERROR('raw data'!EF54/'raw data'!EG54),0,'raw data'!EF54/'raw data'!EG54)</f>
        <v>0</v>
      </c>
      <c r="BS53" s="253">
        <f>IF(ISERROR('raw data'!EH54/'raw data'!EI54),0,'raw data'!EH54/'raw data'!EI54)</f>
        <v>0</v>
      </c>
      <c r="BT53" s="253">
        <f>IF(ISERROR('raw data'!EJ54/'raw data'!EK54),0,'raw data'!EJ54/'raw data'!EK54)</f>
        <v>0</v>
      </c>
      <c r="BU53" s="253">
        <f>IF(ISERROR('raw data'!EL54/'raw data'!EM54),0,'raw data'!EL54/'raw data'!EM54)</f>
        <v>0</v>
      </c>
      <c r="BV53" s="253">
        <f>IF(ISERROR('raw data'!EN54/'raw data'!EO54),0,'raw data'!EN54/'raw data'!EO54)</f>
        <v>0</v>
      </c>
      <c r="BW53" s="253">
        <f>IF(ISERROR('raw data'!EP54/'raw data'!EQ54),0,'raw data'!EP54/'raw data'!EQ54)</f>
        <v>0</v>
      </c>
      <c r="BX53" s="253">
        <f>IF(ISERROR('raw data'!ER54/'raw data'!ES54),0,'raw data'!ER54/'raw data'!ES54)</f>
        <v>0</v>
      </c>
      <c r="BY53" s="253">
        <f>IF(ISERROR('raw data'!ET54/'raw data'!EU54),0,'raw data'!ET54/'raw data'!EU54)</f>
        <v>0</v>
      </c>
      <c r="BZ53" s="232" t="s">
        <v>243</v>
      </c>
      <c r="CA53" s="232" t="s">
        <v>243</v>
      </c>
      <c r="CB53" s="232" t="s">
        <v>243</v>
      </c>
      <c r="CC53" s="232" t="s">
        <v>243</v>
      </c>
      <c r="CD53" s="232" t="s">
        <v>243</v>
      </c>
      <c r="CE53" s="232" t="s">
        <v>243</v>
      </c>
      <c r="CF53" s="232" t="s">
        <v>243</v>
      </c>
      <c r="CG53" s="232" t="s">
        <v>243</v>
      </c>
      <c r="CH53" s="232" t="s">
        <v>243</v>
      </c>
      <c r="CI53" s="232" t="s">
        <v>243</v>
      </c>
      <c r="CJ53" s="232" t="s">
        <v>243</v>
      </c>
      <c r="CK53" s="232" t="s">
        <v>243</v>
      </c>
      <c r="CL53" s="232" t="s">
        <v>243</v>
      </c>
      <c r="CM53" s="232" t="s">
        <v>243</v>
      </c>
      <c r="CN53" s="232" t="s">
        <v>243</v>
      </c>
      <c r="CO53" s="232" t="s">
        <v>243</v>
      </c>
      <c r="CP53" s="232" t="s">
        <v>243</v>
      </c>
      <c r="CQ53" s="232" t="s">
        <v>243</v>
      </c>
      <c r="CR53" s="232" t="s">
        <v>243</v>
      </c>
      <c r="CS53" s="232" t="s">
        <v>243</v>
      </c>
      <c r="CT53" s="232" t="s">
        <v>243</v>
      </c>
      <c r="CU53" s="232" t="s">
        <v>243</v>
      </c>
      <c r="CV53" s="232" t="s">
        <v>243</v>
      </c>
      <c r="CW53" s="232" t="s">
        <v>243</v>
      </c>
      <c r="CX53" s="232" t="s">
        <v>243</v>
      </c>
      <c r="CY53" s="232" t="s">
        <v>243</v>
      </c>
      <c r="CZ53" s="232" t="s">
        <v>243</v>
      </c>
      <c r="DA53" s="232" t="s">
        <v>243</v>
      </c>
      <c r="DB53" s="232" t="s">
        <v>243</v>
      </c>
      <c r="DC53" s="232" t="s">
        <v>243</v>
      </c>
      <c r="DD53" s="232" t="s">
        <v>243</v>
      </c>
      <c r="DE53" s="232" t="s">
        <v>243</v>
      </c>
      <c r="DF53" s="232" t="s">
        <v>243</v>
      </c>
      <c r="DG53" s="232" t="s">
        <v>243</v>
      </c>
      <c r="DH53" s="232" t="s">
        <v>243</v>
      </c>
      <c r="DI53" s="232" t="s">
        <v>243</v>
      </c>
      <c r="DJ53" s="232" t="s">
        <v>243</v>
      </c>
      <c r="DK53" s="232" t="s">
        <v>243</v>
      </c>
      <c r="DL53" s="232" t="s">
        <v>243</v>
      </c>
      <c r="DM53" s="232" t="s">
        <v>243</v>
      </c>
      <c r="DN53" s="232" t="s">
        <v>243</v>
      </c>
      <c r="DO53" s="232" t="s">
        <v>243</v>
      </c>
      <c r="DP53" s="232" t="s">
        <v>243</v>
      </c>
      <c r="DQ53" s="232" t="s">
        <v>243</v>
      </c>
      <c r="DR53" s="232" t="s">
        <v>243</v>
      </c>
      <c r="DS53" s="232" t="s">
        <v>243</v>
      </c>
      <c r="DT53" s="232" t="s">
        <v>243</v>
      </c>
      <c r="DU53" s="232" t="s">
        <v>243</v>
      </c>
      <c r="DV53" s="232" t="s">
        <v>243</v>
      </c>
      <c r="DW53" s="232" t="s">
        <v>243</v>
      </c>
      <c r="DX53" s="232" t="s">
        <v>243</v>
      </c>
      <c r="DY53" s="232" t="s">
        <v>243</v>
      </c>
      <c r="DZ53" s="232" t="s">
        <v>243</v>
      </c>
      <c r="EA53" s="232" t="s">
        <v>243</v>
      </c>
      <c r="EB53" s="232" t="s">
        <v>243</v>
      </c>
      <c r="EC53" s="232" t="s">
        <v>243</v>
      </c>
      <c r="ED53" s="226"/>
      <c r="EE53" s="255">
        <v>0</v>
      </c>
      <c r="EF53" s="255">
        <v>0</v>
      </c>
      <c r="EG53" s="256">
        <f t="shared" si="0"/>
        <v>0</v>
      </c>
    </row>
    <row r="54" spans="1:137" ht="28" x14ac:dyDescent="0.15">
      <c r="A54" s="250">
        <v>3.11</v>
      </c>
      <c r="B54" s="251" t="str">
        <f>'raw data'!B55</f>
        <v>Accounts receiving 2 or more chaps payments (one at least £1k) last month.</v>
      </c>
      <c r="C54" s="258" t="s">
        <v>96</v>
      </c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54">
        <f>IF(ISERROR('raw data'!BH55/'raw data'!BI55),0,'raw data'!BH55/'raw data'!BI55)</f>
        <v>0</v>
      </c>
      <c r="AG54" s="253">
        <f>IF(ISERROR('raw data'!BJ55/'raw data'!BK55),0,'raw data'!BJ55/'raw data'!BK55)</f>
        <v>0</v>
      </c>
      <c r="AH54" s="253">
        <f>IF(ISERROR('raw data'!BL55/'raw data'!BM55),0,'raw data'!BL55/'raw data'!BM55)</f>
        <v>0</v>
      </c>
      <c r="AI54" s="253">
        <f>IF(ISERROR('raw data'!BN55/'raw data'!BO55),0,'raw data'!BN55/'raw data'!BO55)</f>
        <v>4.3478260869565216E-2</v>
      </c>
      <c r="AJ54" s="253">
        <f>IF(ISERROR('raw data'!BP55/'raw data'!BQ55),0,'raw data'!BP55/'raw data'!BQ55)</f>
        <v>0</v>
      </c>
      <c r="AK54" s="253">
        <f>IF(ISERROR('raw data'!BR55/'raw data'!BS55),0,'raw data'!BR55/'raw data'!BS55)</f>
        <v>0</v>
      </c>
      <c r="AL54" s="253">
        <f>IF(ISERROR('raw data'!BT55/'raw data'!BU55),0,'raw data'!BT55/'raw data'!BU55)</f>
        <v>7.6923076923076927E-2</v>
      </c>
      <c r="AM54" s="253">
        <f>IF(ISERROR('raw data'!BV55/'raw data'!BW55),0,'raw data'!BV55/'raw data'!BW55)</f>
        <v>7.6923076923076927E-2</v>
      </c>
      <c r="AN54" s="253">
        <f>IF(ISERROR('raw data'!BX55/'raw data'!BY55),0,'raw data'!BX55/'raw data'!BY55)</f>
        <v>0</v>
      </c>
      <c r="AO54" s="253">
        <f>IF(ISERROR('raw data'!BZ55/'raw data'!CA55),0,'raw data'!BZ55/'raw data'!CA55)</f>
        <v>0</v>
      </c>
      <c r="AP54" s="253">
        <f>IF(ISERROR('raw data'!CB55/'raw data'!CC55),0,'raw data'!CB55/'raw data'!CC55)</f>
        <v>0</v>
      </c>
      <c r="AQ54" s="253">
        <f>IF(ISERROR('raw data'!CD55/'raw data'!CE55),0,'raw data'!CD55/'raw data'!CE55)</f>
        <v>0</v>
      </c>
      <c r="AR54" s="253">
        <f>IF(ISERROR('raw data'!CF55/'raw data'!CG55),0,'raw data'!CF55/'raw data'!CG55)</f>
        <v>0</v>
      </c>
      <c r="AS54" s="253">
        <f>IF(ISERROR('raw data'!CH55/'raw data'!CI55),0,'raw data'!CH55/'raw data'!CI55)</f>
        <v>0</v>
      </c>
      <c r="AT54" s="253">
        <f>IF(ISERROR('raw data'!CJ55/'raw data'!CK55),0,'raw data'!CJ55/'raw data'!CK55)</f>
        <v>0</v>
      </c>
      <c r="AU54" s="253">
        <f>IF(ISERROR('raw data'!CL55/'raw data'!CM55),0,'raw data'!CL55/'raw data'!CM55)</f>
        <v>0</v>
      </c>
      <c r="AV54" s="253">
        <f>IF(ISERROR('raw data'!CN55/'raw data'!CO55),0,'raw data'!CN55/'raw data'!CO55)</f>
        <v>0</v>
      </c>
      <c r="AW54" s="253">
        <f>IF(ISERROR('raw data'!CP55/'raw data'!CQ55),0,'raw data'!CP55/'raw data'!CQ55)</f>
        <v>0</v>
      </c>
      <c r="AX54" s="253">
        <f>IF(ISERROR('raw data'!CR55/'raw data'!CS55),0,'raw data'!CR55/'raw data'!CS55)</f>
        <v>0</v>
      </c>
      <c r="AY54" s="253">
        <f>IF(ISERROR('raw data'!CT55/'raw data'!CU55),0,'raw data'!CT55/'raw data'!CU55)</f>
        <v>0</v>
      </c>
      <c r="AZ54" s="253">
        <f>IF(ISERROR('raw data'!CV55/'raw data'!CW55),0,'raw data'!CV55/'raw data'!CW55)</f>
        <v>0</v>
      </c>
      <c r="BA54" s="253">
        <f>IF(ISERROR('raw data'!CX55/'raw data'!CY55),0,'raw data'!CX55/'raw data'!CY55)</f>
        <v>0</v>
      </c>
      <c r="BB54" s="253">
        <f>IF(ISERROR('raw data'!CZ55/'raw data'!DA55),0,'raw data'!CZ55/'raw data'!DA55)</f>
        <v>0</v>
      </c>
      <c r="BC54" s="253">
        <f>IF(ISERROR('raw data'!DB55/'raw data'!DC55),0,'raw data'!DB55/'raw data'!DC55)</f>
        <v>7.1428571428571425E-2</v>
      </c>
      <c r="BD54" s="253">
        <v>0</v>
      </c>
      <c r="BE54" s="253">
        <f>IF(ISERROR('raw data'!DF55/'raw data'!DG55),0,'raw data'!DF55/'raw data'!DG55)</f>
        <v>0</v>
      </c>
      <c r="BF54" s="253">
        <f>IF(ISERROR('raw data'!DH55/'raw data'!DI55),0,'raw data'!DH55/'raw data'!DI55)</f>
        <v>0</v>
      </c>
      <c r="BG54" s="253">
        <f>IF(ISERROR('raw data'!DJ55/'raw data'!DK55),0,'raw data'!DJ55/'raw data'!DK55)</f>
        <v>0</v>
      </c>
      <c r="BH54" s="253">
        <f>IF(ISERROR('raw data'!DL55/'raw data'!DM55),0,'raw data'!DL55/'raw data'!DM55)</f>
        <v>0</v>
      </c>
      <c r="BI54" s="253">
        <f>IF(ISERROR('raw data'!DN55/'raw data'!DO55),0,'raw data'!DN55/'raw data'!DO55)</f>
        <v>0</v>
      </c>
      <c r="BJ54" s="253">
        <f>IF(ISERROR('raw data'!DP55/'raw data'!DQ55),0,'raw data'!DP55/'raw data'!DQ55)</f>
        <v>0</v>
      </c>
      <c r="BK54" s="253">
        <f>IF(ISERROR('raw data'!DR55/'raw data'!DS55),0,'raw data'!DR55/'raw data'!DS55)</f>
        <v>0</v>
      </c>
      <c r="BL54" s="253">
        <f>IF(ISERROR('raw data'!DT55/'raw data'!DU55),0,'raw data'!DT55/'raw data'!DU55)</f>
        <v>5.2631578947368418E-2</v>
      </c>
      <c r="BM54" s="253">
        <f>IF(ISERROR('raw data'!DV55/'raw data'!DW55),0,'raw data'!DV55/'raw data'!DW55)</f>
        <v>0</v>
      </c>
      <c r="BN54" s="253">
        <f>IF(ISERROR('raw data'!DX55/'raw data'!DY55),0,'raw data'!DX55/'raw data'!DY55)</f>
        <v>0</v>
      </c>
      <c r="BO54" s="253">
        <f>IF(ISERROR('raw data'!DZ55/'raw data'!EA55),0,'raw data'!DZ55/'raw data'!EA55)</f>
        <v>0</v>
      </c>
      <c r="BP54" s="253">
        <f>IF(ISERROR('raw data'!EB55/'raw data'!EC55),0,'raw data'!EB55/'raw data'!EC55)</f>
        <v>0</v>
      </c>
      <c r="BQ54" s="253">
        <f>IF(ISERROR('raw data'!ED55/'raw data'!EE55),0,'raw data'!ED55/'raw data'!EE55)</f>
        <v>0</v>
      </c>
      <c r="BR54" s="253">
        <f>IF(ISERROR('raw data'!EF55/'raw data'!EG55),0,'raw data'!EF55/'raw data'!EG55)</f>
        <v>0</v>
      </c>
      <c r="BS54" s="253">
        <f>IF(ISERROR('raw data'!EH55/'raw data'!EI55),0,'raw data'!EH55/'raw data'!EI55)</f>
        <v>0</v>
      </c>
      <c r="BT54" s="253">
        <f>IF(ISERROR('raw data'!EJ55/'raw data'!EK55),0,'raw data'!EJ55/'raw data'!EK55)</f>
        <v>0</v>
      </c>
      <c r="BU54" s="253">
        <f>IF(ISERROR('raw data'!EL55/'raw data'!EM55),0,'raw data'!EL55/'raw data'!EM55)</f>
        <v>0</v>
      </c>
      <c r="BV54" s="253">
        <f>IF(ISERROR('raw data'!EN55/'raw data'!EO55),0,'raw data'!EN55/'raw data'!EO55)</f>
        <v>0</v>
      </c>
      <c r="BW54" s="253">
        <f>IF(ISERROR('raw data'!EP55/'raw data'!EQ55),0,'raw data'!EP55/'raw data'!EQ55)</f>
        <v>0</v>
      </c>
      <c r="BX54" s="253">
        <f>IF(ISERROR('raw data'!ER55/'raw data'!ES55),0,'raw data'!ER55/'raw data'!ES55)</f>
        <v>0</v>
      </c>
      <c r="BY54" s="232" t="s">
        <v>243</v>
      </c>
      <c r="BZ54" s="232" t="s">
        <v>243</v>
      </c>
      <c r="CA54" s="232" t="s">
        <v>243</v>
      </c>
      <c r="CB54" s="232" t="s">
        <v>243</v>
      </c>
      <c r="CC54" s="232" t="s">
        <v>243</v>
      </c>
      <c r="CD54" s="232" t="s">
        <v>243</v>
      </c>
      <c r="CE54" s="232" t="s">
        <v>243</v>
      </c>
      <c r="CF54" s="232" t="s">
        <v>243</v>
      </c>
      <c r="CG54" s="232" t="s">
        <v>243</v>
      </c>
      <c r="CH54" s="232" t="s">
        <v>243</v>
      </c>
      <c r="CI54" s="232" t="s">
        <v>243</v>
      </c>
      <c r="CJ54" s="232" t="s">
        <v>243</v>
      </c>
      <c r="CK54" s="232" t="s">
        <v>243</v>
      </c>
      <c r="CL54" s="232" t="s">
        <v>243</v>
      </c>
      <c r="CM54" s="232" t="s">
        <v>243</v>
      </c>
      <c r="CN54" s="232" t="s">
        <v>243</v>
      </c>
      <c r="CO54" s="232" t="s">
        <v>243</v>
      </c>
      <c r="CP54" s="232" t="s">
        <v>243</v>
      </c>
      <c r="CQ54" s="232" t="s">
        <v>243</v>
      </c>
      <c r="CR54" s="232" t="s">
        <v>243</v>
      </c>
      <c r="CS54" s="232" t="s">
        <v>243</v>
      </c>
      <c r="CT54" s="232" t="s">
        <v>243</v>
      </c>
      <c r="CU54" s="232" t="s">
        <v>243</v>
      </c>
      <c r="CV54" s="232" t="s">
        <v>243</v>
      </c>
      <c r="CW54" s="232" t="s">
        <v>243</v>
      </c>
      <c r="CX54" s="232" t="s">
        <v>243</v>
      </c>
      <c r="CY54" s="232" t="s">
        <v>243</v>
      </c>
      <c r="CZ54" s="232" t="s">
        <v>243</v>
      </c>
      <c r="DA54" s="232" t="s">
        <v>243</v>
      </c>
      <c r="DB54" s="232" t="s">
        <v>243</v>
      </c>
      <c r="DC54" s="232" t="s">
        <v>243</v>
      </c>
      <c r="DD54" s="232" t="s">
        <v>243</v>
      </c>
      <c r="DE54" s="232" t="s">
        <v>243</v>
      </c>
      <c r="DF54" s="232" t="s">
        <v>243</v>
      </c>
      <c r="DG54" s="232" t="s">
        <v>243</v>
      </c>
      <c r="DH54" s="232" t="s">
        <v>243</v>
      </c>
      <c r="DI54" s="232" t="s">
        <v>243</v>
      </c>
      <c r="DJ54" s="232" t="s">
        <v>243</v>
      </c>
      <c r="DK54" s="232" t="s">
        <v>243</v>
      </c>
      <c r="DL54" s="232" t="s">
        <v>243</v>
      </c>
      <c r="DM54" s="232" t="s">
        <v>243</v>
      </c>
      <c r="DN54" s="232" t="s">
        <v>243</v>
      </c>
      <c r="DO54" s="232" t="s">
        <v>243</v>
      </c>
      <c r="DP54" s="232" t="s">
        <v>243</v>
      </c>
      <c r="DQ54" s="232" t="s">
        <v>243</v>
      </c>
      <c r="DR54" s="232" t="s">
        <v>243</v>
      </c>
      <c r="DS54" s="232" t="s">
        <v>243</v>
      </c>
      <c r="DT54" s="232" t="s">
        <v>243</v>
      </c>
      <c r="DU54" s="232" t="s">
        <v>243</v>
      </c>
      <c r="DV54" s="232" t="s">
        <v>243</v>
      </c>
      <c r="DW54" s="232" t="s">
        <v>243</v>
      </c>
      <c r="DX54" s="232" t="s">
        <v>243</v>
      </c>
      <c r="DY54" s="232" t="s">
        <v>243</v>
      </c>
      <c r="DZ54" s="232" t="s">
        <v>243</v>
      </c>
      <c r="EA54" s="232" t="s">
        <v>243</v>
      </c>
      <c r="EB54" s="232" t="s">
        <v>243</v>
      </c>
      <c r="EC54" s="232" t="s">
        <v>243</v>
      </c>
      <c r="ED54" s="226"/>
      <c r="EE54" s="255">
        <v>0</v>
      </c>
      <c r="EF54" s="255">
        <v>0</v>
      </c>
      <c r="EG54" s="256">
        <f t="shared" si="0"/>
        <v>0</v>
      </c>
    </row>
    <row r="55" spans="1:137" ht="25.5" customHeight="1" x14ac:dyDescent="0.15">
      <c r="A55" s="250">
        <v>3.12</v>
      </c>
      <c r="B55" s="251" t="str">
        <f>'raw data'!B56</f>
        <v>Mortgage redeemed within 12 months of inception</v>
      </c>
      <c r="C55" s="258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54"/>
      <c r="AG55" s="253"/>
      <c r="AH55" s="253"/>
      <c r="AI55" s="253"/>
      <c r="AJ55" s="253"/>
      <c r="AK55" s="253"/>
      <c r="AL55" s="253"/>
      <c r="AM55" s="253"/>
      <c r="AN55" s="253"/>
      <c r="AO55" s="253"/>
      <c r="AP55" s="253"/>
      <c r="AQ55" s="253"/>
      <c r="AR55" s="253"/>
      <c r="AS55" s="253"/>
      <c r="AT55" s="253"/>
      <c r="AU55" s="253"/>
      <c r="AV55" s="253"/>
      <c r="AW55" s="253"/>
      <c r="AX55" s="253"/>
      <c r="AY55" s="253"/>
      <c r="AZ55" s="253"/>
      <c r="BA55" s="253"/>
      <c r="BB55" s="253"/>
      <c r="BC55" s="253"/>
      <c r="BD55" s="253"/>
      <c r="BE55" s="253"/>
      <c r="BF55" s="253"/>
      <c r="BG55" s="253"/>
      <c r="BH55" s="253"/>
      <c r="BI55" s="253"/>
      <c r="BJ55" s="253"/>
      <c r="BK55" s="253"/>
      <c r="BL55" s="253"/>
      <c r="BM55" s="253"/>
      <c r="BN55" s="253"/>
      <c r="BO55" s="253"/>
      <c r="BP55" s="253"/>
      <c r="BQ55" s="253"/>
      <c r="BR55" s="253"/>
      <c r="BS55" s="253"/>
      <c r="BT55" s="253"/>
      <c r="BU55" s="253"/>
      <c r="BV55" s="253"/>
      <c r="BW55" s="253"/>
      <c r="BX55" s="253"/>
      <c r="BY55" s="232"/>
      <c r="BZ55" s="232"/>
      <c r="CA55" s="232"/>
      <c r="CB55" s="232"/>
      <c r="CC55" s="232"/>
      <c r="CD55" s="232"/>
      <c r="CE55" s="232"/>
      <c r="CF55" s="232"/>
      <c r="CG55" s="232"/>
      <c r="CH55" s="232"/>
      <c r="CI55" s="253">
        <f>IF(ISERROR('raw data'!FP56/'raw data'!FQ56),0,'raw data'!FP56/'raw data'!FQ56)</f>
        <v>0</v>
      </c>
      <c r="CJ55" s="253">
        <f>IF(ISERROR('raw data'!FR56/'raw data'!FS56),0,'raw data'!FR56/'raw data'!FS56)</f>
        <v>0</v>
      </c>
      <c r="CK55" s="253">
        <f>IF(ISERROR('raw data'!FT56/'raw data'!FU56),0,'raw data'!FT56/'raw data'!FU56)</f>
        <v>0</v>
      </c>
      <c r="CL55" s="253">
        <f>IF(ISERROR('raw data'!FV56/'raw data'!FW56),0,'raw data'!FV56/'raw data'!FW56)</f>
        <v>0</v>
      </c>
      <c r="CM55" s="253">
        <f>IF(ISERROR('raw data'!FX56/'raw data'!FY56),0,'raw data'!FX56/'raw data'!FY56)</f>
        <v>0</v>
      </c>
      <c r="CN55" s="253">
        <f>IF(ISERROR('raw data'!FZ56/'raw data'!GA56),0,'raw data'!FZ56/'raw data'!GA56)</f>
        <v>0</v>
      </c>
      <c r="CO55" s="253">
        <f>IF(ISERROR('raw data'!GB56/'raw data'!GC56),0,'raw data'!GB56/'raw data'!GC56)</f>
        <v>0</v>
      </c>
      <c r="CP55" s="253">
        <f>IF(ISERROR('raw data'!GD56/'raw data'!GE56),0,'raw data'!GD56/'raw data'!GE56)</f>
        <v>0</v>
      </c>
      <c r="CQ55" s="253">
        <f>IF(ISERROR('raw data'!GF56/'raw data'!GG56),0,'raw data'!GF56/'raw data'!GG56)</f>
        <v>0</v>
      </c>
      <c r="CR55" s="253">
        <f>IF(ISERROR('raw data'!GH56/'raw data'!GI56),0,'raw data'!GH56/'raw data'!GI56)</f>
        <v>0</v>
      </c>
      <c r="CS55" s="253">
        <f>IF(ISERROR('raw data'!GJ56/'raw data'!GK56),0,'raw data'!GJ56/'raw data'!GK56)</f>
        <v>0</v>
      </c>
      <c r="CT55" s="253">
        <f>IF(ISERROR('raw data'!GL56/'raw data'!GM56),0,'raw data'!GL56/'raw data'!GM56)</f>
        <v>0</v>
      </c>
      <c r="CU55" s="253">
        <f>IF(ISERROR('raw data'!GN56/'raw data'!GO56),0,'raw data'!GN56/'raw data'!GO56)</f>
        <v>0</v>
      </c>
      <c r="CV55" s="253">
        <f>IF(ISERROR('raw data'!GP56/'raw data'!GQ56),0,'raw data'!GP56/'raw data'!GQ56)</f>
        <v>0</v>
      </c>
      <c r="CW55" s="253">
        <f>IF(ISERROR('raw data'!GR56/'raw data'!GS56),0,'raw data'!GR56/'raw data'!GS56)</f>
        <v>0</v>
      </c>
      <c r="CX55" s="253">
        <f>IF(ISERROR('raw data'!GT56/'raw data'!GU56),0,'raw data'!GT56/'raw data'!GU56)</f>
        <v>0.5</v>
      </c>
      <c r="CY55" s="253">
        <f>IF(ISERROR('raw data'!GV56/'raw data'!GW56),0,'raw data'!GV56/'raw data'!GW56)</f>
        <v>0</v>
      </c>
      <c r="CZ55" s="253">
        <f>IF(ISERROR('raw data'!GX56/'raw data'!GY56),0,'raw data'!GX56/'raw data'!GY56)</f>
        <v>0.25</v>
      </c>
      <c r="DA55" s="253">
        <f>IF(ISERROR('raw data'!GZ56/'raw data'!HA56),0,'raw data'!GZ56/'raw data'!HA56)</f>
        <v>0</v>
      </c>
      <c r="DB55" s="253">
        <f>IF(ISERROR('raw data'!HB56/'raw data'!HC56),0,'raw data'!HB56/'raw data'!HC56)</f>
        <v>0</v>
      </c>
      <c r="DC55" s="253">
        <f>IF(ISERROR('raw data'!HD56/'raw data'!HE56),0,'raw data'!HD56/'raw data'!HE56)</f>
        <v>0</v>
      </c>
      <c r="DD55" s="253">
        <f>IF(ISERROR('raw data'!HF56/'raw data'!HG56),0,'raw data'!HF56/'raw data'!HG56)</f>
        <v>0</v>
      </c>
      <c r="DE55" s="253">
        <f>IF(ISERROR('raw data'!HH56/'raw data'!HI56),0,'raw data'!HH56/'raw data'!HI56)</f>
        <v>0</v>
      </c>
      <c r="DF55" s="253">
        <f>IF(ISERROR('raw data'!HJ56/'raw data'!HK56),0,'raw data'!HJ56/'raw data'!HK56)</f>
        <v>0</v>
      </c>
      <c r="DG55" s="253">
        <f>IF(ISERROR('raw data'!HL56/'raw data'!HM56),0,'raw data'!HL56/'raw data'!HM56)</f>
        <v>0</v>
      </c>
      <c r="DH55" s="253">
        <f>IF(ISERROR('raw data'!HN56/'raw data'!HO56),0,'raw data'!HN56/'raw data'!HO56)</f>
        <v>0</v>
      </c>
      <c r="DI55" s="253">
        <f>IF(ISERROR('raw data'!HP56/'raw data'!HQ56),0,'raw data'!HP56/'raw data'!HQ56)</f>
        <v>0</v>
      </c>
      <c r="DJ55" s="253">
        <f>IF(ISERROR('raw data'!HR56/'raw data'!HS56),0,'raw data'!HR56/'raw data'!HS56)</f>
        <v>0</v>
      </c>
      <c r="DK55" s="253">
        <f>IF(ISERROR('raw data'!HT56/'raw data'!HU56),0,'raw data'!HT56/'raw data'!HU56)</f>
        <v>0</v>
      </c>
      <c r="DL55" s="253">
        <f>IF(ISERROR('raw data'!HV56/'raw data'!HW56),0,'raw data'!HV56/'raw data'!HW56)</f>
        <v>0</v>
      </c>
      <c r="DM55" s="253">
        <f>IF(ISERROR('raw data'!HX56/'raw data'!HY56),0,'raw data'!HX56/'raw data'!HY56)</f>
        <v>0</v>
      </c>
      <c r="DN55" s="253">
        <f>IF(ISERROR('raw data'!HZ56/'raw data'!IA56),0,'raw data'!HZ56/'raw data'!IA56)</f>
        <v>0</v>
      </c>
      <c r="DO55" s="253">
        <f>IF(ISERROR('raw data'!IB56/'raw data'!IC56),0,'raw data'!IB56/'raw data'!IC56)</f>
        <v>0</v>
      </c>
      <c r="DP55" s="253">
        <f>IF(ISERROR('raw data'!ID56/'raw data'!IE56),0,'raw data'!ID56/'raw data'!IE56)</f>
        <v>0</v>
      </c>
      <c r="DQ55" s="253">
        <f>IF(ISERROR('raw data'!IF56/'raw data'!IG56),0,'raw data'!IF56/'raw data'!IG56)</f>
        <v>0</v>
      </c>
      <c r="DR55" s="253">
        <f>IF(ISERROR('raw data'!IH56/'raw data'!II56),0,'raw data'!IH56/'raw data'!II56)</f>
        <v>0</v>
      </c>
      <c r="DS55" s="253">
        <f>IF(ISERROR('raw data'!IJ56/'raw data'!IK56),0,'raw data'!IJ56/'raw data'!IK56)</f>
        <v>0</v>
      </c>
      <c r="DT55" s="253">
        <f>IF(ISERROR('raw data'!IL56/'raw data'!IM56),0,'raw data'!IL56/'raw data'!IM56)</f>
        <v>0</v>
      </c>
      <c r="DU55" s="253">
        <f>IF(ISERROR('raw data'!IN56/'raw data'!IO56),0,'raw data'!IN56/'raw data'!IO56)</f>
        <v>0</v>
      </c>
      <c r="DV55" s="253">
        <f>IF(ISERROR('raw data'!IP56/'raw data'!IQ56),0,'raw data'!IP56/'raw data'!IQ56)</f>
        <v>0</v>
      </c>
      <c r="DW55" s="253">
        <f>IF(ISERROR('raw data'!IR56/'raw data'!IS56),0,'raw data'!IR56/'raw data'!IS56)</f>
        <v>0</v>
      </c>
      <c r="DX55" s="253">
        <f>IF(ISERROR('raw data'!IT56/'raw data'!IU56),0,'raw data'!IT56/'raw data'!IU56)</f>
        <v>0</v>
      </c>
      <c r="DY55" s="253">
        <f>IF(ISERROR('raw data'!IV56/'raw data'!IW56),0,'raw data'!IV56/'raw data'!IW56)</f>
        <v>0</v>
      </c>
      <c r="DZ55" s="253">
        <f>IF(ISERROR('raw data'!IX56/'raw data'!IY56),0,'raw data'!IX56/'raw data'!IY56)</f>
        <v>0</v>
      </c>
      <c r="EA55" s="253">
        <f>IF(ISERROR('raw data'!IZ56/'raw data'!JA56),0,'raw data'!IZ56/'raw data'!JA56)</f>
        <v>0</v>
      </c>
      <c r="EB55" s="253">
        <f>IF(ISERROR('raw data'!JB56/'raw data'!JC56),0,'raw data'!JB56/'raw data'!JC56)</f>
        <v>0</v>
      </c>
      <c r="EC55" s="253">
        <f>IF(ISERROR('raw data'!JD56/'raw data'!JE56),0,'raw data'!JD56/'raw data'!JE56)</f>
        <v>0</v>
      </c>
      <c r="ED55" s="226"/>
      <c r="EE55" s="255">
        <v>0</v>
      </c>
      <c r="EF55" s="255">
        <v>61</v>
      </c>
      <c r="EG55" s="256">
        <f>IF(ISERROR(EE55/EF55),0,EE55/EF55)</f>
        <v>0</v>
      </c>
    </row>
    <row r="56" spans="1:137" ht="28" x14ac:dyDescent="0.15">
      <c r="A56" s="250">
        <v>3.13</v>
      </c>
      <c r="B56" s="251" t="str">
        <f>'raw data'!B57</f>
        <v>Prime Mortgage with a one off overpayment more than 10% (which is not then redeemed in the same month)</v>
      </c>
      <c r="C56" s="258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  <c r="AD56" s="235"/>
      <c r="AE56" s="235"/>
      <c r="AF56" s="254"/>
      <c r="AG56" s="253"/>
      <c r="AH56" s="253"/>
      <c r="AI56" s="253"/>
      <c r="AJ56" s="253"/>
      <c r="AK56" s="253"/>
      <c r="AL56" s="253"/>
      <c r="AM56" s="253"/>
      <c r="AN56" s="253"/>
      <c r="AO56" s="253"/>
      <c r="AP56" s="253"/>
      <c r="AQ56" s="253"/>
      <c r="AR56" s="253"/>
      <c r="AS56" s="253"/>
      <c r="AT56" s="253"/>
      <c r="AU56" s="253"/>
      <c r="AV56" s="253"/>
      <c r="AW56" s="253"/>
      <c r="AX56" s="253"/>
      <c r="AY56" s="253"/>
      <c r="AZ56" s="253"/>
      <c r="BA56" s="253"/>
      <c r="BB56" s="253"/>
      <c r="BC56" s="253"/>
      <c r="BD56" s="253"/>
      <c r="BE56" s="253"/>
      <c r="BF56" s="253"/>
      <c r="BG56" s="253"/>
      <c r="BH56" s="253"/>
      <c r="BI56" s="253"/>
      <c r="BJ56" s="253"/>
      <c r="BK56" s="253"/>
      <c r="BL56" s="253"/>
      <c r="BM56" s="253"/>
      <c r="BN56" s="253"/>
      <c r="BO56" s="253"/>
      <c r="BP56" s="253"/>
      <c r="BQ56" s="253"/>
      <c r="BR56" s="253"/>
      <c r="BS56" s="253"/>
      <c r="BT56" s="253"/>
      <c r="BU56" s="253"/>
      <c r="BV56" s="253"/>
      <c r="BW56" s="253"/>
      <c r="BX56" s="253"/>
      <c r="BY56" s="232"/>
      <c r="BZ56" s="232"/>
      <c r="CA56" s="232"/>
      <c r="CB56" s="232"/>
      <c r="CC56" s="232"/>
      <c r="CD56" s="232"/>
      <c r="CE56" s="232"/>
      <c r="CF56" s="232"/>
      <c r="CG56" s="232"/>
      <c r="CH56" s="232"/>
      <c r="CI56" s="253">
        <f>IF(ISERROR('raw data'!FP57/'raw data'!FQ57),0,'raw data'!FP57/'raw data'!FQ57)</f>
        <v>0.18181818181818182</v>
      </c>
      <c r="CJ56" s="253">
        <f>IF(ISERROR('raw data'!FR57/'raw data'!FS57),0,'raw data'!FR57/'raw data'!FS57)</f>
        <v>0.17948717948717949</v>
      </c>
      <c r="CK56" s="253">
        <f>IF(ISERROR('raw data'!FT57/'raw data'!FU57),0,'raw data'!FT57/'raw data'!FU57)</f>
        <v>0.18</v>
      </c>
      <c r="CL56" s="253">
        <f>IF(ISERROR('raw data'!FV57/'raw data'!FW57),0,'raw data'!FV57/'raw data'!FW57)</f>
        <v>6.9767441860465115E-2</v>
      </c>
      <c r="CM56" s="253">
        <f>IF(ISERROR('raw data'!FX57/'raw data'!FY57),0,'raw data'!FX57/'raw data'!FY57)</f>
        <v>6.8181818181818177E-2</v>
      </c>
      <c r="CN56" s="253">
        <f>IF(ISERROR('raw data'!FZ57/'raw data'!GA57),0,'raw data'!FZ57/'raw data'!GA57)</f>
        <v>9.4339622641509441E-2</v>
      </c>
      <c r="CO56" s="253">
        <f>IF(ISERROR('raw data'!GB57/'raw data'!GC57),0,'raw data'!GB57/'raw data'!GC57)</f>
        <v>8.6206896551724144E-2</v>
      </c>
      <c r="CP56" s="253">
        <f>IF(ISERROR('raw data'!GD57/'raw data'!GE57),0,'raw data'!GD57/'raw data'!GE57)</f>
        <v>8.1395348837209308E-2</v>
      </c>
      <c r="CQ56" s="253">
        <f>IF(ISERROR('raw data'!GF57/'raw data'!GG57),0,'raw data'!GF57/'raw data'!GG57)</f>
        <v>8.5714285714285715E-2</v>
      </c>
      <c r="CR56" s="253">
        <f>IF(ISERROR('raw data'!GH57/'raw data'!GI57),0,'raw data'!GH57/'raw data'!GI57)</f>
        <v>7.4999999999999997E-2</v>
      </c>
      <c r="CS56" s="253">
        <f>IF(ISERROR('raw data'!GJ57/'raw data'!GK57),0,'raw data'!GJ57/'raw data'!GK57)</f>
        <v>0.10344827586206896</v>
      </c>
      <c r="CT56" s="253">
        <f>IF(ISERROR('raw data'!GL57/'raw data'!GM57),0,'raw data'!GL57/'raw data'!GM57)</f>
        <v>9.5238095238095233E-2</v>
      </c>
      <c r="CU56" s="253">
        <f>IF(ISERROR('raw data'!GN57/'raw data'!GO57),0,'raw data'!GN57/'raw data'!GO57)</f>
        <v>8.2191780821917804E-2</v>
      </c>
      <c r="CV56" s="253">
        <f>IF(ISERROR('raw data'!GP57/'raw data'!GQ57),0,'raw data'!GP57/'raw data'!GQ57)</f>
        <v>4.4117647058823532E-2</v>
      </c>
      <c r="CW56" s="253">
        <f>IF(ISERROR('raw data'!GR57/'raw data'!GS57),0,'raw data'!GR57/'raw data'!GS57)</f>
        <v>5.5555555555555552E-2</v>
      </c>
      <c r="CX56" s="253">
        <f>IF(ISERROR('raw data'!GT57/'raw data'!GU57),0,'raw data'!GT57/'raw data'!GU57)</f>
        <v>0.10526315789473684</v>
      </c>
      <c r="CY56" s="253">
        <f>IF(ISERROR('raw data'!GV57/'raw data'!GW57),0,'raw data'!GV57/'raw data'!GW57)</f>
        <v>0.18518518518518517</v>
      </c>
      <c r="CZ56" s="253">
        <f>IF(ISERROR('raw data'!GX57/'raw data'!GY57),0,'raw data'!GX57/'raw data'!GY57)</f>
        <v>7.1428571428571425E-2</v>
      </c>
      <c r="DA56" s="253">
        <f>IF(ISERROR('raw data'!GZ57/'raw data'!HA57),0,'raw data'!GZ57/'raw data'!HA57)</f>
        <v>7.3170731707317069E-2</v>
      </c>
      <c r="DB56" s="253">
        <f>IF(ISERROR('raw data'!HB57/'raw data'!HC57),0,'raw data'!HB57/'raw data'!HC57)</f>
        <v>0.10204081632653061</v>
      </c>
      <c r="DC56" s="253">
        <f>IF(ISERROR('raw data'!HD57/'raw data'!HE57),0,'raw data'!HD57/'raw data'!HE57)</f>
        <v>0.05</v>
      </c>
      <c r="DD56" s="253">
        <f>IF(ISERROR('raw data'!HF57/'raw data'!HG57),0,'raw data'!HF57/'raw data'!HG57)</f>
        <v>2.1276595744680851E-2</v>
      </c>
      <c r="DE56" s="253">
        <f>IF(ISERROR('raw data'!HH57/'raw data'!HI57),0,'raw data'!HH57/'raw data'!HI57)</f>
        <v>6.1224489795918366E-2</v>
      </c>
      <c r="DF56" s="253">
        <f>IF(ISERROR('raw data'!HJ57/'raw data'!HK57),0,'raw data'!HJ57/'raw data'!HK57)</f>
        <v>0.1</v>
      </c>
      <c r="DG56" s="253">
        <f>IF(ISERROR('raw data'!HL57/'raw data'!HM57),0,'raw data'!HL57/'raw data'!HM57)</f>
        <v>7.407407407407407E-2</v>
      </c>
      <c r="DH56" s="253">
        <f>IF(ISERROR('raw data'!HN57/'raw data'!HO57),0,'raw data'!HN57/'raw data'!HO57)</f>
        <v>4.5454545454545456E-2</v>
      </c>
      <c r="DI56" s="253">
        <f>IF(ISERROR('raw data'!HP57/'raw data'!HQ57),0,'raw data'!HP57/'raw data'!HQ57)</f>
        <v>4.4117647058823532E-2</v>
      </c>
      <c r="DJ56" s="253">
        <f>IF(ISERROR('raw data'!HR57/'raw data'!HS57),0,'raw data'!HR57/'raw data'!HS57)</f>
        <v>0.18461538461538463</v>
      </c>
      <c r="DK56" s="253">
        <f>IF(ISERROR('raw data'!HT57/'raw data'!HU57),0,'raw data'!HT57/'raw data'!HU57)</f>
        <v>8.8888888888888892E-2</v>
      </c>
      <c r="DL56" s="253">
        <f>IF(ISERROR('raw data'!HV57/'raw data'!HW57),0,'raw data'!HV57/'raw data'!HW57)</f>
        <v>8.6956521739130432E-2</v>
      </c>
      <c r="DM56" s="253">
        <f>IF(ISERROR('raw data'!HX57/'raw data'!HY57),0,'raw data'!HX57/'raw data'!HY57)</f>
        <v>0.10810810810810811</v>
      </c>
      <c r="DN56" s="253">
        <f>IF(ISERROR('raw data'!HZ57/'raw data'!IA57),0,'raw data'!HZ57/'raw data'!IA57)</f>
        <v>0.14285714285714285</v>
      </c>
      <c r="DO56" s="253">
        <f>IF(ISERROR('raw data'!IB57/'raw data'!IC57),0,'raw data'!IB57/'raw data'!IC57)</f>
        <v>6.8965517241379309E-2</v>
      </c>
      <c r="DP56" s="253">
        <f>IF(ISERROR('raw data'!ID57/'raw data'!IE57),0,'raw data'!ID57/'raw data'!IE57)</f>
        <v>0.1875</v>
      </c>
      <c r="DQ56" s="253">
        <f>IF(ISERROR('raw data'!IF57/'raw data'!IG57),0,'raw data'!IF57/'raw data'!IG57)</f>
        <v>0.14545454545454545</v>
      </c>
      <c r="DR56" s="253">
        <f>IF(ISERROR('raw data'!IH57/'raw data'!II57),0,'raw data'!IH57/'raw data'!II57)</f>
        <v>6.5217391304347824E-2</v>
      </c>
      <c r="DS56" s="253">
        <f>IF(ISERROR('raw data'!IJ57/'raw data'!IK57),0,'raw data'!IJ57/'raw data'!IK57)</f>
        <v>0.20370370370370369</v>
      </c>
      <c r="DT56" s="253">
        <f>IF(ISERROR('raw data'!IL57/'raw data'!IM57),0,'raw data'!IL57/'raw data'!IM57)</f>
        <v>0.10204081632653061</v>
      </c>
      <c r="DU56" s="253">
        <f>IF(ISERROR('raw data'!IN57/'raw data'!IO57),0,'raw data'!IN57/'raw data'!IO57)</f>
        <v>7.0175438596491224E-2</v>
      </c>
      <c r="DV56" s="253">
        <f>IF(ISERROR('raw data'!IP57/'raw data'!IQ57),0,'raw data'!IP57/'raw data'!IQ57)</f>
        <v>7.6923076923076927E-2</v>
      </c>
      <c r="DW56" s="253">
        <f>IF(ISERROR('raw data'!IR57/'raw data'!IS57),0,'raw data'!IR57/'raw data'!IS57)</f>
        <v>8.3333333333333329E-2</v>
      </c>
      <c r="DX56" s="253">
        <f>IF(ISERROR('raw data'!IT57/'raw data'!IU57),0,'raw data'!IT57/'raw data'!IU57)</f>
        <v>0.21739130434782608</v>
      </c>
      <c r="DY56" s="253">
        <f>IF(ISERROR('raw data'!IV57/'raw data'!IW57),0,'raw data'!IV57/'raw data'!IW57)</f>
        <v>0.14583333333333334</v>
      </c>
      <c r="DZ56" s="253">
        <f>IF(ISERROR('raw data'!IX57/'raw data'!IY57),0,'raw data'!IX57/'raw data'!IY57)</f>
        <v>0.13636363636363635</v>
      </c>
      <c r="EA56" s="253">
        <f>IF(ISERROR('raw data'!IZ57/'raw data'!JA57),0,'raw data'!IZ57/'raw data'!JA57)</f>
        <v>0.31707317073170732</v>
      </c>
      <c r="EB56" s="253">
        <f>IF(ISERROR('raw data'!JB57/'raw data'!JC57),0,'raw data'!JB57/'raw data'!JC57)</f>
        <v>0.26415094339622641</v>
      </c>
      <c r="EC56" s="253">
        <f>IF(ISERROR('raw data'!JD57/'raw data'!JE57),0,'raw data'!JD57/'raw data'!JE57)</f>
        <v>0.18181818181818182</v>
      </c>
      <c r="ED56" s="226"/>
      <c r="EE56" s="255">
        <v>90</v>
      </c>
      <c r="EF56" s="255">
        <v>580</v>
      </c>
      <c r="EG56" s="256">
        <f>IF(ISERROR(EE56/EF56),0,EE56/EF56)</f>
        <v>0.15517241379310345</v>
      </c>
    </row>
    <row r="57" spans="1:137" ht="14" x14ac:dyDescent="0.15">
      <c r="A57" s="241"/>
      <c r="B57" s="242" t="s">
        <v>99</v>
      </c>
      <c r="C57" s="242" t="s">
        <v>99</v>
      </c>
      <c r="D57" s="243">
        <f>+'raw data'!D58/'raw data'!E58</f>
        <v>3.968253968253968E-2</v>
      </c>
      <c r="E57" s="243">
        <f>+'raw data'!F58/'raw data'!G58</f>
        <v>3.7383177570093455E-2</v>
      </c>
      <c r="F57" s="243">
        <f>'raw data'!H58/'raw data'!I58</f>
        <v>2.0618556701030927E-2</v>
      </c>
      <c r="G57" s="243">
        <f>'raw data'!J58/'raw data'!K58</f>
        <v>2.5210084033613446E-2</v>
      </c>
      <c r="H57" s="243">
        <f>'raw data'!L58/'raw data'!M58</f>
        <v>1.507537688442211E-2</v>
      </c>
      <c r="I57" s="243">
        <f>'raw data'!N58/'raw data'!O58</f>
        <v>1.3157894736842105E-2</v>
      </c>
      <c r="J57" s="243">
        <f>'raw data'!P58/'raw data'!Q58</f>
        <v>1.5384615384615385E-2</v>
      </c>
      <c r="K57" s="243">
        <f>'raw data'!R58/'raw data'!S58</f>
        <v>2.5000000000000001E-2</v>
      </c>
      <c r="L57" s="243">
        <f>'raw data'!T58/'raw data'!U58</f>
        <v>4.7393364928909956E-3</v>
      </c>
      <c r="M57" s="243">
        <f>'raw data'!V58/'raw data'!W58</f>
        <v>1.3333333333333334E-2</v>
      </c>
      <c r="N57" s="243">
        <f>'raw data'!X58/'raw data'!Y58</f>
        <v>0</v>
      </c>
      <c r="O57" s="243">
        <f>IF(ISERROR('raw data'!Z58/'raw data'!AA58),0,'raw data'!Z58/'raw data'!AA58)</f>
        <v>2.197802197802198E-2</v>
      </c>
      <c r="P57" s="243">
        <f>IF(ISERROR('raw data'!AB58/'raw data'!AC58),0,'raw data'!AB58/'raw data'!AC58)</f>
        <v>0</v>
      </c>
      <c r="Q57" s="243">
        <f>IF(ISERROR('raw data'!AD58/'raw data'!AE58),0,'raw data'!AD58/'raw data'!AE58)</f>
        <v>0</v>
      </c>
      <c r="R57" s="243">
        <f>IF(ISERROR('raw data'!AF58/'raw data'!AG58),0,'raw data'!AF58/'raw data'!AG58)</f>
        <v>2.5974025974025976E-2</v>
      </c>
      <c r="S57" s="243">
        <f>IF(ISERROR('raw data'!AH58/'raw data'!AI58),0,'raw data'!AH58/'raw data'!AI58)</f>
        <v>2.5157232704402517E-2</v>
      </c>
      <c r="T57" s="243">
        <f>IF(ISERROR('raw data'!AJ58/'raw data'!AK58),0,'raw data'!AJ58/'raw data'!AK58)</f>
        <v>0</v>
      </c>
      <c r="U57" s="243">
        <f>IF(ISERROR('raw data'!AL58/'raw data'!AM58),0,'raw data'!AL58/'raw data'!AM58)</f>
        <v>1.2345679012345678E-2</v>
      </c>
      <c r="V57" s="243">
        <f>IF(ISERROR('raw data'!AN58/'raw data'!AO58),0,'raw data'!AN58/'raw data'!AO58)</f>
        <v>1.8691588785046728E-2</v>
      </c>
      <c r="W57" s="243">
        <f>IF(ISERROR('raw data'!AP58/'raw data'!AQ58),0,'raw data'!AP58/'raw data'!AQ58)</f>
        <v>5.3763440860215058E-3</v>
      </c>
      <c r="X57" s="243">
        <f>IF(ISERROR('raw data'!AR58/'raw data'!AS58),0,'raw data'!AR58/'raw data'!AS58)</f>
        <v>0</v>
      </c>
      <c r="Y57" s="243">
        <f>IF(ISERROR('raw data'!AT58/'raw data'!AU58),0,'raw data'!AT58/'raw data'!AU58)</f>
        <v>0</v>
      </c>
      <c r="Z57" s="243">
        <f>IF(ISERROR('raw data'!AV58/'raw data'!AW58),0,'raw data'!AV58/'raw data'!AW58)</f>
        <v>4.878048780487805E-2</v>
      </c>
      <c r="AA57" s="243">
        <f>IF(ISERROR('raw data'!AX58/'raw data'!AY58),0,'raw data'!AX58/'raw data'!AY58)</f>
        <v>0</v>
      </c>
      <c r="AB57" s="243">
        <f>IF(ISERROR('raw data'!AZ58/'raw data'!BA58),0,'raw data'!AZ58/'raw data'!BA58)</f>
        <v>7.1428571428571425E-2</v>
      </c>
      <c r="AC57" s="243">
        <f>IF(ISERROR('raw data'!BB58/'raw data'!BC58),0,'raw data'!BB58/'raw data'!BC58)</f>
        <v>3.125E-2</v>
      </c>
      <c r="AD57" s="243">
        <f>IF(ISERROR('raw data'!BD58/'raw data'!BE58),0,'raw data'!BD58/'raw data'!BE58)</f>
        <v>0</v>
      </c>
      <c r="AE57" s="243">
        <f>IF(ISERROR('raw data'!BF58/'raw data'!BG58),0,'raw data'!BF58/'raw data'!BG58)</f>
        <v>0</v>
      </c>
      <c r="AF57" s="243">
        <f>IF(ISERROR('raw data'!BH58/'raw data'!BI58),0,'raw data'!BH58/'raw data'!BI58)</f>
        <v>0</v>
      </c>
      <c r="AG57" s="243">
        <f>IF(ISERROR('raw data'!BJ58/'raw data'!BK58),0,'raw data'!BJ58/'raw data'!BK58)</f>
        <v>9.433962264150943E-3</v>
      </c>
      <c r="AH57" s="243">
        <f>IF(ISERROR('raw data'!BL58/'raw data'!BM58),0,'raw data'!BL58/'raw data'!BM58)</f>
        <v>3.0303030303030304E-2</v>
      </c>
      <c r="AI57" s="243">
        <f>IF(ISERROR('raw data'!BN58/'raw data'!BO58),0,'raw data'!BN58/'raw data'!BO58)</f>
        <v>1.3698630136986301E-2</v>
      </c>
      <c r="AJ57" s="243">
        <f>IF(ISERROR('raw data'!BP58/'raw data'!BQ58),0,'raw data'!BP58/'raw data'!BQ58)</f>
        <v>0</v>
      </c>
      <c r="AK57" s="243">
        <f>IF(ISERROR('raw data'!BR58/'raw data'!BS58),0,'raw data'!BR58/'raw data'!BS58)</f>
        <v>1.4705882352941176E-2</v>
      </c>
      <c r="AL57" s="243">
        <f>IF(ISERROR('raw data'!BT58/'raw data'!BU58),0,'raw data'!BT58/'raw data'!BU58)</f>
        <v>5.1948051948051951E-2</v>
      </c>
      <c r="AM57" s="243">
        <f>IF(ISERROR('raw data'!BV58/'raw data'!BW58),0,'raw data'!BV58/'raw data'!BW58)</f>
        <v>3.2786885245901641E-2</v>
      </c>
      <c r="AN57" s="243">
        <f>IF(ISERROR('raw data'!BX58/'raw data'!BY58),0,'raw data'!BX58/'raw data'!BY58)</f>
        <v>0</v>
      </c>
      <c r="AO57" s="243">
        <f>IF(ISERROR('raw data'!BZ58/'raw data'!CA58),0,'raw data'!BZ58/'raw data'!CA58)</f>
        <v>3.0769230769230771E-2</v>
      </c>
      <c r="AP57" s="243">
        <f>IF(ISERROR('raw data'!CB58/'raw data'!CC58),0,'raw data'!CB58/'raw data'!CC58)</f>
        <v>1.4285714285714285E-2</v>
      </c>
      <c r="AQ57" s="243">
        <f>IF(ISERROR('raw data'!CD58/'raw data'!CE58),0,'raw data'!CD58/'raw data'!CE58)</f>
        <v>0</v>
      </c>
      <c r="AR57" s="243">
        <f>IF(ISERROR('raw data'!CF58/'raw data'!CG58),0,'raw data'!CF58/'raw data'!CG58)</f>
        <v>0</v>
      </c>
      <c r="AS57" s="243">
        <f>IF(ISERROR('raw data'!CH58/'raw data'!CI58),0,'raw data'!CH58/'raw data'!CI58)</f>
        <v>3.1914893617021274E-2</v>
      </c>
      <c r="AT57" s="243">
        <f>IF(ISERROR('raw data'!CJ58/'raw data'!CK58),0,'raw data'!CJ58/'raw data'!CK58)</f>
        <v>3.7974683544303799E-2</v>
      </c>
      <c r="AU57" s="243">
        <f>IF(ISERROR('raw data'!CL58/'raw data'!CM58),0,'raw data'!CL58/'raw data'!CM58)</f>
        <v>2.5974025974025976E-2</v>
      </c>
      <c r="AV57" s="243">
        <f>IF(ISERROR('raw data'!CN58/'raw data'!CO58),0,'raw data'!CN58/'raw data'!CO58)</f>
        <v>1.5151515151515152E-2</v>
      </c>
      <c r="AW57" s="243">
        <f>IF(ISERROR('raw data'!CP58/'raw data'!CQ58),0,'raw data'!CP58/'raw data'!CQ58)</f>
        <v>1.2658227848101266E-2</v>
      </c>
      <c r="AX57" s="243">
        <f>IF(ISERROR('raw data'!CR58/'raw data'!CS58),0,'raw data'!CR58/'raw data'!CS58)</f>
        <v>3.8461538461538464E-2</v>
      </c>
      <c r="AY57" s="243">
        <f>IF(ISERROR('raw data'!CT58/'raw data'!CU58),0,'raw data'!CT58/'raw data'!CU58)</f>
        <v>2.3809523809523808E-2</v>
      </c>
      <c r="AZ57" s="243">
        <f>IF(ISERROR('raw data'!CV58/'raw data'!CW58),0,'raw data'!CV58/'raw data'!CW58)</f>
        <v>2.1276595744680851E-2</v>
      </c>
      <c r="BA57" s="243">
        <f>IF(ISERROR('raw data'!CX58/'raw data'!CY58),0,'raw data'!CX58/'raw data'!CY58)</f>
        <v>1.6393442622950821E-2</v>
      </c>
      <c r="BB57" s="243">
        <f>IF(ISERROR('raw data'!CZ58/'raw data'!DA58),0,'raw data'!CZ58/'raw data'!DA58)</f>
        <v>4.6875E-2</v>
      </c>
      <c r="BC57" s="243">
        <f>IF(ISERROR('raw data'!DB58/'raw data'!DC58),0,'raw data'!DB58/'raw data'!DC58)</f>
        <v>7.8431372549019607E-2</v>
      </c>
      <c r="BD57" s="243">
        <v>1.9230769230769232E-2</v>
      </c>
      <c r="BE57" s="243">
        <f>IF(ISERROR('raw data'!DF58/'raw data'!DG58),0,'raw data'!DF58/'raw data'!DG58)</f>
        <v>3.1578947368421054E-2</v>
      </c>
      <c r="BF57" s="243">
        <f>IF(ISERROR('raw data'!DH58/'raw data'!DI58),0,'raw data'!DH58/'raw data'!DI58)</f>
        <v>4.2016806722689079E-2</v>
      </c>
      <c r="BG57" s="243">
        <f>IF(ISERROR('raw data'!DJ58/'raw data'!DK58),0,'raw data'!DJ58/'raw data'!DK58)</f>
        <v>5.4054054054054057E-2</v>
      </c>
      <c r="BH57" s="243">
        <f>IF(ISERROR('raw data'!DL58/'raw data'!DM58),0,'raw data'!DL58/'raw data'!DM58)</f>
        <v>2.6086956521739129E-2</v>
      </c>
      <c r="BI57" s="243">
        <f>IF(ISERROR('raw data'!DN58/'raw data'!DO58),0,'raw data'!DN58/'raw data'!DO58)</f>
        <v>5.8823529411764705E-2</v>
      </c>
      <c r="BJ57" s="243">
        <f>IF(ISERROR('raw data'!DP58/'raw data'!DQ58),0,'raw data'!DP58/'raw data'!DQ58)</f>
        <v>2.5000000000000001E-2</v>
      </c>
      <c r="BK57" s="243">
        <f>IF(ISERROR('raw data'!DR58/'raw data'!DS58),0,'raw data'!DR58/'raw data'!DS58)</f>
        <v>0</v>
      </c>
      <c r="BL57" s="243">
        <f>IF(ISERROR('raw data'!DT58/'raw data'!DU58),0,'raw data'!DT58/'raw data'!DU58)</f>
        <v>7.874015748031496E-3</v>
      </c>
      <c r="BM57" s="243">
        <f>IF(ISERROR('raw data'!DV58/'raw data'!DW58),0,'raw data'!DV58/'raw data'!DW58)</f>
        <v>4.1666666666666664E-2</v>
      </c>
      <c r="BN57" s="243">
        <f>IF(ISERROR('raw data'!DX58/'raw data'!DY58),0,'raw data'!DX58/'raw data'!DY58)</f>
        <v>1.6528925619834711E-2</v>
      </c>
      <c r="BO57" s="243">
        <f>IF(ISERROR('raw data'!DZ58/'raw data'!EA58),0,'raw data'!DZ58/'raw data'!EA58)</f>
        <v>3.3057851239669422E-2</v>
      </c>
      <c r="BP57" s="243">
        <f>IF(ISERROR('raw data'!EB58/'raw data'!EC58),0,'raw data'!EB58/'raw data'!EC58)</f>
        <v>2.9411764705882353E-2</v>
      </c>
      <c r="BQ57" s="243">
        <f>IF(ISERROR('raw data'!ED58/'raw data'!EE58),0,'raw data'!ED58/'raw data'!EE58)</f>
        <v>1.1764705882352941E-2</v>
      </c>
      <c r="BR57" s="243">
        <f>IF(ISERROR('raw data'!EF58/'raw data'!EG58),0,'raw data'!EF58/'raw data'!EG58)</f>
        <v>8.4745762711864406E-3</v>
      </c>
      <c r="BS57" s="243">
        <f>IF(ISERROR('raw data'!EH58/'raw data'!EI58),0,'raw data'!EH58/'raw data'!EI58)</f>
        <v>2.1052631578947368E-2</v>
      </c>
      <c r="BT57" s="243">
        <f>IF(ISERROR('raw data'!EJ58/'raw data'!EK58),0,'raw data'!EJ58/'raw data'!EK58)</f>
        <v>4.0404040404040407E-2</v>
      </c>
      <c r="BU57" s="243">
        <f>IF(ISERROR('raw data'!EL58/'raw data'!EM58),0,'raw data'!EL58/'raw data'!EM58)</f>
        <v>0</v>
      </c>
      <c r="BV57" s="243">
        <f>IF(ISERROR('raw data'!EN58/'raw data'!EO58),0,'raw data'!EN58/'raw data'!EO58)</f>
        <v>1.9417475728155338E-2</v>
      </c>
      <c r="BW57" s="243">
        <f>IF(ISERROR('raw data'!EP58/'raw data'!EQ58),0,'raw data'!EP58/'raw data'!EQ58)</f>
        <v>2.8985507246376812E-2</v>
      </c>
      <c r="BX57" s="243">
        <f>IF(ISERROR('raw data'!ER58/'raw data'!ES58),0,'raw data'!ER58/'raw data'!ES58)</f>
        <v>1.4925373134328358E-2</v>
      </c>
      <c r="BY57" s="243">
        <f>IF(ISERROR('raw data'!ET58/'raw data'!EU58),0,'raw data'!ET58/'raw data'!EU58)</f>
        <v>4.6153846153846156E-2</v>
      </c>
      <c r="BZ57" s="243">
        <f>IF(ISERROR('raw data'!EV58/'raw data'!EW58),0,'raw data'!EV58/'raw data'!EW58)</f>
        <v>9.6774193548387094E-2</v>
      </c>
      <c r="CA57" s="243">
        <f>IF(ISERROR('raw data'!EX58/'raw data'!EY58),0,'raw data'!EX58/'raw data'!EY58)</f>
        <v>1.6129032258064516E-2</v>
      </c>
      <c r="CB57" s="243">
        <f>IF(ISERROR('raw data'!EZ58/'raw data'!FA58),0,'raw data'!EZ58/'raw data'!FA58)</f>
        <v>1.8518518518518517E-2</v>
      </c>
      <c r="CC57" s="243">
        <f>IF(ISERROR('raw data'!FB58/'raw data'!FC58),0,'raw data'!FB58/'raw data'!FC58)</f>
        <v>0</v>
      </c>
      <c r="CD57" s="243">
        <f>IF(ISERROR('raw data'!FD58/'raw data'!FE58),0,'raw data'!FD58/'raw data'!FE58)</f>
        <v>0</v>
      </c>
      <c r="CE57" s="243">
        <f>IF(ISERROR('raw data'!FF58/'raw data'!FG58),0,'raw data'!FF58/'raw data'!FG58)</f>
        <v>0</v>
      </c>
      <c r="CF57" s="243">
        <f>IF(ISERROR('raw data'!FH58/'raw data'!FI58),0,'raw data'!FH58/'raw data'!FI58)</f>
        <v>0</v>
      </c>
      <c r="CG57" s="243">
        <f>IF(ISERROR('raw data'!FJ58/'raw data'!FM58),0,'raw data'!FJ58/'raw data'!FM58)</f>
        <v>0</v>
      </c>
      <c r="CH57" s="243">
        <f>IF(ISERROR('raw data'!FN58/'raw data'!FO58),0,'raw data'!FN58/'raw data'!FO58)</f>
        <v>0</v>
      </c>
      <c r="CI57" s="243">
        <f>IF(ISERROR('raw data'!FP58/'raw data'!FQ58),0,'raw data'!FP58/'raw data'!FQ58)</f>
        <v>6.25E-2</v>
      </c>
      <c r="CJ57" s="243">
        <f>IF(ISERROR('raw data'!FR58/'raw data'!FS58),0,'raw data'!FR58/'raw data'!FS58)</f>
        <v>0.16666666666666666</v>
      </c>
      <c r="CK57" s="243">
        <f>IF(ISERROR('raw data'!FT58/'raw data'!FU58),0,'raw data'!FT58/'raw data'!FU58)</f>
        <v>0.16666666666666666</v>
      </c>
      <c r="CL57" s="243">
        <f>IF(ISERROR('raw data'!FV58/'raw data'!FW58),0,'raw data'!FV58/'raw data'!FW58)</f>
        <v>6.1224489795918366E-2</v>
      </c>
      <c r="CM57" s="243">
        <f>IF(ISERROR('raw data'!FX58/'raw data'!FY58),0,'raw data'!FX58/'raw data'!FY58)</f>
        <v>6.5217391304347824E-2</v>
      </c>
      <c r="CN57" s="243">
        <f>IF(ISERROR('raw data'!FZ58/'raw data'!GA58),0,'raw data'!FZ58/'raw data'!GA58)</f>
        <v>9.0909090909090912E-2</v>
      </c>
      <c r="CO57" s="243">
        <f>IF(ISERROR('raw data'!GB58/'raw data'!GC58),0,'raw data'!GB58/'raw data'!GC58)</f>
        <v>8.0645161290322578E-2</v>
      </c>
      <c r="CP57" s="243">
        <f>IF(ISERROR('raw data'!GD58/'raw data'!GE58),0,'raw data'!GD58/'raw data'!GE58)</f>
        <v>7.5268817204301078E-2</v>
      </c>
      <c r="CQ57" s="243">
        <f>IF(ISERROR('raw data'!GF58/'raw data'!GG58),0,'raw data'!GF58/'raw data'!GG58)</f>
        <v>7.792207792207792E-2</v>
      </c>
      <c r="CR57" s="243">
        <f>IF(ISERROR('raw data'!GH58/'raw data'!GI58),0,'raw data'!GH58/'raw data'!GI58)</f>
        <v>7.1428571428571425E-2</v>
      </c>
      <c r="CS57" s="243">
        <f>IF(ISERROR('raw data'!GJ58/'raw data'!GK58),0,'raw data'!GJ58/'raw data'!GK58)</f>
        <v>0.1</v>
      </c>
      <c r="CT57" s="243">
        <f>IF(ISERROR('raw data'!GL58/'raw data'!GM58),0,'raw data'!GL58/'raw data'!GM58)</f>
        <v>9.1954022988505746E-2</v>
      </c>
      <c r="CU57" s="243">
        <f>IF(ISERROR('raw data'!GN58/'raw data'!GO58),0,'raw data'!GN58/'raw data'!GO58)</f>
        <v>7.6923076923076927E-2</v>
      </c>
      <c r="CV57" s="243">
        <f>IF(ISERROR('raw data'!GP58/'raw data'!GQ58),0,'raw data'!GP58/'raw data'!GQ58)</f>
        <v>4.1666666666666664E-2</v>
      </c>
      <c r="CW57" s="243">
        <f>IF(ISERROR('raw data'!GR58/'raw data'!GS58),0,'raw data'!GR58/'raw data'!GS58)</f>
        <v>5.4794520547945202E-2</v>
      </c>
      <c r="CX57" s="243">
        <f>IF(ISERROR('raw data'!GT58/'raw data'!GU58),0,'raw data'!GT58/'raw data'!GU58)</f>
        <v>0.11864406779661017</v>
      </c>
      <c r="CY57" s="243">
        <f>IF(ISERROR('raw data'!GV58/'raw data'!GW58),0,'raw data'!GV58/'raw data'!GW58)</f>
        <v>0.17543859649122806</v>
      </c>
      <c r="CZ57" s="243">
        <f>IF(ISERROR('raw data'!GX58/'raw data'!GY58),0,'raw data'!GX58/'raw data'!GY58)</f>
        <v>8.3333333333333329E-2</v>
      </c>
      <c r="DA57" s="243">
        <f>IF(ISERROR('raw data'!GZ58/'raw data'!HA58),0,'raw data'!GZ58/'raw data'!HA58)</f>
        <v>6.6666666666666666E-2</v>
      </c>
      <c r="DB57" s="243">
        <f>IF(ISERROR('raw data'!HB58/'raw data'!HC58),0,'raw data'!HB58/'raw data'!HC58)</f>
        <v>9.4339622641509441E-2</v>
      </c>
      <c r="DC57" s="243">
        <f>IF(ISERROR('raw data'!HD58/'raw data'!HE58),0,'raw data'!HD58/'raw data'!HE58)</f>
        <v>4.4117647058823532E-2</v>
      </c>
      <c r="DD57" s="243">
        <f>IF(ISERROR('raw data'!HF58/'raw data'!HG58),0,'raw data'!HF58/'raw data'!HG58)</f>
        <v>0.02</v>
      </c>
      <c r="DE57" s="243">
        <f>IF(ISERROR('raw data'!HH58/'raw data'!HI58),0,'raw data'!HH58/'raw data'!HI58)</f>
        <v>5.5555555555555552E-2</v>
      </c>
      <c r="DF57" s="243">
        <f>IF(ISERROR('raw data'!HJ58/'raw data'!HK58),0,'raw data'!HJ58/'raw data'!HK58)</f>
        <v>9.4339622641509441E-2</v>
      </c>
      <c r="DG57" s="243">
        <f>IF(ISERROR('raw data'!HL58/'raw data'!HM58),0,'raw data'!HL58/'raw data'!HM58)</f>
        <v>6.8965517241379309E-2</v>
      </c>
      <c r="DH57" s="243">
        <f>IF(ISERROR('raw data'!HN58/'raw data'!HO58),0,'raw data'!HN58/'raw data'!HO58)</f>
        <v>4.3478260869565216E-2</v>
      </c>
      <c r="DI57" s="243">
        <f>IF(ISERROR('raw data'!HP58/'raw data'!HQ58),0,'raw data'!HP58/'raw data'!HQ58)</f>
        <v>4.2253521126760563E-2</v>
      </c>
      <c r="DJ57" s="243">
        <f>IF(ISERROR('raw data'!HR58/'raw data'!HS58),0,'raw data'!HR58/'raw data'!HS58)</f>
        <v>0.17910447761194029</v>
      </c>
      <c r="DK57" s="243">
        <f>IF(ISERROR('raw data'!HT58/'raw data'!HU58),0,'raw data'!HT58/'raw data'!HU58)</f>
        <v>8.1632653061224483E-2</v>
      </c>
      <c r="DL57" s="243">
        <f>IF(ISERROR('raw data'!HV58/'raw data'!HW58),0,'raw data'!HV58/'raw data'!HW58)</f>
        <v>8.3333333333333329E-2</v>
      </c>
      <c r="DM57" s="243">
        <f>IF(ISERROR('raw data'!HX58/'raw data'!HY58),0,'raw data'!HX58/'raw data'!HY58)</f>
        <v>0.1</v>
      </c>
      <c r="DN57" s="243">
        <f>IF(ISERROR('raw data'!HZ58/'raw data'!IA58),0,'raw data'!HZ58/'raw data'!IA58)</f>
        <v>0.13953488372093023</v>
      </c>
      <c r="DO57" s="243">
        <f>IF(ISERROR('raw data'!IB58/'raw data'!IC58),0,'raw data'!IB58/'raw data'!IC58)</f>
        <v>6.7796610169491525E-2</v>
      </c>
      <c r="DP57" s="243">
        <f>IF(ISERROR('raw data'!ID58/'raw data'!IE58),0,'raw data'!ID58/'raw data'!IE58)</f>
        <v>0.18</v>
      </c>
      <c r="DQ57" s="243">
        <f>IF(ISERROR('raw data'!IF58/'raw data'!IG58),0,'raw data'!IF58/'raw data'!IG58)</f>
        <v>0.13793103448275862</v>
      </c>
      <c r="DR57" s="243">
        <f>IF(ISERROR('raw data'!IH58/'raw data'!II58),0,'raw data'!IH58/'raw data'!II58)</f>
        <v>6.1224489795918366E-2</v>
      </c>
      <c r="DS57" s="243">
        <f>IF(ISERROR('raw data'!IJ58/'raw data'!IK58),0,'raw data'!IJ58/'raw data'!IK58)</f>
        <v>0.171875</v>
      </c>
      <c r="DT57" s="243">
        <f>IF(ISERROR('raw data'!IL58/'raw data'!IM58),0,'raw data'!IL58/'raw data'!IM58)</f>
        <v>9.8039215686274508E-2</v>
      </c>
      <c r="DU57" s="243">
        <f>IF(ISERROR('raw data'!IN58/'raw data'!IO58),0,'raw data'!IN58/'raw data'!IO58)</f>
        <v>6.8965517241379309E-2</v>
      </c>
      <c r="DV57" s="243">
        <f>IF(ISERROR('raw data'!IP58/'raw data'!IQ58),0,'raw data'!IP58/'raw data'!IQ58)</f>
        <v>7.1428571428571425E-2</v>
      </c>
      <c r="DW57" s="243">
        <f>IF(ISERROR('raw data'!IR58/'raw data'!IS58),0,'raw data'!IR58/'raw data'!IS58)</f>
        <v>7.2727272727272724E-2</v>
      </c>
      <c r="DX57" s="243">
        <f>IF(ISERROR('raw data'!IT58/'raw data'!IU58),0,'raw data'!IT58/'raw data'!IU58)</f>
        <v>0.2</v>
      </c>
      <c r="DY57" s="243">
        <f>IF(ISERROR('raw data'!IV58/'raw data'!IW58),0,'raw data'!IV58/'raw data'!IW58)</f>
        <v>0.14583333333333334</v>
      </c>
      <c r="DZ57" s="243">
        <f>IF(ISERROR('raw data'!IX58/'raw data'!IY58),0,'raw data'!IX58/'raw data'!IY58)</f>
        <v>0.1111111111111111</v>
      </c>
      <c r="EA57" s="243">
        <f>IF(ISERROR('raw data'!IZ58/'raw data'!JA58),0,'raw data'!IZ58/'raw data'!JA58)</f>
        <v>0.27659574468085107</v>
      </c>
      <c r="EB57" s="243">
        <f>IF(ISERROR('raw data'!JB58/'raw data'!JC58),0,'raw data'!JB58/'raw data'!JC58)</f>
        <v>0.23728813559322035</v>
      </c>
      <c r="EC57" s="243">
        <f>IF(ISERROR('raw data'!JD58/'raw data'!JE58),0,'raw data'!JD58/'raw data'!JE58)</f>
        <v>0.15625</v>
      </c>
      <c r="ED57" s="243"/>
      <c r="EE57" s="244">
        <f>SUM(EE44:EE56)</f>
        <v>90</v>
      </c>
      <c r="EF57" s="244">
        <f>SUM(EF44:EF56)</f>
        <v>641</v>
      </c>
      <c r="EG57" s="245">
        <f t="shared" si="0"/>
        <v>0.14040561622464898</v>
      </c>
    </row>
    <row r="58" spans="1:137" ht="25.5" customHeight="1" x14ac:dyDescent="0.15">
      <c r="A58" s="259">
        <v>2.1</v>
      </c>
      <c r="B58" s="260" t="str">
        <f>'raw data'!B59</f>
        <v>Loans repaid early and within 12 months and Loan Amount &gt;=£10k</v>
      </c>
      <c r="C58" s="261" t="s">
        <v>101</v>
      </c>
      <c r="D58" s="262">
        <v>0</v>
      </c>
      <c r="E58" s="262">
        <v>0</v>
      </c>
      <c r="F58" s="262">
        <f>'raw data'!H59/'raw data'!I59</f>
        <v>0</v>
      </c>
      <c r="G58" s="262">
        <f>'raw data'!J59/'raw data'!K59</f>
        <v>0</v>
      </c>
      <c r="H58" s="262">
        <f>'raw data'!L59/'raw data'!M59</f>
        <v>0</v>
      </c>
      <c r="I58" s="262">
        <f>'raw data'!N59/'raw data'!O59</f>
        <v>0</v>
      </c>
      <c r="J58" s="262">
        <f>'raw data'!P59/'raw data'!Q59</f>
        <v>0</v>
      </c>
      <c r="K58" s="262">
        <f>'raw data'!R59/'raw data'!S59</f>
        <v>0</v>
      </c>
      <c r="L58" s="262">
        <f>'raw data'!T59/'raw data'!U59</f>
        <v>0</v>
      </c>
      <c r="M58" s="262">
        <f>'raw data'!V59/'raw data'!W59</f>
        <v>0</v>
      </c>
      <c r="N58" s="262">
        <f>'raw data'!X59/'raw data'!Y59</f>
        <v>6.024096385542169E-3</v>
      </c>
      <c r="O58" s="235"/>
      <c r="P58" s="262">
        <f>IF(ISERROR('raw data'!AB59/'raw data'!AC59),0,'raw data'!AB59/'raw data'!AC59)</f>
        <v>0</v>
      </c>
      <c r="Q58" s="262">
        <f>IF(ISERROR('raw data'!AD59/'raw data'!AE59),0,'raw data'!AD59/'raw data'!AE59)</f>
        <v>1</v>
      </c>
      <c r="R58" s="262">
        <f>IF(ISERROR('raw data'!AF59/'raw data'!AG59),0,'raw data'!AF59/'raw data'!AG59)</f>
        <v>0</v>
      </c>
      <c r="S58" s="262">
        <f>IF(ISERROR('raw data'!AH59/'raw data'!AI59),0,'raw data'!AH59/'raw data'!AI59)</f>
        <v>0</v>
      </c>
      <c r="T58" s="262">
        <f>IF(ISERROR('raw data'!AJ59/'raw data'!AK59),0,'raw data'!AJ59/'raw data'!AK59)</f>
        <v>0</v>
      </c>
      <c r="U58" s="262">
        <f>IF(ISERROR('raw data'!AL59/'raw data'!AM59),0,'raw data'!AL59/'raw data'!AM59)</f>
        <v>0</v>
      </c>
      <c r="V58" s="262">
        <f>IF(ISERROR('raw data'!AN59/'raw data'!AO59),0,'raw data'!AN59/'raw data'!AO59)</f>
        <v>0</v>
      </c>
      <c r="W58" s="262">
        <f>IF(ISERROR('raw data'!AP59/'raw data'!AQ59),0,'raw data'!AP59/'raw data'!AQ59)</f>
        <v>0</v>
      </c>
      <c r="X58" s="262">
        <f>IF(ISERROR('raw data'!AR59/'raw data'!AS59),0,'raw data'!AR59/'raw data'!AS59)</f>
        <v>0</v>
      </c>
      <c r="Y58" s="262">
        <f>IF(ISERROR('raw data'!AT59/'raw data'!AU59),0,'raw data'!AT59/'raw data'!AU59)</f>
        <v>0</v>
      </c>
      <c r="Z58" s="262">
        <f>IF(ISERROR('raw data'!AV59/'raw data'!AW59),0,'raw data'!AV59/'raw data'!AW59)</f>
        <v>0</v>
      </c>
      <c r="AA58" s="262">
        <f>IF(ISERROR('raw data'!AX59/'raw data'!AY59),0,'raw data'!AX59/'raw data'!AY59)</f>
        <v>0.14285714285714285</v>
      </c>
      <c r="AB58" s="262">
        <f>IF(ISERROR('raw data'!AZ59/'raw data'!BA59),0,'raw data'!AZ59/'raw data'!BA59)</f>
        <v>0</v>
      </c>
      <c r="AC58" s="262">
        <f>IF(ISERROR('raw data'!BB59/'raw data'!BC59),0,'raw data'!BB59/'raw data'!BC59)</f>
        <v>0</v>
      </c>
      <c r="AD58" s="262">
        <f>IF(ISERROR('raw data'!BD59/'raw data'!BE59),0,'raw data'!BD59/'raw data'!BE59)</f>
        <v>0</v>
      </c>
      <c r="AE58" s="262">
        <f>IF(ISERROR('raw data'!BF59/'raw data'!BG59),0,'raw data'!BF59/'raw data'!BG59)</f>
        <v>0</v>
      </c>
      <c r="AF58" s="262">
        <f>IF(ISERROR('raw data'!BH59/'raw data'!BI59),0,'raw data'!BH59/'raw data'!BI59)</f>
        <v>0</v>
      </c>
      <c r="AG58" s="262">
        <f>IF(ISERROR('raw data'!BJ59/'raw data'!BK59),0,'raw data'!BJ59/'raw data'!BK59)</f>
        <v>0</v>
      </c>
      <c r="AH58" s="262">
        <f>IF(ISERROR('raw data'!BL59/'raw data'!BM59),0,'raw data'!BL59/'raw data'!BM59)</f>
        <v>0</v>
      </c>
      <c r="AI58" s="262">
        <f>IF(ISERROR('raw data'!BN59/'raw data'!BO59),0,'raw data'!BN59/'raw data'!BO59)</f>
        <v>0</v>
      </c>
      <c r="AJ58" s="262">
        <f>IF(ISERROR('raw data'!BP59/'raw data'!BQ59),0,'raw data'!BP59/'raw data'!BQ59)</f>
        <v>0</v>
      </c>
      <c r="AK58" s="262">
        <f>IF(ISERROR('raw data'!BR59/'raw data'!BS59),0,'raw data'!BR59/'raw data'!BS59)</f>
        <v>0</v>
      </c>
      <c r="AL58" s="262">
        <f>IF(ISERROR('raw data'!BT59/'raw data'!BU59),0,'raw data'!BT59/'raw data'!BU59)</f>
        <v>0</v>
      </c>
      <c r="AM58" s="262">
        <f>IF(ISERROR('raw data'!BV59/'raw data'!BW59),0,'raw data'!BV59/'raw data'!BW59)</f>
        <v>0</v>
      </c>
      <c r="AN58" s="262">
        <f>IF(ISERROR('raw data'!BX59/'raw data'!BY59),0,'raw data'!BX59/'raw data'!BY59)</f>
        <v>0</v>
      </c>
      <c r="AO58" s="262">
        <f>IF(ISERROR('raw data'!BZ59/'raw data'!CA59),0,'raw data'!BZ59/'raw data'!CA59)</f>
        <v>0</v>
      </c>
      <c r="AP58" s="262">
        <f>IF(ISERROR('raw data'!CB59/'raw data'!CC59),0,'raw data'!CB59/'raw data'!CC59)</f>
        <v>0</v>
      </c>
      <c r="AQ58" s="262">
        <f>IF(ISERROR('raw data'!CD59/'raw data'!CE59),0,'raw data'!CD59/'raw data'!CE59)</f>
        <v>0</v>
      </c>
      <c r="AR58" s="262">
        <f>IF(ISERROR('raw data'!CF59/'raw data'!CG59),0,'raw data'!CF59/'raw data'!CG59)</f>
        <v>0</v>
      </c>
      <c r="AS58" s="262">
        <f>IF(ISERROR('raw data'!CH59/'raw data'!CI59),0,'raw data'!CH59/'raw data'!CI59)</f>
        <v>0</v>
      </c>
      <c r="AT58" s="262">
        <f>IF(ISERROR('raw data'!CJ59/'raw data'!CK59),0,'raw data'!CJ59/'raw data'!CK59)</f>
        <v>0</v>
      </c>
      <c r="AU58" s="262">
        <f>IF(ISERROR('raw data'!CL59/'raw data'!CM59),0,'raw data'!CL59/'raw data'!CM59)</f>
        <v>0</v>
      </c>
      <c r="AV58" s="262">
        <f>IF(ISERROR('raw data'!CN59/'raw data'!CO59),0,'raw data'!CN59/'raw data'!CO59)</f>
        <v>0</v>
      </c>
      <c r="AW58" s="262">
        <f>IF(ISERROR('raw data'!CP59/'raw data'!CQ59),0,'raw data'!CP59/'raw data'!CQ59)</f>
        <v>0</v>
      </c>
      <c r="AX58" s="262">
        <f>IF(ISERROR('raw data'!CR59/'raw data'!CS59),0,'raw data'!CR59/'raw data'!CS59)</f>
        <v>0</v>
      </c>
      <c r="AY58" s="262">
        <f>IF(ISERROR('raw data'!CT59/'raw data'!CU59),0,'raw data'!CT59/'raw data'!CU59)</f>
        <v>0</v>
      </c>
      <c r="AZ58" s="262">
        <f>IF(ISERROR('raw data'!CV59/'raw data'!CW59),0,'raw data'!CV59/'raw data'!CW59)</f>
        <v>0</v>
      </c>
      <c r="BA58" s="262">
        <f>IF(ISERROR('raw data'!CX59/'raw data'!CY59),0,'raw data'!CX59/'raw data'!CY59)</f>
        <v>0</v>
      </c>
      <c r="BB58" s="262">
        <f>IF(ISERROR('raw data'!CZ59/'raw data'!DA59),0,'raw data'!CZ59/'raw data'!DA59)</f>
        <v>0</v>
      </c>
      <c r="BC58" s="262">
        <f>IF(ISERROR('raw data'!DB59/'raw data'!DC59),0,'raw data'!DB59/'raw data'!DC59)</f>
        <v>0</v>
      </c>
      <c r="BD58" s="262">
        <v>0</v>
      </c>
      <c r="BE58" s="262">
        <f>IF(ISERROR('raw data'!DF59/'raw data'!DG59),0,'raw data'!DF59/'raw data'!DG59)</f>
        <v>0</v>
      </c>
      <c r="BF58" s="262">
        <f>IF(ISERROR('raw data'!DH59/'raw data'!DI59),0,'raw data'!DH59/'raw data'!DI59)</f>
        <v>0</v>
      </c>
      <c r="BG58" s="262">
        <f>IF(ISERROR('raw data'!DJ59/'raw data'!DK59),0,'raw data'!DJ59/'raw data'!DK59)</f>
        <v>0</v>
      </c>
      <c r="BH58" s="262">
        <f>IF(ISERROR('raw data'!DL59/'raw data'!DM59),0,'raw data'!DL59/'raw data'!DM59)</f>
        <v>0</v>
      </c>
      <c r="BI58" s="262">
        <f>IF(ISERROR('raw data'!DN59/'raw data'!DO59),0,'raw data'!DN59/'raw data'!DO59)</f>
        <v>0</v>
      </c>
      <c r="BJ58" s="262">
        <f>IF(ISERROR('raw data'!DP59/'raw data'!DQ59),0,'raw data'!DP59/'raw data'!DQ59)</f>
        <v>0</v>
      </c>
      <c r="BK58" s="262">
        <f>IF(ISERROR('raw data'!DR59/'raw data'!DS59),0,'raw data'!DR59/'raw data'!DS59)</f>
        <v>0</v>
      </c>
      <c r="BL58" s="262">
        <f>IF(ISERROR('raw data'!DT59/'raw data'!DU59),0,'raw data'!DT59/'raw data'!DU59)</f>
        <v>0</v>
      </c>
      <c r="BM58" s="262">
        <f>IF(ISERROR('raw data'!DV59/'raw data'!DW59),0,'raw data'!DV59/'raw data'!DW59)</f>
        <v>0</v>
      </c>
      <c r="BN58" s="262">
        <f>IF(ISERROR('raw data'!DX59/'raw data'!DY59),0,'raw data'!DX59/'raw data'!DY59)</f>
        <v>0</v>
      </c>
      <c r="BO58" s="262">
        <f>IF(ISERROR('raw data'!DZ59/'raw data'!EA59),0,'raw data'!DZ59/'raw data'!EA59)</f>
        <v>0</v>
      </c>
      <c r="BP58" s="262">
        <f>IF(ISERROR('raw data'!EB59/'raw data'!EC59),0,'raw data'!EB59/'raw data'!EC59)</f>
        <v>0</v>
      </c>
      <c r="BQ58" s="262">
        <f>IF(ISERROR('raw data'!ED59/'raw data'!EE59),0,'raw data'!ED59/'raw data'!EE59)</f>
        <v>0</v>
      </c>
      <c r="BR58" s="262">
        <f>IF(ISERROR('raw data'!EF59/'raw data'!EG59),0,'raw data'!EF59/'raw data'!EG59)</f>
        <v>0</v>
      </c>
      <c r="BS58" s="262">
        <f>IF(ISERROR('raw data'!EH59/'raw data'!EI59),0,'raw data'!EH59/'raw data'!EI59)</f>
        <v>0</v>
      </c>
      <c r="BT58" s="262">
        <f>IF(ISERROR('raw data'!EJ59/'raw data'!EK59),0,'raw data'!EJ59/'raw data'!EK59)</f>
        <v>0</v>
      </c>
      <c r="BU58" s="262">
        <f>IF(ISERROR('raw data'!EL59/'raw data'!EM59),0,'raw data'!EL59/'raw data'!EM59)</f>
        <v>0</v>
      </c>
      <c r="BV58" s="262">
        <f>IF(ISERROR('raw data'!EN59/'raw data'!EO59),0,'raw data'!EN59/'raw data'!EO59)</f>
        <v>0</v>
      </c>
      <c r="BW58" s="262">
        <f>IF(ISERROR('raw data'!EP59/'raw data'!EQ59),0,'raw data'!EP59/'raw data'!EQ59)</f>
        <v>0</v>
      </c>
      <c r="BX58" s="262">
        <f>IF(ISERROR('raw data'!ER59/'raw data'!ES59),0,'raw data'!ER59/'raw data'!ES59)</f>
        <v>0</v>
      </c>
      <c r="BY58" s="238" t="s">
        <v>30</v>
      </c>
      <c r="BZ58" s="238" t="s">
        <v>30</v>
      </c>
      <c r="CA58" s="238" t="s">
        <v>30</v>
      </c>
      <c r="CB58" s="238" t="s">
        <v>30</v>
      </c>
      <c r="CC58" s="238" t="s">
        <v>30</v>
      </c>
      <c r="CD58" s="238" t="s">
        <v>30</v>
      </c>
      <c r="CE58" s="238" t="s">
        <v>30</v>
      </c>
      <c r="CF58" s="238" t="s">
        <v>30</v>
      </c>
      <c r="CG58" s="238" t="s">
        <v>30</v>
      </c>
      <c r="CH58" s="238" t="s">
        <v>30</v>
      </c>
      <c r="CI58" s="238" t="s">
        <v>30</v>
      </c>
      <c r="CJ58" s="238" t="s">
        <v>30</v>
      </c>
      <c r="CK58" s="263">
        <f>IF(ISERROR('raw data'!FT59/'raw data'!FU59),0,'raw data'!FT59/'raw data'!FU59)</f>
        <v>0.1</v>
      </c>
      <c r="CL58" s="263">
        <f>IF(ISERROR('raw data'!FV59/'raw data'!FW59),0,'raw data'!FV59/'raw data'!FW59)</f>
        <v>0</v>
      </c>
      <c r="CM58" s="263">
        <f>IF(ISERROR('raw data'!FX59/'raw data'!FY59),0,'raw data'!FX59/'raw data'!FY59)</f>
        <v>5.8823529411764705E-2</v>
      </c>
      <c r="CN58" s="263">
        <f>IF(ISERROR('raw data'!FZ59/'raw data'!GA59),0,'raw data'!FZ59/'raw data'!GA59)</f>
        <v>3.3898305084745763E-2</v>
      </c>
      <c r="CO58" s="263">
        <f>IF(ISERROR('raw data'!GB59/'raw data'!GC59),0,'raw data'!GB59/'raw data'!GC59)</f>
        <v>0</v>
      </c>
      <c r="CP58" s="263">
        <f>IF(ISERROR('raw data'!GD59/'raw data'!GE59),0,'raw data'!GD59/'raw data'!GE59)</f>
        <v>0</v>
      </c>
      <c r="CQ58" s="263">
        <f>IF(ISERROR('raw data'!GF59/'raw data'!GG59),0,'raw data'!GF59/'raw data'!GG59)</f>
        <v>0</v>
      </c>
      <c r="CR58" s="263">
        <f>IF(ISERROR('raw data'!GH59/'raw data'!GI59),0,'raw data'!GH59/'raw data'!GI59)</f>
        <v>0</v>
      </c>
      <c r="CS58" s="263">
        <f>IF(ISERROR('raw data'!GJ59/'raw data'!GK59),0,'raw data'!GJ59/'raw data'!GK59)</f>
        <v>0</v>
      </c>
      <c r="CT58" s="263">
        <f>IF(ISERROR('raw data'!GL59/'raw data'!GM59),0,'raw data'!GL59/'raw data'!GM59)</f>
        <v>0</v>
      </c>
      <c r="CU58" s="263">
        <f>IF(ISERROR('raw data'!GN59/'raw data'!GO59),0,'raw data'!GN59/'raw data'!GO59)</f>
        <v>1.098901098901099E-2</v>
      </c>
      <c r="CV58" s="263">
        <f>IF(ISERROR('raw data'!GP59/'raw data'!GQ59),0,'raw data'!GP59/'raw data'!GQ59)</f>
        <v>2.5000000000000001E-2</v>
      </c>
      <c r="CW58" s="263">
        <f>IF(ISERROR('raw data'!GR59/'raw data'!GS59),0,'raw data'!GR59/'raw data'!GS59)</f>
        <v>0</v>
      </c>
      <c r="CX58" s="263">
        <f>IF(ISERROR('raw data'!GT59/'raw data'!GU59),0,'raw data'!GT59/'raw data'!GU59)</f>
        <v>0</v>
      </c>
      <c r="CY58" s="263">
        <f>IF(ISERROR('raw data'!GV59/'raw data'!GW59),0,'raw data'!GV59/'raw data'!GW59)</f>
        <v>0</v>
      </c>
      <c r="CZ58" s="263">
        <f>IF(ISERROR('raw data'!GX59/'raw data'!GY59),0,'raw data'!GX59/'raw data'!GY59)</f>
        <v>0</v>
      </c>
      <c r="DA58" s="263">
        <f>IF(ISERROR('raw data'!GZ59/'raw data'!HA59),0,'raw data'!GZ59/'raw data'!HA59)</f>
        <v>0</v>
      </c>
      <c r="DB58" s="238" t="s">
        <v>30</v>
      </c>
      <c r="DC58" s="238" t="s">
        <v>30</v>
      </c>
      <c r="DD58" s="238" t="s">
        <v>30</v>
      </c>
      <c r="DE58" s="238" t="s">
        <v>30</v>
      </c>
      <c r="DF58" s="238" t="s">
        <v>30</v>
      </c>
      <c r="DG58" s="238" t="s">
        <v>30</v>
      </c>
      <c r="DH58" s="238" t="s">
        <v>30</v>
      </c>
      <c r="DI58" s="238" t="s">
        <v>30</v>
      </c>
      <c r="DJ58" s="238" t="s">
        <v>30</v>
      </c>
      <c r="DK58" s="238" t="s">
        <v>30</v>
      </c>
      <c r="DL58" s="238" t="s">
        <v>30</v>
      </c>
      <c r="DM58" s="238" t="s">
        <v>30</v>
      </c>
      <c r="DN58" s="238" t="s">
        <v>30</v>
      </c>
      <c r="DO58" s="238" t="s">
        <v>30</v>
      </c>
      <c r="DP58" s="238" t="s">
        <v>30</v>
      </c>
      <c r="DQ58" s="238" t="s">
        <v>30</v>
      </c>
      <c r="DR58" s="238" t="s">
        <v>30</v>
      </c>
      <c r="DS58" s="238" t="s">
        <v>30</v>
      </c>
      <c r="DT58" s="238" t="s">
        <v>30</v>
      </c>
      <c r="DU58" s="238" t="s">
        <v>30</v>
      </c>
      <c r="DV58" s="238" t="s">
        <v>30</v>
      </c>
      <c r="DW58" s="238" t="s">
        <v>30</v>
      </c>
      <c r="DX58" s="238" t="s">
        <v>30</v>
      </c>
      <c r="DY58" s="238" t="s">
        <v>30</v>
      </c>
      <c r="DZ58" s="238" t="s">
        <v>30</v>
      </c>
      <c r="EA58" s="238" t="s">
        <v>30</v>
      </c>
      <c r="EB58" s="238" t="s">
        <v>30</v>
      </c>
      <c r="EC58" s="238" t="s">
        <v>30</v>
      </c>
      <c r="ED58" s="226"/>
      <c r="EE58" s="264">
        <v>0</v>
      </c>
      <c r="EF58" s="264">
        <v>0</v>
      </c>
      <c r="EG58" s="265">
        <f t="shared" si="0"/>
        <v>0</v>
      </c>
    </row>
    <row r="59" spans="1:137" ht="14" hidden="1" x14ac:dyDescent="0.15">
      <c r="A59" s="259">
        <v>2.2000000000000002</v>
      </c>
      <c r="B59" s="260">
        <f>'raw data'!B60</f>
        <v>0</v>
      </c>
      <c r="C59" s="261" t="s">
        <v>102</v>
      </c>
      <c r="D59" s="262">
        <f>+'raw data'!D60/'raw data'!E60</f>
        <v>0.05</v>
      </c>
      <c r="E59" s="262">
        <f>+'raw data'!F60/'raw data'!G60</f>
        <v>0</v>
      </c>
      <c r="F59" s="262">
        <f>'raw data'!H60/'raw data'!I60</f>
        <v>0</v>
      </c>
      <c r="G59" s="262">
        <f>'raw data'!J60/'raw data'!K60</f>
        <v>0</v>
      </c>
      <c r="H59" s="262">
        <f>'raw data'!L60/'raw data'!M60</f>
        <v>0</v>
      </c>
      <c r="I59" s="262">
        <f>'raw data'!N60/'raw data'!O60</f>
        <v>0</v>
      </c>
      <c r="J59" s="262">
        <f>'raw data'!P60/'raw data'!Q60</f>
        <v>0</v>
      </c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35"/>
      <c r="AH59" s="235"/>
      <c r="AI59" s="235"/>
      <c r="AJ59" s="235"/>
      <c r="AK59" s="235"/>
      <c r="AL59" s="235"/>
      <c r="AM59" s="235"/>
      <c r="AN59" s="235"/>
      <c r="AO59" s="235"/>
      <c r="AP59" s="235"/>
      <c r="AQ59" s="235"/>
      <c r="AR59" s="235"/>
      <c r="AS59" s="235"/>
      <c r="AT59" s="235"/>
      <c r="AU59" s="235"/>
      <c r="AV59" s="235"/>
      <c r="AW59" s="235"/>
      <c r="AX59" s="235"/>
      <c r="AY59" s="235"/>
      <c r="AZ59" s="235"/>
      <c r="BA59" s="235">
        <f>IF(ISERROR('raw data'!CX60/'raw data'!CY60),0,'raw data'!CX60/'raw data'!CY60)</f>
        <v>0</v>
      </c>
      <c r="BB59" s="235">
        <f>IF(ISERROR('raw data'!CZ60/'raw data'!DA60),0,'raw data'!CZ60/'raw data'!DA60)</f>
        <v>0</v>
      </c>
      <c r="BC59" s="235">
        <f>IF(ISERROR('raw data'!DB60/'raw data'!DC60),0,'raw data'!DB60/'raw data'!DC60)</f>
        <v>0</v>
      </c>
      <c r="BD59" s="235">
        <v>0</v>
      </c>
      <c r="BE59" s="235">
        <f>IF(ISERROR('raw data'!DF60/'raw data'!DG60),0,'raw data'!DF60/'raw data'!DG60)</f>
        <v>0</v>
      </c>
      <c r="BF59" s="235">
        <f>IF(ISERROR('raw data'!DH60/'raw data'!DI60),0,'raw data'!DH60/'raw data'!DI60)</f>
        <v>0</v>
      </c>
      <c r="BG59" s="235">
        <f>IF(ISERROR('raw data'!DJ60/'raw data'!DK60),0,'raw data'!DJ60/'raw data'!DK60)</f>
        <v>0</v>
      </c>
      <c r="BH59" s="235">
        <f>IF(ISERROR('raw data'!DL60/'raw data'!DM60),0,'raw data'!DL60/'raw data'!DM60)</f>
        <v>0</v>
      </c>
      <c r="BI59" s="235">
        <f>IF(ISERROR('raw data'!DN60/'raw data'!DO60),0,'raw data'!DN60/'raw data'!DO60)</f>
        <v>0</v>
      </c>
      <c r="BJ59" s="235">
        <f>IF(ISERROR('raw data'!DP60/'raw data'!DQ60),0,'raw data'!DP60/'raw data'!DQ60)</f>
        <v>0</v>
      </c>
      <c r="BK59" s="235">
        <f>IF(ISERROR('raw data'!DR60/'raw data'!DS60),0,'raw data'!DR60/'raw data'!DS60)</f>
        <v>0</v>
      </c>
      <c r="BL59" s="235">
        <f>IF(ISERROR('raw data'!DT60/'raw data'!DU60),0,'raw data'!DT60/'raw data'!DU60)</f>
        <v>0</v>
      </c>
      <c r="BM59" s="235">
        <f>IF(ISERROR('raw data'!DV60/'raw data'!DW60),0,'raw data'!DV60/'raw data'!DW60)</f>
        <v>0</v>
      </c>
      <c r="BN59" s="235">
        <f>IF(ISERROR('raw data'!DX60/'raw data'!DY60),0,'raw data'!DX60/'raw data'!DY60)</f>
        <v>0</v>
      </c>
      <c r="BO59" s="235">
        <f>IF(ISERROR('raw data'!DZ60/'raw data'!EA60),0,'raw data'!DZ60/'raw data'!EA60)</f>
        <v>0</v>
      </c>
      <c r="BP59" s="235">
        <f>IF(ISERROR('raw data'!EB60/'raw data'!EC60),0,'raw data'!EB60/'raw data'!EC60)</f>
        <v>0</v>
      </c>
      <c r="BQ59" s="235">
        <f>IF(ISERROR('raw data'!ED60/'raw data'!EE60),0,'raw data'!ED60/'raw data'!EE60)</f>
        <v>0</v>
      </c>
      <c r="BR59" s="235">
        <f>IF(ISERROR('raw data'!EF60/'raw data'!EG60),0,'raw data'!EF60/'raw data'!EG60)</f>
        <v>0</v>
      </c>
      <c r="BS59" s="235">
        <f>IF(ISERROR('raw data'!EH60/'raw data'!EI60),0,'raw data'!EH60/'raw data'!EI60)</f>
        <v>0</v>
      </c>
      <c r="BT59" s="235">
        <f>IF(ISERROR('raw data'!EJ60/'raw data'!EK60),0,'raw data'!EJ60/'raw data'!EK60)</f>
        <v>0</v>
      </c>
      <c r="BU59" s="235">
        <f>IF(ISERROR('raw data'!EL60/'raw data'!EM60),0,'raw data'!EL60/'raw data'!EM60)</f>
        <v>0</v>
      </c>
      <c r="BV59" s="235">
        <f>IF(ISERROR('raw data'!EN60/'raw data'!EO60),0,'raw data'!EN60/'raw data'!EO60)</f>
        <v>0</v>
      </c>
      <c r="BW59" s="235">
        <f>IF(ISERROR('raw data'!EP60/'raw data'!EQ60),0,'raw data'!EP60/'raw data'!EQ60)</f>
        <v>0</v>
      </c>
      <c r="BX59" s="235">
        <f>IF(ISERROR('raw data'!ER60/'raw data'!ES60),0,'raw data'!ER60/'raw data'!ES60)</f>
        <v>0</v>
      </c>
      <c r="BY59" s="235">
        <f>IF(ISERROR('raw data'!ET60/'raw data'!EU60),0,'raw data'!ET60/'raw data'!EU60)</f>
        <v>0</v>
      </c>
      <c r="BZ59" s="235">
        <f>IF(ISERROR('raw data'!EV60/'raw data'!EW60),0,'raw data'!EV60/'raw data'!EW60)</f>
        <v>0</v>
      </c>
      <c r="CA59" s="235">
        <f>IF(ISERROR('raw data'!EX60/'raw data'!EY60),0,'raw data'!EX60/'raw data'!EY60)</f>
        <v>0</v>
      </c>
      <c r="CB59" s="235">
        <f>IF(ISERROR('raw data'!EZ60/'raw data'!FA60),0,'raw data'!EZ60/'raw data'!FA60)</f>
        <v>0</v>
      </c>
      <c r="CC59" s="235">
        <f>IF(ISERROR('raw data'!FB60/'raw data'!FC60),0,'raw data'!FB60/'raw data'!FC60)</f>
        <v>0</v>
      </c>
      <c r="CD59" s="235">
        <f>IF(ISERROR('raw data'!FD60/'raw data'!FE60),0,'raw data'!FD60/'raw data'!FE60)</f>
        <v>0</v>
      </c>
      <c r="CE59" s="235">
        <f>IF(ISERROR('raw data'!FF60/'raw data'!FG60),0,'raw data'!FF60/'raw data'!FG60)</f>
        <v>0</v>
      </c>
      <c r="CF59" s="235">
        <f>IF(ISERROR('raw data'!FH60/'raw data'!FI60),0,'raw data'!FH60/'raw data'!FI60)</f>
        <v>0</v>
      </c>
      <c r="CG59" s="235">
        <f>IF(ISERROR('raw data'!FJ60/'raw data'!FM60),0,'raw data'!FJ60/'raw data'!FM60)</f>
        <v>0</v>
      </c>
      <c r="CH59" s="235">
        <f>IF(ISERROR('raw data'!FN60/'raw data'!FO60),0,'raw data'!FN60/'raw data'!FO60)</f>
        <v>0</v>
      </c>
      <c r="CI59" s="235">
        <f>IF(ISERROR('raw data'!FP60/'raw data'!FQ60),0,'raw data'!FP60/'raw data'!FQ60)</f>
        <v>0</v>
      </c>
      <c r="CJ59" s="235">
        <f>IF(ISERROR('raw data'!FR60/'raw data'!FS60),0,'raw data'!FR60/'raw data'!FS60)</f>
        <v>0</v>
      </c>
      <c r="CK59" s="262"/>
      <c r="CL59" s="262"/>
      <c r="CM59" s="262"/>
      <c r="CN59" s="262"/>
      <c r="CO59" s="262"/>
      <c r="CP59" s="262"/>
      <c r="CQ59" s="262"/>
      <c r="CR59" s="262"/>
      <c r="CS59" s="262"/>
      <c r="CT59" s="262"/>
      <c r="CU59" s="262"/>
      <c r="CV59" s="262"/>
      <c r="CW59" s="262"/>
      <c r="CX59" s="262"/>
      <c r="CY59" s="262"/>
      <c r="CZ59" s="262"/>
      <c r="DA59" s="262"/>
      <c r="DB59" s="262"/>
      <c r="DC59" s="262"/>
      <c r="DD59" s="262"/>
      <c r="DE59" s="262"/>
      <c r="DF59" s="262"/>
      <c r="DG59" s="262"/>
      <c r="DH59" s="262"/>
      <c r="DI59" s="262"/>
      <c r="DJ59" s="262"/>
      <c r="DK59" s="262"/>
      <c r="DL59" s="262"/>
      <c r="DM59" s="262"/>
      <c r="DN59" s="262"/>
      <c r="DO59" s="262"/>
      <c r="DP59" s="262"/>
      <c r="DQ59" s="262"/>
      <c r="DR59" s="262"/>
      <c r="DS59" s="262"/>
      <c r="DT59" s="262"/>
      <c r="DU59" s="262"/>
      <c r="DV59" s="262"/>
      <c r="DW59" s="262"/>
      <c r="DX59" s="262"/>
      <c r="DY59" s="262"/>
      <c r="DZ59" s="262"/>
      <c r="EA59" s="262"/>
      <c r="EB59" s="262"/>
      <c r="EC59" s="262"/>
      <c r="ED59" s="226"/>
      <c r="EE59" s="266">
        <f>SUM('raw data'!CT60,'raw data'!CV60,'raw data'!CX60,'raw data'!CZ60,'raw data'!DB60,'raw data'!DD60,'raw data'!DF60,'raw data'!DH60,'raw data'!DJ60,'raw data'!DL60,'raw data'!DN60,'raw data'!DP60)</f>
        <v>0</v>
      </c>
      <c r="EF59" s="266">
        <f>SUM('raw data'!CU60,'raw data'!CW60,'raw data'!CY60,'raw data'!DA60,'raw data'!DC60,'raw data'!DE60,'raw data'!DG60,'raw data'!DI60,'raw data'!DK60,'raw data'!DM60,'raw data'!DO60,'raw data'!DQ60)</f>
        <v>0</v>
      </c>
      <c r="EG59" s="267">
        <f t="shared" si="0"/>
        <v>0</v>
      </c>
    </row>
    <row r="60" spans="1:137" ht="25.5" customHeight="1" x14ac:dyDescent="0.15">
      <c r="A60" s="259">
        <v>2.2999999999999998</v>
      </c>
      <c r="B60" s="260" t="str">
        <f>'raw data'!B61</f>
        <v>Loans with overpayments equal to or greater than 20% of the loan in first 12 months</v>
      </c>
      <c r="C60" s="261" t="s">
        <v>104</v>
      </c>
      <c r="D60" s="262">
        <f>+'raw data'!D61/'raw data'!E61</f>
        <v>5.7142857142857141E-2</v>
      </c>
      <c r="E60" s="262">
        <f>+'raw data'!F61/'raw data'!G61</f>
        <v>0</v>
      </c>
      <c r="F60" s="262">
        <f>'raw data'!H61/'raw data'!I61</f>
        <v>0</v>
      </c>
      <c r="G60" s="262">
        <f>'raw data'!J61/'raw data'!K61</f>
        <v>0</v>
      </c>
      <c r="H60" s="262">
        <f>'raw data'!L61/'raw data'!M61</f>
        <v>0</v>
      </c>
      <c r="I60" s="262">
        <f>'raw data'!N61/'raw data'!O61</f>
        <v>0</v>
      </c>
      <c r="J60" s="262">
        <v>0</v>
      </c>
      <c r="K60" s="262">
        <v>0</v>
      </c>
      <c r="L60" s="262">
        <f>'raw data'!T61/'raw data'!U61</f>
        <v>0</v>
      </c>
      <c r="M60" s="262">
        <f>'raw data'!V61/'raw data'!W61</f>
        <v>0</v>
      </c>
      <c r="N60" s="262">
        <f>'raw data'!X61/'raw data'!Y61</f>
        <v>0</v>
      </c>
      <c r="O60" s="262">
        <f>IF(ISERROR('raw data'!Z61/'raw data'!AA61),0,'raw data'!Z61/'raw data'!AA61)</f>
        <v>0</v>
      </c>
      <c r="P60" s="262">
        <f>IF(ISERROR('raw data'!AB61/'raw data'!AC61),0,'raw data'!AB61/'raw data'!AC61)</f>
        <v>0</v>
      </c>
      <c r="Q60" s="262">
        <f>IF(ISERROR('raw data'!AD61/'raw data'!AE61),0,'raw data'!AD61/'raw data'!AE61)</f>
        <v>0</v>
      </c>
      <c r="R60" s="262">
        <f>IF(ISERROR('raw data'!AF61/'raw data'!AG61),0,'raw data'!AF61/'raw data'!AG61)</f>
        <v>0</v>
      </c>
      <c r="S60" s="262">
        <f>IF(ISERROR('raw data'!AH61/'raw data'!AI61),0,'raw data'!AH61/'raw data'!AI61)</f>
        <v>0</v>
      </c>
      <c r="T60" s="262">
        <f>IF(ISERROR('raw data'!AJ61/'raw data'!AK61),0,'raw data'!AJ61/'raw data'!AK61)</f>
        <v>0</v>
      </c>
      <c r="U60" s="262">
        <f>IF(ISERROR('raw data'!AL61/'raw data'!AM61),0,'raw data'!AL61/'raw data'!AM61)</f>
        <v>0</v>
      </c>
      <c r="V60" s="262">
        <f>IF(ISERROR('raw data'!AN61/'raw data'!AO61),0,'raw data'!AN61/'raw data'!AO61)</f>
        <v>0</v>
      </c>
      <c r="W60" s="262">
        <f>IF(ISERROR('raw data'!AP61/'raw data'!AQ61),0,'raw data'!AP61/'raw data'!AQ61)</f>
        <v>0</v>
      </c>
      <c r="X60" s="262">
        <f>IF(ISERROR('raw data'!AR61/'raw data'!AS61),0,'raw data'!AR61/'raw data'!AS61)</f>
        <v>0</v>
      </c>
      <c r="Y60" s="262">
        <f>IF(ISERROR('raw data'!AT61/'raw data'!AU61),0,'raw data'!AT61/'raw data'!AU61)</f>
        <v>0</v>
      </c>
      <c r="Z60" s="262">
        <f>IF(ISERROR('raw data'!AV61/'raw data'!AW61),0,'raw data'!AV61/'raw data'!AW61)</f>
        <v>5.5555555555555552E-2</v>
      </c>
      <c r="AA60" s="262">
        <f>IF(ISERROR('raw data'!AX61/'raw data'!AY61),0,'raw data'!AX61/'raw data'!AY61)</f>
        <v>0</v>
      </c>
      <c r="AB60" s="262">
        <f>IF(ISERROR('raw data'!AZ61/'raw data'!BA61),0,'raw data'!AZ61/'raw data'!BA61)</f>
        <v>0</v>
      </c>
      <c r="AC60" s="262">
        <f>IF(ISERROR('raw data'!BB61/'raw data'!BC61),0,'raw data'!BB61/'raw data'!BC61)</f>
        <v>0</v>
      </c>
      <c r="AD60" s="262">
        <f>IF(ISERROR('raw data'!BD61/'raw data'!BE61),0,'raw data'!BD61/'raw data'!BE61)</f>
        <v>0</v>
      </c>
      <c r="AE60" s="262">
        <f>IF(ISERROR('raw data'!BF61/'raw data'!BG61),0,'raw data'!BF61/'raw data'!BG61)</f>
        <v>0</v>
      </c>
      <c r="AF60" s="262">
        <f>IF(ISERROR('raw data'!BH61/'raw data'!BI61),0,'raw data'!BH61/'raw data'!BI61)</f>
        <v>0</v>
      </c>
      <c r="AG60" s="262">
        <f>IF(ISERROR('raw data'!BJ61/'raw data'!BK61),0,'raw data'!BJ61/'raw data'!BK61)</f>
        <v>0</v>
      </c>
      <c r="AH60" s="262">
        <f>IF(ISERROR('raw data'!BL61/'raw data'!BM61),0,'raw data'!BL61/'raw data'!BM61)</f>
        <v>0.5</v>
      </c>
      <c r="AI60" s="262">
        <f>IF(ISERROR('raw data'!BN61/'raw data'!BO61),0,'raw data'!BN61/'raw data'!BO61)</f>
        <v>0</v>
      </c>
      <c r="AJ60" s="262">
        <f>IF(ISERROR('raw data'!BP61/'raw data'!BQ61),0,'raw data'!BP61/'raw data'!BQ61)</f>
        <v>0</v>
      </c>
      <c r="AK60" s="262">
        <f>IF(ISERROR('raw data'!BR61/'raw data'!BS61),0,'raw data'!BR61/'raw data'!BS61)</f>
        <v>0</v>
      </c>
      <c r="AL60" s="262">
        <f>IF(ISERROR('raw data'!BT61/'raw data'!BU61),0,'raw data'!BT61/'raw data'!BU61)</f>
        <v>0</v>
      </c>
      <c r="AM60" s="262">
        <f>IF(ISERROR('raw data'!BV61/'raw data'!BW61),0,'raw data'!BV61/'raw data'!BW61)</f>
        <v>0</v>
      </c>
      <c r="AN60" s="262">
        <f>IF(ISERROR('raw data'!BX61/'raw data'!BY61),0,'raw data'!BX61/'raw data'!BY61)</f>
        <v>0</v>
      </c>
      <c r="AO60" s="262">
        <f>IF(ISERROR('raw data'!BZ61/'raw data'!CA61),0,'raw data'!BZ61/'raw data'!CA61)</f>
        <v>0</v>
      </c>
      <c r="AP60" s="262">
        <f>IF(ISERROR('raw data'!CB61/'raw data'!CC61),0,'raw data'!CB61/'raw data'!CC61)</f>
        <v>0</v>
      </c>
      <c r="AQ60" s="262">
        <f>IF(ISERROR('raw data'!CD61/'raw data'!CE61),0,'raw data'!CD61/'raw data'!CE61)</f>
        <v>0</v>
      </c>
      <c r="AR60" s="262">
        <f>IF(ISERROR('raw data'!CF61/'raw data'!CG61),0,'raw data'!CF61/'raw data'!CG61)</f>
        <v>0</v>
      </c>
      <c r="AS60" s="262">
        <f>IF(ISERROR('raw data'!CH61/'raw data'!CI61),0,'raw data'!CH61/'raw data'!CI61)</f>
        <v>0</v>
      </c>
      <c r="AT60" s="262">
        <f>IF(ISERROR('raw data'!CJ61/'raw data'!CK61),0,'raw data'!CJ61/'raw data'!CK61)</f>
        <v>0</v>
      </c>
      <c r="AU60" s="262">
        <f>IF(ISERROR('raw data'!CL61/'raw data'!CM61),0,'raw data'!CL61/'raw data'!CM61)</f>
        <v>0</v>
      </c>
      <c r="AV60" s="262">
        <f>IF(ISERROR('raw data'!CN61/'raw data'!CO61),0,'raw data'!CN61/'raw data'!CO61)</f>
        <v>0</v>
      </c>
      <c r="AW60" s="262">
        <f>IF(ISERROR('raw data'!CP61/'raw data'!CQ61),0,'raw data'!CP61/'raw data'!CQ61)</f>
        <v>0</v>
      </c>
      <c r="AX60" s="262">
        <f>IF(ISERROR('raw data'!CR61/'raw data'!CS61),0,'raw data'!CR61/'raw data'!CS61)</f>
        <v>0</v>
      </c>
      <c r="AY60" s="262">
        <f>IF(ISERROR('raw data'!CT61/'raw data'!CU61),0,'raw data'!CT61/'raw data'!CU61)</f>
        <v>0</v>
      </c>
      <c r="AZ60" s="262">
        <f>IF(ISERROR('raw data'!CV61/'raw data'!CW61),0,'raw data'!CV61/'raw data'!CW61)</f>
        <v>0</v>
      </c>
      <c r="BA60" s="262">
        <f>IF(ISERROR('raw data'!CX61/'raw data'!CY61),0,'raw data'!CX61/'raw data'!CY61)</f>
        <v>0</v>
      </c>
      <c r="BB60" s="262">
        <f>IF(ISERROR('raw data'!CZ61/'raw data'!DA61),0,'raw data'!CZ61/'raw data'!DA61)</f>
        <v>0</v>
      </c>
      <c r="BC60" s="262">
        <f>IF(ISERROR('raw data'!DB61/'raw data'!DC61),0,'raw data'!DB61/'raw data'!DC61)</f>
        <v>0</v>
      </c>
      <c r="BD60" s="262">
        <v>0</v>
      </c>
      <c r="BE60" s="262">
        <f>IF(ISERROR('raw data'!DF61/'raw data'!DG61),0,'raw data'!DF61/'raw data'!DG61)</f>
        <v>0</v>
      </c>
      <c r="BF60" s="262">
        <f>IF(ISERROR('raw data'!DH61/'raw data'!DI61),0,'raw data'!DH61/'raw data'!DI61)</f>
        <v>0</v>
      </c>
      <c r="BG60" s="262">
        <f>IF(ISERROR('raw data'!DJ61/'raw data'!DK61),0,'raw data'!DJ61/'raw data'!DK61)</f>
        <v>4.1095890410958902E-2</v>
      </c>
      <c r="BH60" s="262">
        <f>IF(ISERROR('raw data'!DL61/'raw data'!DM61),0,'raw data'!DL61/'raw data'!DM61)</f>
        <v>0</v>
      </c>
      <c r="BI60" s="262">
        <f>IF(ISERROR('raw data'!DN61/'raw data'!DO61),0,'raw data'!DN61/'raw data'!DO61)</f>
        <v>5.8823529411764705E-2</v>
      </c>
      <c r="BJ60" s="262">
        <f>IF(ISERROR('raw data'!DP61/'raw data'!DQ61),0,'raw data'!DP61/'raw data'!DQ61)</f>
        <v>3.7037037037037035E-2</v>
      </c>
      <c r="BK60" s="262">
        <f>IF(ISERROR('raw data'!DR61/'raw data'!DS61),0,'raw data'!DR61/'raw data'!DS61)</f>
        <v>2.1739130434782608E-2</v>
      </c>
      <c r="BL60" s="262">
        <f>IF(ISERROR('raw data'!DT61/'raw data'!DU61),0,'raw data'!DT61/'raw data'!DU61)</f>
        <v>1.0752688172043012E-2</v>
      </c>
      <c r="BM60" s="262">
        <f>IF(ISERROR('raw data'!DV61/'raw data'!DW61),0,'raw data'!DV61/'raw data'!DW61)</f>
        <v>0</v>
      </c>
      <c r="BN60" s="262">
        <f>IF(ISERROR('raw data'!DX61/'raw data'!DY61),0,'raw data'!DX61/'raw data'!DY61)</f>
        <v>1.8691588785046728E-2</v>
      </c>
      <c r="BO60" s="262">
        <f>IF(ISERROR('raw data'!DZ61/'raw data'!EA61),0,'raw data'!DZ61/'raw data'!EA61)</f>
        <v>0</v>
      </c>
      <c r="BP60" s="262">
        <f>IF(ISERROR('raw data'!EB61/'raw data'!EC61),0,'raw data'!EB61/'raw data'!EC61)</f>
        <v>0</v>
      </c>
      <c r="BQ60" s="262">
        <f>IF(ISERROR('raw data'!ED61/'raw data'!EE61),0,'raw data'!ED61/'raw data'!EE61)</f>
        <v>2.4691358024691357E-2</v>
      </c>
      <c r="BR60" s="262">
        <f>IF(ISERROR('raw data'!EF61/'raw data'!EG61),0,'raw data'!EF61/'raw data'!EG61)</f>
        <v>0</v>
      </c>
      <c r="BS60" s="262">
        <f>IF(ISERROR('raw data'!EH61/'raw data'!EI61),0,'raw data'!EH61/'raw data'!EI61)</f>
        <v>0</v>
      </c>
      <c r="BT60" s="262">
        <f>IF(ISERROR('raw data'!EJ61/'raw data'!EK61),0,'raw data'!EJ61/'raw data'!EK61)</f>
        <v>0</v>
      </c>
      <c r="BU60" s="262">
        <f>IF(ISERROR('raw data'!EL61/'raw data'!EM61),0,'raw data'!EL61/'raw data'!EM61)</f>
        <v>1.4705882352941176E-2</v>
      </c>
      <c r="BV60" s="262">
        <f>IF(ISERROR('raw data'!EN61/'raw data'!EO61),0,'raw data'!EN61/'raw data'!EO61)</f>
        <v>2.247191011235955E-2</v>
      </c>
      <c r="BW60" s="262">
        <f>IF(ISERROR('raw data'!EP61/'raw data'!EQ61),0,'raw data'!EP61/'raw data'!EQ61)</f>
        <v>0</v>
      </c>
      <c r="BX60" s="262">
        <f>IF(ISERROR('raw data'!ER61/'raw data'!ES61),0,'raw data'!ER61/'raw data'!ES61)</f>
        <v>0</v>
      </c>
      <c r="BY60" s="262">
        <f>IF(ISERROR('raw data'!ET61/'raw data'!EU61),0,'raw data'!ET61/'raw data'!EU61)</f>
        <v>6.5789473684210523E-3</v>
      </c>
      <c r="BZ60" s="262">
        <f>IF(ISERROR('raw data'!EV61/'raw data'!EW61),0,'raw data'!EV61/'raw data'!EW61)</f>
        <v>0</v>
      </c>
      <c r="CA60" s="262">
        <f>IF(ISERROR('raw data'!EX61/'raw data'!EY61),0,'raw data'!EX61/'raw data'!EY61)</f>
        <v>2.0408163265306121E-2</v>
      </c>
      <c r="CB60" s="262">
        <f>IF(ISERROR('raw data'!EZ61/'raw data'!FA61),0,'raw data'!EZ61/'raw data'!FA61)</f>
        <v>1.4925373134328358E-2</v>
      </c>
      <c r="CC60" s="262">
        <f>IF(ISERROR('raw data'!FB61/'raw data'!FC61),0,'raw data'!FB61/'raw data'!FC61)</f>
        <v>4.3478260869565216E-2</v>
      </c>
      <c r="CD60" s="262">
        <f>IF(ISERROR('raw data'!FD61/'raw data'!FE61),0,'raw data'!FD61/'raw data'!FE61)</f>
        <v>1.4705882352941176E-2</v>
      </c>
      <c r="CE60" s="262">
        <f>IF(ISERROR('raw data'!FF61/'raw data'!FG61),0,'raw data'!FF61/'raw data'!FG61)</f>
        <v>2.5000000000000001E-2</v>
      </c>
      <c r="CF60" s="262">
        <f>IF(ISERROR('raw data'!FH61/'raw data'!FI61),0,'raw data'!FH61/'raw data'!FI61)</f>
        <v>3.7037037037037035E-2</v>
      </c>
      <c r="CG60" s="238" t="s">
        <v>30</v>
      </c>
      <c r="CH60" s="238" t="s">
        <v>30</v>
      </c>
      <c r="CI60" s="238" t="s">
        <v>30</v>
      </c>
      <c r="CJ60" s="238" t="s">
        <v>30</v>
      </c>
      <c r="CK60" s="263">
        <f>IF(ISERROR('raw data'!FT61/'raw data'!FU61),0,'raw data'!FT61/'raw data'!FU61)</f>
        <v>4.5454545454545456E-2</v>
      </c>
      <c r="CL60" s="263">
        <f>IF(ISERROR('raw data'!FV61/'raw data'!FW61),0,'raw data'!FV61/'raw data'!FW61)</f>
        <v>0</v>
      </c>
      <c r="CM60" s="263">
        <f>IF(ISERROR('raw data'!FX61/'raw data'!FY61),0,'raw data'!FX61/'raw data'!FY61)</f>
        <v>2.8571428571428571E-2</v>
      </c>
      <c r="CN60" s="263">
        <f>IF(ISERROR('raw data'!FZ61/'raw data'!GA61),0,'raw data'!FZ61/'raw data'!GA61)</f>
        <v>0</v>
      </c>
      <c r="CO60" s="263">
        <f>IF(ISERROR('raw data'!GB61/'raw data'!GC61),0,'raw data'!GB61/'raw data'!GC61)</f>
        <v>0</v>
      </c>
      <c r="CP60" s="263">
        <f>IF(ISERROR('raw data'!GD61/'raw data'!GE61),0,'raw data'!GD61/'raw data'!GE61)</f>
        <v>0</v>
      </c>
      <c r="CQ60" s="263">
        <f>IF(ISERROR('raw data'!GF61/'raw data'!GG61),0,'raw data'!GF61/'raw data'!GG61)</f>
        <v>0.125</v>
      </c>
      <c r="CR60" s="263">
        <f>IF(ISERROR('raw data'!GH61/'raw data'!GI61),0,'raw data'!GH61/'raw data'!GI61)</f>
        <v>0</v>
      </c>
      <c r="CS60" s="263">
        <f>IF(ISERROR('raw data'!GJ61/'raw data'!GK61),0,'raw data'!GJ61/'raw data'!GK61)</f>
        <v>0</v>
      </c>
      <c r="CT60" s="263">
        <f>IF(ISERROR('raw data'!GL61/'raw data'!GM61),0,'raw data'!GL61/'raw data'!GM61)</f>
        <v>0</v>
      </c>
      <c r="CU60" s="263">
        <f>IF(ISERROR('raw data'!GN61/'raw data'!GO61),0,'raw data'!GN61/'raw data'!GO61)</f>
        <v>0</v>
      </c>
      <c r="CV60" s="263">
        <f>IF(ISERROR('raw data'!GP61/'raw data'!GQ61),0,'raw data'!GP61/'raw data'!GQ61)</f>
        <v>0</v>
      </c>
      <c r="CW60" s="263">
        <f>IF(ISERROR('raw data'!GR61/'raw data'!GS61),0,'raw data'!GR61/'raw data'!GS61)</f>
        <v>0</v>
      </c>
      <c r="CX60" s="263">
        <f>IF(ISERROR('raw data'!GT61/'raw data'!GU61),0,'raw data'!GT61/'raw data'!GU61)</f>
        <v>5.4054054054054057E-2</v>
      </c>
      <c r="CY60" s="263">
        <f>IF(ISERROR('raw data'!GV61/'raw data'!GW61),0,'raw data'!GV61/'raw data'!GW61)</f>
        <v>0</v>
      </c>
      <c r="CZ60" s="263">
        <f>IF(ISERROR('raw data'!GX61/'raw data'!GY61),0,'raw data'!GX61/'raw data'!GY61)</f>
        <v>0</v>
      </c>
      <c r="DA60" s="263">
        <f>IF(ISERROR('raw data'!GZ61/'raw data'!HA61),0,'raw data'!GZ61/'raw data'!HA61)</f>
        <v>0.04</v>
      </c>
      <c r="DB60" s="238" t="s">
        <v>30</v>
      </c>
      <c r="DC60" s="238" t="s">
        <v>30</v>
      </c>
      <c r="DD60" s="238" t="s">
        <v>30</v>
      </c>
      <c r="DE60" s="238" t="s">
        <v>30</v>
      </c>
      <c r="DF60" s="238" t="s">
        <v>30</v>
      </c>
      <c r="DG60" s="238" t="s">
        <v>30</v>
      </c>
      <c r="DH60" s="238" t="s">
        <v>30</v>
      </c>
      <c r="DI60" s="238" t="s">
        <v>30</v>
      </c>
      <c r="DJ60" s="238" t="s">
        <v>30</v>
      </c>
      <c r="DK60" s="238" t="s">
        <v>30</v>
      </c>
      <c r="DL60" s="238" t="s">
        <v>30</v>
      </c>
      <c r="DM60" s="238" t="s">
        <v>30</v>
      </c>
      <c r="DN60" s="238" t="s">
        <v>30</v>
      </c>
      <c r="DO60" s="238" t="s">
        <v>30</v>
      </c>
      <c r="DP60" s="238" t="s">
        <v>30</v>
      </c>
      <c r="DQ60" s="238" t="s">
        <v>30</v>
      </c>
      <c r="DR60" s="238" t="s">
        <v>30</v>
      </c>
      <c r="DS60" s="238" t="s">
        <v>30</v>
      </c>
      <c r="DT60" s="238" t="s">
        <v>30</v>
      </c>
      <c r="DU60" s="238" t="s">
        <v>30</v>
      </c>
      <c r="DV60" s="238" t="s">
        <v>30</v>
      </c>
      <c r="DW60" s="238" t="s">
        <v>30</v>
      </c>
      <c r="DX60" s="238" t="s">
        <v>30</v>
      </c>
      <c r="DY60" s="238" t="s">
        <v>30</v>
      </c>
      <c r="DZ60" s="238" t="s">
        <v>30</v>
      </c>
      <c r="EA60" s="238" t="s">
        <v>30</v>
      </c>
      <c r="EB60" s="238" t="s">
        <v>30</v>
      </c>
      <c r="EC60" s="238" t="s">
        <v>30</v>
      </c>
      <c r="ED60" s="226"/>
      <c r="EE60" s="264">
        <v>0</v>
      </c>
      <c r="EF60" s="264">
        <v>0</v>
      </c>
      <c r="EG60" s="265">
        <f t="shared" si="0"/>
        <v>0</v>
      </c>
    </row>
    <row r="61" spans="1:137" ht="14.25" hidden="1" customHeight="1" x14ac:dyDescent="0.15">
      <c r="A61" s="259">
        <v>1.8</v>
      </c>
      <c r="B61" s="260">
        <f>'raw data'!B62</f>
        <v>0</v>
      </c>
      <c r="C61" s="261" t="s">
        <v>250</v>
      </c>
      <c r="D61" s="262">
        <f>+'raw data'!D62/'raw data'!E62</f>
        <v>0</v>
      </c>
      <c r="E61" s="262">
        <f>+'raw data'!F62/'raw data'!G62</f>
        <v>0</v>
      </c>
      <c r="F61" s="262">
        <f>'raw data'!H62/'raw data'!I62</f>
        <v>2.9411764705882353E-2</v>
      </c>
      <c r="G61" s="262">
        <f>'raw data'!J62/'raw data'!K62</f>
        <v>0</v>
      </c>
      <c r="H61" s="262">
        <f>'raw data'!L62/'raw data'!M62</f>
        <v>3.7037037037037035E-2</v>
      </c>
      <c r="I61" s="262">
        <f>'raw data'!N62/'raw data'!O62</f>
        <v>0</v>
      </c>
      <c r="J61" s="262">
        <f>'raw data'!P62/'raw data'!Q62</f>
        <v>0</v>
      </c>
      <c r="K61" s="262">
        <f>'raw data'!R62/'raw data'!S62</f>
        <v>0</v>
      </c>
      <c r="L61" s="262">
        <f>'raw data'!T62/'raw data'!U62</f>
        <v>0</v>
      </c>
      <c r="M61" s="262">
        <f>'raw data'!V62/'raw data'!W62</f>
        <v>1.5625E-2</v>
      </c>
      <c r="N61" s="262">
        <f>'raw data'!X62/'raw data'!Y62</f>
        <v>0</v>
      </c>
      <c r="O61" s="262">
        <f>IF(ISERROR('raw data'!Z62/'raw data'!AA62),0,'raw data'!Z62/'raw data'!AA62)</f>
        <v>0</v>
      </c>
      <c r="P61" s="262">
        <f>IF(ISERROR('raw data'!AB62/'raw data'!AC62),0,'raw data'!AB62/'raw data'!AC62)</f>
        <v>0</v>
      </c>
      <c r="Q61" s="262">
        <f>IF(ISERROR('raw data'!AD62/'raw data'!AE62),0,'raw data'!AD62/'raw data'!AE62)</f>
        <v>0</v>
      </c>
      <c r="R61" s="262">
        <f>IF(ISERROR('raw data'!AF62/'raw data'!AG62),0,'raw data'!AF62/'raw data'!AG62)</f>
        <v>0</v>
      </c>
      <c r="S61" s="262">
        <f>IF(ISERROR('raw data'!AH62/'raw data'!AI62),0,'raw data'!AH62/'raw data'!AI62)</f>
        <v>0</v>
      </c>
      <c r="T61" s="262">
        <f>IF(ISERROR('raw data'!AJ62/'raw data'!AK62),0,'raw data'!AJ62/'raw data'!AK62)</f>
        <v>0</v>
      </c>
      <c r="U61" s="262">
        <f>IF(ISERROR('raw data'!AL62/'raw data'!AM62),0,'raw data'!AL62/'raw data'!AM62)</f>
        <v>0</v>
      </c>
      <c r="V61" s="262">
        <f>IF(ISERROR('raw data'!AN62/'raw data'!AO62),0,'raw data'!AN62/'raw data'!AO62)</f>
        <v>0</v>
      </c>
      <c r="W61" s="262">
        <f>IF(ISERROR('raw data'!AP62/'raw data'!AQ62),0,'raw data'!AP62/'raw data'!AQ62)</f>
        <v>0</v>
      </c>
      <c r="X61" s="262">
        <f>IF(ISERROR('raw data'!AR62/'raw data'!AS62),0,'raw data'!AR62/'raw data'!AS62)</f>
        <v>0</v>
      </c>
      <c r="Y61" s="262">
        <f>IF(ISERROR('raw data'!AT62/'raw data'!AU62),0,'raw data'!AT62/'raw data'!AU62)</f>
        <v>0</v>
      </c>
      <c r="Z61" s="235"/>
      <c r="AA61" s="235"/>
      <c r="AB61" s="235"/>
      <c r="AC61" s="235"/>
      <c r="AD61" s="235"/>
      <c r="AE61" s="235"/>
      <c r="AF61" s="235"/>
      <c r="AG61" s="235"/>
      <c r="AH61" s="235"/>
      <c r="AI61" s="235"/>
      <c r="AJ61" s="235"/>
      <c r="AK61" s="235"/>
      <c r="AL61" s="235"/>
      <c r="AM61" s="235"/>
      <c r="AN61" s="235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  <c r="BA61" s="235">
        <f>IF(ISERROR('raw data'!CX62/'raw data'!CY62),0,'raw data'!CX62/'raw data'!CY62)</f>
        <v>0</v>
      </c>
      <c r="BB61" s="235">
        <f>IF(ISERROR('raw data'!CZ62/'raw data'!DA62),0,'raw data'!CZ62/'raw data'!DA62)</f>
        <v>0</v>
      </c>
      <c r="BC61" s="235">
        <f>IF(ISERROR('raw data'!DB62/'raw data'!DC62),0,'raw data'!DB62/'raw data'!DC62)</f>
        <v>0</v>
      </c>
      <c r="BD61" s="235">
        <v>0</v>
      </c>
      <c r="BE61" s="235">
        <f>IF(ISERROR('raw data'!DF62/'raw data'!DG62),0,'raw data'!DF62/'raw data'!DG62)</f>
        <v>0</v>
      </c>
      <c r="BF61" s="235">
        <f>IF(ISERROR('raw data'!DH62/'raw data'!DI62),0,'raw data'!DH62/'raw data'!DI62)</f>
        <v>0</v>
      </c>
      <c r="BG61" s="235">
        <f>IF(ISERROR('raw data'!DJ62/'raw data'!DK62),0,'raw data'!DJ62/'raw data'!DK62)</f>
        <v>0</v>
      </c>
      <c r="BH61" s="235">
        <f>IF(ISERROR('raw data'!DL62/'raw data'!DM62),0,'raw data'!DL62/'raw data'!DM62)</f>
        <v>0</v>
      </c>
      <c r="BI61" s="235">
        <f>IF(ISERROR('raw data'!DN62/'raw data'!DO62),0,'raw data'!DN62/'raw data'!DO62)</f>
        <v>0</v>
      </c>
      <c r="BJ61" s="235">
        <f>IF(ISERROR('raw data'!DP62/'raw data'!DQ62),0,'raw data'!DP62/'raw data'!DQ62)</f>
        <v>0</v>
      </c>
      <c r="BK61" s="235">
        <f>IF(ISERROR('raw data'!DR62/'raw data'!DS62),0,'raw data'!DR62/'raw data'!DS62)</f>
        <v>0</v>
      </c>
      <c r="BL61" s="235">
        <f>IF(ISERROR('raw data'!DT62/'raw data'!DU62),0,'raw data'!DT62/'raw data'!DU62)</f>
        <v>0</v>
      </c>
      <c r="BM61" s="235">
        <f>IF(ISERROR('raw data'!DV62/'raw data'!DW62),0,'raw data'!DV62/'raw data'!DW62)</f>
        <v>0</v>
      </c>
      <c r="BN61" s="235">
        <f>IF(ISERROR('raw data'!DX62/'raw data'!DY62),0,'raw data'!DX62/'raw data'!DY62)</f>
        <v>0</v>
      </c>
      <c r="BO61" s="235">
        <f>IF(ISERROR('raw data'!DZ62/'raw data'!EA62),0,'raw data'!DZ62/'raw data'!EA62)</f>
        <v>0</v>
      </c>
      <c r="BP61" s="235">
        <f>IF(ISERROR('raw data'!EB62/'raw data'!EC62),0,'raw data'!EB62/'raw data'!EC62)</f>
        <v>0</v>
      </c>
      <c r="BQ61" s="235">
        <f>IF(ISERROR('raw data'!ED62/'raw data'!EE62),0,'raw data'!ED62/'raw data'!EE62)</f>
        <v>0</v>
      </c>
      <c r="BR61" s="235">
        <f>IF(ISERROR('raw data'!EF62/'raw data'!EG62),0,'raw data'!EF62/'raw data'!EG62)</f>
        <v>0</v>
      </c>
      <c r="BS61" s="235">
        <f>IF(ISERROR('raw data'!EH62/'raw data'!EI62),0,'raw data'!EH62/'raw data'!EI62)</f>
        <v>0</v>
      </c>
      <c r="BT61" s="235">
        <f>IF(ISERROR('raw data'!EJ62/'raw data'!EK62),0,'raw data'!EJ62/'raw data'!EK62)</f>
        <v>0</v>
      </c>
      <c r="BU61" s="235">
        <f>IF(ISERROR('raw data'!EL62/'raw data'!EM62),0,'raw data'!EL62/'raw data'!EM62)</f>
        <v>0</v>
      </c>
      <c r="BV61" s="235">
        <f>IF(ISERROR('raw data'!EN62/'raw data'!EO62),0,'raw data'!EN62/'raw data'!EO62)</f>
        <v>0</v>
      </c>
      <c r="BW61" s="235">
        <f>IF(ISERROR('raw data'!EP62/'raw data'!EQ62),0,'raw data'!EP62/'raw data'!EQ62)</f>
        <v>0</v>
      </c>
      <c r="BX61" s="235">
        <f>IF(ISERROR('raw data'!ER62/'raw data'!ES62),0,'raw data'!ER62/'raw data'!ES62)</f>
        <v>0</v>
      </c>
      <c r="BY61" s="235">
        <f>IF(ISERROR('raw data'!ET62/'raw data'!EU62),0,'raw data'!ET62/'raw data'!EU62)</f>
        <v>0</v>
      </c>
      <c r="BZ61" s="235">
        <f>IF(ISERROR('raw data'!EV62/'raw data'!EW62),0,'raw data'!EV62/'raw data'!EW62)</f>
        <v>0</v>
      </c>
      <c r="CA61" s="235">
        <f>IF(ISERROR('raw data'!EX62/'raw data'!EY62),0,'raw data'!EX62/'raw data'!EY62)</f>
        <v>0</v>
      </c>
      <c r="CB61" s="235">
        <f>IF(ISERROR('raw data'!EZ62/'raw data'!FA62),0,'raw data'!EZ62/'raw data'!FA62)</f>
        <v>0</v>
      </c>
      <c r="CC61" s="235">
        <f>IF(ISERROR('raw data'!FB62/'raw data'!FC62),0,'raw data'!FB62/'raw data'!FC62)</f>
        <v>0</v>
      </c>
      <c r="CD61" s="235">
        <f>IF(ISERROR('raw data'!FD62/'raw data'!FE62),0,'raw data'!FD62/'raw data'!FE62)</f>
        <v>0</v>
      </c>
      <c r="CE61" s="235">
        <f>IF(ISERROR('raw data'!FF62/'raw data'!FG62),0,'raw data'!FF62/'raw data'!FG62)</f>
        <v>0</v>
      </c>
      <c r="CF61" s="235">
        <f>IF(ISERROR('raw data'!FH62/'raw data'!FI62),0,'raw data'!FH62/'raw data'!FI62)</f>
        <v>0</v>
      </c>
      <c r="CG61" s="235">
        <f>IF(ISERROR('raw data'!FJ62/'raw data'!FM62),0,'raw data'!FJ62/'raw data'!FM62)</f>
        <v>0</v>
      </c>
      <c r="CH61" s="235">
        <f>IF(ISERROR('raw data'!FN62/'raw data'!FO62),0,'raw data'!FN62/'raw data'!FO62)</f>
        <v>0</v>
      </c>
      <c r="CI61" s="235">
        <f>IF(ISERROR('raw data'!FP62/'raw data'!FQ62),0,'raw data'!FP62/'raw data'!FQ62)</f>
        <v>0</v>
      </c>
      <c r="CJ61" s="235">
        <f>IF(ISERROR('raw data'!FR62/'raw data'!FS62),0,'raw data'!FR62/'raw data'!FS62)</f>
        <v>0</v>
      </c>
      <c r="CK61" s="235">
        <f>IF(ISERROR('raw data'!FT62/'raw data'!FU62),0,'raw data'!FT62/'raw data'!FU62)</f>
        <v>0</v>
      </c>
      <c r="CL61" s="235">
        <f>IF(ISERROR('raw data'!FV62/'raw data'!FW62),0,'raw data'!FV62/'raw data'!FW62)</f>
        <v>0</v>
      </c>
      <c r="CM61" s="235">
        <f>IF(ISERROR('raw data'!FX62/'raw data'!FY62),0,'raw data'!FX62/'raw data'!FY62)</f>
        <v>0</v>
      </c>
      <c r="CN61" s="235">
        <f>IF(ISERROR('raw data'!FZ62/'raw data'!GA62),0,'raw data'!FZ62/'raw data'!GA62)</f>
        <v>0</v>
      </c>
      <c r="CO61" s="235">
        <f>IF(ISERROR('raw data'!GB62/'raw data'!GC62),0,'raw data'!GB62/'raw data'!GC62)</f>
        <v>0</v>
      </c>
      <c r="CP61" s="235">
        <f>IF(ISERROR('raw data'!GD62/'raw data'!GE62),0,'raw data'!GD62/'raw data'!GE62)</f>
        <v>0</v>
      </c>
      <c r="CQ61" s="235">
        <f>IF(ISERROR('raw data'!GF62/'raw data'!GG62),0,'raw data'!GF62/'raw data'!GG62)</f>
        <v>0</v>
      </c>
      <c r="CR61" s="235">
        <f>IF(ISERROR('raw data'!GH62/'raw data'!GI62),0,'raw data'!GH62/'raw data'!GI62)</f>
        <v>0</v>
      </c>
      <c r="CS61" s="235">
        <f>IF(ISERROR('raw data'!GJ62/'raw data'!GK62),0,'raw data'!GJ62/'raw data'!GK62)</f>
        <v>0</v>
      </c>
      <c r="CT61" s="235">
        <f>IF(ISERROR('raw data'!GL62/'raw data'!GM62),0,'raw data'!GL62/'raw data'!GM62)</f>
        <v>0</v>
      </c>
      <c r="CU61" s="235">
        <f>IF(ISERROR('raw data'!GN62/'raw data'!GO62),0,'raw data'!GN62/'raw data'!GO62)</f>
        <v>0</v>
      </c>
      <c r="CV61" s="235">
        <f>IF(ISERROR('raw data'!GP62/'raw data'!GQ62),0,'raw data'!GP62/'raw data'!GQ62)</f>
        <v>0</v>
      </c>
      <c r="CW61" s="235">
        <f>IF(ISERROR('raw data'!GR62/'raw data'!GS62),0,'raw data'!GR62/'raw data'!GS62)</f>
        <v>0</v>
      </c>
      <c r="CX61" s="235">
        <f>IF(ISERROR('raw data'!GT62/'raw data'!GU62),0,'raw data'!GT62/'raw data'!GU62)</f>
        <v>0</v>
      </c>
      <c r="CY61" s="235">
        <f>IF(ISERROR('raw data'!GV62/'raw data'!GW62),0,'raw data'!GV62/'raw data'!GW62)</f>
        <v>0</v>
      </c>
      <c r="CZ61" s="235">
        <f>IF(ISERROR('raw data'!GX62/'raw data'!GY62),0,'raw data'!GX62/'raw data'!GY62)</f>
        <v>0</v>
      </c>
      <c r="DA61" s="235">
        <f>IF(ISERROR('raw data'!GZ62/'raw data'!HA62),0,'raw data'!GZ62/'raw data'!HA62)</f>
        <v>0</v>
      </c>
      <c r="DB61" s="235">
        <f>IF(ISERROR('raw data'!HB62/'raw data'!HC62),0,'raw data'!HB62/'raw data'!HC62)</f>
        <v>0</v>
      </c>
      <c r="DC61" s="235">
        <f>IF(ISERROR('raw data'!HD62/'raw data'!HE62),0,'raw data'!HD62/'raw data'!HE62)</f>
        <v>0</v>
      </c>
      <c r="DD61" s="235">
        <f>IF(ISERROR('raw data'!HF62/'raw data'!HG62),0,'raw data'!HF62/'raw data'!HG62)</f>
        <v>0</v>
      </c>
      <c r="DE61" s="235">
        <f>IF(ISERROR('raw data'!HH62/'raw data'!HI62),0,'raw data'!HH62/'raw data'!HI62)</f>
        <v>0</v>
      </c>
      <c r="DF61" s="235">
        <f>IF(ISERROR('raw data'!HJ62/'raw data'!HK62),0,'raw data'!HJ62/'raw data'!HK62)</f>
        <v>0</v>
      </c>
      <c r="DG61" s="235">
        <f>IF(ISERROR('raw data'!HL62/'raw data'!HM62),0,'raw data'!HL62/'raw data'!HM62)</f>
        <v>0</v>
      </c>
      <c r="DH61" s="235">
        <f>IF(ISERROR('raw data'!HN62/'raw data'!HO62),0,'raw data'!HN62/'raw data'!HO62)</f>
        <v>0</v>
      </c>
      <c r="DI61" s="235">
        <f>IF(ISERROR('raw data'!HP62/'raw data'!HQ62),0,'raw data'!HP62/'raw data'!HQ62)</f>
        <v>0</v>
      </c>
      <c r="DJ61" s="235">
        <f>IF(ISERROR('raw data'!HR62/'raw data'!HS62),0,'raw data'!HR62/'raw data'!HS62)</f>
        <v>0</v>
      </c>
      <c r="DK61" s="235">
        <f>IF(ISERROR('raw data'!HT62/'raw data'!HU62),0,'raw data'!HT62/'raw data'!HU62)</f>
        <v>0</v>
      </c>
      <c r="DL61" s="235">
        <f>IF(ISERROR('raw data'!HV62/'raw data'!HW62),0,'raw data'!HV62/'raw data'!HW62)</f>
        <v>0</v>
      </c>
      <c r="DM61" s="235">
        <f>IF(ISERROR('raw data'!HX62/'raw data'!HY62),0,'raw data'!HX62/'raw data'!HY62)</f>
        <v>0</v>
      </c>
      <c r="DN61" s="235">
        <f>IF(ISERROR('raw data'!HZ62/'raw data'!IA62),0,'raw data'!HZ62/'raw data'!IA62)</f>
        <v>0</v>
      </c>
      <c r="DO61" s="235">
        <f>IF(ISERROR('raw data'!IB62/'raw data'!IC62),0,'raw data'!IB62/'raw data'!IC62)</f>
        <v>0</v>
      </c>
      <c r="DP61" s="235">
        <f>IF(ISERROR('raw data'!ID62/'raw data'!IE62),0,'raw data'!ID62/'raw data'!IE62)</f>
        <v>0</v>
      </c>
      <c r="DQ61" s="235">
        <f>IF(ISERROR('raw data'!IF62/'raw data'!IG62),0,'raw data'!IF62/'raw data'!IG62)</f>
        <v>0</v>
      </c>
      <c r="DR61" s="235">
        <f>IF(ISERROR('raw data'!IH62/'raw data'!II62),0,'raw data'!IH62/'raw data'!II62)</f>
        <v>0</v>
      </c>
      <c r="DS61" s="235">
        <f>IF(ISERROR('raw data'!IJ62/'raw data'!IK62),0,'raw data'!IJ62/'raw data'!IK62)</f>
        <v>0</v>
      </c>
      <c r="DT61" s="235">
        <f>IF(ISERROR('raw data'!IL62/'raw data'!IM62),0,'raw data'!IL62/'raw data'!IM62)</f>
        <v>0</v>
      </c>
      <c r="DU61" s="235">
        <f>IF(ISERROR('raw data'!IN62/'raw data'!IO62),0,'raw data'!IN62/'raw data'!IO62)</f>
        <v>0</v>
      </c>
      <c r="DV61" s="235">
        <f>IF(ISERROR('raw data'!IP62/'raw data'!IQ62),0,'raw data'!IP62/'raw data'!IQ62)</f>
        <v>0</v>
      </c>
      <c r="DW61" s="235">
        <f>IF(ISERROR('raw data'!IR62/'raw data'!IS62),0,'raw data'!IR62/'raw data'!IS62)</f>
        <v>0</v>
      </c>
      <c r="DX61" s="235">
        <f>IF(ISERROR('raw data'!IT62/'raw data'!IU62),0,'raw data'!IT62/'raw data'!IU62)</f>
        <v>0</v>
      </c>
      <c r="DY61" s="235">
        <f>IF(ISERROR('raw data'!IV62/'raw data'!IW62),0,'raw data'!IV62/'raw data'!IW62)</f>
        <v>0</v>
      </c>
      <c r="DZ61" s="235">
        <f>IF(ISERROR('raw data'!IX62/'raw data'!IY62),0,'raw data'!IX62/'raw data'!IY62)</f>
        <v>0</v>
      </c>
      <c r="EA61" s="235">
        <f>IF(ISERROR('raw data'!IZ62/'raw data'!JA62),0,'raw data'!IZ62/'raw data'!JA62)</f>
        <v>0</v>
      </c>
      <c r="EB61" s="235">
        <f>IF(ISERROR('raw data'!JB62/'raw data'!JC62),0,'raw data'!JB62/'raw data'!JC62)</f>
        <v>0</v>
      </c>
      <c r="EC61" s="235">
        <f>IF(ISERROR('raw data'!JD62/'raw data'!JE62),0,'raw data'!JD62/'raw data'!JE62)</f>
        <v>0</v>
      </c>
      <c r="ED61" s="226"/>
      <c r="EE61" s="264">
        <v>0</v>
      </c>
      <c r="EF61" s="264">
        <v>0</v>
      </c>
      <c r="EG61" s="265">
        <f t="shared" si="0"/>
        <v>0</v>
      </c>
    </row>
    <row r="62" spans="1:137" ht="42" x14ac:dyDescent="0.15">
      <c r="A62" s="259">
        <v>1.9</v>
      </c>
      <c r="B62" s="260" t="str">
        <f>'raw data'!B63</f>
        <v>Flex accounts with a £5k+ loan received 3 months ago and 10+ foreign Visa withdrawals (VW), each £100+, totalling £3k+ within past 3 months.</v>
      </c>
      <c r="C62" s="261" t="s">
        <v>251</v>
      </c>
      <c r="D62" s="262">
        <f>+'raw data'!D63/'raw data'!E63</f>
        <v>0</v>
      </c>
      <c r="E62" s="262">
        <f>+'raw data'!F63/'raw data'!G63</f>
        <v>0</v>
      </c>
      <c r="F62" s="262">
        <f>'raw data'!H63/'raw data'!I63</f>
        <v>0</v>
      </c>
      <c r="G62" s="262">
        <f>'raw data'!J63/'raw data'!K63</f>
        <v>0</v>
      </c>
      <c r="H62" s="262">
        <f>'raw data'!L63/'raw data'!M63</f>
        <v>0</v>
      </c>
      <c r="I62" s="262">
        <f>'raw data'!N63/'raw data'!O63</f>
        <v>0</v>
      </c>
      <c r="J62" s="262">
        <v>0</v>
      </c>
      <c r="K62" s="262">
        <f>'raw data'!R63/'raw data'!S63</f>
        <v>0</v>
      </c>
      <c r="L62" s="262">
        <f>'raw data'!T63/'raw data'!U63</f>
        <v>0</v>
      </c>
      <c r="M62" s="262">
        <f>'raw data'!V63/'raw data'!W63</f>
        <v>0.25</v>
      </c>
      <c r="N62" s="262">
        <f>'raw data'!X63/'raw data'!Y63</f>
        <v>0.16666666666666666</v>
      </c>
      <c r="O62" s="262">
        <f>IF(ISERROR('raw data'!Z63/'raw data'!AA63),0,'raw data'!Z63/'raw data'!AA63)</f>
        <v>0</v>
      </c>
      <c r="P62" s="262">
        <f>IF(ISERROR('raw data'!AB63/'raw data'!AC63),0,'raw data'!AB63/'raw data'!AC63)</f>
        <v>0.33333333333333331</v>
      </c>
      <c r="Q62" s="262">
        <f>IF(ISERROR('raw data'!AD63/'raw data'!AE63),0,'raw data'!AD63/'raw data'!AE63)</f>
        <v>0</v>
      </c>
      <c r="R62" s="262">
        <f>IF(ISERROR('raw data'!AF63/'raw data'!AG63),0,'raw data'!AF63/'raw data'!AG63)</f>
        <v>0.33333333333333331</v>
      </c>
      <c r="S62" s="262">
        <f>IF(ISERROR('raw data'!AH63/'raw data'!AI63),0,'raw data'!AH63/'raw data'!AI63)</f>
        <v>0</v>
      </c>
      <c r="T62" s="262">
        <f>IF(ISERROR('raw data'!AJ63/'raw data'!AK63),0,'raw data'!AJ63/'raw data'!AK63)</f>
        <v>0</v>
      </c>
      <c r="U62" s="262">
        <f>IF(ISERROR('raw data'!AL63/'raw data'!AM63),0,'raw data'!AL63/'raw data'!AM63)</f>
        <v>0</v>
      </c>
      <c r="V62" s="262">
        <f>IF(ISERROR('raw data'!AN63/'raw data'!AO63),0,'raw data'!AN63/'raw data'!AO63)</f>
        <v>0</v>
      </c>
      <c r="W62" s="262">
        <f>IF(ISERROR('raw data'!AP63/'raw data'!AQ63),0,'raw data'!AP63/'raw data'!AQ63)</f>
        <v>0</v>
      </c>
      <c r="X62" s="262">
        <f>IF(ISERROR('raw data'!AR63/'raw data'!AS63),0,'raw data'!AR63/'raw data'!AS63)</f>
        <v>0</v>
      </c>
      <c r="Y62" s="262">
        <f>IF(ISERROR('raw data'!AT63/'raw data'!AU63),0,'raw data'!AT63/'raw data'!AU63)</f>
        <v>0</v>
      </c>
      <c r="Z62" s="262">
        <f>IF(ISERROR('raw data'!AV63/'raw data'!AW63),0,'raw data'!AV63/'raw data'!AW63)</f>
        <v>0.25</v>
      </c>
      <c r="AA62" s="262">
        <f>IF(ISERROR('raw data'!AX63/'raw data'!AY63),0,'raw data'!AX63/'raw data'!AY63)</f>
        <v>0</v>
      </c>
      <c r="AB62" s="262">
        <f>IF(ISERROR('raw data'!AZ63/'raw data'!BA63),0,'raw data'!AZ63/'raw data'!BA63)</f>
        <v>0</v>
      </c>
      <c r="AC62" s="262">
        <f>IF(ISERROR('raw data'!BB63/'raw data'!BC63),0,'raw data'!BB63/'raw data'!BC63)</f>
        <v>0</v>
      </c>
      <c r="AD62" s="262">
        <f>IF(ISERROR('raw data'!BD63/'raw data'!BE63),0,'raw data'!BD63/'raw data'!BE63)</f>
        <v>0</v>
      </c>
      <c r="AE62" s="262">
        <f>IF(ISERROR('raw data'!BF63/'raw data'!BG63),0,'raw data'!BF63/'raw data'!BG63)</f>
        <v>0</v>
      </c>
      <c r="AF62" s="262">
        <f>IF(ISERROR('raw data'!BH63/'raw data'!BI63),0,'raw data'!BH63/'raw data'!BI63)</f>
        <v>0.33333333333333331</v>
      </c>
      <c r="AG62" s="262">
        <f>IF(ISERROR('raw data'!BJ63/'raw data'!BK63),0,'raw data'!BJ63/'raw data'!BK63)</f>
        <v>0</v>
      </c>
      <c r="AH62" s="262">
        <f>IF(ISERROR('raw data'!BL63/'raw data'!BM63),0,'raw data'!BL63/'raw data'!BM63)</f>
        <v>0</v>
      </c>
      <c r="AI62" s="262">
        <f>IF(ISERROR('raw data'!BN63/'raw data'!BO63),0,'raw data'!BN63/'raw data'!BO63)</f>
        <v>0</v>
      </c>
      <c r="AJ62" s="262">
        <f>IF(ISERROR('raw data'!BP63/'raw data'!BQ63),0,'raw data'!BP63/'raw data'!BQ63)</f>
        <v>0</v>
      </c>
      <c r="AK62" s="262">
        <f>IF(ISERROR('raw data'!BR63/'raw data'!BS63),0,'raw data'!BR63/'raw data'!BS63)</f>
        <v>0</v>
      </c>
      <c r="AL62" s="262">
        <f>IF(ISERROR('raw data'!BT63/'raw data'!BU63),0,'raw data'!BT63/'raw data'!BU63)</f>
        <v>0</v>
      </c>
      <c r="AM62" s="262">
        <f>IF(ISERROR('raw data'!BV63/'raw data'!BW63),0,'raw data'!BV63/'raw data'!BW63)</f>
        <v>0</v>
      </c>
      <c r="AN62" s="262">
        <f>IF(ISERROR('raw data'!BX63/'raw data'!BY63),0,'raw data'!BX63/'raw data'!BY63)</f>
        <v>0</v>
      </c>
      <c r="AO62" s="262">
        <f>IF(ISERROR('raw data'!BZ63/'raw data'!CA63),0,'raw data'!BZ63/'raw data'!CA63)</f>
        <v>0</v>
      </c>
      <c r="AP62" s="262">
        <f>IF(ISERROR('raw data'!CB63/'raw data'!CC63),0,'raw data'!CB63/'raw data'!CC63)</f>
        <v>0</v>
      </c>
      <c r="AQ62" s="262">
        <f>IF(ISERROR('raw data'!CD63/'raw data'!CE63),0,'raw data'!CD63/'raw data'!CE63)</f>
        <v>0.33333333333333331</v>
      </c>
      <c r="AR62" s="262">
        <f>IF(ISERROR('raw data'!CF63/'raw data'!CG63),0,'raw data'!CF63/'raw data'!CG63)</f>
        <v>0</v>
      </c>
      <c r="AS62" s="262">
        <f>IF(ISERROR('raw data'!CH63/'raw data'!CI63),0,'raw data'!CH63/'raw data'!CI63)</f>
        <v>0</v>
      </c>
      <c r="AT62" s="262">
        <f>IF(ISERROR('raw data'!CJ63/'raw data'!CK63),0,'raw data'!CJ63/'raw data'!CK63)</f>
        <v>0</v>
      </c>
      <c r="AU62" s="262">
        <f>IF(ISERROR('raw data'!CL63/'raw data'!CM63),0,'raw data'!CL63/'raw data'!CM63)</f>
        <v>0</v>
      </c>
      <c r="AV62" s="262">
        <f>IF(ISERROR('raw data'!CN63/'raw data'!CO63),0,'raw data'!CN63/'raw data'!CO63)</f>
        <v>0</v>
      </c>
      <c r="AW62" s="262">
        <f>IF(ISERROR('raw data'!CP63/'raw data'!CQ63),0,'raw data'!CP63/'raw data'!CQ63)</f>
        <v>0</v>
      </c>
      <c r="AX62" s="262">
        <f>IF(ISERROR('raw data'!CR63/'raw data'!CS63),0,'raw data'!CR63/'raw data'!CS63)</f>
        <v>0</v>
      </c>
      <c r="AY62" s="262">
        <f>IF(ISERROR('raw data'!CT63/'raw data'!CU63),0,'raw data'!CT63/'raw data'!CU63)</f>
        <v>0</v>
      </c>
      <c r="AZ62" s="262">
        <f>IF(ISERROR('raw data'!CV63/'raw data'!CW63),0,'raw data'!CV63/'raw data'!CW63)</f>
        <v>0.2</v>
      </c>
      <c r="BA62" s="262">
        <f>IF(ISERROR('raw data'!CX63/'raw data'!CY63),0,'raw data'!CX63/'raw data'!CY63)</f>
        <v>0</v>
      </c>
      <c r="BB62" s="262">
        <f>IF(ISERROR('raw data'!CZ63/'raw data'!DA63),0,'raw data'!CZ63/'raw data'!DA63)</f>
        <v>0</v>
      </c>
      <c r="BC62" s="262">
        <f>IF(ISERROR('raw data'!DB63/'raw data'!DC63),0,'raw data'!DB63/'raw data'!DC63)</f>
        <v>0</v>
      </c>
      <c r="BD62" s="262">
        <v>0</v>
      </c>
      <c r="BE62" s="262">
        <f>IF(ISERROR('raw data'!DF63/'raw data'!DG63),0,'raw data'!DF63/'raw data'!DG63)</f>
        <v>0</v>
      </c>
      <c r="BF62" s="262">
        <f>IF(ISERROR('raw data'!DH63/'raw data'!DI63),0,'raw data'!DH63/'raw data'!DI63)</f>
        <v>0</v>
      </c>
      <c r="BG62" s="262">
        <f>IF(ISERROR('raw data'!DJ63/'raw data'!DK63),0,'raw data'!DJ63/'raw data'!DK63)</f>
        <v>0</v>
      </c>
      <c r="BH62" s="262">
        <f>IF(ISERROR('raw data'!DL63/'raw data'!DM63),0,'raw data'!DL63/'raw data'!DM63)</f>
        <v>0</v>
      </c>
      <c r="BI62" s="262">
        <f>IF(ISERROR('raw data'!DN63/'raw data'!DO63),0,'raw data'!DN63/'raw data'!DO63)</f>
        <v>0</v>
      </c>
      <c r="BJ62" s="262">
        <f>IF(ISERROR('raw data'!DP63/'raw data'!DQ63),0,'raw data'!DP63/'raw data'!DQ63)</f>
        <v>0</v>
      </c>
      <c r="BK62" s="262">
        <f>IF(ISERROR('raw data'!DR63/'raw data'!DS63),0,'raw data'!DR63/'raw data'!DS63)</f>
        <v>0</v>
      </c>
      <c r="BL62" s="262">
        <f>IF(ISERROR('raw data'!DT63/'raw data'!DU63),0,'raw data'!DT63/'raw data'!DU63)</f>
        <v>0</v>
      </c>
      <c r="BM62" s="262">
        <f>IF(ISERROR('raw data'!DV63/'raw data'!DW63),0,'raw data'!DV63/'raw data'!DW63)</f>
        <v>0</v>
      </c>
      <c r="BN62" s="262">
        <f>IF(ISERROR('raw data'!DX63/'raw data'!DY63),0,'raw data'!DX63/'raw data'!DY63)</f>
        <v>0</v>
      </c>
      <c r="BO62" s="262">
        <f>IF(ISERROR('raw data'!DZ63/'raw data'!EA63),0,'raw data'!DZ63/'raw data'!EA63)</f>
        <v>0</v>
      </c>
      <c r="BP62" s="262">
        <f>IF(ISERROR('raw data'!EB63/'raw data'!EC63),0,'raw data'!EB63/'raw data'!EC63)</f>
        <v>0</v>
      </c>
      <c r="BQ62" s="262">
        <f>IF(ISERROR('raw data'!ED63/'raw data'!EE63),0,'raw data'!ED63/'raw data'!EE63)</f>
        <v>0</v>
      </c>
      <c r="BR62" s="262">
        <f>IF(ISERROR('raw data'!EF63/'raw data'!EG63),0,'raw data'!EF63/'raw data'!EG63)</f>
        <v>0</v>
      </c>
      <c r="BS62" s="262">
        <f>IF(ISERROR('raw data'!EH63/'raw data'!EI63),0,'raw data'!EH63/'raw data'!EI63)</f>
        <v>0</v>
      </c>
      <c r="BT62" s="262">
        <f>IF(ISERROR('raw data'!EJ63/'raw data'!EK63),0,'raw data'!EJ63/'raw data'!EK63)</f>
        <v>0</v>
      </c>
      <c r="BU62" s="262">
        <f>IF(ISERROR('raw data'!EL63/'raw data'!EM63),0,'raw data'!EL63/'raw data'!EM63)</f>
        <v>0</v>
      </c>
      <c r="BV62" s="262">
        <f>IF(ISERROR('raw data'!EN63/'raw data'!EO63),0,'raw data'!EN63/'raw data'!EO63)</f>
        <v>0</v>
      </c>
      <c r="BW62" s="232" t="s">
        <v>243</v>
      </c>
      <c r="BX62" s="232" t="s">
        <v>243</v>
      </c>
      <c r="BY62" s="232" t="s">
        <v>243</v>
      </c>
      <c r="BZ62" s="232" t="s">
        <v>243</v>
      </c>
      <c r="CA62" s="232" t="s">
        <v>243</v>
      </c>
      <c r="CB62" s="232" t="s">
        <v>243</v>
      </c>
      <c r="CC62" s="232" t="s">
        <v>243</v>
      </c>
      <c r="CD62" s="232" t="s">
        <v>243</v>
      </c>
      <c r="CE62" s="232" t="s">
        <v>243</v>
      </c>
      <c r="CF62" s="232" t="s">
        <v>243</v>
      </c>
      <c r="CG62" s="232" t="s">
        <v>243</v>
      </c>
      <c r="CH62" s="232" t="s">
        <v>243</v>
      </c>
      <c r="CI62" s="232" t="s">
        <v>243</v>
      </c>
      <c r="CJ62" s="232" t="s">
        <v>243</v>
      </c>
      <c r="CK62" s="232" t="s">
        <v>243</v>
      </c>
      <c r="CL62" s="232" t="s">
        <v>243</v>
      </c>
      <c r="CM62" s="232" t="s">
        <v>243</v>
      </c>
      <c r="CN62" s="232" t="s">
        <v>243</v>
      </c>
      <c r="CO62" s="232" t="s">
        <v>243</v>
      </c>
      <c r="CP62" s="232" t="s">
        <v>243</v>
      </c>
      <c r="CQ62" s="232" t="s">
        <v>243</v>
      </c>
      <c r="CR62" s="232" t="s">
        <v>243</v>
      </c>
      <c r="CS62" s="232" t="s">
        <v>243</v>
      </c>
      <c r="CT62" s="232" t="s">
        <v>243</v>
      </c>
      <c r="CU62" s="232" t="s">
        <v>243</v>
      </c>
      <c r="CV62" s="232" t="s">
        <v>243</v>
      </c>
      <c r="CW62" s="232" t="s">
        <v>243</v>
      </c>
      <c r="CX62" s="232" t="s">
        <v>243</v>
      </c>
      <c r="CY62" s="232" t="s">
        <v>243</v>
      </c>
      <c r="CZ62" s="232" t="s">
        <v>243</v>
      </c>
      <c r="DA62" s="232" t="s">
        <v>243</v>
      </c>
      <c r="DB62" s="232" t="s">
        <v>243</v>
      </c>
      <c r="DC62" s="232" t="s">
        <v>243</v>
      </c>
      <c r="DD62" s="232" t="s">
        <v>243</v>
      </c>
      <c r="DE62" s="232" t="s">
        <v>243</v>
      </c>
      <c r="DF62" s="232" t="s">
        <v>243</v>
      </c>
      <c r="DG62" s="232" t="s">
        <v>243</v>
      </c>
      <c r="DH62" s="232" t="s">
        <v>243</v>
      </c>
      <c r="DI62" s="232" t="s">
        <v>243</v>
      </c>
      <c r="DJ62" s="232" t="s">
        <v>243</v>
      </c>
      <c r="DK62" s="232" t="s">
        <v>243</v>
      </c>
      <c r="DL62" s="232" t="s">
        <v>243</v>
      </c>
      <c r="DM62" s="232" t="s">
        <v>243</v>
      </c>
      <c r="DN62" s="232" t="s">
        <v>243</v>
      </c>
      <c r="DO62" s="232" t="s">
        <v>243</v>
      </c>
      <c r="DP62" s="232" t="s">
        <v>243</v>
      </c>
      <c r="DQ62" s="232" t="s">
        <v>243</v>
      </c>
      <c r="DR62" s="232" t="s">
        <v>243</v>
      </c>
      <c r="DS62" s="232" t="s">
        <v>243</v>
      </c>
      <c r="DT62" s="232" t="s">
        <v>243</v>
      </c>
      <c r="DU62" s="232" t="s">
        <v>243</v>
      </c>
      <c r="DV62" s="232" t="s">
        <v>243</v>
      </c>
      <c r="DW62" s="232" t="s">
        <v>243</v>
      </c>
      <c r="DX62" s="232" t="s">
        <v>243</v>
      </c>
      <c r="DY62" s="232" t="s">
        <v>243</v>
      </c>
      <c r="DZ62" s="232" t="s">
        <v>243</v>
      </c>
      <c r="EA62" s="232" t="s">
        <v>243</v>
      </c>
      <c r="EB62" s="232" t="s">
        <v>243</v>
      </c>
      <c r="EC62" s="232" t="s">
        <v>243</v>
      </c>
      <c r="ED62" s="226"/>
      <c r="EE62" s="264">
        <v>0</v>
      </c>
      <c r="EF62" s="264">
        <v>0</v>
      </c>
      <c r="EG62" s="265">
        <f t="shared" si="0"/>
        <v>0</v>
      </c>
    </row>
    <row r="63" spans="1:137" ht="25.5" customHeight="1" x14ac:dyDescent="0.15">
      <c r="A63" s="268" t="s">
        <v>108</v>
      </c>
      <c r="B63" s="260" t="str">
        <f>'raw data'!B64</f>
        <v>Flex accounts with a £5k+ loan received 3 months ago and a CHAPS/SWIFT to a CoC in past 3 months.</v>
      </c>
      <c r="C63" s="261" t="s">
        <v>252</v>
      </c>
      <c r="D63" s="262">
        <v>0</v>
      </c>
      <c r="E63" s="262">
        <f>+'raw data'!F64/'raw data'!G64</f>
        <v>0</v>
      </c>
      <c r="F63" s="262">
        <f>'raw data'!H64/'raw data'!I64</f>
        <v>0.1</v>
      </c>
      <c r="G63" s="262">
        <f>'raw data'!J64/'raw data'!K64</f>
        <v>0</v>
      </c>
      <c r="H63" s="262">
        <f>'raw data'!L64/'raw data'!M64</f>
        <v>0.27272727272727271</v>
      </c>
      <c r="I63" s="262">
        <f>'raw data'!N64/'raw data'!O64</f>
        <v>0</v>
      </c>
      <c r="J63" s="262">
        <v>0</v>
      </c>
      <c r="K63" s="262">
        <f>'raw data'!R64/'raw data'!S64</f>
        <v>0.125</v>
      </c>
      <c r="L63" s="262">
        <f>'raw data'!T64/'raw data'!U64</f>
        <v>0</v>
      </c>
      <c r="M63" s="262">
        <f>'raw data'!V64/'raw data'!W64</f>
        <v>0</v>
      </c>
      <c r="N63" s="262">
        <f>'raw data'!X64/'raw data'!Y64</f>
        <v>0</v>
      </c>
      <c r="O63" s="262">
        <f>IF(ISERROR('raw data'!Z64/'raw data'!AA64),0,'raw data'!Z64/'raw data'!AA64)</f>
        <v>0</v>
      </c>
      <c r="P63" s="262">
        <f>IF(ISERROR('raw data'!AB64/'raw data'!AC64),0,'raw data'!AB64/'raw data'!AC64)</f>
        <v>6.6666666666666666E-2</v>
      </c>
      <c r="Q63" s="262">
        <f>IF(ISERROR('raw data'!AD64/'raw data'!AE64),0,'raw data'!AD64/'raw data'!AE64)</f>
        <v>0</v>
      </c>
      <c r="R63" s="262">
        <f>IF(ISERROR('raw data'!AF64/'raw data'!AG64),0,'raw data'!AF64/'raw data'!AG64)</f>
        <v>0.1111111111111111</v>
      </c>
      <c r="S63" s="262">
        <f>IF(ISERROR('raw data'!AH64/'raw data'!AI64),0,'raw data'!AH64/'raw data'!AI64)</f>
        <v>0</v>
      </c>
      <c r="T63" s="262">
        <f>IF(ISERROR('raw data'!AJ64/'raw data'!AK64),0,'raw data'!AJ64/'raw data'!AK64)</f>
        <v>0</v>
      </c>
      <c r="U63" s="262">
        <f>IF(ISERROR('raw data'!AL64/'raw data'!AM64),0,'raw data'!AL64/'raw data'!AM64)</f>
        <v>0.125</v>
      </c>
      <c r="V63" s="262">
        <f>IF(ISERROR('raw data'!AN64/'raw data'!AO64),0,'raw data'!AN64/'raw data'!AO64)</f>
        <v>8.3333333333333329E-2</v>
      </c>
      <c r="W63" s="262">
        <f>IF(ISERROR('raw data'!AP64/'raw data'!AQ64),0,'raw data'!AP64/'raw data'!AQ64)</f>
        <v>0</v>
      </c>
      <c r="X63" s="262">
        <f>IF(ISERROR('raw data'!AR64/'raw data'!AS64),0,'raw data'!AR64/'raw data'!AS64)</f>
        <v>0</v>
      </c>
      <c r="Y63" s="262">
        <f>IF(ISERROR('raw data'!AT64/'raw data'!AU64),0,'raw data'!AT64/'raw data'!AU64)</f>
        <v>7.6923076923076927E-2</v>
      </c>
      <c r="Z63" s="262">
        <f>IF(ISERROR('raw data'!AV64/'raw data'!AW64),0,'raw data'!AV64/'raw data'!AW64)</f>
        <v>9.0909090909090912E-2</v>
      </c>
      <c r="AA63" s="262">
        <f>IF(ISERROR('raw data'!AX64/'raw data'!AY64),0,'raw data'!AX64/'raw data'!AY64)</f>
        <v>0.15384615384615385</v>
      </c>
      <c r="AB63" s="262">
        <f>IF(ISERROR('raw data'!AZ64/'raw data'!BA64),0,'raw data'!AZ64/'raw data'!BA64)</f>
        <v>0</v>
      </c>
      <c r="AC63" s="262">
        <f>IF(ISERROR('raw data'!BB64/'raw data'!BC64),0,'raw data'!BB64/'raw data'!BC64)</f>
        <v>0.14285714285714285</v>
      </c>
      <c r="AD63" s="262">
        <f>IF(ISERROR('raw data'!BD64/'raw data'!BE64),0,'raw data'!BD64/'raw data'!BE64)</f>
        <v>0.1</v>
      </c>
      <c r="AE63" s="262">
        <f>IF(ISERROR('raw data'!BF64/'raw data'!BG64),0,'raw data'!BF64/'raw data'!BG64)</f>
        <v>0</v>
      </c>
      <c r="AF63" s="262">
        <f>IF(ISERROR('raw data'!BH64/'raw data'!BI64),0,'raw data'!BH64/'raw data'!BI64)</f>
        <v>0.25</v>
      </c>
      <c r="AG63" s="262">
        <f>IF(ISERROR('raw data'!BJ64/'raw data'!BK64),0,'raw data'!BJ64/'raw data'!BK64)</f>
        <v>0</v>
      </c>
      <c r="AH63" s="262">
        <f>IF(ISERROR('raw data'!BL64/'raw data'!BM64),0,'raw data'!BL64/'raw data'!BM64)</f>
        <v>0</v>
      </c>
      <c r="AI63" s="262">
        <f>IF(ISERROR('raw data'!BN64/'raw data'!BO64),0,'raw data'!BN64/'raw data'!BO64)</f>
        <v>7.1428571428571425E-2</v>
      </c>
      <c r="AJ63" s="262">
        <f>IF(ISERROR('raw data'!BP64/'raw data'!BQ64),0,'raw data'!BP64/'raw data'!BQ64)</f>
        <v>0</v>
      </c>
      <c r="AK63" s="262">
        <f>IF(ISERROR('raw data'!BR64/'raw data'!BS64),0,'raw data'!BR64/'raw data'!BS64)</f>
        <v>0</v>
      </c>
      <c r="AL63" s="262">
        <f>IF(ISERROR('raw data'!BT64/'raw data'!BU64),0,'raw data'!BT64/'raw data'!BU64)</f>
        <v>0</v>
      </c>
      <c r="AM63" s="262">
        <f>IF(ISERROR('raw data'!BV64/'raw data'!BW64),0,'raw data'!BV64/'raw data'!BW64)</f>
        <v>0</v>
      </c>
      <c r="AN63" s="262">
        <f>IF(ISERROR('raw data'!BX64/'raw data'!BY64),0,'raw data'!BX64/'raw data'!BY64)</f>
        <v>0</v>
      </c>
      <c r="AO63" s="262">
        <f>IF(ISERROR('raw data'!BZ64/'raw data'!CA64),0,'raw data'!BZ64/'raw data'!CA64)</f>
        <v>0</v>
      </c>
      <c r="AP63" s="262">
        <f>IF(ISERROR('raw data'!CB64/'raw data'!CC64),0,'raw data'!CB64/'raw data'!CC64)</f>
        <v>0</v>
      </c>
      <c r="AQ63" s="262">
        <f>IF(ISERROR('raw data'!CD64/'raw data'!CE64),0,'raw data'!CD64/'raw data'!CE64)</f>
        <v>0.22222222222222221</v>
      </c>
      <c r="AR63" s="262">
        <f>IF(ISERROR('raw data'!CF64/'raw data'!CG64),0,'raw data'!CF64/'raw data'!CG64)</f>
        <v>0.14285714285714285</v>
      </c>
      <c r="AS63" s="262">
        <f>IF(ISERROR('raw data'!CH64/'raw data'!CI64),0,'raw data'!CH64/'raw data'!CI64)</f>
        <v>0</v>
      </c>
      <c r="AT63" s="262">
        <f>IF(ISERROR('raw data'!CJ64/'raw data'!CK64),0,'raw data'!CJ64/'raw data'!CK64)</f>
        <v>0</v>
      </c>
      <c r="AU63" s="262">
        <f>IF(ISERROR('raw data'!CL64/'raw data'!CM64),0,'raw data'!CL64/'raw data'!CM64)</f>
        <v>0</v>
      </c>
      <c r="AV63" s="262">
        <f>IF(ISERROR('raw data'!CN64/'raw data'!CO64),0,'raw data'!CN64/'raw data'!CO64)</f>
        <v>0</v>
      </c>
      <c r="AW63" s="262">
        <f>IF(ISERROR('raw data'!CP64/'raw data'!CQ64),0,'raw data'!CP64/'raw data'!CQ64)</f>
        <v>0.16666666666666666</v>
      </c>
      <c r="AX63" s="262">
        <f>IF(ISERROR('raw data'!CR64/'raw data'!CS64),0,'raw data'!CR64/'raw data'!CS64)</f>
        <v>0</v>
      </c>
      <c r="AY63" s="262">
        <f>IF(ISERROR('raw data'!CT64/'raw data'!CU64),0,'raw data'!CT64/'raw data'!CU64)</f>
        <v>0</v>
      </c>
      <c r="AZ63" s="262">
        <f>IF(ISERROR('raw data'!CV64/'raw data'!CW64),0,'raw data'!CV64/'raw data'!CW64)</f>
        <v>0</v>
      </c>
      <c r="BA63" s="262">
        <f>IF(ISERROR('raw data'!CX64/'raw data'!CY64),0,'raw data'!CX64/'raw data'!CY64)</f>
        <v>0</v>
      </c>
      <c r="BB63" s="262">
        <f>IF(ISERROR('raw data'!CZ64/'raw data'!DA64),0,'raw data'!CZ64/'raw data'!DA64)</f>
        <v>0</v>
      </c>
      <c r="BC63" s="262">
        <f>IF(ISERROR('raw data'!DB64/'raw data'!DC64),0,'raw data'!DB64/'raw data'!DC64)</f>
        <v>0</v>
      </c>
      <c r="BD63" s="262">
        <v>0</v>
      </c>
      <c r="BE63" s="262">
        <f>IF(ISERROR('raw data'!DF64/'raw data'!DG64),0,'raw data'!DF64/'raw data'!DG64)</f>
        <v>0.15384615384615385</v>
      </c>
      <c r="BF63" s="262">
        <f>IF(ISERROR('raw data'!DH64/'raw data'!DI64),0,'raw data'!DH64/'raw data'!DI64)</f>
        <v>0</v>
      </c>
      <c r="BG63" s="262">
        <f>IF(ISERROR('raw data'!DJ64/'raw data'!DK64),0,'raw data'!DJ64/'raw data'!DK64)</f>
        <v>0</v>
      </c>
      <c r="BH63" s="262">
        <f>IF(ISERROR('raw data'!DL64/'raw data'!DM64),0,'raw data'!DL64/'raw data'!DM64)</f>
        <v>0</v>
      </c>
      <c r="BI63" s="262">
        <f>IF(ISERROR('raw data'!DN64/'raw data'!DO64),0,'raw data'!DN64/'raw data'!DO64)</f>
        <v>0</v>
      </c>
      <c r="BJ63" s="262">
        <f>IF(ISERROR('raw data'!DP64/'raw data'!DQ64),0,'raw data'!DP64/'raw data'!DQ64)</f>
        <v>0</v>
      </c>
      <c r="BK63" s="262">
        <f>IF(ISERROR('raw data'!DR64/'raw data'!DS64),0,'raw data'!DR64/'raw data'!DS64)</f>
        <v>0.125</v>
      </c>
      <c r="BL63" s="262">
        <f>IF(ISERROR('raw data'!DT64/'raw data'!DU64),0,'raw data'!DT64/'raw data'!DU64)</f>
        <v>0</v>
      </c>
      <c r="BM63" s="262">
        <f>IF(ISERROR('raw data'!DV64/'raw data'!DW64),0,'raw data'!DV64/'raw data'!DW64)</f>
        <v>0.2</v>
      </c>
      <c r="BN63" s="262">
        <f>IF(ISERROR('raw data'!DX64/'raw data'!DY64),0,'raw data'!DX64/'raw data'!DY64)</f>
        <v>0</v>
      </c>
      <c r="BO63" s="262">
        <f>IF(ISERROR('raw data'!DZ64/'raw data'!EA64),0,'raw data'!DZ64/'raw data'!EA64)</f>
        <v>0.125</v>
      </c>
      <c r="BP63" s="262">
        <f>IF(ISERROR('raw data'!EB64/'raw data'!EC64),0,'raw data'!EB64/'raw data'!EC64)</f>
        <v>0</v>
      </c>
      <c r="BQ63" s="262">
        <f>IF(ISERROR('raw data'!ED64/'raw data'!EE64),0,'raw data'!ED64/'raw data'!EE64)</f>
        <v>0</v>
      </c>
      <c r="BR63" s="262">
        <f>IF(ISERROR('raw data'!EF64/'raw data'!EG64),0,'raw data'!EF64/'raw data'!EG64)</f>
        <v>0</v>
      </c>
      <c r="BS63" s="262">
        <f>IF(ISERROR('raw data'!EH64/'raw data'!EI64),0,'raw data'!EH64/'raw data'!EI64)</f>
        <v>0</v>
      </c>
      <c r="BT63" s="262">
        <f>IF(ISERROR('raw data'!EJ64/'raw data'!EK64),0,'raw data'!EJ64/'raw data'!EK64)</f>
        <v>0</v>
      </c>
      <c r="BU63" s="262">
        <f>IF(ISERROR('raw data'!EL64/'raw data'!EM64),0,'raw data'!EL64/'raw data'!EM64)</f>
        <v>0</v>
      </c>
      <c r="BV63" s="262">
        <f>IF(ISERROR('raw data'!EN64/'raw data'!EO64),0,'raw data'!EN64/'raw data'!EO64)</f>
        <v>0</v>
      </c>
      <c r="BW63" s="232" t="s">
        <v>243</v>
      </c>
      <c r="BX63" s="232" t="s">
        <v>243</v>
      </c>
      <c r="BY63" s="232" t="s">
        <v>243</v>
      </c>
      <c r="BZ63" s="232" t="s">
        <v>243</v>
      </c>
      <c r="CA63" s="232" t="s">
        <v>243</v>
      </c>
      <c r="CB63" s="232" t="s">
        <v>243</v>
      </c>
      <c r="CC63" s="232" t="s">
        <v>243</v>
      </c>
      <c r="CD63" s="232" t="s">
        <v>243</v>
      </c>
      <c r="CE63" s="232" t="s">
        <v>243</v>
      </c>
      <c r="CF63" s="232" t="s">
        <v>243</v>
      </c>
      <c r="CG63" s="232" t="s">
        <v>243</v>
      </c>
      <c r="CH63" s="232" t="s">
        <v>243</v>
      </c>
      <c r="CI63" s="232" t="s">
        <v>243</v>
      </c>
      <c r="CJ63" s="232" t="s">
        <v>243</v>
      </c>
      <c r="CK63" s="232" t="s">
        <v>243</v>
      </c>
      <c r="CL63" s="232" t="s">
        <v>243</v>
      </c>
      <c r="CM63" s="232" t="s">
        <v>243</v>
      </c>
      <c r="CN63" s="232" t="s">
        <v>243</v>
      </c>
      <c r="CO63" s="232" t="s">
        <v>243</v>
      </c>
      <c r="CP63" s="232" t="s">
        <v>243</v>
      </c>
      <c r="CQ63" s="232" t="s">
        <v>243</v>
      </c>
      <c r="CR63" s="232" t="s">
        <v>243</v>
      </c>
      <c r="CS63" s="232" t="s">
        <v>243</v>
      </c>
      <c r="CT63" s="232" t="s">
        <v>243</v>
      </c>
      <c r="CU63" s="232" t="s">
        <v>243</v>
      </c>
      <c r="CV63" s="232" t="s">
        <v>243</v>
      </c>
      <c r="CW63" s="232" t="s">
        <v>243</v>
      </c>
      <c r="CX63" s="232" t="s">
        <v>243</v>
      </c>
      <c r="CY63" s="232" t="s">
        <v>243</v>
      </c>
      <c r="CZ63" s="232" t="s">
        <v>243</v>
      </c>
      <c r="DA63" s="232" t="s">
        <v>243</v>
      </c>
      <c r="DB63" s="232" t="s">
        <v>243</v>
      </c>
      <c r="DC63" s="232" t="s">
        <v>243</v>
      </c>
      <c r="DD63" s="232" t="s">
        <v>243</v>
      </c>
      <c r="DE63" s="232" t="s">
        <v>243</v>
      </c>
      <c r="DF63" s="232" t="s">
        <v>243</v>
      </c>
      <c r="DG63" s="232" t="s">
        <v>243</v>
      </c>
      <c r="DH63" s="232" t="s">
        <v>243</v>
      </c>
      <c r="DI63" s="232" t="s">
        <v>243</v>
      </c>
      <c r="DJ63" s="232" t="s">
        <v>243</v>
      </c>
      <c r="DK63" s="232" t="s">
        <v>243</v>
      </c>
      <c r="DL63" s="232" t="s">
        <v>243</v>
      </c>
      <c r="DM63" s="232" t="s">
        <v>243</v>
      </c>
      <c r="DN63" s="232" t="s">
        <v>243</v>
      </c>
      <c r="DO63" s="232" t="s">
        <v>243</v>
      </c>
      <c r="DP63" s="232" t="s">
        <v>243</v>
      </c>
      <c r="DQ63" s="232" t="s">
        <v>243</v>
      </c>
      <c r="DR63" s="232" t="s">
        <v>243</v>
      </c>
      <c r="DS63" s="232" t="s">
        <v>243</v>
      </c>
      <c r="DT63" s="232" t="s">
        <v>243</v>
      </c>
      <c r="DU63" s="232" t="s">
        <v>243</v>
      </c>
      <c r="DV63" s="232" t="s">
        <v>243</v>
      </c>
      <c r="DW63" s="232" t="s">
        <v>243</v>
      </c>
      <c r="DX63" s="232" t="s">
        <v>243</v>
      </c>
      <c r="DY63" s="232" t="s">
        <v>243</v>
      </c>
      <c r="DZ63" s="232" t="s">
        <v>243</v>
      </c>
      <c r="EA63" s="232" t="s">
        <v>243</v>
      </c>
      <c r="EB63" s="232" t="s">
        <v>243</v>
      </c>
      <c r="EC63" s="232" t="s">
        <v>243</v>
      </c>
      <c r="ED63" s="226"/>
      <c r="EE63" s="264">
        <v>0</v>
      </c>
      <c r="EF63" s="264">
        <v>0</v>
      </c>
      <c r="EG63" s="265">
        <f t="shared" si="0"/>
        <v>0</v>
      </c>
    </row>
    <row r="64" spans="1:137" ht="25.5" customHeight="1" x14ac:dyDescent="0.15">
      <c r="A64" s="268">
        <v>2.4</v>
      </c>
      <c r="B64" s="260" t="str">
        <f>'raw data'!B65</f>
        <v>Multiple Loans 3+ Loans £5k minimum loan value within 1 year</v>
      </c>
      <c r="C64" s="261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  <c r="AM64" s="262"/>
      <c r="AN64" s="262"/>
      <c r="AO64" s="262"/>
      <c r="AP64" s="262"/>
      <c r="AQ64" s="262"/>
      <c r="AR64" s="262"/>
      <c r="AS64" s="262"/>
      <c r="AT64" s="262"/>
      <c r="AU64" s="262"/>
      <c r="AV64" s="262"/>
      <c r="AW64" s="262"/>
      <c r="AX64" s="262"/>
      <c r="AY64" s="262"/>
      <c r="AZ64" s="262"/>
      <c r="BA64" s="262"/>
      <c r="BB64" s="262"/>
      <c r="BC64" s="262"/>
      <c r="BD64" s="262"/>
      <c r="BE64" s="262"/>
      <c r="BF64" s="262"/>
      <c r="BG64" s="262"/>
      <c r="BH64" s="262"/>
      <c r="BI64" s="262"/>
      <c r="BJ64" s="262"/>
      <c r="BK64" s="262"/>
      <c r="BL64" s="262"/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32"/>
      <c r="BX64" s="232"/>
      <c r="BY64" s="232"/>
      <c r="BZ64" s="232"/>
      <c r="CA64" s="232"/>
      <c r="CB64" s="232"/>
      <c r="CC64" s="232"/>
      <c r="CD64" s="232"/>
      <c r="CE64" s="232"/>
      <c r="CF64" s="232"/>
      <c r="CG64" s="232"/>
      <c r="CH64" s="232"/>
      <c r="CI64" s="232"/>
      <c r="CJ64" s="232"/>
      <c r="CK64" s="263">
        <f>IF(ISERROR('raw data'!FT65/'raw data'!FU65),0,'raw data'!FT65/'raw data'!FU65)</f>
        <v>0.5</v>
      </c>
      <c r="CL64" s="263">
        <f>IF(ISERROR('raw data'!FV65/'raw data'!FW65),0,'raw data'!FV65/'raw data'!FW65)</f>
        <v>0</v>
      </c>
      <c r="CM64" s="263">
        <f>IF(ISERROR('raw data'!FX65/'raw data'!FY65),0,'raw data'!FX65/'raw data'!FY65)</f>
        <v>0</v>
      </c>
      <c r="CN64" s="263">
        <f>IF(ISERROR('raw data'!FZ65/'raw data'!GA65),0,'raw data'!FZ65/'raw data'!GA65)</f>
        <v>0</v>
      </c>
      <c r="CO64" s="263">
        <f>IF(ISERROR('raw data'!GB65/'raw data'!GC65),0,'raw data'!GB65/'raw data'!GC65)</f>
        <v>0.13333333333333333</v>
      </c>
      <c r="CP64" s="263">
        <f>IF(ISERROR('raw data'!GD65/'raw data'!GE65),0,'raw data'!GD65/'raw data'!GE65)</f>
        <v>0</v>
      </c>
      <c r="CQ64" s="263">
        <f>IF(ISERROR('raw data'!GF65/'raw data'!GG65),0,'raw data'!GF65/'raw data'!GG65)</f>
        <v>0</v>
      </c>
      <c r="CR64" s="263">
        <f>IF(ISERROR('raw data'!GH65/'raw data'!GI65),0,'raw data'!GH65/'raw data'!GI65)</f>
        <v>0</v>
      </c>
      <c r="CS64" s="263">
        <f>IF(ISERROR('raw data'!GJ65/'raw data'!GK65),0,'raw data'!GJ65/'raw data'!GK65)</f>
        <v>0</v>
      </c>
      <c r="CT64" s="263">
        <f>IF(ISERROR('raw data'!GL65/'raw data'!GM65),0,'raw data'!GL65/'raw data'!GM65)</f>
        <v>0</v>
      </c>
      <c r="CU64" s="263">
        <f>IF(ISERROR('raw data'!GN65/'raw data'!GO65),0,'raw data'!GN65/'raw data'!GO65)</f>
        <v>0</v>
      </c>
      <c r="CV64" s="263">
        <f>IF(ISERROR('raw data'!GP65/'raw data'!GQ65),0,'raw data'!GP65/'raw data'!GQ65)</f>
        <v>0</v>
      </c>
      <c r="CW64" s="263">
        <f>IF(ISERROR('raw data'!GR65/'raw data'!GS65),0,'raw data'!GR65/'raw data'!GS65)</f>
        <v>0.25</v>
      </c>
      <c r="CX64" s="263">
        <f>IF(ISERROR('raw data'!GT65/'raw data'!GU65),0,'raw data'!GT65/'raw data'!GU65)</f>
        <v>1</v>
      </c>
      <c r="CY64" s="263">
        <f>IF(ISERROR('raw data'!GV65/'raw data'!GW65),0,'raw data'!GV65/'raw data'!GW65)</f>
        <v>0.1111111111111111</v>
      </c>
      <c r="CZ64" s="263">
        <f>IF(ISERROR('raw data'!GX65/'raw data'!GY65),0,'raw data'!GX65/'raw data'!GY65)</f>
        <v>0.4</v>
      </c>
      <c r="DA64" s="263">
        <f>IF(ISERROR('raw data'!GZ65/'raw data'!HA65),0,'raw data'!GZ65/'raw data'!HA65)</f>
        <v>0</v>
      </c>
      <c r="DB64" s="263">
        <f>IF(ISERROR('raw data'!HB65/'raw data'!HC65),0,'raw data'!HB65/'raw data'!HC65)</f>
        <v>0</v>
      </c>
      <c r="DC64" s="263">
        <f>IF(ISERROR('raw data'!HD65/'raw data'!HE65),0,'raw data'!HD65/'raw data'!HE65)</f>
        <v>1</v>
      </c>
      <c r="DD64" s="263">
        <f>IF(ISERROR('raw data'!HF65/'raw data'!HG65),0,'raw data'!HF65/'raw data'!HG65)</f>
        <v>0</v>
      </c>
      <c r="DE64" s="263">
        <f>IF(ISERROR('raw data'!HH65/'raw data'!HI65),0,'raw data'!HH65/'raw data'!HI65)</f>
        <v>0</v>
      </c>
      <c r="DF64" s="263">
        <f>IF(ISERROR('raw data'!HJ65/'raw data'!HK65),0,'raw data'!HJ65/'raw data'!HK65)</f>
        <v>0</v>
      </c>
      <c r="DG64" s="263">
        <f>IF(ISERROR('raw data'!HL65/'raw data'!HM65),0,'raw data'!HL65/'raw data'!HM65)</f>
        <v>0</v>
      </c>
      <c r="DH64" s="263">
        <f>IF(ISERROR('raw data'!HN65/'raw data'!HO65),0,'raw data'!HN65/'raw data'!HO65)</f>
        <v>0</v>
      </c>
      <c r="DI64" s="263">
        <f>IF(ISERROR('raw data'!HP65/'raw data'!HQ65),0,'raw data'!HP65/'raw data'!HQ65)</f>
        <v>0</v>
      </c>
      <c r="DJ64" s="263">
        <f>IF(ISERROR('raw data'!HR65/'raw data'!HS65),0,'raw data'!HR65/'raw data'!HS65)</f>
        <v>0.25</v>
      </c>
      <c r="DK64" s="263">
        <f>IF(ISERROR('raw data'!HT65/'raw data'!HU65),0,'raw data'!HT65/'raw data'!HU65)</f>
        <v>0</v>
      </c>
      <c r="DL64" s="263">
        <f>IF(ISERROR('raw data'!HV65/'raw data'!HW65),0,'raw data'!HV65/'raw data'!HW65)</f>
        <v>0</v>
      </c>
      <c r="DM64" s="263">
        <f>IF(ISERROR('raw data'!HX65/'raw data'!HY65),0,'raw data'!HX65/'raw data'!HY65)</f>
        <v>0</v>
      </c>
      <c r="DN64" s="263">
        <f>IF(ISERROR('raw data'!HZ65/'raw data'!IA65),0,'raw data'!HZ65/'raw data'!IA65)</f>
        <v>0.16666666666666666</v>
      </c>
      <c r="DO64" s="263">
        <f>IF(ISERROR('raw data'!IB65/'raw data'!IC65),0,'raw data'!IB65/'raw data'!IC65)</f>
        <v>0.14285714285714285</v>
      </c>
      <c r="DP64" s="263">
        <f>IF(ISERROR('raw data'!ID65/'raw data'!IE65),0,'raw data'!ID65/'raw data'!IE65)</f>
        <v>0.5</v>
      </c>
      <c r="DQ64" s="263">
        <f>IF(ISERROR('raw data'!IF65/'raw data'!IG65),0,'raw data'!IF65/'raw data'!IG65)</f>
        <v>0</v>
      </c>
      <c r="DR64" s="263">
        <f>IF(ISERROR('raw data'!IH65/'raw data'!II65),0,'raw data'!IH65/'raw data'!II65)</f>
        <v>0.25</v>
      </c>
      <c r="DS64" s="263">
        <f>IF(ISERROR('raw data'!IJ65/'raw data'!IK65),0,'raw data'!IJ65/'raw data'!IK65)</f>
        <v>0</v>
      </c>
      <c r="DT64" s="263">
        <f>IF(ISERROR('raw data'!IL65/'raw data'!IM65),0,'raw data'!IL65/'raw data'!IM65)</f>
        <v>0.2</v>
      </c>
      <c r="DU64" s="263">
        <f>IF(ISERROR('raw data'!IN65/'raw data'!IO65),0,'raw data'!IN65/'raw data'!IO65)</f>
        <v>0</v>
      </c>
      <c r="DV64" s="263">
        <f>IF(ISERROR('raw data'!IP65/'raw data'!IQ65),0,'raw data'!IP65/'raw data'!IQ65)</f>
        <v>0</v>
      </c>
      <c r="DW64" s="263">
        <f>IF(ISERROR('raw data'!IR65/'raw data'!IS65),0,'raw data'!IR65/'raw data'!IS65)</f>
        <v>0</v>
      </c>
      <c r="DX64" s="263">
        <f>IF(ISERROR('raw data'!IT65/'raw data'!IU65),0,'raw data'!IT65/'raw data'!IU65)</f>
        <v>0</v>
      </c>
      <c r="DY64" s="263">
        <f>IF(ISERROR('raw data'!IV65/'raw data'!IW65),0,'raw data'!IV65/'raw data'!IW65)</f>
        <v>0</v>
      </c>
      <c r="DZ64" s="263">
        <f>IF(ISERROR('raw data'!IX65/'raw data'!IY65),0,'raw data'!IX65/'raw data'!IY65)</f>
        <v>0</v>
      </c>
      <c r="EA64" s="263">
        <f>IF(ISERROR('raw data'!IZ65/'raw data'!JA65),0,'raw data'!IZ65/'raw data'!JA65)</f>
        <v>0.5</v>
      </c>
      <c r="EB64" s="263">
        <f>IF(ISERROR('raw data'!JB65/'raw data'!JC65),0,'raw data'!JB65/'raw data'!JC65)</f>
        <v>0</v>
      </c>
      <c r="EC64" s="263">
        <f>IF(ISERROR('raw data'!JD65/'raw data'!JE65),0,'raw data'!JD65/'raw data'!JE65)</f>
        <v>0.1111111111111111</v>
      </c>
      <c r="ED64" s="226"/>
      <c r="EE64" s="264">
        <v>4</v>
      </c>
      <c r="EF64" s="264">
        <v>39</v>
      </c>
      <c r="EG64" s="265">
        <f t="shared" si="0"/>
        <v>0.10256410256410256</v>
      </c>
    </row>
    <row r="65" spans="1:137" ht="25.5" customHeight="1" x14ac:dyDescent="0.15">
      <c r="A65" s="268">
        <v>2.5</v>
      </c>
      <c r="B65" s="260" t="str">
        <f>'raw data'!B66</f>
        <v>Fraud or Suspect in SIRA or Payment from high risk countries/tax havens into customer’s accounts, within 30 days</v>
      </c>
      <c r="C65" s="261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  <c r="AM65" s="262"/>
      <c r="AN65" s="262"/>
      <c r="AO65" s="262"/>
      <c r="AP65" s="262"/>
      <c r="AQ65" s="262"/>
      <c r="AR65" s="262"/>
      <c r="AS65" s="262"/>
      <c r="AT65" s="262"/>
      <c r="AU65" s="262"/>
      <c r="AV65" s="262"/>
      <c r="AW65" s="262"/>
      <c r="AX65" s="262"/>
      <c r="AY65" s="262"/>
      <c r="AZ65" s="262"/>
      <c r="BA65" s="262"/>
      <c r="BB65" s="262"/>
      <c r="BC65" s="262"/>
      <c r="BD65" s="262"/>
      <c r="BE65" s="262"/>
      <c r="BF65" s="262"/>
      <c r="BG65" s="262"/>
      <c r="BH65" s="262"/>
      <c r="BI65" s="262"/>
      <c r="BJ65" s="262"/>
      <c r="BK65" s="262"/>
      <c r="BL65" s="262"/>
      <c r="BM65" s="262"/>
      <c r="BN65" s="262"/>
      <c r="BO65" s="262"/>
      <c r="BP65" s="262"/>
      <c r="BQ65" s="262"/>
      <c r="BR65" s="262"/>
      <c r="BS65" s="262"/>
      <c r="BT65" s="262"/>
      <c r="BU65" s="262"/>
      <c r="BV65" s="262"/>
      <c r="BW65" s="232"/>
      <c r="BX65" s="232"/>
      <c r="BY65" s="232"/>
      <c r="BZ65" s="232"/>
      <c r="CA65" s="232"/>
      <c r="CB65" s="232"/>
      <c r="CC65" s="232"/>
      <c r="CD65" s="232"/>
      <c r="CE65" s="232"/>
      <c r="CF65" s="232"/>
      <c r="CG65" s="232"/>
      <c r="CH65" s="232"/>
      <c r="CI65" s="232"/>
      <c r="CJ65" s="232"/>
      <c r="CK65" s="263">
        <f>IF(ISERROR('raw data'!FT66/'raw data'!FU66),0,'raw data'!FT66/'raw data'!FU66)</f>
        <v>1</v>
      </c>
      <c r="CL65" s="263">
        <f>IF(ISERROR('raw data'!FV66/'raw data'!FW66),0,'raw data'!FV66/'raw data'!FW66)</f>
        <v>0</v>
      </c>
      <c r="CM65" s="263">
        <f>IF(ISERROR('raw data'!FX66/'raw data'!FY66),0,'raw data'!FX66/'raw data'!FY66)</f>
        <v>0</v>
      </c>
      <c r="CN65" s="263">
        <f>IF(ISERROR('raw data'!FZ66/'raw data'!GA66),0,'raw data'!FZ66/'raw data'!GA66)</f>
        <v>0</v>
      </c>
      <c r="CO65" s="263">
        <f>IF(ISERROR('raw data'!GB66/'raw data'!GC66),0,'raw data'!GB66/'raw data'!GC66)</f>
        <v>0</v>
      </c>
      <c r="CP65" s="263">
        <f>IF(ISERROR('raw data'!GD66/'raw data'!GE66),0,'raw data'!GD66/'raw data'!GE66)</f>
        <v>0</v>
      </c>
      <c r="CQ65" s="263">
        <f>IF(ISERROR('raw data'!GF66/'raw data'!GG66),0,'raw data'!GF66/'raw data'!GG66)</f>
        <v>0</v>
      </c>
      <c r="CR65" s="263">
        <f>IF(ISERROR('raw data'!GH66/'raw data'!GI66),0,'raw data'!GH66/'raw data'!GI66)</f>
        <v>0</v>
      </c>
      <c r="CS65" s="263">
        <f>IF(ISERROR('raw data'!GJ66/'raw data'!GK66),0,'raw data'!GJ66/'raw data'!GK66)</f>
        <v>0</v>
      </c>
      <c r="CT65" s="263">
        <f>IF(ISERROR('raw data'!GL66/'raw data'!GM66),0,'raw data'!GL66/'raw data'!GM66)</f>
        <v>0</v>
      </c>
      <c r="CU65" s="263">
        <f>IF(ISERROR('raw data'!GN66/'raw data'!GO66),0,'raw data'!GN66/'raw data'!GO66)</f>
        <v>0</v>
      </c>
      <c r="CV65" s="263">
        <f>IF(ISERROR('raw data'!GP66/'raw data'!GQ66),0,'raw data'!GP66/'raw data'!GQ66)</f>
        <v>0</v>
      </c>
      <c r="CW65" s="263">
        <f>IF(ISERROR('raw data'!GR66/'raw data'!GS66),0,'raw data'!GR66/'raw data'!GS66)</f>
        <v>0</v>
      </c>
      <c r="CX65" s="263">
        <f>IF(ISERROR('raw data'!GT66/'raw data'!GU66),0,'raw data'!GT66/'raw data'!GU66)</f>
        <v>0</v>
      </c>
      <c r="CY65" s="263">
        <f>IF(ISERROR('raw data'!GV66/'raw data'!GW66),0,'raw data'!GV66/'raw data'!GW66)</f>
        <v>0</v>
      </c>
      <c r="CZ65" s="263">
        <f>IF(ISERROR('raw data'!GX66/'raw data'!GY66),0,'raw data'!GX66/'raw data'!GY66)</f>
        <v>0</v>
      </c>
      <c r="DA65" s="263">
        <f>IF(ISERROR('raw data'!GZ66/'raw data'!HA66),0,'raw data'!GZ66/'raw data'!HA66)</f>
        <v>0</v>
      </c>
      <c r="DB65" s="263">
        <f>IF(ISERROR('raw data'!HB66/'raw data'!HC66),0,'raw data'!HB66/'raw data'!HC66)</f>
        <v>0</v>
      </c>
      <c r="DC65" s="263">
        <f>IF(ISERROR('raw data'!HD66/'raw data'!HE66),0,'raw data'!HD66/'raw data'!HE66)</f>
        <v>0</v>
      </c>
      <c r="DD65" s="263">
        <f>IF(ISERROR('raw data'!HF66/'raw data'!HG66),0,'raw data'!HF66/'raw data'!HG66)</f>
        <v>0</v>
      </c>
      <c r="DE65" s="263">
        <f>IF(ISERROR('raw data'!HH66/'raw data'!HI66),0,'raw data'!HH66/'raw data'!HI66)</f>
        <v>0</v>
      </c>
      <c r="DF65" s="263">
        <f>IF(ISERROR('raw data'!HJ66/'raw data'!HK66),0,'raw data'!HJ66/'raw data'!HK66)</f>
        <v>0</v>
      </c>
      <c r="DG65" s="263">
        <f>IF(ISERROR('raw data'!HL66/'raw data'!HM66),0,'raw data'!HL66/'raw data'!HM66)</f>
        <v>0</v>
      </c>
      <c r="DH65" s="263">
        <f>IF(ISERROR('raw data'!HN66/'raw data'!HO66),0,'raw data'!HN66/'raw data'!HO66)</f>
        <v>0</v>
      </c>
      <c r="DI65" s="263">
        <f>IF(ISERROR('raw data'!HP66/'raw data'!HQ66),0,'raw data'!HP66/'raw data'!HQ66)</f>
        <v>0</v>
      </c>
      <c r="DJ65" s="263">
        <f>IF(ISERROR('raw data'!HR66/'raw data'!HS66),0,'raw data'!HR66/'raw data'!HS66)</f>
        <v>0</v>
      </c>
      <c r="DK65" s="263">
        <f>IF(ISERROR('raw data'!HT66/'raw data'!HU66),0,'raw data'!HT66/'raw data'!HU66)</f>
        <v>0</v>
      </c>
      <c r="DL65" s="263">
        <f>IF(ISERROR('raw data'!HV66/'raw data'!HW66),0,'raw data'!HV66/'raw data'!HW66)</f>
        <v>0</v>
      </c>
      <c r="DM65" s="263">
        <f>IF(ISERROR('raw data'!HX66/'raw data'!HY66),0,'raw data'!HX66/'raw data'!HY66)</f>
        <v>0</v>
      </c>
      <c r="DN65" s="263">
        <f>IF(ISERROR('raw data'!HZ66/'raw data'!IA66),0,'raw data'!HZ66/'raw data'!IA66)</f>
        <v>0</v>
      </c>
      <c r="DO65" s="263">
        <f>IF(ISERROR('raw data'!IB66/'raw data'!IC66),0,'raw data'!IB66/'raw data'!IC66)</f>
        <v>0</v>
      </c>
      <c r="DP65" s="263">
        <f>IF(ISERROR('raw data'!ID66/'raw data'!IE66),0,'raw data'!ID66/'raw data'!IE66)</f>
        <v>0</v>
      </c>
      <c r="DQ65" s="263">
        <f>IF(ISERROR('raw data'!IF66/'raw data'!IG66),0,'raw data'!IF66/'raw data'!IG66)</f>
        <v>0</v>
      </c>
      <c r="DR65" s="263">
        <f>IF(ISERROR('raw data'!IH66/'raw data'!II66),0,'raw data'!IH66/'raw data'!II66)</f>
        <v>0</v>
      </c>
      <c r="DS65" s="263">
        <f>IF(ISERROR('raw data'!IJ66/'raw data'!IK66),0,'raw data'!IJ66/'raw data'!IK66)</f>
        <v>0</v>
      </c>
      <c r="DT65" s="263">
        <f>IF(ISERROR('raw data'!IL66/'raw data'!IM66),0,'raw data'!IL66/'raw data'!IM66)</f>
        <v>0</v>
      </c>
      <c r="DU65" s="263">
        <f>IF(ISERROR('raw data'!IN66/'raw data'!IO66),0,'raw data'!IN66/'raw data'!IO66)</f>
        <v>0</v>
      </c>
      <c r="DV65" s="263">
        <f>IF(ISERROR('raw data'!IP66/'raw data'!IQ66),0,'raw data'!IP66/'raw data'!IQ66)</f>
        <v>0.5</v>
      </c>
      <c r="DW65" s="263">
        <f>IF(ISERROR('raw data'!IR66/'raw data'!IS66),0,'raw data'!IR66/'raw data'!IS66)</f>
        <v>0</v>
      </c>
      <c r="DX65" s="263">
        <f>IF(ISERROR('raw data'!IT66/'raw data'!IU66),0,'raw data'!IT66/'raw data'!IU66)</f>
        <v>0</v>
      </c>
      <c r="DY65" s="263">
        <f>IF(ISERROR('raw data'!IV66/'raw data'!IW66),0,'raw data'!IV66/'raw data'!IW66)</f>
        <v>0</v>
      </c>
      <c r="DZ65" s="263">
        <f>IF(ISERROR('raw data'!IX66/'raw data'!IY66),0,'raw data'!IX66/'raw data'!IY66)</f>
        <v>0</v>
      </c>
      <c r="EA65" s="263">
        <f>IF(ISERROR('raw data'!IZ66/'raw data'!JA66),0,'raw data'!IZ66/'raw data'!JA66)</f>
        <v>0</v>
      </c>
      <c r="EB65" s="263">
        <f>IF(ISERROR('raw data'!JB66/'raw data'!JC66),0,'raw data'!JB66/'raw data'!JC66)</f>
        <v>0</v>
      </c>
      <c r="EC65" s="263">
        <f>IF(ISERROR('raw data'!JD66/'raw data'!JE66),0,'raw data'!JD66/'raw data'!JE66)</f>
        <v>0</v>
      </c>
      <c r="ED65" s="226"/>
      <c r="EE65" s="264">
        <v>1</v>
      </c>
      <c r="EF65" s="264">
        <v>12</v>
      </c>
      <c r="EG65" s="265">
        <f t="shared" si="0"/>
        <v>8.3333333333333329E-2</v>
      </c>
    </row>
    <row r="66" spans="1:137" ht="14" x14ac:dyDescent="0.15">
      <c r="A66" s="241"/>
      <c r="B66" s="242" t="s">
        <v>113</v>
      </c>
      <c r="C66" s="242" t="s">
        <v>113</v>
      </c>
      <c r="D66" s="243">
        <f>+'raw data'!D67/'raw data'!E67</f>
        <v>2.7522935779816515E-2</v>
      </c>
      <c r="E66" s="243">
        <f>+'raw data'!F67/'raw data'!G67</f>
        <v>0</v>
      </c>
      <c r="F66" s="243">
        <f>'raw data'!H67/'raw data'!I67</f>
        <v>3.3333333333333333E-2</v>
      </c>
      <c r="G66" s="243">
        <f>'raw data'!J67/'raw data'!K67</f>
        <v>0</v>
      </c>
      <c r="H66" s="243">
        <f>'raw data'!L67/'raw data'!M67</f>
        <v>4.0983606557377046E-2</v>
      </c>
      <c r="I66" s="243">
        <f>'raw data'!N67/'raw data'!O67</f>
        <v>0</v>
      </c>
      <c r="J66" s="243">
        <f>'raw data'!P67/'raw data'!Q67</f>
        <v>0</v>
      </c>
      <c r="K66" s="243">
        <f>'raw data'!R67/'raw data'!S67</f>
        <v>1.7241379310344827E-2</v>
      </c>
      <c r="L66" s="243">
        <f>'raw data'!T67/'raw data'!U67</f>
        <v>0</v>
      </c>
      <c r="M66" s="243">
        <f>'raw data'!V67/'raw data'!W67</f>
        <v>7.7821011673151752E-3</v>
      </c>
      <c r="N66" s="243">
        <f>'raw data'!X67/'raw data'!Y67</f>
        <v>7.3529411764705881E-3</v>
      </c>
      <c r="O66" s="243">
        <f>IF(ISERROR('raw data'!Z67/'raw data'!AA67),0,'raw data'!Z67/'raw data'!AA67)</f>
        <v>0</v>
      </c>
      <c r="P66" s="243">
        <f>IF(ISERROR('raw data'!AB67/'raw data'!AC67),0,'raw data'!AB67/'raw data'!AC67)</f>
        <v>1.8867924528301886E-2</v>
      </c>
      <c r="Q66" s="243">
        <f>IF(ISERROR('raw data'!AD67/'raw data'!AE67),0,'raw data'!AD67/'raw data'!AE67)</f>
        <v>0.04</v>
      </c>
      <c r="R66" s="243">
        <f>IF(ISERROR('raw data'!AF67/'raw data'!AG67),0,'raw data'!AF67/'raw data'!AG67)</f>
        <v>7.1428571428571425E-2</v>
      </c>
      <c r="S66" s="243">
        <f>IF(ISERROR('raw data'!AH67/'raw data'!AI67),0,'raw data'!AH67/'raw data'!AI67)</f>
        <v>0</v>
      </c>
      <c r="T66" s="243">
        <f>IF(ISERROR('raw data'!AJ67/'raw data'!AK67),0,'raw data'!AJ67/'raw data'!AK67)</f>
        <v>0</v>
      </c>
      <c r="U66" s="243">
        <f>IF(ISERROR('raw data'!AL67/'raw data'!AM67),0,'raw data'!AL67/'raw data'!AM67)</f>
        <v>3.4482758620689655E-2</v>
      </c>
      <c r="V66" s="243">
        <f>IF(ISERROR('raw data'!AN67/'raw data'!AO67),0,'raw data'!AN67/'raw data'!AO67)</f>
        <v>3.4482758620689655E-2</v>
      </c>
      <c r="W66" s="243">
        <f>IF(ISERROR('raw data'!AP67/'raw data'!AQ67),0,'raw data'!AP67/'raw data'!AQ67)</f>
        <v>0</v>
      </c>
      <c r="X66" s="243">
        <f>IF(ISERROR('raw data'!AR67/'raw data'!AS67),0,'raw data'!AR67/'raw data'!AS67)</f>
        <v>0</v>
      </c>
      <c r="Y66" s="243">
        <f>IF(ISERROR('raw data'!AT67/'raw data'!AU67),0,'raw data'!AT67/'raw data'!AU67)</f>
        <v>4.1666666666666664E-2</v>
      </c>
      <c r="Z66" s="243">
        <f>IF(ISERROR('raw data'!AV67/'raw data'!AW67),0,'raw data'!AV67/'raw data'!AW67)</f>
        <v>7.6923076923076927E-2</v>
      </c>
      <c r="AA66" s="243">
        <f>IF(ISERROR('raw data'!AX67/'raw data'!AY67),0,'raw data'!AX67/'raw data'!AY67)</f>
        <v>9.6774193548387094E-2</v>
      </c>
      <c r="AB66" s="243">
        <f>IF(ISERROR('raw data'!AZ67/'raw data'!BA67),0,'raw data'!AZ67/'raw data'!BA67)</f>
        <v>0</v>
      </c>
      <c r="AC66" s="243">
        <f>IF(ISERROR('raw data'!BB67/'raw data'!BC67),0,'raw data'!BB67/'raw data'!BC67)</f>
        <v>6.25E-2</v>
      </c>
      <c r="AD66" s="243">
        <f>IF(ISERROR('raw data'!BD67/'raw data'!BE67),0,'raw data'!BD67/'raw data'!BE67)</f>
        <v>4.3478260869565216E-2</v>
      </c>
      <c r="AE66" s="243">
        <f>IF(ISERROR('raw data'!BF67/'raw data'!BG67),0,'raw data'!BF67/'raw data'!BG67)</f>
        <v>0</v>
      </c>
      <c r="AF66" s="243">
        <f>IF(ISERROR('raw data'!BH67/'raw data'!BI67),0,'raw data'!BH67/'raw data'!BI67)</f>
        <v>0.13793103448275862</v>
      </c>
      <c r="AG66" s="243">
        <f>IF(ISERROR('raw data'!BJ67/'raw data'!BK67),0,'raw data'!BJ67/'raw data'!BK67)</f>
        <v>0</v>
      </c>
      <c r="AH66" s="243">
        <f>IF(ISERROR('raw data'!BL67/'raw data'!BM67),0,'raw data'!BL67/'raw data'!BM67)</f>
        <v>4.5454545454545456E-2</v>
      </c>
      <c r="AI66" s="243">
        <f>IF(ISERROR('raw data'!BN67/'raw data'!BO67),0,'raw data'!BN67/'raw data'!BO67)</f>
        <v>4.3478260869565216E-2</v>
      </c>
      <c r="AJ66" s="243">
        <f>IF(ISERROR('raw data'!BP67/'raw data'!BQ67),0,'raw data'!BP67/'raw data'!BQ67)</f>
        <v>0</v>
      </c>
      <c r="AK66" s="243">
        <f>IF(ISERROR('raw data'!BR67/'raw data'!BS67),0,'raw data'!BR67/'raw data'!BS67)</f>
        <v>0</v>
      </c>
      <c r="AL66" s="243">
        <f>IF(ISERROR('raw data'!BT67/'raw data'!BU67),0,'raw data'!BT67/'raw data'!BU67)</f>
        <v>0</v>
      </c>
      <c r="AM66" s="243">
        <f>IF(ISERROR('raw data'!BV67/'raw data'!BW67),0,'raw data'!BV67/'raw data'!BW67)</f>
        <v>0</v>
      </c>
      <c r="AN66" s="243">
        <f>IF(ISERROR('raw data'!BX67/'raw data'!BY67),0,'raw data'!BX67/'raw data'!BY67)</f>
        <v>0</v>
      </c>
      <c r="AO66" s="243">
        <f>IF(ISERROR('raw data'!BZ67/'raw data'!CA67),0,'raw data'!BZ67/'raw data'!CA67)</f>
        <v>0</v>
      </c>
      <c r="AP66" s="243">
        <f>IF(ISERROR('raw data'!CB67/'raw data'!CC67),0,'raw data'!CB67/'raw data'!CC67)</f>
        <v>0</v>
      </c>
      <c r="AQ66" s="243">
        <f>IF(ISERROR('raw data'!CD67/'raw data'!CE67),0,'raw data'!CD67/'raw data'!CE67)</f>
        <v>0.23076923076923078</v>
      </c>
      <c r="AR66" s="243">
        <f>IF(ISERROR('raw data'!CF67/'raw data'!CG67),0,'raw data'!CF67/'raw data'!CG67)</f>
        <v>0.1111111111111111</v>
      </c>
      <c r="AS66" s="243">
        <f>IF(ISERROR('raw data'!CH67/'raw data'!CI67),0,'raw data'!CH67/'raw data'!CI67)</f>
        <v>0</v>
      </c>
      <c r="AT66" s="243">
        <f>IF(ISERROR('raw data'!CJ67/'raw data'!CK67),0,'raw data'!CJ67/'raw data'!CK67)</f>
        <v>0</v>
      </c>
      <c r="AU66" s="243">
        <f>IF(ISERROR('raw data'!CL67/'raw data'!CM67),0,'raw data'!CL67/'raw data'!CM67)</f>
        <v>0</v>
      </c>
      <c r="AV66" s="243">
        <f>IF(ISERROR('raw data'!CN67/'raw data'!CO67),0,'raw data'!CN67/'raw data'!CO67)</f>
        <v>0</v>
      </c>
      <c r="AW66" s="243">
        <f>IF(ISERROR('raw data'!CP67/'raw data'!CQ67),0,'raw data'!CP67/'raw data'!CQ67)</f>
        <v>0.16666666666666666</v>
      </c>
      <c r="AX66" s="243">
        <f>IF(ISERROR('raw data'!CR67/'raw data'!CS67),0,'raw data'!CR67/'raw data'!CS67)</f>
        <v>0</v>
      </c>
      <c r="AY66" s="243">
        <f>IF(ISERROR('raw data'!CT67/'raw data'!CU67),0,'raw data'!CT67/'raw data'!CU67)</f>
        <v>0</v>
      </c>
      <c r="AZ66" s="243">
        <f>IF(ISERROR('raw data'!CV67/'raw data'!CW67),0,'raw data'!CV67/'raw data'!CW67)</f>
        <v>5.2631578947368418E-2</v>
      </c>
      <c r="BA66" s="243">
        <f>IF(ISERROR('raw data'!CX67/'raw data'!CY67),0,'raw data'!CX67/'raw data'!CY67)</f>
        <v>0</v>
      </c>
      <c r="BB66" s="243">
        <f>IF(ISERROR('raw data'!CZ67/'raw data'!DA67),0,'raw data'!CZ67/'raw data'!DA67)</f>
        <v>0</v>
      </c>
      <c r="BC66" s="243">
        <f>IF(ISERROR('raw data'!DB67/'raw data'!DC67),0,'raw data'!DB67/'raw data'!DC67)</f>
        <v>0</v>
      </c>
      <c r="BD66" s="243">
        <v>0</v>
      </c>
      <c r="BE66" s="243">
        <f>IF(ISERROR('raw data'!DF67/'raw data'!DG67),0,'raw data'!DF67/'raw data'!DG67)</f>
        <v>0.14285714285714285</v>
      </c>
      <c r="BF66" s="243">
        <f>IF(ISERROR('raw data'!DH67/'raw data'!DI67),0,'raw data'!DH67/'raw data'!DI67)</f>
        <v>0</v>
      </c>
      <c r="BG66" s="243">
        <f>IF(ISERROR('raw data'!DJ67/'raw data'!DK67),0,'raw data'!DJ67/'raw data'!DK67)</f>
        <v>3.5294117647058823E-2</v>
      </c>
      <c r="BH66" s="243">
        <f>IF(ISERROR('raw data'!DL67/'raw data'!DM67),0,'raw data'!DL67/'raw data'!DM67)</f>
        <v>0</v>
      </c>
      <c r="BI66" s="243">
        <f>IF(ISERROR('raw data'!DN67/'raw data'!DO67),0,'raw data'!DN67/'raw data'!DO67)</f>
        <v>4.7058823529411764E-2</v>
      </c>
      <c r="BJ66" s="243">
        <f>IF(ISERROR('raw data'!DP67/'raw data'!DQ67),0,'raw data'!DP67/'raw data'!DQ67)</f>
        <v>3.4090909090909088E-2</v>
      </c>
      <c r="BK66" s="243">
        <f>IF(ISERROR('raw data'!DR67/'raw data'!DS67),0,'raw data'!DR67/'raw data'!DS67)</f>
        <v>2.9411764705882353E-2</v>
      </c>
      <c r="BL66" s="243">
        <f>IF(ISERROR('raw data'!DT67/'raw data'!DU67),0,'raw data'!DT67/'raw data'!DU67)</f>
        <v>9.433962264150943E-3</v>
      </c>
      <c r="BM66" s="243">
        <f>IF(ISERROR('raw data'!DV67/'raw data'!DW67),0,'raw data'!DV67/'raw data'!DW67)</f>
        <v>1.0309278350515464E-2</v>
      </c>
      <c r="BN66" s="243">
        <f>IF(ISERROR('raw data'!DX67/'raw data'!DY67),0,'raw data'!DX67/'raw data'!DY67)</f>
        <v>1.7391304347826087E-2</v>
      </c>
      <c r="BO66" s="243">
        <f>IF(ISERROR('raw data'!DZ67/'raw data'!EA67),0,'raw data'!DZ67/'raw data'!EA67)</f>
        <v>8.4745762711864406E-3</v>
      </c>
      <c r="BP66" s="243">
        <f>IF(ISERROR('raw data'!EB67/'raw data'!EC67),0,'raw data'!EB67/'raw data'!EC67)</f>
        <v>0</v>
      </c>
      <c r="BQ66" s="243">
        <f>IF(ISERROR('raw data'!ED67/'raw data'!EE67),0,'raw data'!ED67/'raw data'!EE67)</f>
        <v>2.197802197802198E-2</v>
      </c>
      <c r="BR66" s="243">
        <f>IF(ISERROR('raw data'!EF67/'raw data'!EG67),0,'raw data'!EF67/'raw data'!EG67)</f>
        <v>0</v>
      </c>
      <c r="BS66" s="243">
        <f>IF(ISERROR('raw data'!EH67/'raw data'!EI67),0,'raw data'!EH67/'raw data'!EI67)</f>
        <v>0</v>
      </c>
      <c r="BT66" s="243">
        <f>IF(ISERROR('raw data'!EJ67/'raw data'!EK67),0,'raw data'!EJ67/'raw data'!EK67)</f>
        <v>0</v>
      </c>
      <c r="BU66" s="243">
        <f>IF(ISERROR('raw data'!EL67/'raw data'!EM67),0,'raw data'!EL67/'raw data'!EM67)</f>
        <v>1.2500000000000001E-2</v>
      </c>
      <c r="BV66" s="243">
        <f>IF(ISERROR('raw data'!EN67/'raw data'!EO67),0,'raw data'!EN67/'raw data'!EO67)</f>
        <v>1.9230769230769232E-2</v>
      </c>
      <c r="BW66" s="243">
        <f>IF(ISERROR('raw data'!EP67/'raw data'!EQ67),0,'raw data'!EP67/'raw data'!EQ67)</f>
        <v>0</v>
      </c>
      <c r="BX66" s="243">
        <f>IF(ISERROR('raw data'!ER67/'raw data'!ES67),0,'raw data'!ER67/'raw data'!ES67)</f>
        <v>0</v>
      </c>
      <c r="BY66" s="243">
        <f>IF(ISERROR('raw data'!ET67/'raw data'!EU67),0,'raw data'!ET67/'raw data'!EU67)</f>
        <v>6.5789473684210523E-3</v>
      </c>
      <c r="BZ66" s="243">
        <f>IF(ISERROR('raw data'!EV67/'raw data'!EW67),0,'raw data'!EV67/'raw data'!EW67)</f>
        <v>0</v>
      </c>
      <c r="CA66" s="243">
        <f>IF(ISERROR('raw data'!EX67/'raw data'!EY67),0,'raw data'!EX67/'raw data'!EY67)</f>
        <v>2.0408163265306121E-2</v>
      </c>
      <c r="CB66" s="243">
        <f>IF(ISERROR('raw data'!EZ67/'raw data'!FA67),0,'raw data'!EZ67/'raw data'!FA67)</f>
        <v>1.4925373134328358E-2</v>
      </c>
      <c r="CC66" s="243">
        <f>IF(ISERROR('raw data'!FB67/'raw data'!FC67),0,'raw data'!FB67/'raw data'!FC67)</f>
        <v>4.3478260869565216E-2</v>
      </c>
      <c r="CD66" s="243">
        <f>IF(ISERROR('raw data'!FD67/'raw data'!FE67),0,'raw data'!FD67/'raw data'!FE67)</f>
        <v>1.4705882352941176E-2</v>
      </c>
      <c r="CE66" s="243">
        <f>IF(ISERROR('raw data'!FF67/'raw data'!FG67),0,'raw data'!FF67/'raw data'!FG67)</f>
        <v>2.5000000000000001E-2</v>
      </c>
      <c r="CF66" s="243">
        <f>IF(ISERROR('raw data'!FH67/'raw data'!FI67),0,'raw data'!FH67/'raw data'!FI67)</f>
        <v>3.7037037037037035E-2</v>
      </c>
      <c r="CG66" s="243">
        <f>IF(ISERROR('raw data'!FJ67/'raw data'!FM67),0,'raw data'!FJ67/'raw data'!FM67)</f>
        <v>0</v>
      </c>
      <c r="CH66" s="243">
        <f>IF(ISERROR('raw data'!FN67/'raw data'!FO67),0,'raw data'!FN67/'raw data'!FO67)</f>
        <v>0</v>
      </c>
      <c r="CI66" s="243">
        <f>IF(ISERROR('raw data'!FP67/'raw data'!FQ67),0,'raw data'!FP67/'raw data'!FQ67)</f>
        <v>0</v>
      </c>
      <c r="CJ66" s="243">
        <f>IF(ISERROR('raw data'!FR67/'raw data'!FS67),0,'raw data'!FR67/'raw data'!FS67)</f>
        <v>0</v>
      </c>
      <c r="CK66" s="243">
        <f>IF(ISERROR('raw data'!FT67/'raw data'!FU67),0,'raw data'!FT67/'raw data'!FU67)</f>
        <v>0.13043478260869565</v>
      </c>
      <c r="CL66" s="243">
        <f>IF(ISERROR('raw data'!FV67/'raw data'!FW67),0,'raw data'!FV67/'raw data'!FW67)</f>
        <v>0</v>
      </c>
      <c r="CM66" s="243">
        <f>IF(ISERROR('raw data'!FX67/'raw data'!FY67),0,'raw data'!FX67/'raw data'!FY67)</f>
        <v>4.0540540540540543E-2</v>
      </c>
      <c r="CN66" s="243">
        <f>IF(ISERROR('raw data'!FZ67/'raw data'!GA67),0,'raw data'!FZ67/'raw data'!GA67)</f>
        <v>3.125E-2</v>
      </c>
      <c r="CO66" s="243">
        <f>IF(ISERROR('raw data'!GB67/'raw data'!GC67),0,'raw data'!GB67/'raw data'!GC67)</f>
        <v>2.1739130434782608E-2</v>
      </c>
      <c r="CP66" s="243">
        <f>IF(ISERROR('raw data'!GD67/'raw data'!GE67),0,'raw data'!GD67/'raw data'!GE67)</f>
        <v>0</v>
      </c>
      <c r="CQ66" s="243">
        <f>IF(ISERROR('raw data'!GF67/'raw data'!GG67),0,'raw data'!GF67/'raw data'!GG67)</f>
        <v>4.3478260869565216E-2</v>
      </c>
      <c r="CR66" s="243">
        <f>IF(ISERROR('raw data'!GH67/'raw data'!GI67),0,'raw data'!GH67/'raw data'!GI67)</f>
        <v>0</v>
      </c>
      <c r="CS66" s="243">
        <f>IF(ISERROR('raw data'!GJ67/'raw data'!GK67),0,'raw data'!GJ67/'raw data'!GK67)</f>
        <v>0</v>
      </c>
      <c r="CT66" s="243">
        <f>IF(ISERROR('raw data'!GL67/'raw data'!GM67),0,'raw data'!GL67/'raw data'!GM67)</f>
        <v>0</v>
      </c>
      <c r="CU66" s="243">
        <f>IF(ISERROR('raw data'!GN67/'raw data'!GO67),0,'raw data'!GN67/'raw data'!GO67)</f>
        <v>1.0309278350515464E-2</v>
      </c>
      <c r="CV66" s="243">
        <f>IF(ISERROR('raw data'!GP67/'raw data'!GQ67),0,'raw data'!GP67/'raw data'!GQ67)</f>
        <v>1.1494252873563218E-2</v>
      </c>
      <c r="CW66" s="243">
        <f>IF(ISERROR('raw data'!GR67/'raw data'!GS67),0,'raw data'!GR67/'raw data'!GS67)</f>
        <v>3.7735849056603772E-2</v>
      </c>
      <c r="CX66" s="243">
        <f>IF(ISERROR('raw data'!GT67/'raw data'!GU67),0,'raw data'!GT67/'raw data'!GU67)</f>
        <v>4.7619047619047616E-2</v>
      </c>
      <c r="CY66" s="243">
        <f>IF(ISERROR('raw data'!GV67/'raw data'!GW67),0,'raw data'!GV67/'raw data'!GW67)</f>
        <v>1.3157894736842105E-2</v>
      </c>
      <c r="CZ66" s="243">
        <f>IF(ISERROR('raw data'!GX67/'raw data'!GY67),0,'raw data'!GX67/'raw data'!GY67)</f>
        <v>1.9801980198019802E-2</v>
      </c>
      <c r="DA66" s="243">
        <f>IF(ISERROR('raw data'!GZ67/'raw data'!HA67),0,'raw data'!GZ67/'raw data'!HA67)</f>
        <v>2.5974025974025976E-2</v>
      </c>
      <c r="DB66" s="243">
        <f>IF(ISERROR('raw data'!HB67/'raw data'!HC67),0,'raw data'!HB67/'raw data'!HC67)</f>
        <v>0</v>
      </c>
      <c r="DC66" s="243">
        <f>IF(ISERROR('raw data'!HD67/'raw data'!HE67),0,'raw data'!HD67/'raw data'!HE67)</f>
        <v>0.5</v>
      </c>
      <c r="DD66" s="243">
        <f>IF(ISERROR('raw data'!HF67/'raw data'!HG67),0,'raw data'!HF67/'raw data'!HG67)</f>
        <v>0</v>
      </c>
      <c r="DE66" s="243">
        <f>IF(ISERROR('raw data'!HH67/'raw data'!HI67),0,'raw data'!HH67/'raw data'!HI67)</f>
        <v>0</v>
      </c>
      <c r="DF66" s="243">
        <f>IF(ISERROR('raw data'!HJ67/'raw data'!HK67),0,'raw data'!HJ67/'raw data'!HK67)</f>
        <v>0</v>
      </c>
      <c r="DG66" s="243">
        <f>IF(ISERROR('raw data'!HL67/'raw data'!HM67),0,'raw data'!HL67/'raw data'!HM67)</f>
        <v>0</v>
      </c>
      <c r="DH66" s="243">
        <f>IF(ISERROR('raw data'!HN67/'raw data'!HO67),0,'raw data'!HN67/'raw data'!HO67)</f>
        <v>0</v>
      </c>
      <c r="DI66" s="243">
        <f>IF(ISERROR('raw data'!HP67/'raw data'!HQ67),0,'raw data'!HP67/'raw data'!HQ67)</f>
        <v>0</v>
      </c>
      <c r="DJ66" s="243">
        <f>IF(ISERROR('raw data'!HR67/'raw data'!HS67),0,'raw data'!HR67/'raw data'!HS67)</f>
        <v>0.14285714285714285</v>
      </c>
      <c r="DK66" s="243">
        <f>IF(ISERROR('raw data'!HT67/'raw data'!HU67),0,'raw data'!HT67/'raw data'!HU67)</f>
        <v>0</v>
      </c>
      <c r="DL66" s="243">
        <f>IF(ISERROR('raw data'!HV67/'raw data'!HW67),0,'raw data'!HV67/'raw data'!HW67)</f>
        <v>0</v>
      </c>
      <c r="DM66" s="243">
        <f>IF(ISERROR('raw data'!HX67/'raw data'!HY67),0,'raw data'!HX67/'raw data'!HY67)</f>
        <v>0</v>
      </c>
      <c r="DN66" s="243">
        <f>IF(ISERROR('raw data'!HZ67/'raw data'!IA67),0,'raw data'!HZ67/'raw data'!IA67)</f>
        <v>0.16666666666666666</v>
      </c>
      <c r="DO66" s="243">
        <f>IF(ISERROR('raw data'!IB67/'raw data'!IC67),0,'raw data'!IB67/'raw data'!IC67)</f>
        <v>0.14285714285714285</v>
      </c>
      <c r="DP66" s="243">
        <f>IF(ISERROR('raw data'!ID67/'raw data'!IE67),0,'raw data'!ID67/'raw data'!IE67)</f>
        <v>0.25</v>
      </c>
      <c r="DQ66" s="243">
        <f>IF(ISERROR('raw data'!IF67/'raw data'!IG67),0,'raw data'!IF67/'raw data'!IG67)</f>
        <v>0</v>
      </c>
      <c r="DR66" s="243">
        <f>IF(ISERROR('raw data'!IH67/'raw data'!II67),0,'raw data'!IH67/'raw data'!II67)</f>
        <v>0.2</v>
      </c>
      <c r="DS66" s="243">
        <f>IF(ISERROR('raw data'!IJ67/'raw data'!IK67),0,'raw data'!IJ67/'raw data'!IK67)</f>
        <v>0</v>
      </c>
      <c r="DT66" s="243">
        <f>IF(ISERROR('raw data'!IL67/'raw data'!IM67),0,'raw data'!IL67/'raw data'!IM67)</f>
        <v>0.2</v>
      </c>
      <c r="DU66" s="243">
        <f>IF(ISERROR('raw data'!IN67/'raw data'!IO67),0,'raw data'!IN67/'raw data'!IO67)</f>
        <v>0</v>
      </c>
      <c r="DV66" s="243">
        <f>IF(ISERROR('raw data'!IP67/'raw data'!IQ67),0,'raw data'!IP67/'raw data'!IQ67)</f>
        <v>0.33333333333333331</v>
      </c>
      <c r="DW66" s="243">
        <f>IF(ISERROR('raw data'!IR67/'raw data'!IS67),0,'raw data'!IR67/'raw data'!IS67)</f>
        <v>0</v>
      </c>
      <c r="DX66" s="243">
        <f>IF(ISERROR('raw data'!IT67/'raw data'!IU67),0,'raw data'!IT67/'raw data'!IU67)</f>
        <v>0</v>
      </c>
      <c r="DY66" s="243">
        <f>IF(ISERROR('raw data'!IV67/'raw data'!IW67),0,'raw data'!IV67/'raw data'!IW67)</f>
        <v>0</v>
      </c>
      <c r="DZ66" s="243">
        <f>IF(ISERROR('raw data'!IX67/'raw data'!IY67),0,'raw data'!IX67/'raw data'!IY67)</f>
        <v>0</v>
      </c>
      <c r="EA66" s="243">
        <f>IF(ISERROR('raw data'!IZ67/'raw data'!JA67),0,'raw data'!IZ67/'raw data'!JA67)</f>
        <v>0.33333333333333331</v>
      </c>
      <c r="EB66" s="243">
        <f>IF(ISERROR('raw data'!JB67/'raw data'!JC67),0,'raw data'!JB67/'raw data'!JC67)</f>
        <v>0</v>
      </c>
      <c r="EC66" s="243">
        <f>IF(ISERROR('raw data'!JD67/'raw data'!JE67),0,'raw data'!JD67/'raw data'!JE67)</f>
        <v>9.0909090909090912E-2</v>
      </c>
      <c r="ED66" s="243"/>
      <c r="EE66" s="244">
        <f>SUM(EE58:EE65)</f>
        <v>5</v>
      </c>
      <c r="EF66" s="244">
        <f>SUM(EF58:EF65)</f>
        <v>51</v>
      </c>
      <c r="EG66" s="245">
        <f t="shared" si="0"/>
        <v>9.8039215686274508E-2</v>
      </c>
    </row>
    <row r="67" spans="1:137" ht="25.5" customHeight="1" x14ac:dyDescent="0.15">
      <c r="A67" s="269">
        <v>4.0999999999999996</v>
      </c>
      <c r="B67" s="270" t="str">
        <f>'raw data'!B68</f>
        <v>Credit Card Cash withdrawals in CoC where transactions total £3k+.</v>
      </c>
      <c r="C67" s="271" t="s">
        <v>115</v>
      </c>
      <c r="D67" s="235"/>
      <c r="E67" s="272">
        <f>+'raw data'!F68/'raw data'!G68</f>
        <v>0.125</v>
      </c>
      <c r="F67" s="272">
        <f>'raw data'!H68/'raw data'!I68</f>
        <v>0</v>
      </c>
      <c r="G67" s="235">
        <f>SUM(G59:G66)</f>
        <v>0</v>
      </c>
      <c r="H67" s="272">
        <f>SUM(H59:H66)</f>
        <v>0.35074791632168678</v>
      </c>
      <c r="I67" s="272">
        <f>IF(ISERROR('raw data'!EV67/'raw data'!EW67),0,'raw data'!EV67/'raw data'!EW67)</f>
        <v>0</v>
      </c>
      <c r="J67" s="272">
        <f>'raw data'!P68/'raw data'!Q68</f>
        <v>0</v>
      </c>
      <c r="K67" s="272">
        <f>'raw data'!R68/'raw data'!S68</f>
        <v>0</v>
      </c>
      <c r="L67" s="272">
        <f>'raw data'!T68/'raw data'!U68</f>
        <v>0</v>
      </c>
      <c r="M67" s="272">
        <f>'raw data'!V68/'raw data'!W68</f>
        <v>0</v>
      </c>
      <c r="N67" s="272">
        <f>'raw data'!X68/'raw data'!Y68</f>
        <v>8.3333333333333329E-2</v>
      </c>
      <c r="O67" s="272">
        <f>IF(ISERROR('raw data'!Z68/'raw data'!AA68),0,'raw data'!Z68/'raw data'!AA68)</f>
        <v>0</v>
      </c>
      <c r="P67" s="272">
        <f>IF(ISERROR('raw data'!AB68/'raw data'!AC68),0,'raw data'!AB68/'raw data'!AC68)</f>
        <v>0</v>
      </c>
      <c r="Q67" s="272">
        <f>IF(ISERROR('raw data'!AD68/'raw data'!AE68),0,'raw data'!AD68/'raw data'!AE68)</f>
        <v>0</v>
      </c>
      <c r="R67" s="272">
        <f>IF(ISERROR('raw data'!AF68/'raw data'!AG68),0,'raw data'!AF68/'raw data'!AG68)</f>
        <v>0</v>
      </c>
      <c r="S67" s="272">
        <f>IF(ISERROR('raw data'!AH68/'raw data'!AI68),0,'raw data'!AH68/'raw data'!AI68)</f>
        <v>0</v>
      </c>
      <c r="T67" s="272">
        <f>IF(ISERROR('raw data'!AJ68/'raw data'!AK68),0,'raw data'!AJ68/'raw data'!AK68)</f>
        <v>0</v>
      </c>
      <c r="U67" s="272">
        <f>IF(ISERROR('raw data'!AL68/'raw data'!AM68),0,'raw data'!AL68/'raw data'!AM68)</f>
        <v>0</v>
      </c>
      <c r="V67" s="272">
        <f>IF(ISERROR('raw data'!AN68/'raw data'!AO68),0,'raw data'!AN68/'raw data'!AO68)</f>
        <v>0</v>
      </c>
      <c r="W67" s="272">
        <f>IF(ISERROR('raw data'!AP68/'raw data'!AQ68),0,'raw data'!AP68/'raw data'!AQ68)</f>
        <v>0</v>
      </c>
      <c r="X67" s="272">
        <f>IF(ISERROR('raw data'!AR68/'raw data'!AS68),0,'raw data'!AR68/'raw data'!AS68)</f>
        <v>0</v>
      </c>
      <c r="Y67" s="272">
        <f>IF(ISERROR('raw data'!AT68/'raw data'!AU68),0,'raw data'!AT68/'raw data'!AU68)</f>
        <v>0</v>
      </c>
      <c r="Z67" s="272">
        <f>IF(ISERROR('raw data'!AV68/'raw data'!AW68),0,'raw data'!AV68/'raw data'!AW68)</f>
        <v>0</v>
      </c>
      <c r="AA67" s="272">
        <f>IF(ISERROR('raw data'!AX68/'raw data'!AY68),0,'raw data'!AX68/'raw data'!AY68)</f>
        <v>0</v>
      </c>
      <c r="AB67" s="272">
        <f>IF(ISERROR('raw data'!AZ68/'raw data'!BA68),0,'raw data'!AZ68/'raw data'!BA68)</f>
        <v>9.0909090909090912E-2</v>
      </c>
      <c r="AC67" s="272">
        <f>IF(ISERROR('raw data'!BB68/'raw data'!BC68),0,'raw data'!BB68/'raw data'!BC68)</f>
        <v>0</v>
      </c>
      <c r="AD67" s="272">
        <f>IF(ISERROR('raw data'!BD68/'raw data'!BE68),0,'raw data'!BD68/'raw data'!BE68)</f>
        <v>0</v>
      </c>
      <c r="AE67" s="272">
        <f>IF(ISERROR('raw data'!BF68/'raw data'!BG68),0,'raw data'!BF68/'raw data'!BG68)</f>
        <v>0</v>
      </c>
      <c r="AF67" s="273">
        <f>IF(ISERROR('raw data'!BH68/'raw data'!BI68),0,'raw data'!BH68/'raw data'!BI68)</f>
        <v>0</v>
      </c>
      <c r="AG67" s="272">
        <f>IF(ISERROR('raw data'!BJ68/'raw data'!BK68),0,'raw data'!BJ68/'raw data'!BK68)</f>
        <v>0</v>
      </c>
      <c r="AH67" s="272">
        <f>IF(ISERROR('raw data'!BL68/'raw data'!BM68),0,'raw data'!BL68/'raw data'!BM68)</f>
        <v>0.1111111111111111</v>
      </c>
      <c r="AI67" s="272">
        <f>IF(ISERROR('raw data'!BN68/'raw data'!BO68),0,'raw data'!BN68/'raw data'!BO68)</f>
        <v>0</v>
      </c>
      <c r="AJ67" s="272">
        <f>IF(ISERROR('raw data'!BP68/'raw data'!BQ68),0,'raw data'!BP68/'raw data'!BQ68)</f>
        <v>6.25E-2</v>
      </c>
      <c r="AK67" s="272">
        <f>IF(ISERROR('raw data'!BR68/'raw data'!BS68),0,'raw data'!BR68/'raw data'!BS68)</f>
        <v>0</v>
      </c>
      <c r="AL67" s="272">
        <f>IF(ISERROR('raw data'!BT68/'raw data'!BU68),0,'raw data'!BT68/'raw data'!BU68)</f>
        <v>0</v>
      </c>
      <c r="AM67" s="272">
        <f>IF(ISERROR('raw data'!BV68/'raw data'!BW68),0,'raw data'!BV68/'raw data'!BW68)</f>
        <v>0</v>
      </c>
      <c r="AN67" s="272">
        <f>IF(ISERROR('raw data'!BX68/'raw data'!BY68),0,'raw data'!BX68/'raw data'!BY68)</f>
        <v>0</v>
      </c>
      <c r="AO67" s="272">
        <f>IF(ISERROR('raw data'!BZ68/'raw data'!CA68),0,'raw data'!BZ68/'raw data'!CA68)</f>
        <v>0</v>
      </c>
      <c r="AP67" s="272">
        <f>IF(ISERROR('raw data'!CB68/'raw data'!CC68),0,'raw data'!CB68/'raw data'!CC68)</f>
        <v>0</v>
      </c>
      <c r="AQ67" s="272">
        <f>IF(ISERROR('raw data'!CD68/'raw data'!CE68),0,'raw data'!CD68/'raw data'!CE68)</f>
        <v>0</v>
      </c>
      <c r="AR67" s="272">
        <f>IF(ISERROR('raw data'!CF68/'raw data'!CG68),0,'raw data'!CF68/'raw data'!CG68)</f>
        <v>0</v>
      </c>
      <c r="AS67" s="272">
        <f>IF(ISERROR('raw data'!CH68/'raw data'!CI68),0,'raw data'!CH68/'raw data'!CI68)</f>
        <v>0</v>
      </c>
      <c r="AT67" s="272">
        <f>IF(ISERROR('raw data'!CJ68/'raw data'!CK68),0,'raw data'!CJ68/'raw data'!CK68)</f>
        <v>0</v>
      </c>
      <c r="AU67" s="272">
        <f>IF(ISERROR('raw data'!_KJ49/'raw data'!CM68),0,'raw data'!CL68/'raw data'!CM68)</f>
        <v>0</v>
      </c>
      <c r="AV67" s="272">
        <f>IF(ISERROR('raw data'!CN68/'raw data'!CO68),0,'raw data'!CN68/'raw data'!CO68)</f>
        <v>0</v>
      </c>
      <c r="AW67" s="272">
        <f>IF(ISERROR('raw data'!CP68/'raw data'!CQ68),0,'raw data'!CP68/'raw data'!CQ68)</f>
        <v>0</v>
      </c>
      <c r="AX67" s="272">
        <f>IF(ISERROR('raw data'!CR68/'raw data'!CS68),0,'raw data'!CR68/'raw data'!CS68)</f>
        <v>0</v>
      </c>
      <c r="AY67" s="272">
        <f>IF(ISERROR('raw data'!CT68/'raw data'!CU68),0,'raw data'!CT68/'raw data'!CU68)</f>
        <v>0.18181818181818182</v>
      </c>
      <c r="AZ67" s="272">
        <f>IF(ISERROR('raw data'!CV68/'raw data'!CW68),0,'raw data'!CV68/'raw data'!CW68)</f>
        <v>0</v>
      </c>
      <c r="BA67" s="272">
        <f>IF(ISERROR('raw data'!CX68/'raw data'!CY68),0,'raw data'!CX68/'raw data'!CY68)</f>
        <v>0</v>
      </c>
      <c r="BB67" s="272">
        <f>IF(ISERROR('raw data'!CZ68/'raw data'!DA68),0,'raw data'!CZ68/'raw data'!DA68)</f>
        <v>0</v>
      </c>
      <c r="BC67" s="272">
        <f>IF(ISERROR('raw data'!DB68/'raw data'!DC68),0,'raw data'!DB68/'raw data'!DC68)</f>
        <v>0</v>
      </c>
      <c r="BD67" s="272">
        <v>0.25</v>
      </c>
      <c r="BE67" s="272">
        <f>IF(ISERROR('raw data'!DF68/'raw data'!DG68),0,'raw data'!DF68/'raw data'!DG68)</f>
        <v>0</v>
      </c>
      <c r="BF67" s="272">
        <f>IF(ISERROR('raw data'!DH68/'raw data'!DI68),0,'raw data'!DH68/'raw data'!DI68)</f>
        <v>0</v>
      </c>
      <c r="BG67" s="272">
        <f>IF(ISERROR('raw data'!DJ68/'raw data'!DK68),0,'raw data'!DJ68/'raw data'!DK68)</f>
        <v>0</v>
      </c>
      <c r="BH67" s="272">
        <f>IF(ISERROR('raw data'!DL68/'raw data'!DM68),0,'raw data'!DL68/'raw data'!DM68)</f>
        <v>0</v>
      </c>
      <c r="BI67" s="272">
        <f>IF(ISERROR('raw data'!DN68/'raw data'!DO68),0,'raw data'!DN68/'raw data'!DO68)</f>
        <v>0</v>
      </c>
      <c r="BJ67" s="272">
        <f>IF(ISERROR('raw data'!DP68/'raw data'!DQ68),0,'raw data'!DP68/'raw data'!DQ68)</f>
        <v>0</v>
      </c>
      <c r="BK67" s="272">
        <f>IF(ISERROR('raw data'!DR68/'raw data'!DS68),0,'raw data'!DR68/'raw data'!DS68)</f>
        <v>0</v>
      </c>
      <c r="BL67" s="272">
        <f>IF(ISERROR('raw data'!DT68/'raw data'!DU68),0,'raw data'!DT68/'raw data'!DU68)</f>
        <v>9.0909090909090912E-2</v>
      </c>
      <c r="BM67" s="272">
        <f>IF(ISERROR('raw data'!DV68/'raw data'!DW68),0,'raw data'!DV68/'raw data'!DW68)</f>
        <v>0</v>
      </c>
      <c r="BN67" s="272">
        <f>IF(ISERROR('raw data'!DX68/'raw data'!DY68),0,'raw data'!DX68/'raw data'!DY68)</f>
        <v>0</v>
      </c>
      <c r="BO67" s="272">
        <f>IF(ISERROR('raw data'!DZ68/'raw data'!EA68),0,'raw data'!DZ68/'raw data'!EA68)</f>
        <v>0</v>
      </c>
      <c r="BP67" s="272">
        <f>IF(ISERROR('raw data'!EB68/'raw data'!EC68),0,'raw data'!EB68/'raw data'!EC68)</f>
        <v>0</v>
      </c>
      <c r="BQ67" s="272">
        <f>IF(ISERROR('raw data'!ED68/'raw data'!EE68),0,'raw data'!ED68/'raw data'!EE68)</f>
        <v>0</v>
      </c>
      <c r="BR67" s="272">
        <f>IF(ISERROR('raw data'!EF68/'raw data'!EG68),0,'raw data'!EF68/'raw data'!EG68)</f>
        <v>0</v>
      </c>
      <c r="BS67" s="272">
        <f>IF(ISERROR('raw data'!EH68/'raw data'!EI68),0,'raw data'!EH68/'raw data'!EI68)</f>
        <v>0</v>
      </c>
      <c r="BT67" s="272">
        <f>IF(ISERROR('raw data'!EJ68/'raw data'!EK68),0,'raw data'!EJ68/'raw data'!EK68)</f>
        <v>7.6923076923076927E-2</v>
      </c>
      <c r="BU67" s="272">
        <f>IF(ISERROR('raw data'!EL68/'raw data'!EM68),0,'raw data'!EL68/'raw data'!EM68)</f>
        <v>0</v>
      </c>
      <c r="BV67" s="272">
        <f>IF(ISERROR('raw data'!EN68/'raw data'!EO68),0,'raw data'!EN68/'raw data'!EO68)</f>
        <v>0</v>
      </c>
      <c r="BW67" s="272">
        <f>IF(ISERROR('raw data'!EP68/'raw data'!EQ68),0,'raw data'!EP68/'raw data'!EQ68)</f>
        <v>0</v>
      </c>
      <c r="BX67" s="272">
        <f>IF(ISERROR('raw data'!ER68/'raw data'!ES68),0,'raw data'!ER68/'raw data'!ES68)</f>
        <v>0</v>
      </c>
      <c r="BY67" s="272">
        <f>IF(ISERROR('raw data'!ET68/'raw data'!EU68),0,'raw data'!ET68/'raw data'!EU68)</f>
        <v>0</v>
      </c>
      <c r="BZ67" s="272">
        <f>IF(ISERROR('raw data'!EV68/'raw data'!EW68),0,'raw data'!EV68/'raw data'!EW68)</f>
        <v>0</v>
      </c>
      <c r="CA67" s="272">
        <f>IF(ISERROR('raw data'!EX68/'raw data'!EY68),0,'raw data'!EX68/'raw data'!EY68)</f>
        <v>0</v>
      </c>
      <c r="CB67" s="272">
        <f>IF(ISERROR('raw data'!EZ68/'raw data'!FA68),0,'raw data'!EZ68/'raw data'!FA68)</f>
        <v>0</v>
      </c>
      <c r="CC67" s="272">
        <f>IF(ISERROR('raw data'!FB68/'raw data'!FC68),0,'raw data'!FB68/'raw data'!FC68)</f>
        <v>0</v>
      </c>
      <c r="CD67" s="272">
        <f>IF(ISERROR('raw data'!FD68/'raw data'!FE68),0,'raw data'!FD68/'raw data'!FE68)</f>
        <v>0</v>
      </c>
      <c r="CE67" s="272">
        <f>IF(ISERROR('raw data'!FF68/'raw data'!FG68),0,'raw data'!FF68/'raw data'!FG68)</f>
        <v>0</v>
      </c>
      <c r="CF67" s="272">
        <f>IF(ISERROR('raw data'!FH68/'raw data'!FI68),0,'raw data'!FH68/'raw data'!FI68)</f>
        <v>0.16666666666666666</v>
      </c>
      <c r="CG67" s="272">
        <f>IF(ISERROR('raw data'!FJ68/'raw data'!FM68),0,'raw data'!FJ68/'raw data'!FM68)</f>
        <v>0</v>
      </c>
      <c r="CH67" s="272">
        <f>IF(ISERROR('raw data'!FN68/'raw data'!FO68),0,'raw data'!FN68/'raw data'!FO68)</f>
        <v>0</v>
      </c>
      <c r="CI67" s="272">
        <f>IF(ISERROR('raw data'!FP68/'raw data'!FQ68),0,'raw data'!FP68/'raw data'!FQ68)</f>
        <v>0</v>
      </c>
      <c r="CJ67" s="272">
        <f>IF(ISERROR('raw data'!FR68/'raw data'!FS68),0,'raw data'!FR68/'raw data'!FS68)</f>
        <v>0</v>
      </c>
      <c r="CK67" s="272">
        <f>IF(ISERROR('raw data'!FT68/'raw data'!FU68),0,'raw data'!FT68/'raw data'!FU68)</f>
        <v>0</v>
      </c>
      <c r="CL67" s="272">
        <f>IF(ISERROR('raw data'!FV68/'raw data'!FW68),0,'raw data'!FV68/'raw data'!FW68)</f>
        <v>0</v>
      </c>
      <c r="CM67" s="272">
        <f>IF(ISERROR('raw data'!FX68/'raw data'!FY68),0,'raw data'!FX68/'raw data'!FY68)</f>
        <v>0</v>
      </c>
      <c r="CN67" s="272">
        <f>IF(ISERROR('raw data'!FZ68/'raw data'!GA68),0,'raw data'!FZ68/'raw data'!GA68)</f>
        <v>0</v>
      </c>
      <c r="CO67" s="272">
        <f>IF(ISERROR('raw data'!GB68/'raw data'!GC68),0,'raw data'!GB68/'raw data'!GC68)</f>
        <v>0</v>
      </c>
      <c r="CP67" s="272">
        <f>IF(ISERROR('raw data'!GD68/'raw data'!GE68),0,'raw data'!GD68/'raw data'!GE68)</f>
        <v>0</v>
      </c>
      <c r="CQ67" s="272">
        <f>IF(ISERROR('raw data'!GF68/'raw data'!GG68),0,'raw data'!GF68/'raw data'!GG68)</f>
        <v>0</v>
      </c>
      <c r="CR67" s="272">
        <f>IF(ISERROR('raw data'!GH68/'raw data'!GI68),0,'raw data'!GH68/'raw data'!GI68)</f>
        <v>0</v>
      </c>
      <c r="CS67" s="272">
        <f>IF(ISERROR('raw data'!GJ68/'raw data'!GK68),0,'raw data'!GJ68/'raw data'!GK68)</f>
        <v>0</v>
      </c>
      <c r="CT67" s="272">
        <f>IF(ISERROR('raw data'!GL68/'raw data'!GM68),0,'raw data'!GL68/'raw data'!GM68)</f>
        <v>0</v>
      </c>
      <c r="CU67" s="272">
        <f>IF(ISERROR('raw data'!GN68/'raw data'!GO68),0,'raw data'!GN68/'raw data'!GO68)</f>
        <v>0</v>
      </c>
      <c r="CV67" s="272">
        <f>IF(ISERROR('raw data'!GP68/'raw data'!GQ68),0,'raw data'!GP68/'raw data'!GQ68)</f>
        <v>0.5</v>
      </c>
      <c r="CW67" s="232" t="s">
        <v>243</v>
      </c>
      <c r="CX67" s="232" t="s">
        <v>243</v>
      </c>
      <c r="CY67" s="232" t="s">
        <v>243</v>
      </c>
      <c r="CZ67" s="232" t="s">
        <v>243</v>
      </c>
      <c r="DA67" s="232" t="s">
        <v>243</v>
      </c>
      <c r="DB67" s="232" t="s">
        <v>243</v>
      </c>
      <c r="DC67" s="232" t="s">
        <v>243</v>
      </c>
      <c r="DD67" s="232" t="s">
        <v>243</v>
      </c>
      <c r="DE67" s="232" t="s">
        <v>243</v>
      </c>
      <c r="DF67" s="232" t="s">
        <v>243</v>
      </c>
      <c r="DG67" s="232" t="s">
        <v>243</v>
      </c>
      <c r="DH67" s="232" t="s">
        <v>243</v>
      </c>
      <c r="DI67" s="232" t="s">
        <v>243</v>
      </c>
      <c r="DJ67" s="232" t="s">
        <v>243</v>
      </c>
      <c r="DK67" s="232" t="s">
        <v>243</v>
      </c>
      <c r="DL67" s="232" t="s">
        <v>243</v>
      </c>
      <c r="DM67" s="232" t="s">
        <v>243</v>
      </c>
      <c r="DN67" s="232" t="s">
        <v>243</v>
      </c>
      <c r="DO67" s="232" t="s">
        <v>243</v>
      </c>
      <c r="DP67" s="232" t="s">
        <v>243</v>
      </c>
      <c r="DQ67" s="232" t="s">
        <v>243</v>
      </c>
      <c r="DR67" s="232" t="s">
        <v>243</v>
      </c>
      <c r="DS67" s="232" t="s">
        <v>243</v>
      </c>
      <c r="DT67" s="232" t="s">
        <v>243</v>
      </c>
      <c r="DU67" s="232" t="s">
        <v>243</v>
      </c>
      <c r="DV67" s="232" t="s">
        <v>243</v>
      </c>
      <c r="DW67" s="232" t="s">
        <v>243</v>
      </c>
      <c r="DX67" s="232" t="s">
        <v>243</v>
      </c>
      <c r="DY67" s="232" t="s">
        <v>243</v>
      </c>
      <c r="DZ67" s="232" t="s">
        <v>243</v>
      </c>
      <c r="EA67" s="232" t="s">
        <v>243</v>
      </c>
      <c r="EB67" s="232" t="s">
        <v>243</v>
      </c>
      <c r="EC67" s="232" t="s">
        <v>243</v>
      </c>
      <c r="ED67" s="226"/>
      <c r="EE67" s="274">
        <v>0</v>
      </c>
      <c r="EF67" s="274">
        <v>0</v>
      </c>
      <c r="EG67" s="275">
        <f t="shared" si="0"/>
        <v>0</v>
      </c>
    </row>
    <row r="68" spans="1:137" ht="14" hidden="1" x14ac:dyDescent="0.15">
      <c r="A68" s="269">
        <v>4.2</v>
      </c>
      <c r="B68" s="270">
        <f>'raw data'!B69</f>
        <v>0</v>
      </c>
      <c r="C68" s="271" t="s">
        <v>116</v>
      </c>
      <c r="D68" s="235"/>
      <c r="E68" s="272">
        <f>+'raw data'!F69/'raw data'!G69</f>
        <v>4.1666666666666664E-2</v>
      </c>
      <c r="F68" s="272">
        <f>'raw data'!H69/'raw data'!I69</f>
        <v>0.125</v>
      </c>
      <c r="G68" s="272">
        <f>'raw data'!J69/'raw data'!K69</f>
        <v>5.5555555555555552E-2</v>
      </c>
      <c r="H68" s="272">
        <f>'raw data'!L69/'raw data'!M69</f>
        <v>0</v>
      </c>
      <c r="I68" s="272">
        <f>'raw data'!N69/'raw data'!O69</f>
        <v>0</v>
      </c>
      <c r="J68" s="272">
        <f>'raw data'!P69/'raw data'!Q69</f>
        <v>0</v>
      </c>
      <c r="K68" s="272">
        <v>0</v>
      </c>
      <c r="L68" s="272">
        <f>'raw data'!T69/'raw data'!U69</f>
        <v>0.04</v>
      </c>
      <c r="M68" s="272">
        <f>'raw data'!V69/'raw data'!W69</f>
        <v>0</v>
      </c>
      <c r="N68" s="272">
        <f>'raw data'!X69/'raw data'!Y69</f>
        <v>0</v>
      </c>
      <c r="O68" s="272">
        <f>IF(ISERROR('raw data'!Z69/'raw data'!AA69),0,'raw data'!Z69/'raw data'!AA69)</f>
        <v>0</v>
      </c>
      <c r="P68" s="272">
        <f>IF(ISERROR('raw data'!AB69/'raw data'!AC69),0,'raw data'!AB69/'raw data'!AC69)</f>
        <v>0.04</v>
      </c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5"/>
      <c r="AS68" s="235"/>
      <c r="AT68" s="235"/>
      <c r="AU68" s="235"/>
      <c r="AV68" s="235"/>
      <c r="AW68" s="235"/>
      <c r="AX68" s="235"/>
      <c r="AY68" s="235"/>
      <c r="AZ68" s="235"/>
      <c r="BA68" s="235"/>
      <c r="BB68" s="235"/>
      <c r="BC68" s="235"/>
      <c r="BD68" s="235"/>
      <c r="BE68" s="235"/>
      <c r="BF68" s="235"/>
      <c r="BG68" s="235"/>
      <c r="BH68" s="235"/>
      <c r="BI68" s="235"/>
      <c r="BJ68" s="235"/>
      <c r="BK68" s="235"/>
      <c r="BL68" s="235"/>
      <c r="BM68" s="235"/>
      <c r="BN68" s="235"/>
      <c r="BO68" s="235"/>
      <c r="BP68" s="235"/>
      <c r="BQ68" s="235"/>
      <c r="BR68" s="235"/>
      <c r="BS68" s="235"/>
      <c r="BT68" s="235"/>
      <c r="BU68" s="235"/>
      <c r="BV68" s="235"/>
      <c r="BW68" s="235"/>
      <c r="BX68" s="235"/>
      <c r="BY68" s="235"/>
      <c r="BZ68" s="235"/>
      <c r="CA68" s="235"/>
      <c r="CB68" s="235"/>
      <c r="CC68" s="235"/>
      <c r="CD68" s="235"/>
      <c r="CE68" s="235"/>
      <c r="CF68" s="235"/>
      <c r="CG68" s="235"/>
      <c r="CH68" s="235"/>
      <c r="CI68" s="235"/>
      <c r="CJ68" s="235"/>
      <c r="CK68" s="235"/>
      <c r="CL68" s="235"/>
      <c r="CM68" s="235"/>
      <c r="CN68" s="235"/>
      <c r="CO68" s="235"/>
      <c r="CP68" s="235"/>
      <c r="CQ68" s="235"/>
      <c r="CR68" s="235"/>
      <c r="CS68" s="235"/>
      <c r="CT68" s="235"/>
      <c r="CU68" s="235"/>
      <c r="CV68" s="235"/>
      <c r="CW68" s="235"/>
      <c r="CX68" s="235"/>
      <c r="CY68" s="235"/>
      <c r="CZ68" s="235"/>
      <c r="DA68" s="235"/>
      <c r="DB68" s="235"/>
      <c r="DC68" s="235"/>
      <c r="DD68" s="235"/>
      <c r="DE68" s="235"/>
      <c r="DF68" s="235"/>
      <c r="DG68" s="235"/>
      <c r="DH68" s="235"/>
      <c r="DI68" s="235"/>
      <c r="DJ68" s="235"/>
      <c r="DK68" s="235"/>
      <c r="DL68" s="235"/>
      <c r="DM68" s="235"/>
      <c r="DN68" s="235"/>
      <c r="DO68" s="235"/>
      <c r="DP68" s="235"/>
      <c r="DQ68" s="235"/>
      <c r="DR68" s="235"/>
      <c r="DS68" s="235"/>
      <c r="DT68" s="235"/>
      <c r="DU68" s="235"/>
      <c r="DV68" s="235"/>
      <c r="DW68" s="235"/>
      <c r="DX68" s="235"/>
      <c r="DY68" s="235"/>
      <c r="DZ68" s="235"/>
      <c r="EA68" s="235"/>
      <c r="EB68" s="235"/>
      <c r="EC68" s="235"/>
      <c r="ED68" s="226"/>
      <c r="EE68" s="235"/>
      <c r="EF68" s="235"/>
      <c r="EG68" s="235"/>
    </row>
    <row r="69" spans="1:137" ht="25.5" customHeight="1" x14ac:dyDescent="0.15">
      <c r="A69" s="269">
        <v>4.3</v>
      </c>
      <c r="B69" s="270" t="str">
        <f>'raw data'!B70</f>
        <v>Credit Card with &gt;£10k positive balance for past three months.</v>
      </c>
      <c r="C69" s="271" t="s">
        <v>118</v>
      </c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72">
        <f>IF(ISERROR('raw data'!AD70/'raw data'!AE70),0,'raw data'!AD70/'raw data'!AE70)</f>
        <v>0</v>
      </c>
      <c r="R69" s="272">
        <f>IF(ISERROR('raw data'!AF70/'raw data'!AG70),0,'raw data'!AF70/'raw data'!AG70)</f>
        <v>0</v>
      </c>
      <c r="S69" s="272">
        <f>IF(ISERROR('raw data'!AH70/'raw data'!AI70),0,'raw data'!AH70/'raw data'!AI70)</f>
        <v>0</v>
      </c>
      <c r="T69" s="272">
        <f>IF(ISERROR('raw data'!AJ70/'raw data'!AK70),0,'raw data'!AJ70/'raw data'!AK70)</f>
        <v>0</v>
      </c>
      <c r="U69" s="272">
        <f>IF(ISERROR('raw data'!AL70/'raw data'!AM70),0,'raw data'!AL70/'raw data'!AM70)</f>
        <v>0</v>
      </c>
      <c r="V69" s="272">
        <f>IF(ISERROR('raw data'!AN70/'raw data'!AO70),0,'raw data'!AN70/'raw data'!AO70)</f>
        <v>0</v>
      </c>
      <c r="W69" s="272">
        <f>IF(ISERROR('raw data'!AP70/'raw data'!AQ70),0,'raw data'!AP70/'raw data'!AQ70)</f>
        <v>7.1428571428571425E-2</v>
      </c>
      <c r="X69" s="272">
        <f>IF(ISERROR('raw data'!AR70/'raw data'!AS70),0,'raw data'!AR70/'raw data'!AS70)</f>
        <v>8.3333333333333329E-2</v>
      </c>
      <c r="Y69" s="272">
        <f>IF(ISERROR('raw data'!AT70/'raw data'!AU70),0,'raw data'!AT70/'raw data'!AU70)</f>
        <v>0</v>
      </c>
      <c r="Z69" s="272">
        <f>IF(ISERROR('raw data'!AV70/'raw data'!AW70),0,'raw data'!AV70/'raw data'!AW70)</f>
        <v>0</v>
      </c>
      <c r="AA69" s="272">
        <f>IF(ISERROR('raw data'!AX70/'raw data'!AY70),0,'raw data'!AX70/'raw data'!AY70)</f>
        <v>0</v>
      </c>
      <c r="AB69" s="272">
        <f>IF(ISERROR('raw data'!AZ70/'raw data'!BA70),0,'raw data'!AZ70/'raw data'!BA70)</f>
        <v>0.13333333333333333</v>
      </c>
      <c r="AC69" s="272">
        <f>IF(ISERROR('raw data'!BB70/'raw data'!BC70),0,'raw data'!BB70/'raw data'!BC70)</f>
        <v>8.3333333333333329E-2</v>
      </c>
      <c r="AD69" s="272">
        <f>IF(ISERROR('raw data'!BD70/'raw data'!BE70),0,'raw data'!BD70/'raw data'!BE70)</f>
        <v>0</v>
      </c>
      <c r="AE69" s="272">
        <f>IF(ISERROR('raw data'!BF70/'raw data'!BG70),0,'raw data'!BF70/'raw data'!BG70)</f>
        <v>0</v>
      </c>
      <c r="AF69" s="273">
        <f>IF(ISERROR('raw data'!BH70/'raw data'!BI70),0,'raw data'!BH70/'raw data'!BI70)</f>
        <v>0</v>
      </c>
      <c r="AG69" s="272">
        <f>IF(ISERROR('raw data'!BJ70/'raw data'!BK70),0,'raw data'!BJ70/'raw data'!BK70)</f>
        <v>0</v>
      </c>
      <c r="AH69" s="272">
        <f>IF(ISERROR('raw data'!BL70/'raw data'!BM70),0,'raw data'!BL70/'raw data'!BM70)</f>
        <v>0</v>
      </c>
      <c r="AI69" s="272">
        <f>IF(ISERROR('raw data'!BN70/'raw data'!BO70),0,'raw data'!BN70/'raw data'!BO70)</f>
        <v>0</v>
      </c>
      <c r="AJ69" s="272">
        <f>IF(ISERROR('raw data'!BP70/'raw data'!BQ70),0,'raw data'!BP70/'raw data'!BQ70)</f>
        <v>5.2631578947368418E-2</v>
      </c>
      <c r="AK69" s="272">
        <f>IF(ISERROR('raw data'!BR70/'raw data'!BS70),0,'raw data'!BR70/'raw data'!BS70)</f>
        <v>0</v>
      </c>
      <c r="AL69" s="272">
        <f>IF(ISERROR('raw data'!BT70/'raw data'!BU70),0,'raw data'!BT70/'raw data'!BU70)</f>
        <v>0</v>
      </c>
      <c r="AM69" s="272">
        <f>IF(ISERROR('raw data'!BV70/'raw data'!BW70),0,'raw data'!BV70/'raw data'!BW70)</f>
        <v>3.7037037037037035E-2</v>
      </c>
      <c r="AN69" s="272">
        <f>IF(ISERROR('raw data'!BX70/'raw data'!BY70),0,'raw data'!BX70/'raw data'!BY70)</f>
        <v>0</v>
      </c>
      <c r="AO69" s="272">
        <f>IF(ISERROR('raw data'!BZ70/'raw data'!CA70),0,'raw data'!BZ70/'raw data'!CA70)</f>
        <v>0</v>
      </c>
      <c r="AP69" s="272">
        <f>IF(ISERROR('raw data'!CB70/'raw data'!CC70),0,'raw data'!CB70/'raw data'!CC70)</f>
        <v>0</v>
      </c>
      <c r="AQ69" s="272">
        <f>IF(ISERROR('raw data'!CD70/'raw data'!CE70),0,'raw data'!CD70/'raw data'!CE70)</f>
        <v>0</v>
      </c>
      <c r="AR69" s="272">
        <f>IF(ISERROR('raw data'!CF70/'raw data'!CG70),0,'raw data'!CF70/'raw data'!CG70)</f>
        <v>0</v>
      </c>
      <c r="AS69" s="272">
        <f>IF(ISERROR('raw data'!CH70/'raw data'!CI70),0,'raw data'!CH70/'raw data'!CI70)</f>
        <v>0</v>
      </c>
      <c r="AT69" s="272">
        <f>IF(ISERROR('raw data'!CJ70/'raw data'!CK70),0,'raw data'!CJ70/'raw data'!CK70)</f>
        <v>0</v>
      </c>
      <c r="AU69" s="272">
        <f>IF(ISERROR('raw data'!CL70/'raw data'!CM70),0,'raw data'!CL70/'raw data'!CM70)</f>
        <v>0</v>
      </c>
      <c r="AV69" s="272">
        <f>IF(ISERROR('raw data'!CN70/'raw data'!CO70),0,'raw data'!CN70/'raw data'!CO70)</f>
        <v>0</v>
      </c>
      <c r="AW69" s="272">
        <f>IF(ISERROR('raw data'!CP70/'raw data'!CQ70),0,'raw data'!CP70/'raw data'!CQ70)</f>
        <v>0</v>
      </c>
      <c r="AX69" s="272">
        <f>IF(ISERROR('raw data'!CR70/'raw data'!CS70),0,'raw data'!CR70/'raw data'!CS70)</f>
        <v>0</v>
      </c>
      <c r="AY69" s="272">
        <f>IF(ISERROR('raw data'!CT70/'raw data'!CU70),0,'raw data'!CT70/'raw data'!CU70)</f>
        <v>0</v>
      </c>
      <c r="AZ69" s="272">
        <f>IF(ISERROR('raw data'!CV70/'raw data'!CW70),0,'raw data'!CV70/'raw data'!CW70)</f>
        <v>0</v>
      </c>
      <c r="BA69" s="272">
        <f>IF(ISERROR('raw data'!CX70/'raw data'!CY70),0,'raw data'!CX70/'raw data'!CY70)</f>
        <v>0</v>
      </c>
      <c r="BB69" s="272">
        <f>IF(ISERROR('raw data'!CZ70/'raw data'!DA70),0,'raw data'!CZ70/'raw data'!DA70)</f>
        <v>0</v>
      </c>
      <c r="BC69" s="272">
        <f>IF(ISERROR('raw data'!DB70/'raw data'!DC70),0,'raw data'!DB70/'raw data'!DC70)</f>
        <v>0</v>
      </c>
      <c r="BD69" s="272">
        <v>0</v>
      </c>
      <c r="BE69" s="272">
        <f>IF(ISERROR('raw data'!DF70/'raw data'!DG70),0,'raw data'!DF70/'raw data'!DG70)</f>
        <v>0</v>
      </c>
      <c r="BF69" s="272">
        <f>IF(ISERROR('raw data'!DH70/'raw data'!DI70),0,'raw data'!DH70/'raw data'!DI70)</f>
        <v>0</v>
      </c>
      <c r="BG69" s="272">
        <f>IF(ISERROR('raw data'!DJ70/'raw data'!DK70),0,'raw data'!DJ70/'raw data'!DK70)</f>
        <v>0</v>
      </c>
      <c r="BH69" s="272">
        <f>IF(ISERROR('raw data'!DL70/'raw data'!DM70),0,'raw data'!DL70/'raw data'!DM70)</f>
        <v>0</v>
      </c>
      <c r="BI69" s="272">
        <f>IF(ISERROR('raw data'!DN70/'raw data'!DO70),0,'raw data'!DN70/'raw data'!DO70)</f>
        <v>0</v>
      </c>
      <c r="BJ69" s="272">
        <f>IF(ISERROR('raw data'!DP70/'raw data'!DQ70),0,'raw data'!DP70/'raw data'!DQ70)</f>
        <v>0</v>
      </c>
      <c r="BK69" s="272">
        <f>IF(ISERROR('raw data'!DR70/'raw data'!DS70),0,'raw data'!DR70/'raw data'!DS70)</f>
        <v>0</v>
      </c>
      <c r="BL69" s="272">
        <f>IF(ISERROR('raw data'!DT70/'raw data'!DU70),0,'raw data'!DT70/'raw data'!DU70)</f>
        <v>0</v>
      </c>
      <c r="BM69" s="272">
        <f>IF(ISERROR('raw data'!DV70/'raw data'!DW70),0,'raw data'!DV70/'raw data'!DW70)</f>
        <v>0</v>
      </c>
      <c r="BN69" s="272">
        <f>IF(ISERROR('raw data'!DX70/'raw data'!DY70),0,'raw data'!DX70/'raw data'!DY70)</f>
        <v>0</v>
      </c>
      <c r="BO69" s="272">
        <f>IF(ISERROR('raw data'!DZ70/'raw data'!EA70),0,'raw data'!DZ70/'raw data'!EA70)</f>
        <v>0</v>
      </c>
      <c r="BP69" s="272">
        <f>IF(ISERROR('raw data'!EB70/'raw data'!EC70),0,'raw data'!EB70/'raw data'!EC70)</f>
        <v>0</v>
      </c>
      <c r="BQ69" s="272">
        <f>IF(ISERROR('raw data'!ED70/'raw data'!EE70),0,'raw data'!ED70/'raw data'!EE70)</f>
        <v>0</v>
      </c>
      <c r="BR69" s="272">
        <f>IF(ISERROR('raw data'!EF70/'raw data'!EG70),0,'raw data'!EF70/'raw data'!EG70)</f>
        <v>0</v>
      </c>
      <c r="BS69" s="272">
        <f>IF(ISERROR('raw data'!EE70/'raw data'!EF70),0,'raw data'!EE70/'raw data'!EF70)</f>
        <v>0</v>
      </c>
      <c r="BT69" s="272">
        <f>IF(ISERROR('raw data'!EJ70/'raw data'!EK70),0,'raw data'!EJ70/'raw data'!EK70)</f>
        <v>7.1428571428571425E-2</v>
      </c>
      <c r="BU69" s="272">
        <f>IF(ISERROR('raw data'!EL70/'raw data'!EM70),0,'raw data'!EL70/'raw data'!EM70)</f>
        <v>0</v>
      </c>
      <c r="BV69" s="272">
        <f>IF(ISERROR('raw data'!EH70/'raw data'!EI70),0,'raw data'!EH70/'raw data'!EI70)</f>
        <v>0.10526315789473684</v>
      </c>
      <c r="BW69" s="272">
        <f>IF(ISERROR('raw data'!EP70/'raw data'!EQ70),0,'raw data'!EP70/'raw data'!EQ70)</f>
        <v>0</v>
      </c>
      <c r="BX69" s="272">
        <f>IF(ISERROR('raw data'!ER70/'raw data'!ES70),0,'raw data'!ER70/'raw data'!ES70)</f>
        <v>0</v>
      </c>
      <c r="BY69" s="272">
        <f>IF(ISERROR('raw data'!EK70/'raw data'!EL70),0,'raw data'!EK70/'raw data'!EL70)</f>
        <v>0</v>
      </c>
      <c r="BZ69" s="272">
        <f>IF(ISERROR('raw data'!EV70/'raw data'!EW70),0,'raw data'!EV70/'raw data'!EW70)</f>
        <v>0</v>
      </c>
      <c r="CA69" s="272">
        <f>IF(ISERROR('raw data'!EX70/'raw data'!EY70),0,'raw data'!EX70/'raw data'!EY70)</f>
        <v>0</v>
      </c>
      <c r="CB69" s="272">
        <f>IF(ISERROR('raw data'!EN70/'raw data'!EO70),0,'raw data'!EN70/'raw data'!EO70)</f>
        <v>0</v>
      </c>
      <c r="CC69" s="272">
        <f>IF(ISERROR('raw data'!FB70/'raw data'!FC70),0,'raw data'!FB70/'raw data'!FC70)</f>
        <v>0</v>
      </c>
      <c r="CD69" s="272">
        <f>IF(ISERROR('raw data'!FD70/'raw data'!FE70),0,'raw data'!FD70/'raw data'!FE70)</f>
        <v>0</v>
      </c>
      <c r="CE69" s="272">
        <f>IF(ISERROR('raw data'!EQ70/'raw data'!ER70),0,'raw data'!EQ70/'raw data'!ER70)</f>
        <v>0</v>
      </c>
      <c r="CF69" s="272">
        <f>IF(ISERROR('raw data'!FH70/'raw data'!FI70),0,'raw data'!FH70/'raw data'!FI70)</f>
        <v>0</v>
      </c>
      <c r="CG69" s="272">
        <f>IF(ISERROR('raw data'!FJ70/'raw data'!FM70),0,'raw data'!FJ70/'raw data'!FM70)</f>
        <v>0</v>
      </c>
      <c r="CH69" s="272">
        <f>IF(ISERROR('raw data'!ET70/'raw data'!EU70),0,'raw data'!ET70/'raw data'!EU70)</f>
        <v>9.5238095238095233E-2</v>
      </c>
      <c r="CI69" s="272">
        <f>IF(ISERROR('raw data'!FP70/'raw data'!FQ70),0,'raw data'!FP70/'raw data'!FQ70)</f>
        <v>0</v>
      </c>
      <c r="CJ69" s="272">
        <f>IF(ISERROR('raw data'!FR70/'raw data'!FS70),0,'raw data'!FR70/'raw data'!FS70)</f>
        <v>0</v>
      </c>
      <c r="CK69" s="272">
        <f>IF(ISERROR('raw data'!EW70/'raw data'!EX70),0,'raw data'!EW70/'raw data'!EX70)</f>
        <v>0</v>
      </c>
      <c r="CL69" s="272">
        <f>IF(ISERROR('raw data'!FV70/'raw data'!FW70),0,'raw data'!FV70/'raw data'!FW70)</f>
        <v>0.16666666666666666</v>
      </c>
      <c r="CM69" s="272">
        <f>IF(ISERROR('raw data'!FX70/'raw data'!FY70),0,'raw data'!FX70/'raw data'!FY70)</f>
        <v>0</v>
      </c>
      <c r="CN69" s="272">
        <f>IF(ISERROR('raw data'!FZ70/'raw data'!GA70),0,'raw data'!FZ70/'raw data'!GA70)</f>
        <v>0.5</v>
      </c>
      <c r="CO69" s="272">
        <f>IF(ISERROR('raw data'!GB70/'raw data'!GC70),0,'raw data'!GB70/'raw data'!GC70)</f>
        <v>0</v>
      </c>
      <c r="CP69" s="272">
        <f>IF(ISERROR('raw data'!GD70/'raw data'!GE70),0,'raw data'!GD70/'raw data'!GE70)</f>
        <v>0</v>
      </c>
      <c r="CQ69" s="272">
        <f>IF(ISERROR('raw data'!GF70/'raw data'!GG70),0,'raw data'!GF70/'raw data'!GG70)</f>
        <v>0</v>
      </c>
      <c r="CR69" s="272">
        <f>IF(ISERROR('raw data'!GH70/'raw data'!GI70),0,'raw data'!GH70/'raw data'!GI70)</f>
        <v>0</v>
      </c>
      <c r="CS69" s="272">
        <f>IF(ISERROR('raw data'!GJ70/'raw data'!GK70),0,'raw data'!GJ70/'raw data'!GK70)</f>
        <v>0</v>
      </c>
      <c r="CT69" s="272">
        <f>IF(ISERROR('raw data'!GL70/'raw data'!GM70),0,'raw data'!GL70/'raw data'!GM70)</f>
        <v>0</v>
      </c>
      <c r="CU69" s="272">
        <f>IF(ISERROR('raw data'!GN70/'raw data'!GO70),0,'raw data'!GN70/'raw data'!GO70)</f>
        <v>0</v>
      </c>
      <c r="CV69" s="272">
        <f>IF(ISERROR('raw data'!GP70/'raw data'!GQ70),0,'raw data'!GP70/'raw data'!GQ70)</f>
        <v>0</v>
      </c>
      <c r="CW69" s="272">
        <f>IF(ISERROR('raw data'!GR70/'raw data'!GS70),0,'raw data'!GR70/'raw data'!GS70)</f>
        <v>0</v>
      </c>
      <c r="CX69" s="272">
        <f>IF(ISERROR('raw data'!GT70/'raw data'!GU70),0,'raw data'!GT70/'raw data'!GU70)</f>
        <v>0</v>
      </c>
      <c r="CY69" s="272">
        <f>IF(ISERROR('raw data'!GV70/'raw data'!GW70),0,'raw data'!GV70/'raw data'!GW70)</f>
        <v>0</v>
      </c>
      <c r="CZ69" s="272">
        <f>IF(ISERROR('raw data'!GX70/'raw data'!GY70),0,'raw data'!GX70/'raw data'!GY70)</f>
        <v>0</v>
      </c>
      <c r="DA69" s="272">
        <f>IF(ISERROR('raw data'!GZ70/'raw data'!HA70),0,'raw data'!GZ70/'raw data'!HA70)</f>
        <v>0</v>
      </c>
      <c r="DB69" s="272">
        <f>IF(ISERROR('raw data'!HB70/'raw data'!HC70),0,'raw data'!HB70/'raw data'!HC70)</f>
        <v>0</v>
      </c>
      <c r="DC69" s="272">
        <f>IF(ISERROR('raw data'!HD70/'raw data'!HE70),0,'raw data'!HD70/'raw data'!HE70)</f>
        <v>0</v>
      </c>
      <c r="DD69" s="272">
        <f>IF(ISERROR('raw data'!HF70/'raw data'!HG70),0,'raw data'!HF70/'raw data'!HG70)</f>
        <v>0</v>
      </c>
      <c r="DE69" s="272">
        <f>IF(ISERROR('raw data'!HH70/'raw data'!HI70),0,'raw data'!HH70/'raw data'!HI70)</f>
        <v>0</v>
      </c>
      <c r="DF69" s="272">
        <f>IF(ISERROR('raw data'!HJ70/'raw data'!HK70),0,'raw data'!HJ70/'raw data'!HK70)</f>
        <v>0</v>
      </c>
      <c r="DG69" s="272">
        <f>IF(ISERROR('raw data'!HL70/'raw data'!HM70),0,'raw data'!HL70/'raw data'!HM70)</f>
        <v>0</v>
      </c>
      <c r="DH69" s="272">
        <f>IF(ISERROR('raw data'!HN70/'raw data'!HO70),0,'raw data'!HN70/'raw data'!HO70)</f>
        <v>0</v>
      </c>
      <c r="DI69" s="272">
        <f>IF(ISERROR('raw data'!HP70/'raw data'!HQ70),0,'raw data'!HP70/'raw data'!HQ70)</f>
        <v>0</v>
      </c>
      <c r="DJ69" s="272">
        <f>IF(ISERROR('raw data'!HR70/'raw data'!HS70),0,'raw data'!HR70/'raw data'!HS70)</f>
        <v>0</v>
      </c>
      <c r="DK69" s="272">
        <f>IF(ISERROR('raw data'!HT70/'raw data'!HU70),0,'raw data'!HT70/'raw data'!HU70)</f>
        <v>0</v>
      </c>
      <c r="DL69" s="272">
        <f>IF(ISERROR('raw data'!HV70/'raw data'!HW70),0,'raw data'!HV70/'raw data'!HW70)</f>
        <v>0</v>
      </c>
      <c r="DM69" s="272">
        <f>IF(ISERROR('raw data'!HX70/'raw data'!HY70),0,'raw data'!HX70/'raw data'!HY70)</f>
        <v>0</v>
      </c>
      <c r="DN69" s="272">
        <f>IF(ISERROR('raw data'!HZ70/'raw data'!IA70),0,'raw data'!HZ70/'raw data'!IA70)</f>
        <v>0</v>
      </c>
      <c r="DO69" s="272">
        <f>IF(ISERROR('raw data'!IB70/'raw data'!IC70),0,'raw data'!IB70/'raw data'!IC70)</f>
        <v>0</v>
      </c>
      <c r="DP69" s="272">
        <f>IF(ISERROR('raw data'!ID70/'raw data'!IE70),0,'raw data'!ID70/'raw data'!IE70)</f>
        <v>0</v>
      </c>
      <c r="DQ69" s="272">
        <f>IF(ISERROR('raw data'!IF70/'raw data'!IG70),0,'raw data'!IF70/'raw data'!IG70)</f>
        <v>0</v>
      </c>
      <c r="DR69" s="272">
        <f>IF(ISERROR('raw data'!IH70/'raw data'!II70),0,'raw data'!IH70/'raw data'!II70)</f>
        <v>9.0909090909090912E-2</v>
      </c>
      <c r="DS69" s="272">
        <f>IF(ISERROR('raw data'!IJ70/'raw data'!IK70),0,'raw data'!IJ70/'raw data'!IK70)</f>
        <v>0</v>
      </c>
      <c r="DT69" s="272">
        <f>IF(ISERROR('raw data'!IL70/'raw data'!IM70),0,'raw data'!IL70/'raw data'!IM70)</f>
        <v>0</v>
      </c>
      <c r="DU69" s="272">
        <f>IF(ISERROR('raw data'!IN70/'raw data'!IO70),0,'raw data'!IN70/'raw data'!IO70)</f>
        <v>0</v>
      </c>
      <c r="DV69" s="272">
        <f>IF(ISERROR('raw data'!IP70/'raw data'!IQ70),0,'raw data'!IP70/'raw data'!IQ70)</f>
        <v>0</v>
      </c>
      <c r="DW69" s="272">
        <f>IF(ISERROR('raw data'!IR70/'raw data'!IS70),0,'raw data'!IR70/'raw data'!IS70)</f>
        <v>0</v>
      </c>
      <c r="DX69" s="272">
        <f>IF(ISERROR('raw data'!IT70/'raw data'!IU70),0,'raw data'!IT70/'raw data'!IU70)</f>
        <v>0</v>
      </c>
      <c r="DY69" s="272">
        <f>IF(ISERROR('raw data'!IV70/'raw data'!IW70),0,'raw data'!IV70/'raw data'!IW70)</f>
        <v>0</v>
      </c>
      <c r="DZ69" s="272">
        <f>IF(ISERROR('raw data'!IX70/'raw data'!IY70),0,'raw data'!IX70/'raw data'!IY70)</f>
        <v>0</v>
      </c>
      <c r="EA69" s="272">
        <f>IF(ISERROR('raw data'!IZ70/'raw data'!JA70),0,'raw data'!IZ70/'raw data'!JA70)</f>
        <v>0</v>
      </c>
      <c r="EB69" s="272">
        <f>IF(ISERROR('raw data'!JB70/'raw data'!JC70),0,'raw data'!JB70/'raw data'!JC70)</f>
        <v>0.1111111111111111</v>
      </c>
      <c r="EC69" s="272">
        <f>IF(ISERROR('raw data'!JD70/'raw data'!JE70),0,'raw data'!JD70/'raw data'!JE70)</f>
        <v>0.1</v>
      </c>
      <c r="ED69" s="226"/>
      <c r="EE69" s="274">
        <v>3</v>
      </c>
      <c r="EF69" s="274">
        <v>98</v>
      </c>
      <c r="EG69" s="275">
        <f t="shared" si="0"/>
        <v>3.0612244897959183E-2</v>
      </c>
    </row>
    <row r="70" spans="1:137" ht="25.5" customHeight="1" x14ac:dyDescent="0.15">
      <c r="A70" s="269">
        <v>4.4000000000000004</v>
      </c>
      <c r="B70" s="270" t="str">
        <f>'raw data'!B71</f>
        <v>Credit Cards with £2k+ spend on virtual games last month (includes Second Life, Eve Online and Blizzard).</v>
      </c>
      <c r="C70" s="276" t="s">
        <v>253</v>
      </c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72">
        <f>IF(ISERROR('raw data'!AB71/'raw data'!AC71),0,'raw data'!AB71/'raw data'!AC71)</f>
        <v>0</v>
      </c>
      <c r="Q70" s="272">
        <f>IF(ISERROR('raw data'!AD71/'raw data'!AE71),0,'raw data'!AD71/'raw data'!AE71)</f>
        <v>0</v>
      </c>
      <c r="R70" s="272">
        <f>IF(ISERROR('raw data'!AF71/'raw data'!AG71),0,'raw data'!AF71/'raw data'!AG71)</f>
        <v>0</v>
      </c>
      <c r="S70" s="272">
        <f>IF(ISERROR('raw data'!AH71/'raw data'!AI71),0,'raw data'!AH71/'raw data'!AI71)</f>
        <v>0</v>
      </c>
      <c r="T70" s="272">
        <f>IF(ISERROR('raw data'!AJ71/'raw data'!AK71),0,'raw data'!AJ71/'raw data'!AK71)</f>
        <v>0</v>
      </c>
      <c r="U70" s="272">
        <f>IF(ISERROR('raw data'!AL71/'raw data'!AM71),0,'raw data'!AL71/'raw data'!AM71)</f>
        <v>0</v>
      </c>
      <c r="V70" s="272">
        <f>IF(ISERROR('raw data'!AN71/'raw data'!AO71),0,'raw data'!AN71/'raw data'!AO71)</f>
        <v>0</v>
      </c>
      <c r="W70" s="272">
        <f>IF(ISERROR('raw data'!AP71/'raw data'!AQ71),0,'raw data'!AP71/'raw data'!AQ71)</f>
        <v>0</v>
      </c>
      <c r="X70" s="272">
        <f>IF(ISERROR('raw data'!AR71/'raw data'!AS71),0,'raw data'!AR71/'raw data'!AS71)</f>
        <v>0</v>
      </c>
      <c r="Y70" s="272">
        <f>IF(ISERROR('raw data'!AT71/'raw data'!AU71),0,'raw data'!AT71/'raw data'!AU71)</f>
        <v>0</v>
      </c>
      <c r="Z70" s="272">
        <f>IF(ISERROR('raw data'!AV71/'raw data'!AW71),0,'raw data'!AV71/'raw data'!AW71)</f>
        <v>0</v>
      </c>
      <c r="AA70" s="272">
        <f>IF(ISERROR('raw data'!AX71/'raw data'!AY71),0,'raw data'!AX71/'raw data'!AY71)</f>
        <v>0</v>
      </c>
      <c r="AB70" s="272">
        <f>IF(ISERROR('raw data'!AZ71/'raw data'!BA71),0,'raw data'!AZ71/'raw data'!BA71)</f>
        <v>0</v>
      </c>
      <c r="AC70" s="272">
        <f>IF(ISERROR('raw data'!BB71/'raw data'!BC71),0,'raw data'!BB71/'raw data'!BC71)</f>
        <v>0</v>
      </c>
      <c r="AD70" s="272">
        <f>IF(ISERROR('raw data'!BD71/'raw data'!BE71),0,'raw data'!BD71/'raw data'!BE71)</f>
        <v>0</v>
      </c>
      <c r="AE70" s="272">
        <f>IF(ISERROR('raw data'!BF71/'raw data'!BG71),0,'raw data'!BF71/'raw data'!BG71)</f>
        <v>0</v>
      </c>
      <c r="AF70" s="273">
        <f>IF(ISERROR('raw data'!BH71/'raw data'!BI71),0,'raw data'!BH71/'raw data'!BI71)</f>
        <v>0</v>
      </c>
      <c r="AG70" s="272">
        <f>IF(ISERROR('raw data'!BJ71/'raw data'!BK71),0,'raw data'!BJ71/'raw data'!BK71)</f>
        <v>0</v>
      </c>
      <c r="AH70" s="272">
        <f>IF(ISERROR('raw data'!BL71/'raw data'!BM71),0,'raw data'!BL71/'raw data'!BM71)</f>
        <v>0</v>
      </c>
      <c r="AI70" s="272">
        <f>IF(ISERROR('raw data'!BN71/'raw data'!BO71),0,'raw data'!BN71/'raw data'!BO71)</f>
        <v>0</v>
      </c>
      <c r="AJ70" s="272">
        <f>IF(ISERROR('raw data'!BP71/'raw data'!BQ71),0,'raw data'!BP71/'raw data'!BQ71)</f>
        <v>0</v>
      </c>
      <c r="AK70" s="272">
        <f>IF(ISERROR('raw data'!BR71/'raw data'!BS71),0,'raw data'!BR71/'raw data'!BS71)</f>
        <v>0</v>
      </c>
      <c r="AL70" s="272">
        <f>IF(ISERROR('raw data'!BT71/'raw data'!BU71),0,'raw data'!BT71/'raw data'!BU71)</f>
        <v>0</v>
      </c>
      <c r="AM70" s="272">
        <f>IF(ISERROR('raw data'!BV71/'raw data'!BW71),0,'raw data'!BV71/'raw data'!BW71)</f>
        <v>0</v>
      </c>
      <c r="AN70" s="272">
        <f>IF(ISERROR('raw data'!BX71/'raw data'!BY71),0,'raw data'!BX71/'raw data'!BY71)</f>
        <v>0</v>
      </c>
      <c r="AO70" s="272">
        <f>IF(ISERROR('raw data'!BZ71/'raw data'!CA71),0,'raw data'!BZ71/'raw data'!CA71)</f>
        <v>0</v>
      </c>
      <c r="AP70" s="272">
        <f>IF(ISERROR('raw data'!CB71/'raw data'!CC71),0,'raw data'!CB71/'raw data'!CC71)</f>
        <v>0</v>
      </c>
      <c r="AQ70" s="272">
        <f>IF(ISERROR('raw data'!CD71/'raw data'!CE71),0,'raw data'!CD71/'raw data'!CE71)</f>
        <v>0</v>
      </c>
      <c r="AR70" s="272">
        <f>IF(ISERROR('raw data'!CF71/'raw data'!CG71),0,'raw data'!CF71/'raw data'!CG71)</f>
        <v>0</v>
      </c>
      <c r="AS70" s="272">
        <f>IF(ISERROR('raw data'!CH71/'raw data'!CI71),0,'raw data'!CH71/'raw data'!CI71)</f>
        <v>0</v>
      </c>
      <c r="AT70" s="272">
        <f>IF(ISERROR('raw data'!CJ71/'raw data'!CK71),0,'raw data'!CJ71/'raw data'!CK71)</f>
        <v>0</v>
      </c>
      <c r="AU70" s="272">
        <f>IF(ISERROR('raw data'!CL71/'raw data'!CM71),0,'raw data'!CL71/'raw data'!CM71)</f>
        <v>0</v>
      </c>
      <c r="AV70" s="272">
        <f>IF(ISERROR('raw data'!CN71/'raw data'!CO71),0,'raw data'!CN71/'raw data'!CO71)</f>
        <v>0</v>
      </c>
      <c r="AW70" s="272">
        <f>IF(ISERROR('raw data'!CP71/'raw data'!CQ71),0,'raw data'!CP71/'raw data'!CQ71)</f>
        <v>0</v>
      </c>
      <c r="AX70" s="272">
        <f>IF(ISERROR('raw data'!CR71/'raw data'!CS71),0,'raw data'!CR71/'raw data'!CS71)</f>
        <v>0</v>
      </c>
      <c r="AY70" s="272">
        <f>IF(ISERROR('raw data'!CT71/'raw data'!CU71),0,'raw data'!CT71/'raw data'!CU71)</f>
        <v>0</v>
      </c>
      <c r="AZ70" s="272">
        <f>IF(ISERROR('raw data'!CV71/'raw data'!CW71),0,'raw data'!CV71/'raw data'!CW71)</f>
        <v>0</v>
      </c>
      <c r="BA70" s="272">
        <f>IF(ISERROR('raw data'!CX71/'raw data'!CY71),0,'raw data'!CX71/'raw data'!CY71)</f>
        <v>0</v>
      </c>
      <c r="BB70" s="272">
        <f>IF(ISERROR('raw data'!CZ71/'raw data'!DA71),0,'raw data'!CZ71/'raw data'!DA71)</f>
        <v>0</v>
      </c>
      <c r="BC70" s="272">
        <f>IF(ISERROR('raw data'!DB71/'raw data'!DC71),0,'raw data'!DB71/'raw data'!DC71)</f>
        <v>0</v>
      </c>
      <c r="BD70" s="272">
        <v>0</v>
      </c>
      <c r="BE70" s="272">
        <f>IF(ISERROR('raw data'!DF71/'raw data'!DG71),0,'raw data'!DF71/'raw data'!DG71)</f>
        <v>0</v>
      </c>
      <c r="BF70" s="272">
        <f>IF(ISERROR('raw data'!DH71/'raw data'!DI71),0,'raw data'!DH71/'raw data'!DI71)</f>
        <v>0</v>
      </c>
      <c r="BG70" s="272">
        <f>IF(ISERROR('raw data'!DJ71/'raw data'!DK71),0,'raw data'!DJ71/'raw data'!DK71)</f>
        <v>0</v>
      </c>
      <c r="BH70" s="272">
        <f>IF(ISERROR('raw data'!DL71/'raw data'!DM71),0,'raw data'!DL71/'raw data'!DM71)</f>
        <v>0</v>
      </c>
      <c r="BI70" s="272">
        <f>IF(ISERROR('raw data'!DN71/'raw data'!DO71),0,'raw data'!DN71/'raw data'!DO71)</f>
        <v>0</v>
      </c>
      <c r="BJ70" s="272">
        <f>IF(ISERROR('raw data'!DP71/'raw data'!DQ71),0,'raw data'!DP71/'raw data'!DQ71)</f>
        <v>0</v>
      </c>
      <c r="BK70" s="272">
        <f>IF(ISERROR('raw data'!DR71/'raw data'!DS71),0,'raw data'!DR71/'raw data'!DS71)</f>
        <v>0</v>
      </c>
      <c r="BL70" s="272">
        <f>IF(ISERROR('raw data'!DT71/'raw data'!DU71),0,'raw data'!DT71/'raw data'!DU71)</f>
        <v>0</v>
      </c>
      <c r="BM70" s="272">
        <f>IF(ISERROR('raw data'!DV71/'raw data'!DW71),0,'raw data'!DV71/'raw data'!DW71)</f>
        <v>0</v>
      </c>
      <c r="BN70" s="272">
        <f>IF(ISERROR('raw data'!DX71/'raw data'!DY71),0,'raw data'!DX71/'raw data'!DY71)</f>
        <v>0</v>
      </c>
      <c r="BO70" s="272">
        <f>IF(ISERROR('raw data'!DZ71/'raw data'!EA71),0,'raw data'!DZ71/'raw data'!EA71)</f>
        <v>0</v>
      </c>
      <c r="BP70" s="272">
        <f>IF(ISERROR('raw data'!EB71/'raw data'!EC71),0,'raw data'!EB71/'raw data'!EC71)</f>
        <v>0</v>
      </c>
      <c r="BQ70" s="272">
        <f>IF(ISERROR('raw data'!ED71/'raw data'!EE71),0,'raw data'!ED71/'raw data'!EE71)</f>
        <v>0</v>
      </c>
      <c r="BR70" s="272">
        <f>IF(ISERROR('raw data'!EF71/'raw data'!EG71),0,'raw data'!EF71/'raw data'!EG71)</f>
        <v>0</v>
      </c>
      <c r="BS70" s="272">
        <f>IF(ISERROR('raw data'!EH71/'raw data'!EI71),0,'raw data'!EH71/'raw data'!EI71)</f>
        <v>0</v>
      </c>
      <c r="BT70" s="272">
        <f>IF(ISERROR('raw data'!EJ71/'raw data'!EK71),0,'raw data'!EJ71/'raw data'!EK71)</f>
        <v>0</v>
      </c>
      <c r="BU70" s="272">
        <f>IF(ISERROR('raw data'!EL71/'raw data'!EM71),0,'raw data'!EL71/'raw data'!EM71)</f>
        <v>0</v>
      </c>
      <c r="BV70" s="272">
        <f>IF(ISERROR('raw data'!EN71/'raw data'!EO71),0,'raw data'!EN71/'raw data'!EO71)</f>
        <v>0</v>
      </c>
      <c r="BW70" s="272">
        <f>IF(ISERROR('raw data'!EP71/'raw data'!EQ71),0,'raw data'!EP71/'raw data'!EQ71)</f>
        <v>0</v>
      </c>
      <c r="BX70" s="272">
        <f>IF(ISERROR('raw data'!ER71/'raw data'!ES71),0,'raw data'!ER71/'raw data'!ES71)</f>
        <v>0</v>
      </c>
      <c r="BY70" s="232" t="s">
        <v>243</v>
      </c>
      <c r="BZ70" s="232" t="s">
        <v>243</v>
      </c>
      <c r="CA70" s="232" t="s">
        <v>243</v>
      </c>
      <c r="CB70" s="232" t="s">
        <v>243</v>
      </c>
      <c r="CC70" s="232" t="s">
        <v>243</v>
      </c>
      <c r="CD70" s="232" t="s">
        <v>243</v>
      </c>
      <c r="CE70" s="232" t="s">
        <v>243</v>
      </c>
      <c r="CF70" s="232" t="s">
        <v>243</v>
      </c>
      <c r="CG70" s="232" t="s">
        <v>243</v>
      </c>
      <c r="CH70" s="232" t="s">
        <v>243</v>
      </c>
      <c r="CI70" s="232" t="s">
        <v>243</v>
      </c>
      <c r="CJ70" s="232" t="s">
        <v>243</v>
      </c>
      <c r="CK70" s="232" t="s">
        <v>243</v>
      </c>
      <c r="CL70" s="232" t="s">
        <v>243</v>
      </c>
      <c r="CM70" s="232" t="s">
        <v>243</v>
      </c>
      <c r="CN70" s="232" t="s">
        <v>243</v>
      </c>
      <c r="CO70" s="232" t="s">
        <v>243</v>
      </c>
      <c r="CP70" s="232" t="s">
        <v>243</v>
      </c>
      <c r="CQ70" s="232" t="s">
        <v>243</v>
      </c>
      <c r="CR70" s="232" t="s">
        <v>243</v>
      </c>
      <c r="CS70" s="232" t="s">
        <v>243</v>
      </c>
      <c r="CT70" s="232" t="s">
        <v>243</v>
      </c>
      <c r="CU70" s="232" t="s">
        <v>243</v>
      </c>
      <c r="CV70" s="232" t="s">
        <v>243</v>
      </c>
      <c r="CW70" s="232" t="s">
        <v>243</v>
      </c>
      <c r="CX70" s="232" t="s">
        <v>243</v>
      </c>
      <c r="CY70" s="232" t="s">
        <v>243</v>
      </c>
      <c r="CZ70" s="232" t="s">
        <v>243</v>
      </c>
      <c r="DA70" s="232" t="s">
        <v>243</v>
      </c>
      <c r="DB70" s="232" t="s">
        <v>243</v>
      </c>
      <c r="DC70" s="232" t="s">
        <v>243</v>
      </c>
      <c r="DD70" s="232" t="s">
        <v>243</v>
      </c>
      <c r="DE70" s="232" t="s">
        <v>243</v>
      </c>
      <c r="DF70" s="232" t="s">
        <v>243</v>
      </c>
      <c r="DG70" s="232" t="s">
        <v>243</v>
      </c>
      <c r="DH70" s="232" t="s">
        <v>243</v>
      </c>
      <c r="DI70" s="232" t="s">
        <v>243</v>
      </c>
      <c r="DJ70" s="232" t="s">
        <v>243</v>
      </c>
      <c r="DK70" s="232" t="s">
        <v>243</v>
      </c>
      <c r="DL70" s="232" t="s">
        <v>243</v>
      </c>
      <c r="DM70" s="232" t="s">
        <v>243</v>
      </c>
      <c r="DN70" s="232" t="s">
        <v>243</v>
      </c>
      <c r="DO70" s="232" t="s">
        <v>243</v>
      </c>
      <c r="DP70" s="232" t="s">
        <v>243</v>
      </c>
      <c r="DQ70" s="232" t="s">
        <v>243</v>
      </c>
      <c r="DR70" s="232" t="s">
        <v>243</v>
      </c>
      <c r="DS70" s="232" t="s">
        <v>243</v>
      </c>
      <c r="DT70" s="232" t="s">
        <v>243</v>
      </c>
      <c r="DU70" s="232" t="s">
        <v>243</v>
      </c>
      <c r="DV70" s="232" t="s">
        <v>243</v>
      </c>
      <c r="DW70" s="232" t="s">
        <v>243</v>
      </c>
      <c r="DX70" s="232" t="s">
        <v>243</v>
      </c>
      <c r="DY70" s="232" t="s">
        <v>243</v>
      </c>
      <c r="DZ70" s="232" t="s">
        <v>243</v>
      </c>
      <c r="EA70" s="232" t="s">
        <v>243</v>
      </c>
      <c r="EB70" s="232" t="s">
        <v>243</v>
      </c>
      <c r="EC70" s="232" t="s">
        <v>243</v>
      </c>
      <c r="ED70" s="226"/>
      <c r="EE70" s="274">
        <v>0</v>
      </c>
      <c r="EF70" s="274">
        <v>0</v>
      </c>
      <c r="EG70" s="275">
        <f t="shared" si="0"/>
        <v>0</v>
      </c>
    </row>
    <row r="71" spans="1:137" ht="25.5" customHeight="1" x14ac:dyDescent="0.15">
      <c r="A71" s="269">
        <v>4.5</v>
      </c>
      <c r="B71" s="270" t="str">
        <f>'raw data'!B72</f>
        <v>Credit Card purchases, totalling £3k+ in past 3 months, at tobacconists, supermarkets and duty free stores in Europe.</v>
      </c>
      <c r="C71" s="277" t="s">
        <v>122</v>
      </c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72">
        <f>IF(ISERROR('raw data'!AP72/'raw data'!AQ72),0,'raw data'!AP72/'raw data'!AQ72)</f>
        <v>7.6923076923076927E-2</v>
      </c>
      <c r="X71" s="272">
        <f>IF(ISERROR('raw data'!AR72/'raw data'!AS72),0,'raw data'!AR72/'raw data'!AS72)</f>
        <v>1</v>
      </c>
      <c r="Y71" s="272">
        <f>IF(ISERROR('raw data'!AT72/'raw data'!AU72),0,'raw data'!AT72/'raw data'!AU72)</f>
        <v>0</v>
      </c>
      <c r="Z71" s="272">
        <f>IF(ISERROR('raw data'!AV72/'raw data'!AW72),0,'raw data'!AV72/'raw data'!AW72)</f>
        <v>0.46153846153846156</v>
      </c>
      <c r="AA71" s="272">
        <f>IF(ISERROR('raw data'!AX72/'raw data'!AY72),0,'raw data'!AX72/'raw data'!AY72)</f>
        <v>1</v>
      </c>
      <c r="AB71" s="272">
        <f>IF(ISERROR('raw data'!AZ72/'raw data'!BA72),0,'raw data'!AZ72/'raw data'!BA72)</f>
        <v>0.25</v>
      </c>
      <c r="AC71" s="272">
        <f>IF(ISERROR('raw data'!BB72/'raw data'!BC72),0,'raw data'!BB72/'raw data'!BC72)</f>
        <v>0.72727272727272729</v>
      </c>
      <c r="AD71" s="272">
        <f>IF(ISERROR('raw data'!BD72/'raw data'!BE72),0,'raw data'!BD72/'raw data'!BE72)</f>
        <v>0.33333333333333331</v>
      </c>
      <c r="AE71" s="272">
        <f>IF(ISERROR('raw data'!BF72/'raw data'!BG72),0,'raw data'!BF72/'raw data'!BG72)</f>
        <v>0.25</v>
      </c>
      <c r="AF71" s="273">
        <f>IF(ISERROR('raw data'!BH72/'raw data'!BI72),0,'raw data'!BH72/'raw data'!BI72)</f>
        <v>0</v>
      </c>
      <c r="AG71" s="272">
        <f>IF(ISERROR('raw data'!BJ72/'raw data'!BK72),0,'raw data'!BJ72/'raw data'!BK72)</f>
        <v>0.77777777777777779</v>
      </c>
      <c r="AH71" s="272">
        <f>IF(ISERROR('raw data'!BL72/'raw data'!BM72),0,'raw data'!BL72/'raw data'!BM72)</f>
        <v>0</v>
      </c>
      <c r="AI71" s="272">
        <f>IF(ISERROR('raw data'!BN72/'raw data'!BO72),0,'raw data'!BN72/'raw data'!BO72)</f>
        <v>0</v>
      </c>
      <c r="AJ71" s="272">
        <f>IF(ISERROR('raw data'!BP72/'raw data'!BQ72),0,'raw data'!BP72/'raw data'!BQ72)</f>
        <v>0.2</v>
      </c>
      <c r="AK71" s="272">
        <f>IF(ISERROR('raw data'!BR72/'raw data'!BS72),0,'raw data'!BR72/'raw data'!BS72)</f>
        <v>0.7142857142857143</v>
      </c>
      <c r="AL71" s="272">
        <f>IF(ISERROR('raw data'!BT72/'raw data'!BU72),0,'raw data'!BT72/'raw data'!BU72)</f>
        <v>0.5</v>
      </c>
      <c r="AM71" s="272">
        <f>IF(ISERROR('raw data'!BV72/'raw data'!BW72),0,'raw data'!BV72/'raw data'!BW72)</f>
        <v>0</v>
      </c>
      <c r="AN71" s="272">
        <f>IF(ISERROR('raw data'!BX72/'raw data'!BY72),0,'raw data'!BX72/'raw data'!BY72)</f>
        <v>0.58333333333333337</v>
      </c>
      <c r="AO71" s="272">
        <f>IF(ISERROR('raw data'!BZ72/'raw data'!CA72),0,'raw data'!BZ72/'raw data'!CA72)</f>
        <v>0.5714285714285714</v>
      </c>
      <c r="AP71" s="272">
        <f>IF(ISERROR('raw data'!CB72/'raw data'!CC72),0,'raw data'!CB72/'raw data'!CC72)</f>
        <v>0</v>
      </c>
      <c r="AQ71" s="272">
        <f>IF(ISERROR('raw data'!CD72/'raw data'!CE72),0,'raw data'!CD72/'raw data'!CE72)</f>
        <v>1</v>
      </c>
      <c r="AR71" s="272">
        <f>IF(ISERROR('raw data'!CF72/'raw data'!CG72),0,'raw data'!CF72/'raw data'!CG72)</f>
        <v>0.6</v>
      </c>
      <c r="AS71" s="272">
        <f>IF(ISERROR('raw data'!CH72/'raw data'!CI72),0,'raw data'!CH72/'raw data'!CI72)</f>
        <v>0.2</v>
      </c>
      <c r="AT71" s="272">
        <f>IF(ISERROR('raw data'!CJ72/'raw data'!CK72),0,'raw data'!CJ72/'raw data'!CK72)</f>
        <v>1</v>
      </c>
      <c r="AU71" s="272">
        <f>IF(ISERROR('raw data'!CL72/'raw data'!CM72),0,'raw data'!CL72/'raw data'!CM72)</f>
        <v>0.2</v>
      </c>
      <c r="AV71" s="272">
        <f>IF(ISERROR('raw data'!CN72/'raw data'!CO72),0,'raw data'!CN72/'raw data'!CO72)</f>
        <v>0.55555555555555558</v>
      </c>
      <c r="AW71" s="272">
        <f>IF(ISERROR('raw data'!CP72/'raw data'!CQ72),0,'raw data'!CP72/'raw data'!CQ72)</f>
        <v>0.33333333333333331</v>
      </c>
      <c r="AX71" s="272">
        <f>IF(ISERROR('raw data'!CR72/'raw data'!CS72),0,'raw data'!CR72/'raw data'!CS72)</f>
        <v>0.5</v>
      </c>
      <c r="AY71" s="272">
        <f>IF(ISERROR('raw data'!CT72/'raw data'!CU72),0,'raw data'!CT72/'raw data'!CU72)</f>
        <v>0.4</v>
      </c>
      <c r="AZ71" s="272">
        <f>IF(ISERROR('raw data'!CV72/'raw data'!CW72),0,'raw data'!CV72/'raw data'!CW72)</f>
        <v>0.55555555555555558</v>
      </c>
      <c r="BA71" s="272">
        <f>IF(ISERROR('raw data'!CX72/'raw data'!CY72),0,'raw data'!CX72/'raw data'!CY72)</f>
        <v>0.75</v>
      </c>
      <c r="BB71" s="272">
        <f>IF(ISERROR('raw data'!CZ72/'raw data'!DA72),0,'raw data'!CZ72/'raw data'!DA72)</f>
        <v>7.6923076923076927E-2</v>
      </c>
      <c r="BC71" s="272">
        <f>IF(ISERROR('raw data'!DB72/'raw data'!DC72),0,'raw data'!DB72/'raw data'!DC72)</f>
        <v>0</v>
      </c>
      <c r="BD71" s="272">
        <v>0.5</v>
      </c>
      <c r="BE71" s="272">
        <f>IF(ISERROR('raw data'!DF72/'raw data'!DG72),0,'raw data'!DF72/'raw data'!DG72)</f>
        <v>0.5</v>
      </c>
      <c r="BF71" s="272">
        <f>IF(ISERROR('raw data'!DH72/'raw data'!DI72),0,'raw data'!DH72/'raw data'!DI72)</f>
        <v>0.7</v>
      </c>
      <c r="BG71" s="272">
        <f>IF(ISERROR('raw data'!DJ72/'raw data'!DK72),0,'raw data'!DJ72/'raw data'!DK72)</f>
        <v>0</v>
      </c>
      <c r="BH71" s="272">
        <f>IF(ISERROR('raw data'!DL72/'raw data'!DM72),0,'raw data'!DL72/'raw data'!DM72)</f>
        <v>0</v>
      </c>
      <c r="BI71" s="272">
        <f>IF(ISERROR('raw data'!DN72/'raw data'!DO72),0,'raw data'!DN72/'raw data'!DO72)</f>
        <v>0.33333333333333331</v>
      </c>
      <c r="BJ71" s="272">
        <f>IF(ISERROR('raw data'!DP72/'raw data'!DQ72),0,'raw data'!DP72/'raw data'!DQ72)</f>
        <v>0.7</v>
      </c>
      <c r="BK71" s="272">
        <f>IF(ISERROR('raw data'!DR72/'raw data'!DS72),0,'raw data'!DR72/'raw data'!DS72)</f>
        <v>0</v>
      </c>
      <c r="BL71" s="272">
        <f>IF(ISERROR('raw data'!DT72/'raw data'!DU72),0,'raw data'!DT72/'raw data'!DU72)</f>
        <v>0.2</v>
      </c>
      <c r="BM71" s="272">
        <f>IF(ISERROR('raw data'!DV72/'raw data'!DW72),0,'raw data'!DV72/'raw data'!DW72)</f>
        <v>0</v>
      </c>
      <c r="BN71" s="272">
        <f>IF(ISERROR('raw data'!DX72/'raw data'!DY72),0,'raw data'!DX72/'raw data'!DY72)</f>
        <v>0.45454545454545453</v>
      </c>
      <c r="BO71" s="272">
        <f>IF(ISERROR('raw data'!DZ72/'raw data'!EA72),0,'raw data'!DZ72/'raw data'!EA72)</f>
        <v>0</v>
      </c>
      <c r="BP71" s="272">
        <f>IF(ISERROR('raw data'!EB72/'raw data'!EC72),0,'raw data'!EB72/'raw data'!EC72)</f>
        <v>0.16666666666666666</v>
      </c>
      <c r="BQ71" s="272">
        <f>IF(ISERROR('raw data'!ED72/'raw data'!EE72),0,'raw data'!ED72/'raw data'!EE72)</f>
        <v>0</v>
      </c>
      <c r="BR71" s="272">
        <f>IF(ISERROR('raw data'!EF72/'raw data'!EG72),0,'raw data'!EF72/'raw data'!EG72)</f>
        <v>0.27272727272727271</v>
      </c>
      <c r="BS71" s="272">
        <f>IF(ISERROR('raw data'!EH72/'raw data'!EI72),0,'raw data'!EH72/'raw data'!EI72)</f>
        <v>0.16666666666666666</v>
      </c>
      <c r="BT71" s="272">
        <f>IF(ISERROR('raw data'!EJ72/'raw data'!EK72),0,'raw data'!EJ72/'raw data'!EK72)</f>
        <v>0.4</v>
      </c>
      <c r="BU71" s="272">
        <f>IF(ISERROR('raw data'!EL72/'raw data'!EM72),0,'raw data'!EL72/'raw data'!EM72)</f>
        <v>0.25</v>
      </c>
      <c r="BV71" s="272">
        <f>IF(ISERROR('raw data'!EN72/'raw data'!EO72),0,'raw data'!EN72/'raw data'!EO72)</f>
        <v>0.27272727272727271</v>
      </c>
      <c r="BW71" s="272">
        <f>IF(ISERROR('raw data'!EP72/'raw data'!EQ72),0,'raw data'!EP72/'raw data'!EQ72)</f>
        <v>0.33333333333333331</v>
      </c>
      <c r="BX71" s="272">
        <f>IF(ISERROR('raw data'!ER72/'raw data'!ES72),0,'raw data'!ER72/'raw data'!ES72)</f>
        <v>0.18181818181818182</v>
      </c>
      <c r="BY71" s="272">
        <f>IF(ISERROR('raw data'!ET72/'raw data'!EU72),0,'raw data'!ET72/'raw data'!EU72)</f>
        <v>0</v>
      </c>
      <c r="BZ71" s="272">
        <f>IF(ISERROR('raw data'!EV72/'raw data'!EW72),0,'raw data'!EV72/'raw data'!EW72)</f>
        <v>0.22222222222222221</v>
      </c>
      <c r="CA71" s="272">
        <f>IF(ISERROR('raw data'!EX72/'raw data'!EY72),0,'raw data'!EX72/'raw data'!EY72)</f>
        <v>0.2</v>
      </c>
      <c r="CB71" s="272">
        <f>IF(ISERROR('raw data'!EZ72/'raw data'!FA72),0,'raw data'!EZ72/'raw data'!FA72)</f>
        <v>0.18181818181818182</v>
      </c>
      <c r="CC71" s="272">
        <f>IF(ISERROR('raw data'!FB72/'raw data'!FC72),0,'raw data'!FB72/'raw data'!FC72)</f>
        <v>0.6470588235294118</v>
      </c>
      <c r="CD71" s="272">
        <f>IF(ISERROR('raw data'!FD72/'raw data'!FE72),0,'raw data'!FD72/'raw data'!FE72)</f>
        <v>0.28000000000000003</v>
      </c>
      <c r="CE71" s="272">
        <f>IF(ISERROR('raw data'!FF72/'raw data'!FG72),0,'raw data'!FF72/'raw data'!FG72)</f>
        <v>0.16666666666666666</v>
      </c>
      <c r="CF71" s="272">
        <f>IF(ISERROR('raw data'!FH72/'raw data'!FI72),0,'raw data'!FH72/'raw data'!FI72)</f>
        <v>0.21052631578947367</v>
      </c>
      <c r="CG71" s="272">
        <f>IF(ISERROR('raw data'!FJ72/'raw data'!FM72),0,'raw data'!FJ72/'raw data'!FM72)</f>
        <v>0.4</v>
      </c>
      <c r="CH71" s="272">
        <f>IF(ISERROR('raw data'!FN72/'raw data'!FO72),0,'raw data'!FN72/'raw data'!FO72)</f>
        <v>0.15384615384615385</v>
      </c>
      <c r="CI71" s="272">
        <f>IF(ISERROR('raw data'!FP72/'raw data'!FQ72),0,'raw data'!FP72/'raw data'!FQ72)</f>
        <v>0.4</v>
      </c>
      <c r="CJ71" s="272">
        <f>IF(ISERROR('raw data'!FR72/'raw data'!FS72),0,'raw data'!FR72/'raw data'!FS72)</f>
        <v>0.2857142857142857</v>
      </c>
      <c r="CK71" s="272">
        <f>IF(ISERROR('raw data'!FT72/'raw data'!FU72),0,'raw data'!FT72/'raw data'!FU72)</f>
        <v>0.3</v>
      </c>
      <c r="CL71" s="272">
        <f>IF(ISERROR('raw data'!FV72/'raw data'!FW72),0,'raw data'!FV72/'raw data'!FW72)</f>
        <v>0.33333333333333331</v>
      </c>
      <c r="CM71" s="272">
        <f>IF(ISERROR('raw data'!FX72/'raw data'!FY72),0,'raw data'!FX72/'raw data'!FY72)</f>
        <v>0.375</v>
      </c>
      <c r="CN71" s="272">
        <f>IF(ISERROR('raw data'!FZ72/'raw data'!GA72),0,'raw data'!FZ72/'raw data'!GA72)</f>
        <v>0.5</v>
      </c>
      <c r="CO71" s="272">
        <f>IF(ISERROR('raw data'!GB72/'raw data'!GC72),0,'raw data'!GB72/'raw data'!GC72)</f>
        <v>0.26666666666666666</v>
      </c>
      <c r="CP71" s="272">
        <f>IF(ISERROR('raw data'!GD72/'raw data'!GE72),0,'raw data'!GD72/'raw data'!GE72)</f>
        <v>0.16666666666666666</v>
      </c>
      <c r="CQ71" s="272">
        <f>IF(ISERROR('raw data'!GF72/'raw data'!GG72),0,'raw data'!GF72/'raw data'!GG72)</f>
        <v>0.2857142857142857</v>
      </c>
      <c r="CR71" s="272">
        <f>IF(ISERROR('raw data'!GH72/'raw data'!GI72),0,'raw data'!GH72/'raw data'!GI72)</f>
        <v>0.41176470588235292</v>
      </c>
      <c r="CS71" s="272">
        <f>IF(ISERROR('raw data'!GJ72/'raw data'!GK72),0,'raw data'!GJ72/'raw data'!GK72)</f>
        <v>0</v>
      </c>
      <c r="CT71" s="272">
        <f>IF(ISERROR('raw data'!GL72/'raw data'!GM72),0,'raw data'!GL72/'raw data'!GM72)</f>
        <v>0.33333333333333331</v>
      </c>
      <c r="CU71" s="272">
        <f>IF(ISERROR('raw data'!GN72/'raw data'!GO72),0,'raw data'!GN72/'raw data'!GO72)</f>
        <v>0.35</v>
      </c>
      <c r="CV71" s="272">
        <f>IF(ISERROR('raw data'!GP72/'raw data'!GQ72),0,'raw data'!GP72/'raw data'!GQ72)</f>
        <v>0.29411764705882354</v>
      </c>
      <c r="CW71" s="272">
        <f>IF(ISERROR('raw data'!GR72/'raw data'!GS72),0,'raw data'!GR72/'raw data'!GS72)</f>
        <v>0.1111111111111111</v>
      </c>
      <c r="CX71" s="272">
        <f>IF(ISERROR('raw data'!GT72/'raw data'!GU72),0,'raw data'!GT72/'raw data'!GU72)</f>
        <v>0.33333333333333331</v>
      </c>
      <c r="CY71" s="272">
        <f>IF(ISERROR('raw data'!GV72/'raw data'!GW72),0,'raw data'!GV72/'raw data'!GW72)</f>
        <v>0.41666666666666669</v>
      </c>
      <c r="CZ71" s="272">
        <f>IF(ISERROR('raw data'!GX72/'raw data'!GY72),0,'raw data'!GX72/'raw data'!GY72)</f>
        <v>0.2</v>
      </c>
      <c r="DA71" s="272">
        <f>IF(ISERROR('raw data'!GZ72/'raw data'!HA72),0,'raw data'!GZ72/'raw data'!HA72)</f>
        <v>0.26666666666666666</v>
      </c>
      <c r="DB71" s="272">
        <f>IF(ISERROR('raw data'!HB72/'raw data'!HC72),0,'raw data'!HB72/'raw data'!HC72)</f>
        <v>0.23529411764705882</v>
      </c>
      <c r="DC71" s="272">
        <f>IF(ISERROR('raw data'!HD72/'raw data'!HE72),0,'raw data'!HD72/'raw data'!HE72)</f>
        <v>0.34615384615384615</v>
      </c>
      <c r="DD71" s="272">
        <f>IF(ISERROR('raw data'!HF72/'raw data'!HG72),0,'raw data'!HF72/'raw data'!HG72)</f>
        <v>0.20833333333333334</v>
      </c>
      <c r="DE71" s="272">
        <f>IF(ISERROR('raw data'!HH72/'raw data'!HI72),0,'raw data'!HH72/'raw data'!HI72)</f>
        <v>0.17391304347826086</v>
      </c>
      <c r="DF71" s="272">
        <f>IF(ISERROR('raw data'!HJ72/'raw data'!HK72),0,'raw data'!HJ72/'raw data'!HK72)</f>
        <v>0.45454545454545453</v>
      </c>
      <c r="DG71" s="272">
        <f>IF(ISERROR('raw data'!HL72/'raw data'!HM72),0,'raw data'!HL72/'raw data'!HM72)</f>
        <v>0.33333333333333331</v>
      </c>
      <c r="DH71" s="272">
        <f>IF(ISERROR('raw data'!HN72/'raw data'!HO72),0,'raw data'!HN72/'raw data'!HO72)</f>
        <v>0.13333333333333333</v>
      </c>
      <c r="DI71" s="272">
        <f>IF(ISERROR('raw data'!HP72/'raw data'!HQ72),0,'raw data'!HP72/'raw data'!HQ72)</f>
        <v>0.36363636363636365</v>
      </c>
      <c r="DJ71" s="272">
        <f>IF(ISERROR('raw data'!HR72/'raw data'!HS72),0,'raw data'!HR72/'raw data'!HS72)</f>
        <v>0.1</v>
      </c>
      <c r="DK71" s="272">
        <f>IF(ISERROR('raw data'!HT72/'raw data'!HU72),0,'raw data'!HT72/'raw data'!HU72)</f>
        <v>0.16666666666666666</v>
      </c>
      <c r="DL71" s="272">
        <f>IF(ISERROR('raw data'!HV72/'raw data'!HW72),0,'raw data'!HV72/'raw data'!HW72)</f>
        <v>0</v>
      </c>
      <c r="DM71" s="272">
        <f>IF(ISERROR('raw data'!HX72/'raw data'!HY72),0,'raw data'!HX72/'raw data'!HY72)</f>
        <v>0</v>
      </c>
      <c r="DN71" s="272">
        <f>IF(ISERROR('raw data'!HZ72/'raw data'!IA72),0,'raw data'!HZ72/'raw data'!IA72)</f>
        <v>8.3333333333333329E-2</v>
      </c>
      <c r="DO71" s="272">
        <f>IF(ISERROR('raw data'!IB72/'raw data'!IC72),0,'raw data'!IB72/'raw data'!IC72)</f>
        <v>0.23076923076923078</v>
      </c>
      <c r="DP71" s="272">
        <f>IF(ISERROR('raw data'!ID72/'raw data'!IE72),0,'raw data'!ID72/'raw data'!IE72)</f>
        <v>6.6666666666666666E-2</v>
      </c>
      <c r="DQ71" s="232" t="s">
        <v>243</v>
      </c>
      <c r="DR71" s="232" t="s">
        <v>243</v>
      </c>
      <c r="DS71" s="232" t="s">
        <v>243</v>
      </c>
      <c r="DT71" s="232" t="s">
        <v>243</v>
      </c>
      <c r="DU71" s="232" t="s">
        <v>243</v>
      </c>
      <c r="DV71" s="232" t="s">
        <v>243</v>
      </c>
      <c r="DW71" s="232" t="s">
        <v>243</v>
      </c>
      <c r="DX71" s="232" t="s">
        <v>243</v>
      </c>
      <c r="DY71" s="232" t="s">
        <v>243</v>
      </c>
      <c r="DZ71" s="232" t="s">
        <v>243</v>
      </c>
      <c r="EA71" s="232" t="s">
        <v>243</v>
      </c>
      <c r="EB71" s="232" t="s">
        <v>243</v>
      </c>
      <c r="EC71" s="232" t="s">
        <v>243</v>
      </c>
      <c r="ED71" s="226"/>
      <c r="EE71" s="274">
        <v>0</v>
      </c>
      <c r="EF71" s="274">
        <v>0</v>
      </c>
      <c r="EG71" s="275">
        <f t="shared" si="0"/>
        <v>0</v>
      </c>
    </row>
    <row r="72" spans="1:137" ht="25.5" customHeight="1" x14ac:dyDescent="0.15">
      <c r="A72" s="278">
        <v>4.5999999999999996</v>
      </c>
      <c r="B72" s="270" t="str">
        <f>'raw data'!B73</f>
        <v xml:space="preserve">Credit Card with at least £20k in &amp; £20k out last month. </v>
      </c>
      <c r="C72" s="279" t="s">
        <v>124</v>
      </c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  <c r="AE72" s="235"/>
      <c r="AF72" s="280"/>
      <c r="AG72" s="235"/>
      <c r="AH72" s="235"/>
      <c r="AI72" s="235"/>
      <c r="AJ72" s="235"/>
      <c r="AK72" s="235"/>
      <c r="AL72" s="235"/>
      <c r="AM72" s="235"/>
      <c r="AN72" s="235"/>
      <c r="AO72" s="235"/>
      <c r="AP72" s="235"/>
      <c r="AQ72" s="235"/>
      <c r="AR72" s="235"/>
      <c r="AS72" s="272">
        <f>IF(ISERROR('raw data'!CH73/'raw data'!CI73),0,'raw data'!CH73/'raw data'!CI73)</f>
        <v>0</v>
      </c>
      <c r="AT72" s="272">
        <f>IF(ISERROR('raw data'!CJ73/'raw data'!CK73),0,'raw data'!CJ73/'raw data'!CK73)</f>
        <v>0</v>
      </c>
      <c r="AU72" s="272">
        <f>IF(ISERROR('raw data'!CL73/'raw data'!CM73),0,'raw data'!CL73/'raw data'!CM73)</f>
        <v>0.25</v>
      </c>
      <c r="AV72" s="272">
        <f>IF(ISERROR('raw data'!CN73/'raw data'!CO73),0,'raw data'!CN73/'raw data'!CO73)</f>
        <v>0</v>
      </c>
      <c r="AW72" s="272">
        <f>IF(ISERROR('raw data'!CP73/'raw data'!CQ73),0,'raw data'!CP73/'raw data'!CQ73)</f>
        <v>0.125</v>
      </c>
      <c r="AX72" s="272">
        <f>IF(ISERROR('raw data'!CR73/'raw data'!CS73),0,'raw data'!CR73/'raw data'!CS73)</f>
        <v>0.18181818181818182</v>
      </c>
      <c r="AY72" s="272">
        <f>IF(ISERROR('raw data'!CT73/'raw data'!CU73),0,'raw data'!CT73/'raw data'!CU73)</f>
        <v>0</v>
      </c>
      <c r="AZ72" s="272">
        <f>IF(ISERROR('raw data'!CV73/'raw data'!CW73),0,'raw data'!CV73/'raw data'!CW73)</f>
        <v>8.3333333333333329E-2</v>
      </c>
      <c r="BA72" s="272">
        <f>IF(ISERROR('raw data'!CX73/'raw data'!CY73),0,'raw data'!CX73/'raw data'!CY73)</f>
        <v>0.14285714285714285</v>
      </c>
      <c r="BB72" s="272">
        <f>IF(ISERROR('raw data'!CZ73/'raw data'!DA73),0,'raw data'!CZ73/'raw data'!DA73)</f>
        <v>0</v>
      </c>
      <c r="BC72" s="272">
        <f>IF(ISERROR('raw data'!DB73/'raw data'!DC73),0,'raw data'!DB73/'raw data'!DC73)</f>
        <v>0</v>
      </c>
      <c r="BD72" s="272">
        <v>0.125</v>
      </c>
      <c r="BE72" s="272">
        <f>IF(ISERROR('raw data'!DF73/'raw data'!DG73),0,'raw data'!DF73/'raw data'!DG73)</f>
        <v>0.14285714285714285</v>
      </c>
      <c r="BF72" s="272">
        <f>IF(ISERROR('raw data'!DH73/'raw data'!DI73),0,'raw data'!DH73/'raw data'!DI73)</f>
        <v>0</v>
      </c>
      <c r="BG72" s="272">
        <f>IF(ISERROR('raw data'!DJ73/'raw data'!DK73),0,'raw data'!DJ73/'raw data'!DK73)</f>
        <v>0.15789473684210525</v>
      </c>
      <c r="BH72" s="272">
        <f>IF(ISERROR('raw data'!DL73/'raw data'!DM73),0,'raw data'!DL73/'raw data'!DM73)</f>
        <v>0</v>
      </c>
      <c r="BI72" s="272">
        <f>IF(ISERROR('raw data'!DN73/'raw data'!DO73),0,'raw data'!DN73/'raw data'!DO73)</f>
        <v>0.2</v>
      </c>
      <c r="BJ72" s="272">
        <f>IF(ISERROR('raw data'!DP73/'raw data'!DQ73),0,'raw data'!DP73/'raw data'!DQ73)</f>
        <v>8.3333333333333329E-2</v>
      </c>
      <c r="BK72" s="272">
        <f>IF(ISERROR('raw data'!DR73/'raw data'!DS73),0,'raw data'!DR73/'raw data'!DS73)</f>
        <v>5.8823529411764705E-2</v>
      </c>
      <c r="BL72" s="272">
        <f>IF(ISERROR('raw data'!DT73/'raw data'!DU73),0,'raw data'!DT73/'raw data'!DU73)</f>
        <v>6.6666666666666666E-2</v>
      </c>
      <c r="BM72" s="272">
        <f>IF(ISERROR('raw data'!DV73/'raw data'!DW73),0,'raw data'!DV73/'raw data'!DW73)</f>
        <v>0</v>
      </c>
      <c r="BN72" s="272">
        <f>IF(ISERROR('raw data'!DX73/'raw data'!DY73),0,'raw data'!DX73/'raw data'!DY73)</f>
        <v>0.33333333333333331</v>
      </c>
      <c r="BO72" s="272">
        <f>IF(ISERROR('raw data'!DZ73/'raw data'!EA73),0,'raw data'!DZ73/'raw data'!EA73)</f>
        <v>0</v>
      </c>
      <c r="BP72" s="272">
        <f>IF(ISERROR('raw data'!EB73/'raw data'!EC73),0,'raw data'!EB73/'raw data'!EC73)</f>
        <v>0</v>
      </c>
      <c r="BQ72" s="272">
        <f>IF(ISERROR('raw data'!ED73/'raw data'!EE73),0,'raw data'!ED73/'raw data'!EE73)</f>
        <v>0</v>
      </c>
      <c r="BR72" s="272">
        <f>IF(ISERROR('raw data'!EF73/'raw data'!EG73),0,'raw data'!EF73/'raw data'!EG73)</f>
        <v>0.125</v>
      </c>
      <c r="BS72" s="272">
        <f>IF(ISERROR('raw data'!EH73/'raw data'!EI73),0,'raw data'!EH73/'raw data'!EI73)</f>
        <v>0</v>
      </c>
      <c r="BT72" s="272">
        <f>IF(ISERROR('raw data'!EJ73/'raw data'!EK73),0,'raw data'!EJ73/'raw data'!EK73)</f>
        <v>9.0909090909090912E-2</v>
      </c>
      <c r="BU72" s="272">
        <f>IF(ISERROR('raw data'!EL73/'raw data'!EM73),0,'raw data'!EL73/'raw data'!EM73)</f>
        <v>0.125</v>
      </c>
      <c r="BV72" s="272">
        <f>IF(ISERROR('raw data'!EN73/'raw data'!EO73),0,'raw data'!EN73/'raw data'!EO73)</f>
        <v>0.1</v>
      </c>
      <c r="BW72" s="272">
        <f>IF(ISERROR('raw data'!EP73/'raw data'!EQ73),0,'raw data'!EP73/'raw data'!EQ73)</f>
        <v>0</v>
      </c>
      <c r="BX72" s="272">
        <f>IF(ISERROR('raw data'!ER73/'raw data'!ES73),0,'raw data'!ER73/'raw data'!ES73)</f>
        <v>0</v>
      </c>
      <c r="BY72" s="272">
        <f>IF(ISERROR('raw data'!ET73/'raw data'!EU73),0,'raw data'!ET73/'raw data'!EU73)</f>
        <v>0</v>
      </c>
      <c r="BZ72" s="272">
        <f>IF(ISERROR('raw data'!EV73/'raw data'!EW73),0,'raw data'!EV73/'raw data'!EW73)</f>
        <v>0</v>
      </c>
      <c r="CA72" s="272">
        <f>IF(ISERROR('raw data'!EX73/'raw data'!EY73),0,'raw data'!EX73/'raw data'!EY73)</f>
        <v>5.7692307692307696E-2</v>
      </c>
      <c r="CB72" s="272">
        <f>IF(ISERROR('raw data'!EZ73/'raw data'!FA73),0,'raw data'!EZ73/'raw data'!FA73)</f>
        <v>0</v>
      </c>
      <c r="CC72" s="272">
        <f>IF(ISERROR('raw data'!FB73/'raw data'!FC73),0,'raw data'!FB73/'raw data'!FC73)</f>
        <v>0</v>
      </c>
      <c r="CD72" s="272">
        <f>IF(ISERROR('raw data'!FD73/'raw data'!FE73),0,'raw data'!FD73/'raw data'!FE73)</f>
        <v>0</v>
      </c>
      <c r="CE72" s="272">
        <f>IF(ISERROR('raw data'!FF73/'raw data'!FG73),0,'raw data'!FF73/'raw data'!FG73)</f>
        <v>5.5555555555555552E-2</v>
      </c>
      <c r="CF72" s="272">
        <f>IF(ISERROR('raw data'!FH73/'raw data'!FI73),0,'raw data'!FH73/'raw data'!FI73)</f>
        <v>0</v>
      </c>
      <c r="CG72" s="272">
        <f>IF(ISERROR('raw data'!FJ73/'raw data'!FM73),0,'raw data'!FJ73/'raw data'!FM73)</f>
        <v>0</v>
      </c>
      <c r="CH72" s="232" t="s">
        <v>243</v>
      </c>
      <c r="CI72" s="232" t="s">
        <v>243</v>
      </c>
      <c r="CJ72" s="232" t="s">
        <v>243</v>
      </c>
      <c r="CK72" s="232" t="s">
        <v>243</v>
      </c>
      <c r="CL72" s="232" t="s">
        <v>243</v>
      </c>
      <c r="CM72" s="232" t="s">
        <v>243</v>
      </c>
      <c r="CN72" s="232" t="s">
        <v>243</v>
      </c>
      <c r="CO72" s="232" t="s">
        <v>243</v>
      </c>
      <c r="CP72" s="232" t="s">
        <v>243</v>
      </c>
      <c r="CQ72" s="232" t="s">
        <v>243</v>
      </c>
      <c r="CR72" s="232" t="s">
        <v>243</v>
      </c>
      <c r="CS72" s="232" t="s">
        <v>243</v>
      </c>
      <c r="CT72" s="232" t="s">
        <v>243</v>
      </c>
      <c r="CU72" s="232" t="s">
        <v>243</v>
      </c>
      <c r="CV72" s="232" t="s">
        <v>243</v>
      </c>
      <c r="CW72" s="232" t="s">
        <v>243</v>
      </c>
      <c r="CX72" s="232" t="s">
        <v>243</v>
      </c>
      <c r="CY72" s="232" t="s">
        <v>243</v>
      </c>
      <c r="CZ72" s="232" t="s">
        <v>243</v>
      </c>
      <c r="DA72" s="232" t="s">
        <v>243</v>
      </c>
      <c r="DB72" s="232" t="s">
        <v>243</v>
      </c>
      <c r="DC72" s="232" t="s">
        <v>243</v>
      </c>
      <c r="DD72" s="232" t="s">
        <v>243</v>
      </c>
      <c r="DE72" s="232" t="s">
        <v>243</v>
      </c>
      <c r="DF72" s="232" t="s">
        <v>243</v>
      </c>
      <c r="DG72" s="232" t="s">
        <v>243</v>
      </c>
      <c r="DH72" s="232" t="s">
        <v>243</v>
      </c>
      <c r="DI72" s="232" t="s">
        <v>243</v>
      </c>
      <c r="DJ72" s="232" t="s">
        <v>243</v>
      </c>
      <c r="DK72" s="232" t="s">
        <v>243</v>
      </c>
      <c r="DL72" s="232" t="s">
        <v>243</v>
      </c>
      <c r="DM72" s="232" t="s">
        <v>243</v>
      </c>
      <c r="DN72" s="232" t="s">
        <v>243</v>
      </c>
      <c r="DO72" s="232" t="s">
        <v>243</v>
      </c>
      <c r="DP72" s="232" t="s">
        <v>243</v>
      </c>
      <c r="DQ72" s="232" t="s">
        <v>243</v>
      </c>
      <c r="DR72" s="232" t="s">
        <v>243</v>
      </c>
      <c r="DS72" s="232" t="s">
        <v>243</v>
      </c>
      <c r="DT72" s="232" t="s">
        <v>243</v>
      </c>
      <c r="DU72" s="232" t="s">
        <v>243</v>
      </c>
      <c r="DV72" s="232" t="s">
        <v>243</v>
      </c>
      <c r="DW72" s="232" t="s">
        <v>243</v>
      </c>
      <c r="DX72" s="232" t="s">
        <v>243</v>
      </c>
      <c r="DY72" s="232" t="s">
        <v>243</v>
      </c>
      <c r="DZ72" s="232" t="s">
        <v>243</v>
      </c>
      <c r="EA72" s="232" t="s">
        <v>243</v>
      </c>
      <c r="EB72" s="232" t="s">
        <v>243</v>
      </c>
      <c r="EC72" s="232" t="s">
        <v>243</v>
      </c>
      <c r="ED72" s="226"/>
      <c r="EE72" s="274">
        <v>0</v>
      </c>
      <c r="EF72" s="274">
        <v>0</v>
      </c>
      <c r="EG72" s="275">
        <f t="shared" si="0"/>
        <v>0</v>
      </c>
    </row>
    <row r="73" spans="1:137" ht="14" x14ac:dyDescent="0.15">
      <c r="A73" s="241"/>
      <c r="B73" s="242" t="s">
        <v>125</v>
      </c>
      <c r="C73" s="242" t="s">
        <v>125</v>
      </c>
      <c r="D73" s="243"/>
      <c r="E73" s="243">
        <f>+'raw data'!F74/'raw data'!G74</f>
        <v>7.4999999999999997E-2</v>
      </c>
      <c r="F73" s="243">
        <f>'raw data'!H74/'raw data'!I74</f>
        <v>6.6666666666666666E-2</v>
      </c>
      <c r="G73" s="243">
        <f>'raw data'!J74/'raw data'!K74</f>
        <v>5.4545454545454543E-2</v>
      </c>
      <c r="H73" s="243">
        <f>'raw data'!L74/'raw data'!M74</f>
        <v>2.3255813953488372E-2</v>
      </c>
      <c r="I73" s="243">
        <f>'raw data'!N74/'raw data'!O74</f>
        <v>2.7027027027027029E-2</v>
      </c>
      <c r="J73" s="243">
        <f>'raw data'!P74/'raw data'!Q74</f>
        <v>0</v>
      </c>
      <c r="K73" s="243">
        <f>'raw data'!R74/'raw data'!S74</f>
        <v>0</v>
      </c>
      <c r="L73" s="243">
        <f>'raw data'!T74/'raw data'!U74</f>
        <v>2.2222222222222223E-2</v>
      </c>
      <c r="M73" s="243">
        <f>'raw data'!V74/'raw data'!W74</f>
        <v>0</v>
      </c>
      <c r="N73" s="243">
        <f>'raw data'!X74/'raw data'!Y74</f>
        <v>2.7777777777777776E-2</v>
      </c>
      <c r="O73" s="243">
        <f>IF(ISERROR('raw data'!Z74/'raw data'!AA74),0,'raw data'!Z74/'raw data'!AA74)</f>
        <v>0</v>
      </c>
      <c r="P73" s="243">
        <f>IF(ISERROR('raw data'!AB74/'raw data'!AC74),0,'raw data'!AB74/'raw data'!AC74)</f>
        <v>3.125E-2</v>
      </c>
      <c r="Q73" s="243">
        <f>IF(ISERROR('raw data'!AD74/'raw data'!AE74),0,'raw data'!AD74/'raw data'!AE74)</f>
        <v>0</v>
      </c>
      <c r="R73" s="243">
        <f>IF(ISERROR('raw data'!AF74/'raw data'!AG74),0,'raw data'!AF74/'raw data'!AG74)</f>
        <v>0</v>
      </c>
      <c r="S73" s="243">
        <f>IF(ISERROR('raw data'!AH74/'raw data'!AI74),0,'raw data'!AH74/'raw data'!AI74)</f>
        <v>0</v>
      </c>
      <c r="T73" s="243">
        <f>IF(ISERROR('raw data'!AJ74/'raw data'!AK74),0,'raw data'!AJ74/'raw data'!AK74)</f>
        <v>0</v>
      </c>
      <c r="U73" s="243">
        <f>IF(ISERROR('raw data'!AL74/'raw data'!AM74),0,'raw data'!AL74/'raw data'!AM74)</f>
        <v>0</v>
      </c>
      <c r="V73" s="243">
        <f>IF(ISERROR('raw data'!AN74/'raw data'!AO74),0,'raw data'!AN74/'raw data'!AO74)</f>
        <v>0</v>
      </c>
      <c r="W73" s="243">
        <f>IF(ISERROR('raw data'!AP74/'raw data'!AQ74),0,'raw data'!AP74/'raw data'!AQ74)</f>
        <v>5.4054054054054057E-2</v>
      </c>
      <c r="X73" s="243">
        <f>IF(ISERROR('raw data'!AR74/'raw data'!AS74),0,'raw data'!AR74/'raw data'!AS74)</f>
        <v>8.3333333333333329E-2</v>
      </c>
      <c r="Y73" s="243">
        <f>IF(ISERROR('raw data'!AT74/'raw data'!AU74),0,'raw data'!AT74/'raw data'!AU74)</f>
        <v>0</v>
      </c>
      <c r="Z73" s="243">
        <f>IF(ISERROR('raw data'!AV74/'raw data'!AW74),0,'raw data'!AV74/'raw data'!AW74)</f>
        <v>0.1875</v>
      </c>
      <c r="AA73" s="243">
        <f>IF(ISERROR('raw data'!AX74/'raw data'!AY74),0,'raw data'!AX74/'raw data'!AY74)</f>
        <v>5.2631578947368418E-2</v>
      </c>
      <c r="AB73" s="243">
        <f>IF(ISERROR('raw data'!AZ74/'raw data'!BA74),0,'raw data'!AZ74/'raw data'!BA74)</f>
        <v>0.12903225806451613</v>
      </c>
      <c r="AC73" s="243">
        <f>IF(ISERROR('raw data'!BB74/'raw data'!BC74),0,'raw data'!BB74/'raw data'!BC74)</f>
        <v>0.20454545454545456</v>
      </c>
      <c r="AD73" s="243">
        <f>IF(ISERROR('raw data'!BD74/'raw data'!BE74),0,'raw data'!BD74/'raw data'!BE74)</f>
        <v>4.1666666666666664E-2</v>
      </c>
      <c r="AE73" s="243">
        <f>IF(ISERROR('raw data'!BF74/'raw data'!BG74),0,'raw data'!BF74/'raw data'!BG74)</f>
        <v>3.7037037037037035E-2</v>
      </c>
      <c r="AF73" s="243">
        <f>IF(ISERROR('raw data'!BH74/'raw data'!BI74),0,'raw data'!BH74/'raw data'!BI74)</f>
        <v>0</v>
      </c>
      <c r="AG73" s="243">
        <f>IF(ISERROR('raw data'!BJ74/'raw data'!BK74),0,'raw data'!BJ74/'raw data'!BK74)</f>
        <v>0.26415094339622641</v>
      </c>
      <c r="AH73" s="243">
        <f>IF(ISERROR('raw data'!BL74/'raw data'!BM74),0,'raw data'!BL74/'raw data'!BM74)</f>
        <v>3.5714285714285712E-2</v>
      </c>
      <c r="AI73" s="243">
        <f>IF(ISERROR('raw data'!BN74/'raw data'!BO74),0,'raw data'!BN74/'raw data'!BO74)</f>
        <v>0</v>
      </c>
      <c r="AJ73" s="243">
        <f>IF(ISERROR('raw data'!BP74/'raw data'!BQ74),0,'raw data'!BP74/'raw data'!BQ74)</f>
        <v>0.1</v>
      </c>
      <c r="AK73" s="243">
        <f>IF(ISERROR('raw data'!BR74/'raw data'!BS74),0,'raw data'!BR74/'raw data'!BS74)</f>
        <v>0.3125</v>
      </c>
      <c r="AL73" s="243">
        <f>IF(ISERROR('raw data'!BT74/'raw data'!BU74),0,'raw data'!BT74/'raw data'!BU74)</f>
        <v>4.6511627906976744E-2</v>
      </c>
      <c r="AM73" s="243">
        <f>IF(ISERROR('raw data'!BV74/'raw data'!BW74),0,'raw data'!BV74/'raw data'!BW74)</f>
        <v>2.564102564102564E-2</v>
      </c>
      <c r="AN73" s="243">
        <f>IF(ISERROR('raw data'!BX74/'raw data'!BY74),0,'raw data'!BX74/'raw data'!BY74)</f>
        <v>0.17948717948717949</v>
      </c>
      <c r="AO73" s="243">
        <f>IF(ISERROR('raw data'!BZ74/'raw data'!CA74),0,'raw data'!BZ74/'raw data'!CA74)</f>
        <v>0.18181818181818182</v>
      </c>
      <c r="AP73" s="243">
        <f>IF(ISERROR('raw data'!CB74/'raw data'!CC74),0,'raw data'!CB74/'raw data'!CC74)</f>
        <v>0</v>
      </c>
      <c r="AQ73" s="243">
        <f>IF(ISERROR('raw data'!CD74/'raw data'!CE74),0,'raw data'!CD74/'raw data'!CE74)</f>
        <v>5.5555555555555552E-2</v>
      </c>
      <c r="AR73" s="243">
        <f>IF(ISERROR('raw data'!CF74/'raw data'!CG74),0,'raw data'!CF74/'raw data'!CG74)</f>
        <v>0.16216216216216217</v>
      </c>
      <c r="AS73" s="243">
        <f>IF(ISERROR('raw data'!CH74/'raw data'!CI74),0,'raw data'!CH74/'raw data'!CI74)</f>
        <v>3.125E-2</v>
      </c>
      <c r="AT73" s="243">
        <f>IF(ISERROR('raw data'!CJ74/'raw data'!CK74),0,'raw data'!CJ74/'raw data'!CK74)</f>
        <v>0.10714285714285714</v>
      </c>
      <c r="AU73" s="243">
        <f>IF(ISERROR('raw data'!CL74/'raw data'!CM74),0,'raw data'!CL74/'raw data'!CM74)</f>
        <v>9.3023255813953487E-2</v>
      </c>
      <c r="AV73" s="243">
        <f>IF(ISERROR('raw data'!CN74/'raw data'!CO74),0,'raw data'!CN74/'raw data'!CO74)</f>
        <v>0.125</v>
      </c>
      <c r="AW73" s="243">
        <f>IF(ISERROR('raw data'!CP74/'raw data'!CQ74),0,'raw data'!CP74/'raw data'!CQ74)</f>
        <v>9.6774193548387094E-2</v>
      </c>
      <c r="AX73" s="243">
        <f>IF(ISERROR('raw data'!CR74/'raw data'!CS74),0,'raw data'!CR74/'raw data'!CS74)</f>
        <v>0.1</v>
      </c>
      <c r="AY73" s="243">
        <f>IF(ISERROR('raw data'!CT74/'raw data'!CU74),0,'raw data'!CT74/'raw data'!CU74)</f>
        <v>0.11764705882352941</v>
      </c>
      <c r="AZ73" s="243">
        <f>IF(ISERROR('raw data'!CV74/'raw data'!CW74),0,'raw data'!CV74/'raw data'!CW74)</f>
        <v>0.13333333333333333</v>
      </c>
      <c r="BA73" s="243">
        <f>IF(ISERROR('raw data'!CX74/'raw data'!CY74),0,'raw data'!CX74/'raw data'!CY74)</f>
        <v>0.14814814814814814</v>
      </c>
      <c r="BB73" s="243">
        <f>IF(ISERROR('raw data'!CZ74/'raw data'!DA74),0,'raw data'!CZ74/'raw data'!DA74)</f>
        <v>1.8181818181818181E-2</v>
      </c>
      <c r="BC73" s="243">
        <f>IF(ISERROR('raw data'!DB74/'raw data'!DC74),0,'raw data'!DB74/'raw data'!DC74)</f>
        <v>0</v>
      </c>
      <c r="BD73" s="243">
        <v>0.19354838709677419</v>
      </c>
      <c r="BE73" s="243">
        <f>IF(ISERROR('raw data'!DF74/'raw data'!DG74),0,'raw data'!DF74/'raw data'!DG74)</f>
        <v>0.1388888888888889</v>
      </c>
      <c r="BF73" s="243">
        <f>IF(ISERROR('raw data'!DH74/'raw data'!DI74),0,'raw data'!DH74/'raw data'!DI74)</f>
        <v>0.17948717948717949</v>
      </c>
      <c r="BG73" s="243">
        <f>IF(ISERROR('raw data'!DJ74/'raw data'!DK74),0,'raw data'!DJ74/'raw data'!DK74)</f>
        <v>8.1081081081081086E-2</v>
      </c>
      <c r="BH73" s="243">
        <f>IF(ISERROR('raw data'!DL74/'raw data'!DM74),0,'raw data'!DL74/'raw data'!DM74)</f>
        <v>0</v>
      </c>
      <c r="BI73" s="243">
        <f>IF(ISERROR('raw data'!DN74/'raw data'!DO74),0,'raw data'!DN74/'raw data'!DO74)</f>
        <v>0.10344827586206896</v>
      </c>
      <c r="BJ73" s="243">
        <f>IF(ISERROR('raw data'!DP74/'raw data'!DQ74),0,'raw data'!DP74/'raw data'!DQ74)</f>
        <v>0.17391304347826086</v>
      </c>
      <c r="BK73" s="243">
        <f>IF(ISERROR('raw data'!DR74/'raw data'!DS74),0,'raw data'!DR74/'raw data'!DS74)</f>
        <v>2.5000000000000001E-2</v>
      </c>
      <c r="BL73" s="243">
        <f>IF(ISERROR('raw data'!DT74/'raw data'!DU74),0,'raw data'!DT74/'raw data'!DU74)</f>
        <v>7.1428571428571425E-2</v>
      </c>
      <c r="BM73" s="243">
        <f>IF(ISERROR('raw data'!DV74/'raw data'!DW74),0,'raw data'!DV74/'raw data'!DW74)</f>
        <v>0</v>
      </c>
      <c r="BN73" s="243">
        <f>IF(ISERROR('raw data'!DX74/'raw data'!DY74),0,'raw data'!DX74/'raw data'!DY74)</f>
        <v>0.13461538461538461</v>
      </c>
      <c r="BO73" s="243">
        <f>IF(ISERROR('raw data'!DZ74/'raw data'!EA74),0,'raw data'!DZ74/'raw data'!EA74)</f>
        <v>0</v>
      </c>
      <c r="BP73" s="243">
        <f>IF(ISERROR('raw data'!EB74/'raw data'!EC74),0,'raw data'!EB74/'raw data'!EC74)</f>
        <v>2.3255813953488372E-2</v>
      </c>
      <c r="BQ73" s="243">
        <f>IF(ISERROR('raw data'!ED74/'raw data'!EE74),0,'raw data'!ED74/'raw data'!EE74)</f>
        <v>0</v>
      </c>
      <c r="BR73" s="243">
        <f>IF(ISERROR('raw data'!EF74/'raw data'!EG74),0,'raw data'!EF74/'raw data'!EG74)</f>
        <v>9.4339622641509441E-2</v>
      </c>
      <c r="BS73" s="243">
        <f>IF(ISERROR('raw data'!EH74/'raw data'!EI74),0,'raw data'!EH74/'raw data'!EI74)</f>
        <v>6.6666666666666666E-2</v>
      </c>
      <c r="BT73" s="243">
        <f>IF(ISERROR('raw data'!EJ74/'raw data'!EK74),0,'raw data'!EJ74/'raw data'!EK74)</f>
        <v>0.14583333333333334</v>
      </c>
      <c r="BU73" s="243">
        <f>IF(ISERROR('raw data'!EL74/'raw data'!EM74),0,'raw data'!EL74/'raw data'!EM74)</f>
        <v>7.5471698113207544E-2</v>
      </c>
      <c r="BV73" s="243">
        <f>IF(ISERROR('raw data'!EN74/'raw data'!EO74),0,'raw data'!EN74/'raw data'!EO74)</f>
        <v>9.5238095238095233E-2</v>
      </c>
      <c r="BW73" s="243">
        <f>IF(ISERROR('raw data'!EP74/'raw data'!EQ74),0,'raw data'!EP74/'raw data'!EQ74)</f>
        <v>4.5454545454545456E-2</v>
      </c>
      <c r="BX73" s="243">
        <f>IF(ISERROR('raw data'!ER74/'raw data'!ES74),0,'raw data'!ER74/'raw data'!ES74)</f>
        <v>3.2786885245901641E-2</v>
      </c>
      <c r="BY73" s="243">
        <f>IF(ISERROR('raw data'!ET74/'raw data'!EU74),0,'raw data'!ET74/'raw data'!EU74)</f>
        <v>3.7735849056603772E-2</v>
      </c>
      <c r="BZ73" s="243">
        <f>IF(ISERROR('raw data'!EV74/'raw data'!EW74),0,'raw data'!EV74/'raw data'!EW74)</f>
        <v>4.6511627906976744E-2</v>
      </c>
      <c r="CA73" s="243">
        <f>IF(ISERROR('raw data'!EX74/'raw data'!EY74),0,'raw data'!EX74/'raw data'!EY74)</f>
        <v>6.0150375939849621E-2</v>
      </c>
      <c r="CB73" s="243">
        <f>IF(ISERROR('raw data'!EZ74/'raw data'!FA74),0,'raw data'!EZ74/'raw data'!FA74)</f>
        <v>7.6923076923076927E-2</v>
      </c>
      <c r="CC73" s="243">
        <f>IF(ISERROR('raw data'!FB74/'raw data'!FC74),0,'raw data'!FB74/'raw data'!FC74)</f>
        <v>0.31428571428571428</v>
      </c>
      <c r="CD73" s="243">
        <f>IF(ISERROR('raw data'!FD74/'raw data'!FE74),0,'raw data'!FD74/'raw data'!FE74)</f>
        <v>0.18421052631578946</v>
      </c>
      <c r="CE73" s="243">
        <f>IF(ISERROR('raw data'!FF74/'raw data'!FG74),0,'raw data'!FF74/'raw data'!FG74)</f>
        <v>8.3333333333333329E-2</v>
      </c>
      <c r="CF73" s="243">
        <f>IF(ISERROR('raw data'!FH74/'raw data'!FI74),0,'raw data'!FH74/'raw data'!FI74)</f>
        <v>0.10869565217391304</v>
      </c>
      <c r="CG73" s="243">
        <f>IF(ISERROR('raw data'!FJ74/'raw data'!FM74),0,'raw data'!FJ74/'raw data'!FM74)</f>
        <v>0.15384615384615385</v>
      </c>
      <c r="CH73" s="243">
        <f>IF(ISERROR('raw data'!FN74/'raw data'!FO74),0,'raw data'!FN74/'raw data'!FO74)</f>
        <v>0.1</v>
      </c>
      <c r="CI73" s="243">
        <f>IF(ISERROR('raw data'!FP74/'raw data'!FQ74),0,'raw data'!FP74/'raw data'!FQ74)</f>
        <v>0.2608695652173913</v>
      </c>
      <c r="CJ73" s="243">
        <f>IF(ISERROR('raw data'!FR74/'raw data'!FS74),0,'raw data'!FR74/'raw data'!FS74)</f>
        <v>0.15384615384615385</v>
      </c>
      <c r="CK73" s="243">
        <f>IF(ISERROR('raw data'!FT74/'raw data'!FU74),0,'raw data'!FT74/'raw data'!FU74)</f>
        <v>0.1875</v>
      </c>
      <c r="CL73" s="243">
        <f>IF(ISERROR('raw data'!FV74/'raw data'!FW74),0,'raw data'!FV74/'raw data'!FW74)</f>
        <v>0.18181818181818182</v>
      </c>
      <c r="CM73" s="243">
        <f>IF(ISERROR('raw data'!FX74/'raw data'!FY74),0,'raw data'!FX74/'raw data'!FY74)</f>
        <v>0.23076923076923078</v>
      </c>
      <c r="CN73" s="243">
        <f>IF(ISERROR('raw data'!FZ74/'raw data'!GA74),0,'raw data'!FZ74/'raw data'!GA74)</f>
        <v>0.4</v>
      </c>
      <c r="CO73" s="243">
        <f>IF(ISERROR('raw data'!GB74/'raw data'!GC74),0,'raw data'!GB74/'raw data'!GC74)</f>
        <v>0.17391304347826086</v>
      </c>
      <c r="CP73" s="243">
        <f>IF(ISERROR('raw data'!GD74/'raw data'!GE74),0,'raw data'!GD74/'raw data'!GE74)</f>
        <v>0.125</v>
      </c>
      <c r="CQ73" s="243">
        <f>IF(ISERROR('raw data'!GF74/'raw data'!GG74),0,'raw data'!GF74/'raw data'!GG74)</f>
        <v>0.20689655172413793</v>
      </c>
      <c r="CR73" s="243">
        <f>IF(ISERROR('raw data'!GH74/'raw data'!GI74),0,'raw data'!GH74/'raw data'!GI74)</f>
        <v>0.25</v>
      </c>
      <c r="CS73" s="243">
        <f>IF(ISERROR('raw data'!GJ74/'raw data'!GK74),0,'raw data'!GJ74/'raw data'!GK74)</f>
        <v>0</v>
      </c>
      <c r="CT73" s="243">
        <f>IF(ISERROR('raw data'!GL74/'raw data'!GM74),0,'raw data'!GL74/'raw data'!GM74)</f>
        <v>0.2</v>
      </c>
      <c r="CU73" s="243">
        <f>IF(ISERROR('raw data'!GN74/'raw data'!GO74),0,'raw data'!GN74/'raw data'!GO74)</f>
        <v>0.2413793103448276</v>
      </c>
      <c r="CV73" s="243">
        <f>IF(ISERROR('raw data'!GP74/'raw data'!GQ74),0,'raw data'!GP74/'raw data'!GQ74)</f>
        <v>0.3</v>
      </c>
      <c r="CW73" s="243">
        <f>IF(ISERROR('raw data'!GR74/'raw data'!GS74),0,'raw data'!GR74/'raw data'!GS74)</f>
        <v>9.0909090909090912E-2</v>
      </c>
      <c r="CX73" s="243">
        <f>IF(ISERROR('raw data'!GT74/'raw data'!GU74),0,'raw data'!GT74/'raw data'!GU74)</f>
        <v>0.27272727272727271</v>
      </c>
      <c r="CY73" s="243">
        <f>IF(ISERROR('raw data'!GV74/'raw data'!GW74),0,'raw data'!GV74/'raw data'!GW74)</f>
        <v>0.38461538461538464</v>
      </c>
      <c r="CZ73" s="243">
        <f>IF(ISERROR('raw data'!GX74/'raw data'!GY74),0,'raw data'!GX74/'raw data'!GY74)</f>
        <v>0.19047619047619047</v>
      </c>
      <c r="DA73" s="243">
        <f>IF(ISERROR('raw data'!GZ74/'raw data'!HA74),0,'raw data'!GZ74/'raw data'!HA74)</f>
        <v>0.21052631578947367</v>
      </c>
      <c r="DB73" s="243">
        <f>IF(ISERROR('raw data'!HB74/'raw data'!HC74),0,'raw data'!HB74/'raw data'!HC74)</f>
        <v>0.22222222222222221</v>
      </c>
      <c r="DC73" s="243">
        <f>IF(ISERROR('raw data'!HD74/'raw data'!HE74),0,'raw data'!HD74/'raw data'!HE74)</f>
        <v>0.31034482758620691</v>
      </c>
      <c r="DD73" s="243">
        <f>IF(ISERROR('raw data'!HF74/'raw data'!HG74),0,'raw data'!HF74/'raw data'!HG74)</f>
        <v>0.17857142857142858</v>
      </c>
      <c r="DE73" s="243">
        <f>IF(ISERROR('raw data'!HH74/'raw data'!HI74),0,'raw data'!HH74/'raw data'!HI74)</f>
        <v>0.14814814814814814</v>
      </c>
      <c r="DF73" s="243">
        <f>IF(ISERROR('raw data'!HJ74/'raw data'!HK74),0,'raw data'!HJ74/'raw data'!HK74)</f>
        <v>0.33333333333333331</v>
      </c>
      <c r="DG73" s="243">
        <f>IF(ISERROR('raw data'!HL74/'raw data'!HM74),0,'raw data'!HL74/'raw data'!HM74)</f>
        <v>0.2608695652173913</v>
      </c>
      <c r="DH73" s="243">
        <f>IF(ISERROR('raw data'!HN74/'raw data'!HO74),0,'raw data'!HN74/'raw data'!HO74)</f>
        <v>0.125</v>
      </c>
      <c r="DI73" s="243">
        <f>IF(ISERROR('raw data'!HP74/'raw data'!HQ74),0,'raw data'!HP74/'raw data'!HQ74)</f>
        <v>0.26666666666666666</v>
      </c>
      <c r="DJ73" s="243">
        <f>IF(ISERROR('raw data'!HR74/'raw data'!HS74),0,'raw data'!HR74/'raw data'!HS74)</f>
        <v>7.1428571428571425E-2</v>
      </c>
      <c r="DK73" s="243">
        <f>IF(ISERROR('raw data'!HT74/'raw data'!HU74),0,'raw data'!HT74/'raw data'!HU74)</f>
        <v>8.3333333333333329E-2</v>
      </c>
      <c r="DL73" s="243">
        <f>IF(ISERROR('raw data'!HV74/'raw data'!HW74),0,'raw data'!HV74/'raw data'!HW74)</f>
        <v>0</v>
      </c>
      <c r="DM73" s="243">
        <f>IF(ISERROR('raw data'!HX74/'raw data'!HY74),0,'raw data'!HX74/'raw data'!HY74)</f>
        <v>0</v>
      </c>
      <c r="DN73" s="243">
        <f>IF(ISERROR('raw data'!HZ74/'raw data'!IA74),0,'raw data'!HZ74/'raw data'!IA74)</f>
        <v>5.5555555555555552E-2</v>
      </c>
      <c r="DO73" s="243">
        <f>IF(ISERROR('raw data'!IB74/'raw data'!IC74),0,'raw data'!IB74/'raw data'!IC74)</f>
        <v>0.17647058823529413</v>
      </c>
      <c r="DP73" s="243">
        <f>IF(ISERROR('raw data'!ID74/'raw data'!IE74),0,'raw data'!ID74/'raw data'!IE74)</f>
        <v>5.2631578947368418E-2</v>
      </c>
      <c r="DQ73" s="243">
        <f>IF(ISERROR('raw data'!IF74/'raw data'!IG74),0,'raw data'!IF74/'raw data'!IG74)</f>
        <v>0</v>
      </c>
      <c r="DR73" s="243">
        <f>IF(ISERROR('raw data'!IH74/'raw data'!II74),0,'raw data'!IH74/'raw data'!II74)</f>
        <v>9.0909090909090912E-2</v>
      </c>
      <c r="DS73" s="243">
        <f>IF(ISERROR('raw data'!IJ74/'raw data'!IK74),0,'raw data'!IJ74/'raw data'!IK74)</f>
        <v>0</v>
      </c>
      <c r="DT73" s="243">
        <f>IF(ISERROR('raw data'!IL74/'raw data'!IM74),0,'raw data'!IL74/'raw data'!IM74)</f>
        <v>0</v>
      </c>
      <c r="DU73" s="243">
        <f>IF(ISERROR('raw data'!IN74/'raw data'!IO74),0,'raw data'!IN74/'raw data'!IO74)</f>
        <v>0</v>
      </c>
      <c r="DV73" s="243">
        <f>IF(ISERROR('raw data'!IP74/'raw data'!IQ74),0,'raw data'!IP74/'raw data'!IQ74)</f>
        <v>0</v>
      </c>
      <c r="DW73" s="243">
        <f>IF(ISERROR('raw data'!IR74/'raw data'!IS74),0,'raw data'!IR74/'raw data'!IS74)</f>
        <v>0</v>
      </c>
      <c r="DX73" s="243">
        <f>IF(ISERROR('raw data'!IT74/'raw data'!IU74),0,'raw data'!IT74/'raw data'!IU74)</f>
        <v>0</v>
      </c>
      <c r="DY73" s="243">
        <f>IF(ISERROR('raw data'!IV74/'raw data'!IW74),0,'raw data'!IV74/'raw data'!IW74)</f>
        <v>0</v>
      </c>
      <c r="DZ73" s="243">
        <f>IF(ISERROR('raw data'!IX74/'raw data'!IY74),0,'raw data'!IX74/'raw data'!IY74)</f>
        <v>0</v>
      </c>
      <c r="EA73" s="243">
        <f>IF(ISERROR('raw data'!IZ74/'raw data'!JA74),0,'raw data'!IZ74/'raw data'!JA74)</f>
        <v>0</v>
      </c>
      <c r="EB73" s="243">
        <f>IF(ISERROR('raw data'!JB74/'raw data'!JC74),0,'raw data'!JB74/'raw data'!JC74)</f>
        <v>0.1111111111111111</v>
      </c>
      <c r="EC73" s="243">
        <f>IF(ISERROR('raw data'!JD74/'raw data'!JE74),0,'raw data'!JD74/'raw data'!JE74)</f>
        <v>0.1</v>
      </c>
      <c r="ED73" s="243"/>
      <c r="EE73" s="244">
        <f>SUM(EE67:EE72)</f>
        <v>3</v>
      </c>
      <c r="EF73" s="244">
        <f>SUM(EF67:EF72)</f>
        <v>98</v>
      </c>
      <c r="EG73" s="245">
        <f t="shared" si="0"/>
        <v>3.0612244897959183E-2</v>
      </c>
    </row>
    <row r="74" spans="1:137" ht="42" x14ac:dyDescent="0.15">
      <c r="A74" s="281" t="s">
        <v>126</v>
      </c>
      <c r="B74" s="281" t="str">
        <f>'raw data'!B75</f>
        <v>Flex accounts with a £5k+ loan received 3 months ago and 10+ foreign Visa withdrawals (VW), each £100+, totalling £3k+ within past 3 months.</v>
      </c>
      <c r="C74" s="281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35"/>
      <c r="AI74" s="235"/>
      <c r="AJ74" s="235"/>
      <c r="AK74" s="235"/>
      <c r="AL74" s="235"/>
      <c r="AM74" s="235"/>
      <c r="AN74" s="235"/>
      <c r="AO74" s="235"/>
      <c r="AP74" s="235"/>
      <c r="AQ74" s="235"/>
      <c r="AR74" s="235"/>
      <c r="AS74" s="235"/>
      <c r="AT74" s="235"/>
      <c r="AU74" s="235"/>
      <c r="AV74" s="235"/>
      <c r="AW74" s="235"/>
      <c r="AX74" s="235"/>
      <c r="AY74" s="235"/>
      <c r="AZ74" s="235"/>
      <c r="BA74" s="235"/>
      <c r="BB74" s="235"/>
      <c r="BC74" s="235"/>
      <c r="BD74" s="235"/>
      <c r="BE74" s="235"/>
      <c r="BF74" s="235"/>
      <c r="BG74" s="235"/>
      <c r="BH74" s="235"/>
      <c r="BI74" s="235"/>
      <c r="BJ74" s="235"/>
      <c r="BK74" s="235"/>
      <c r="BL74" s="235"/>
      <c r="BM74" s="235"/>
      <c r="BN74" s="235"/>
      <c r="BO74" s="235"/>
      <c r="BP74" s="235"/>
      <c r="BQ74" s="235"/>
      <c r="BR74" s="235"/>
      <c r="BS74" s="235"/>
      <c r="BT74" s="235"/>
      <c r="BU74" s="235"/>
      <c r="BV74" s="235"/>
      <c r="BW74" s="235"/>
      <c r="BX74" s="235"/>
      <c r="BY74" s="235"/>
      <c r="BZ74" s="283">
        <f>IF(ISERROR('raw data'!EV75/'raw data'!EW75),0,'raw data'!EV75/'raw data'!EW75)</f>
        <v>0</v>
      </c>
      <c r="CA74" s="283">
        <f>IF(ISERROR('raw data'!EX75/'raw data'!EY75),0,'raw data'!EX75/'raw data'!EY75)</f>
        <v>0</v>
      </c>
      <c r="CB74" s="283">
        <f>IF(ISERROR('raw data'!EZ75/'raw data'!FA75),0,'raw data'!EZ75/'raw data'!FA75)</f>
        <v>0</v>
      </c>
      <c r="CC74" s="232" t="s">
        <v>243</v>
      </c>
      <c r="CD74" s="232" t="s">
        <v>243</v>
      </c>
      <c r="CE74" s="232" t="s">
        <v>243</v>
      </c>
      <c r="CF74" s="232" t="s">
        <v>243</v>
      </c>
      <c r="CG74" s="232" t="s">
        <v>243</v>
      </c>
      <c r="CH74" s="232" t="s">
        <v>243</v>
      </c>
      <c r="CI74" s="232" t="s">
        <v>243</v>
      </c>
      <c r="CJ74" s="232" t="s">
        <v>243</v>
      </c>
      <c r="CK74" s="232" t="s">
        <v>243</v>
      </c>
      <c r="CL74" s="232" t="s">
        <v>243</v>
      </c>
      <c r="CM74" s="232" t="s">
        <v>243</v>
      </c>
      <c r="CN74" s="232" t="s">
        <v>243</v>
      </c>
      <c r="CO74" s="232" t="s">
        <v>243</v>
      </c>
      <c r="CP74" s="232" t="s">
        <v>243</v>
      </c>
      <c r="CQ74" s="232" t="s">
        <v>243</v>
      </c>
      <c r="CR74" s="232" t="s">
        <v>243</v>
      </c>
      <c r="CS74" s="232" t="s">
        <v>243</v>
      </c>
      <c r="CT74" s="232" t="s">
        <v>243</v>
      </c>
      <c r="CU74" s="232" t="s">
        <v>243</v>
      </c>
      <c r="CV74" s="232" t="s">
        <v>243</v>
      </c>
      <c r="CW74" s="232" t="s">
        <v>243</v>
      </c>
      <c r="CX74" s="232" t="s">
        <v>243</v>
      </c>
      <c r="CY74" s="232" t="s">
        <v>243</v>
      </c>
      <c r="CZ74" s="232" t="s">
        <v>243</v>
      </c>
      <c r="DA74" s="232" t="s">
        <v>243</v>
      </c>
      <c r="DB74" s="232" t="s">
        <v>243</v>
      </c>
      <c r="DC74" s="232" t="s">
        <v>243</v>
      </c>
      <c r="DD74" s="232" t="s">
        <v>243</v>
      </c>
      <c r="DE74" s="232" t="s">
        <v>243</v>
      </c>
      <c r="DF74" s="232" t="s">
        <v>243</v>
      </c>
      <c r="DG74" s="232" t="s">
        <v>243</v>
      </c>
      <c r="DH74" s="232" t="s">
        <v>243</v>
      </c>
      <c r="DI74" s="232" t="s">
        <v>243</v>
      </c>
      <c r="DJ74" s="232" t="s">
        <v>243</v>
      </c>
      <c r="DK74" s="232" t="s">
        <v>243</v>
      </c>
      <c r="DL74" s="232" t="s">
        <v>243</v>
      </c>
      <c r="DM74" s="232" t="s">
        <v>243</v>
      </c>
      <c r="DN74" s="232" t="s">
        <v>243</v>
      </c>
      <c r="DO74" s="232" t="s">
        <v>243</v>
      </c>
      <c r="DP74" s="232" t="s">
        <v>243</v>
      </c>
      <c r="DQ74" s="232" t="s">
        <v>243</v>
      </c>
      <c r="DR74" s="232" t="s">
        <v>243</v>
      </c>
      <c r="DS74" s="232" t="s">
        <v>243</v>
      </c>
      <c r="DT74" s="232" t="s">
        <v>243</v>
      </c>
      <c r="DU74" s="232" t="s">
        <v>243</v>
      </c>
      <c r="DV74" s="232" t="s">
        <v>243</v>
      </c>
      <c r="DW74" s="232" t="s">
        <v>243</v>
      </c>
      <c r="DX74" s="232" t="s">
        <v>243</v>
      </c>
      <c r="DY74" s="232" t="s">
        <v>243</v>
      </c>
      <c r="DZ74" s="232" t="s">
        <v>243</v>
      </c>
      <c r="EA74" s="232" t="s">
        <v>243</v>
      </c>
      <c r="EB74" s="232" t="s">
        <v>243</v>
      </c>
      <c r="EC74" s="232" t="s">
        <v>243</v>
      </c>
      <c r="ED74" s="243"/>
      <c r="EE74" s="284">
        <v>0</v>
      </c>
      <c r="EF74" s="284">
        <v>0</v>
      </c>
      <c r="EG74" s="285">
        <f>IF(ISERROR(EE74/EF74),0,EE74/EF74)</f>
        <v>0</v>
      </c>
    </row>
    <row r="75" spans="1:137" ht="28" x14ac:dyDescent="0.15">
      <c r="A75" s="286" t="s">
        <v>127</v>
      </c>
      <c r="B75" s="281" t="str">
        <f>'raw data'!B76</f>
        <v>Flex accounts with a £5k+ loan received 3 months ago and a CHAPS/SWIFT to a CoC in past 3 months.</v>
      </c>
      <c r="C75" s="281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35"/>
      <c r="AI75" s="235"/>
      <c r="AJ75" s="235"/>
      <c r="AK75" s="235"/>
      <c r="AL75" s="235"/>
      <c r="AM75" s="235"/>
      <c r="AN75" s="235"/>
      <c r="AO75" s="235"/>
      <c r="AP75" s="235"/>
      <c r="AQ75" s="235"/>
      <c r="AR75" s="235"/>
      <c r="AS75" s="235"/>
      <c r="AT75" s="235"/>
      <c r="AU75" s="235"/>
      <c r="AV75" s="235"/>
      <c r="AW75" s="235"/>
      <c r="AX75" s="235"/>
      <c r="AY75" s="235"/>
      <c r="AZ75" s="235"/>
      <c r="BA75" s="235"/>
      <c r="BB75" s="235"/>
      <c r="BC75" s="235"/>
      <c r="BD75" s="235"/>
      <c r="BE75" s="235"/>
      <c r="BF75" s="235"/>
      <c r="BG75" s="235"/>
      <c r="BH75" s="235"/>
      <c r="BI75" s="235"/>
      <c r="BJ75" s="235"/>
      <c r="BK75" s="235"/>
      <c r="BL75" s="235"/>
      <c r="BM75" s="235"/>
      <c r="BN75" s="235"/>
      <c r="BO75" s="235"/>
      <c r="BP75" s="235"/>
      <c r="BQ75" s="235"/>
      <c r="BR75" s="235"/>
      <c r="BS75" s="235"/>
      <c r="BT75" s="235"/>
      <c r="BU75" s="235"/>
      <c r="BV75" s="235"/>
      <c r="BW75" s="235"/>
      <c r="BX75" s="235"/>
      <c r="BY75" s="235"/>
      <c r="BZ75" s="283">
        <f>IF(ISERROR('raw data'!EV76/'raw data'!EW76),0,'raw data'!EV76/'raw data'!EW76)</f>
        <v>0</v>
      </c>
      <c r="CA75" s="283">
        <f>IF(ISERROR('raw data'!EX76/'raw data'!EY76),0,'raw data'!EX76/'raw data'!EY76)</f>
        <v>0.1</v>
      </c>
      <c r="CB75" s="283">
        <f>IF(ISERROR('raw data'!EZ76/'raw data'!FA76),0,'raw data'!EZ76/'raw data'!FA76)</f>
        <v>0</v>
      </c>
      <c r="CC75" s="232" t="s">
        <v>243</v>
      </c>
      <c r="CD75" s="232" t="s">
        <v>243</v>
      </c>
      <c r="CE75" s="232" t="s">
        <v>243</v>
      </c>
      <c r="CF75" s="232" t="s">
        <v>243</v>
      </c>
      <c r="CG75" s="232" t="s">
        <v>243</v>
      </c>
      <c r="CH75" s="232" t="s">
        <v>243</v>
      </c>
      <c r="CI75" s="232" t="s">
        <v>243</v>
      </c>
      <c r="CJ75" s="232" t="s">
        <v>243</v>
      </c>
      <c r="CK75" s="232" t="s">
        <v>243</v>
      </c>
      <c r="CL75" s="232" t="s">
        <v>243</v>
      </c>
      <c r="CM75" s="232" t="s">
        <v>243</v>
      </c>
      <c r="CN75" s="232" t="s">
        <v>243</v>
      </c>
      <c r="CO75" s="232" t="s">
        <v>243</v>
      </c>
      <c r="CP75" s="232" t="s">
        <v>243</v>
      </c>
      <c r="CQ75" s="232" t="s">
        <v>243</v>
      </c>
      <c r="CR75" s="232" t="s">
        <v>243</v>
      </c>
      <c r="CS75" s="232" t="s">
        <v>243</v>
      </c>
      <c r="CT75" s="232" t="s">
        <v>243</v>
      </c>
      <c r="CU75" s="232" t="s">
        <v>243</v>
      </c>
      <c r="CV75" s="232" t="s">
        <v>243</v>
      </c>
      <c r="CW75" s="232" t="s">
        <v>243</v>
      </c>
      <c r="CX75" s="232" t="s">
        <v>243</v>
      </c>
      <c r="CY75" s="232" t="s">
        <v>243</v>
      </c>
      <c r="CZ75" s="232" t="s">
        <v>243</v>
      </c>
      <c r="DA75" s="232" t="s">
        <v>243</v>
      </c>
      <c r="DB75" s="232" t="s">
        <v>243</v>
      </c>
      <c r="DC75" s="232" t="s">
        <v>243</v>
      </c>
      <c r="DD75" s="232" t="s">
        <v>243</v>
      </c>
      <c r="DE75" s="232" t="s">
        <v>243</v>
      </c>
      <c r="DF75" s="232" t="s">
        <v>243</v>
      </c>
      <c r="DG75" s="232" t="s">
        <v>243</v>
      </c>
      <c r="DH75" s="232" t="s">
        <v>243</v>
      </c>
      <c r="DI75" s="232" t="s">
        <v>243</v>
      </c>
      <c r="DJ75" s="232" t="s">
        <v>243</v>
      </c>
      <c r="DK75" s="232" t="s">
        <v>243</v>
      </c>
      <c r="DL75" s="232" t="s">
        <v>243</v>
      </c>
      <c r="DM75" s="232" t="s">
        <v>243</v>
      </c>
      <c r="DN75" s="232" t="s">
        <v>243</v>
      </c>
      <c r="DO75" s="232" t="s">
        <v>243</v>
      </c>
      <c r="DP75" s="232" t="s">
        <v>243</v>
      </c>
      <c r="DQ75" s="232" t="s">
        <v>243</v>
      </c>
      <c r="DR75" s="232" t="s">
        <v>243</v>
      </c>
      <c r="DS75" s="232" t="s">
        <v>243</v>
      </c>
      <c r="DT75" s="232" t="s">
        <v>243</v>
      </c>
      <c r="DU75" s="232" t="s">
        <v>243</v>
      </c>
      <c r="DV75" s="232" t="s">
        <v>243</v>
      </c>
      <c r="DW75" s="232" t="s">
        <v>243</v>
      </c>
      <c r="DX75" s="232" t="s">
        <v>243</v>
      </c>
      <c r="DY75" s="232" t="s">
        <v>243</v>
      </c>
      <c r="DZ75" s="232" t="s">
        <v>243</v>
      </c>
      <c r="EA75" s="232" t="s">
        <v>243</v>
      </c>
      <c r="EB75" s="232" t="s">
        <v>243</v>
      </c>
      <c r="EC75" s="232" t="s">
        <v>243</v>
      </c>
      <c r="ED75" s="243"/>
      <c r="EE75" s="284">
        <v>0</v>
      </c>
      <c r="EF75" s="284">
        <v>0</v>
      </c>
      <c r="EG75" s="285">
        <f t="shared" si="0"/>
        <v>0</v>
      </c>
    </row>
    <row r="76" spans="1:137" ht="28" hidden="1" x14ac:dyDescent="0.15">
      <c r="A76" s="281" t="s">
        <v>128</v>
      </c>
      <c r="B76" s="281" t="str">
        <f>'raw data'!B77</f>
        <v>Swift Payments to or from Afghanistan, VISA spend in Afghanistan and Online bank activity in Afghanistan</v>
      </c>
      <c r="C76" s="281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35"/>
      <c r="AI76" s="235"/>
      <c r="AJ76" s="235"/>
      <c r="AK76" s="235"/>
      <c r="AL76" s="235"/>
      <c r="AM76" s="235"/>
      <c r="AN76" s="235"/>
      <c r="AO76" s="235"/>
      <c r="AP76" s="235"/>
      <c r="AQ76" s="235"/>
      <c r="AR76" s="235"/>
      <c r="AS76" s="235"/>
      <c r="AT76" s="235"/>
      <c r="AU76" s="235"/>
      <c r="AV76" s="235"/>
      <c r="AW76" s="235"/>
      <c r="AX76" s="235"/>
      <c r="AY76" s="235"/>
      <c r="AZ76" s="235"/>
      <c r="BA76" s="235"/>
      <c r="BB76" s="235"/>
      <c r="BC76" s="235"/>
      <c r="BD76" s="235"/>
      <c r="BE76" s="235"/>
      <c r="BF76" s="235"/>
      <c r="BG76" s="235"/>
      <c r="BH76" s="235"/>
      <c r="BI76" s="235"/>
      <c r="BJ76" s="235"/>
      <c r="BK76" s="235"/>
      <c r="BL76" s="235"/>
      <c r="BM76" s="235"/>
      <c r="BN76" s="235"/>
      <c r="BO76" s="235"/>
      <c r="BP76" s="235"/>
      <c r="BQ76" s="235"/>
      <c r="BR76" s="235"/>
      <c r="BS76" s="235"/>
      <c r="BT76" s="235"/>
      <c r="BU76" s="235"/>
      <c r="BV76" s="235"/>
      <c r="BW76" s="235"/>
      <c r="BX76" s="235"/>
      <c r="BY76" s="235"/>
      <c r="BZ76" s="235"/>
      <c r="CA76" s="235"/>
      <c r="CB76" s="235"/>
      <c r="CC76" s="235"/>
      <c r="CD76" s="232"/>
      <c r="CE76" s="232"/>
      <c r="CF76" s="232"/>
      <c r="CG76" s="232"/>
      <c r="CH76" s="232"/>
      <c r="CI76" s="232"/>
      <c r="CJ76" s="232"/>
      <c r="CK76" s="232"/>
      <c r="CL76" s="232"/>
      <c r="CM76" s="232"/>
      <c r="CN76" s="232"/>
      <c r="CO76" s="232"/>
      <c r="CP76" s="232"/>
      <c r="CQ76" s="232"/>
      <c r="CR76" s="232"/>
      <c r="CS76" s="232"/>
      <c r="CT76" s="232"/>
      <c r="CU76" s="232"/>
      <c r="CV76" s="232"/>
      <c r="CW76" s="232"/>
      <c r="CX76" s="232"/>
      <c r="CY76" s="232"/>
      <c r="CZ76" s="232"/>
      <c r="DA76" s="232"/>
      <c r="DB76" s="232"/>
      <c r="DC76" s="232"/>
      <c r="DD76" s="232"/>
      <c r="DE76" s="232"/>
      <c r="DF76" s="232"/>
      <c r="DG76" s="232"/>
      <c r="DH76" s="232"/>
      <c r="DI76" s="232"/>
      <c r="DJ76" s="232"/>
      <c r="DK76" s="232"/>
      <c r="DL76" s="232"/>
      <c r="DM76" s="232"/>
      <c r="DN76" s="232"/>
      <c r="DO76" s="232"/>
      <c r="DP76" s="232"/>
      <c r="DQ76" s="232"/>
      <c r="DR76" s="232"/>
      <c r="DS76" s="232"/>
      <c r="DT76" s="232"/>
      <c r="DU76" s="232"/>
      <c r="DV76" s="232"/>
      <c r="DW76" s="232"/>
      <c r="DX76" s="232"/>
      <c r="DY76" s="232"/>
      <c r="DZ76" s="232"/>
      <c r="EA76" s="232"/>
      <c r="EB76" s="232"/>
      <c r="EC76" s="232"/>
      <c r="ED76" s="243"/>
      <c r="EE76" s="284"/>
      <c r="EF76" s="284"/>
      <c r="EG76" s="285"/>
    </row>
    <row r="77" spans="1:137" ht="28" hidden="1" x14ac:dyDescent="0.15">
      <c r="A77" s="281" t="s">
        <v>130</v>
      </c>
      <c r="B77" s="281" t="str">
        <f>'raw data'!B78</f>
        <v>Swift Payments to or from Iraq, VISA spend in Iraq and Online bank activity in Iraq</v>
      </c>
      <c r="C77" s="281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35"/>
      <c r="AI77" s="235"/>
      <c r="AJ77" s="235"/>
      <c r="AK77" s="235"/>
      <c r="AL77" s="235"/>
      <c r="AM77" s="235"/>
      <c r="AN77" s="235"/>
      <c r="AO77" s="235"/>
      <c r="AP77" s="235"/>
      <c r="AQ77" s="235"/>
      <c r="AR77" s="235"/>
      <c r="AS77" s="235"/>
      <c r="AT77" s="235"/>
      <c r="AU77" s="235"/>
      <c r="AV77" s="235"/>
      <c r="AW77" s="235"/>
      <c r="AX77" s="235"/>
      <c r="AY77" s="235"/>
      <c r="AZ77" s="235"/>
      <c r="BA77" s="235"/>
      <c r="BB77" s="235"/>
      <c r="BC77" s="235"/>
      <c r="BD77" s="235"/>
      <c r="BE77" s="235"/>
      <c r="BF77" s="235"/>
      <c r="BG77" s="235"/>
      <c r="BH77" s="235"/>
      <c r="BI77" s="235"/>
      <c r="BJ77" s="235"/>
      <c r="BK77" s="235"/>
      <c r="BL77" s="235"/>
      <c r="BM77" s="235"/>
      <c r="BN77" s="235"/>
      <c r="BO77" s="235"/>
      <c r="BP77" s="235"/>
      <c r="BQ77" s="235"/>
      <c r="BR77" s="235"/>
      <c r="BS77" s="235"/>
      <c r="BT77" s="235"/>
      <c r="BU77" s="235"/>
      <c r="BV77" s="235"/>
      <c r="BW77" s="235"/>
      <c r="BX77" s="235"/>
      <c r="BY77" s="235"/>
      <c r="BZ77" s="235"/>
      <c r="CA77" s="235"/>
      <c r="CB77" s="235"/>
      <c r="CC77" s="235"/>
      <c r="CD77" s="232"/>
      <c r="CE77" s="232"/>
      <c r="CF77" s="232"/>
      <c r="CG77" s="232"/>
      <c r="CH77" s="232"/>
      <c r="CI77" s="232"/>
      <c r="CJ77" s="232"/>
      <c r="CK77" s="232"/>
      <c r="CL77" s="232"/>
      <c r="CM77" s="232"/>
      <c r="CN77" s="232"/>
      <c r="CO77" s="232"/>
      <c r="CP77" s="232"/>
      <c r="CQ77" s="232"/>
      <c r="CR77" s="232"/>
      <c r="CS77" s="232"/>
      <c r="CT77" s="232"/>
      <c r="CU77" s="232"/>
      <c r="CV77" s="232"/>
      <c r="CW77" s="232"/>
      <c r="CX77" s="232"/>
      <c r="CY77" s="232"/>
      <c r="CZ77" s="232"/>
      <c r="DA77" s="232"/>
      <c r="DB77" s="232"/>
      <c r="DC77" s="232"/>
      <c r="DD77" s="232"/>
      <c r="DE77" s="232"/>
      <c r="DF77" s="232"/>
      <c r="DG77" s="232"/>
      <c r="DH77" s="232"/>
      <c r="DI77" s="232"/>
      <c r="DJ77" s="232"/>
      <c r="DK77" s="232"/>
      <c r="DL77" s="232"/>
      <c r="DM77" s="232"/>
      <c r="DN77" s="232"/>
      <c r="DO77" s="232"/>
      <c r="DP77" s="232"/>
      <c r="DQ77" s="232"/>
      <c r="DR77" s="232"/>
      <c r="DS77" s="232"/>
      <c r="DT77" s="232"/>
      <c r="DU77" s="232"/>
      <c r="DV77" s="232"/>
      <c r="DW77" s="232"/>
      <c r="DX77" s="232"/>
      <c r="DY77" s="232"/>
      <c r="DZ77" s="232"/>
      <c r="EA77" s="232"/>
      <c r="EB77" s="232"/>
      <c r="EC77" s="232"/>
      <c r="ED77" s="243"/>
      <c r="EE77" s="284"/>
      <c r="EF77" s="284"/>
      <c r="EG77" s="285"/>
    </row>
    <row r="78" spans="1:137" ht="28" hidden="1" x14ac:dyDescent="0.15">
      <c r="A78" s="281" t="s">
        <v>132</v>
      </c>
      <c r="B78" s="281" t="str">
        <f>'raw data'!B79</f>
        <v>Swift Payments to or from Somalia, VISA spend in Somalia and Online bank activity in Somalia</v>
      </c>
      <c r="C78" s="281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35"/>
      <c r="AI78" s="235"/>
      <c r="AJ78" s="235"/>
      <c r="AK78" s="235"/>
      <c r="AL78" s="235"/>
      <c r="AM78" s="235"/>
      <c r="AN78" s="235"/>
      <c r="AO78" s="235"/>
      <c r="AP78" s="235"/>
      <c r="AQ78" s="235"/>
      <c r="AR78" s="235"/>
      <c r="AS78" s="235"/>
      <c r="AT78" s="235"/>
      <c r="AU78" s="235"/>
      <c r="AV78" s="235"/>
      <c r="AW78" s="235"/>
      <c r="AX78" s="235"/>
      <c r="AY78" s="235"/>
      <c r="AZ78" s="235"/>
      <c r="BA78" s="235"/>
      <c r="BB78" s="235"/>
      <c r="BC78" s="235"/>
      <c r="BD78" s="235"/>
      <c r="BE78" s="235"/>
      <c r="BF78" s="235"/>
      <c r="BG78" s="235"/>
      <c r="BH78" s="235"/>
      <c r="BI78" s="235"/>
      <c r="BJ78" s="235"/>
      <c r="BK78" s="235"/>
      <c r="BL78" s="235"/>
      <c r="BM78" s="235"/>
      <c r="BN78" s="235"/>
      <c r="BO78" s="235"/>
      <c r="BP78" s="235"/>
      <c r="BQ78" s="235"/>
      <c r="BR78" s="235"/>
      <c r="BS78" s="235"/>
      <c r="BT78" s="235"/>
      <c r="BU78" s="235"/>
      <c r="BV78" s="235"/>
      <c r="BW78" s="235"/>
      <c r="BX78" s="235"/>
      <c r="BY78" s="235"/>
      <c r="BZ78" s="235"/>
      <c r="CA78" s="235"/>
      <c r="CB78" s="235"/>
      <c r="CC78" s="235"/>
      <c r="CD78" s="232"/>
      <c r="CE78" s="232"/>
      <c r="CF78" s="232"/>
      <c r="CG78" s="232"/>
      <c r="CH78" s="232"/>
      <c r="CI78" s="232"/>
      <c r="CJ78" s="232"/>
      <c r="CK78" s="232"/>
      <c r="CL78" s="232"/>
      <c r="CM78" s="232"/>
      <c r="CN78" s="232"/>
      <c r="CO78" s="232"/>
      <c r="CP78" s="232"/>
      <c r="CQ78" s="232"/>
      <c r="CR78" s="232"/>
      <c r="CS78" s="232"/>
      <c r="CT78" s="232"/>
      <c r="CU78" s="232"/>
      <c r="CV78" s="232"/>
      <c r="CW78" s="232"/>
      <c r="CX78" s="232"/>
      <c r="CY78" s="232"/>
      <c r="CZ78" s="232"/>
      <c r="DA78" s="232"/>
      <c r="DB78" s="232"/>
      <c r="DC78" s="232"/>
      <c r="DD78" s="232"/>
      <c r="DE78" s="232"/>
      <c r="DF78" s="232"/>
      <c r="DG78" s="232"/>
      <c r="DH78" s="232"/>
      <c r="DI78" s="232"/>
      <c r="DJ78" s="232"/>
      <c r="DK78" s="232"/>
      <c r="DL78" s="232"/>
      <c r="DM78" s="232"/>
      <c r="DN78" s="232"/>
      <c r="DO78" s="232"/>
      <c r="DP78" s="232"/>
      <c r="DQ78" s="232"/>
      <c r="DR78" s="232"/>
      <c r="DS78" s="232"/>
      <c r="DT78" s="232"/>
      <c r="DU78" s="232"/>
      <c r="DV78" s="232"/>
      <c r="DW78" s="232"/>
      <c r="DX78" s="232"/>
      <c r="DY78" s="232"/>
      <c r="DZ78" s="232"/>
      <c r="EA78" s="232"/>
      <c r="EB78" s="232"/>
      <c r="EC78" s="232"/>
      <c r="ED78" s="243"/>
      <c r="EE78" s="284"/>
      <c r="EF78" s="284"/>
      <c r="EG78" s="285"/>
    </row>
    <row r="79" spans="1:137" ht="28" x14ac:dyDescent="0.15">
      <c r="A79" s="281" t="s">
        <v>134</v>
      </c>
      <c r="B79" s="281" t="str">
        <f>'raw data'!B80</f>
        <v>Swift Payments to or from Syria, VISA spend in Syria and Online bank activity in Syria</v>
      </c>
      <c r="C79" s="281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5"/>
      <c r="AS79" s="235"/>
      <c r="AT79" s="235"/>
      <c r="AU79" s="235"/>
      <c r="AV79" s="235"/>
      <c r="AW79" s="235"/>
      <c r="AX79" s="235"/>
      <c r="AY79" s="235"/>
      <c r="AZ79" s="235"/>
      <c r="BA79" s="235"/>
      <c r="BB79" s="235"/>
      <c r="BC79" s="235"/>
      <c r="BD79" s="235"/>
      <c r="BE79" s="235"/>
      <c r="BF79" s="235"/>
      <c r="BG79" s="235"/>
      <c r="BH79" s="235"/>
      <c r="BI79" s="235"/>
      <c r="BJ79" s="235"/>
      <c r="BK79" s="235"/>
      <c r="BL79" s="235"/>
      <c r="BM79" s="235"/>
      <c r="BN79" s="235"/>
      <c r="BO79" s="235"/>
      <c r="BP79" s="235"/>
      <c r="BQ79" s="235"/>
      <c r="BR79" s="235"/>
      <c r="BS79" s="235"/>
      <c r="BT79" s="235"/>
      <c r="BU79" s="235"/>
      <c r="BV79" s="235"/>
      <c r="BW79" s="235"/>
      <c r="BX79" s="235"/>
      <c r="BY79" s="235"/>
      <c r="BZ79" s="235"/>
      <c r="CA79" s="235"/>
      <c r="CB79" s="235"/>
      <c r="CC79" s="235"/>
      <c r="CD79" s="232"/>
      <c r="CE79" s="232"/>
      <c r="CF79" s="232"/>
      <c r="CG79" s="232"/>
      <c r="CH79" s="232"/>
      <c r="CI79" s="232"/>
      <c r="CJ79" s="287">
        <f>IF(ISERROR('raw data'!FR80/'raw data'!FS80),0,'raw data'!FR80/'raw data'!FS80)</f>
        <v>0.14285714285714285</v>
      </c>
      <c r="CK79" s="287">
        <f>IF(ISERROR('raw data'!FT80/'raw data'!FU80),0,'raw data'!FT80/'raw data'!FU80)</f>
        <v>0</v>
      </c>
      <c r="CL79" s="287">
        <f>IF(ISERROR('raw data'!FV80/'raw data'!FW80),0,'raw data'!FV80/'raw data'!FW80)</f>
        <v>0</v>
      </c>
      <c r="CM79" s="287">
        <f>IF(ISERROR('raw data'!FX80/'raw data'!FY80),0,'raw data'!FX80/'raw data'!FY80)</f>
        <v>0</v>
      </c>
      <c r="CN79" s="287">
        <f>IF(ISERROR('raw data'!FZ80/'raw data'!GA80),0,'raw data'!FZ80/'raw data'!GA80)</f>
        <v>0.27272727272727271</v>
      </c>
      <c r="CO79" s="287">
        <f>IF(ISERROR('raw data'!GB80/'raw data'!GC80),0,'raw data'!GB80/'raw data'!GC80)</f>
        <v>0</v>
      </c>
      <c r="CP79" s="287">
        <f>IF(ISERROR('raw data'!GD80/'raw data'!GE80),0,'raw data'!GD80/'raw data'!GE80)</f>
        <v>0</v>
      </c>
      <c r="CQ79" s="287">
        <f>IF(ISERROR('raw data'!GF80/'raw data'!GG80),0,'raw data'!GF80/'raw data'!GG80)</f>
        <v>0.1875</v>
      </c>
      <c r="CR79" s="287">
        <f>IF(ISERROR('raw data'!GH80/'raw data'!GI80),0,'raw data'!GH80/'raw data'!GI80)</f>
        <v>0.26666666666666666</v>
      </c>
      <c r="CS79" s="287">
        <f>IF(ISERROR('raw data'!GJ80/'raw data'!GK80),0,'raw data'!GJ80/'raw data'!GK80)</f>
        <v>7.1428571428571425E-2</v>
      </c>
      <c r="CT79" s="287">
        <f>IF(ISERROR('raw data'!GL80/'raw data'!GM80),0,'raw data'!GL80/'raw data'!GM80)</f>
        <v>0</v>
      </c>
      <c r="CU79" s="287">
        <f>IF(ISERROR('raw data'!GN80/'raw data'!GO80),0,'raw data'!GN80/'raw data'!GO80)</f>
        <v>6.25E-2</v>
      </c>
      <c r="CV79" s="287">
        <f>IF(ISERROR('raw data'!GP80/'raw data'!GQ80),0,'raw data'!GP80/'raw data'!GQ80)</f>
        <v>5.5555555555555552E-2</v>
      </c>
      <c r="CW79" s="287">
        <f>IF(ISERROR('raw data'!GR80/'raw data'!GS80),0,'raw data'!GR80/'raw data'!GS80)</f>
        <v>0</v>
      </c>
      <c r="CX79" s="287">
        <f>IF(ISERROR('raw data'!GT80/'raw data'!GU80),0,'raw data'!GT80/'raw data'!GU80)</f>
        <v>0</v>
      </c>
      <c r="CY79" s="287">
        <f>IF(ISERROR('raw data'!GV80/'raw data'!GW80),0,'raw data'!GV80/'raw data'!GW80)</f>
        <v>6.6666666666666666E-2</v>
      </c>
      <c r="CZ79" s="287">
        <f>IF(ISERROR('raw data'!GX80/'raw data'!GY80),0,'raw data'!GX80/'raw data'!GY80)</f>
        <v>0.17647058823529413</v>
      </c>
      <c r="DA79" s="287">
        <f>IF(ISERROR('raw data'!GZ80/'raw data'!HA80),0,'raw data'!GZ80/'raw data'!HA80)</f>
        <v>0</v>
      </c>
      <c r="DB79" s="287">
        <f>IF(ISERROR('raw data'!HB80/'raw data'!HC80),0,'raw data'!HB80/'raw data'!HC80)</f>
        <v>9.0909090909090912E-2</v>
      </c>
      <c r="DC79" s="287">
        <f>IF(ISERROR('raw data'!HD80/'raw data'!HE80),0,'raw data'!HD80/'raw data'!HE80)</f>
        <v>0</v>
      </c>
      <c r="DD79" s="287">
        <f>IF(ISERROR('raw data'!HF80/'raw data'!HG80),0,'raw data'!HF80/'raw data'!HG80)</f>
        <v>0</v>
      </c>
      <c r="DE79" s="287">
        <f>IF(ISERROR('raw data'!HH80/'raw data'!HI80),0,'raw data'!HH80/'raw data'!HI80)</f>
        <v>0</v>
      </c>
      <c r="DF79" s="287">
        <f>IF(ISERROR('raw data'!HJ80/'raw data'!HK80),0,'raw data'!HJ80/'raw data'!HK80)</f>
        <v>0</v>
      </c>
      <c r="DG79" s="287">
        <f>IF(ISERROR('raw data'!HL80/'raw data'!HM80),0,'raw data'!HL80/'raw data'!HM80)</f>
        <v>0</v>
      </c>
      <c r="DH79" s="287">
        <f>IF(ISERROR('raw data'!HN80/'raw data'!HO80),0,'raw data'!HN80/'raw data'!HO80)</f>
        <v>0</v>
      </c>
      <c r="DI79" s="287">
        <f>IF(ISERROR('raw data'!HP80/'raw data'!HQ80),0,'raw data'!HP80/'raw data'!HQ80)</f>
        <v>0</v>
      </c>
      <c r="DJ79" s="287">
        <f>IF(ISERROR('raw data'!HR80/'raw data'!HS80),0,'raw data'!HR80/'raw data'!HS80)</f>
        <v>0</v>
      </c>
      <c r="DK79" s="287">
        <f>IF(ISERROR('raw data'!HT80/'raw data'!HU80),0,'raw data'!HT80/'raw data'!HU80)</f>
        <v>0</v>
      </c>
      <c r="DL79" s="287">
        <f>IF(ISERROR('raw data'!HV80/'raw data'!HW80),0,'raw data'!HV80/'raw data'!HW80)</f>
        <v>0</v>
      </c>
      <c r="DM79" s="287">
        <f>IF(ISERROR('raw data'!HX80/'raw data'!HY80),0,'raw data'!HX80/'raw data'!HY80)</f>
        <v>0</v>
      </c>
      <c r="DN79" s="287">
        <f>IF(ISERROR('raw data'!HZ80/'raw data'!IA80),0,'raw data'!HZ80/'raw data'!IA80)</f>
        <v>0</v>
      </c>
      <c r="DO79" s="287">
        <f>IF(ISERROR('raw data'!IB80/'raw data'!IC80),0,'raw data'!IB80/'raw data'!IC80)</f>
        <v>0</v>
      </c>
      <c r="DP79" s="287">
        <f>IF(ISERROR('raw data'!ID80/'raw data'!IE80),0,'raw data'!ID80/'raw data'!IE80)</f>
        <v>0</v>
      </c>
      <c r="DQ79" s="287">
        <f>IF(ISERROR('raw data'!IF80/'raw data'!IG80),0,'raw data'!IF80/'raw data'!IG80)</f>
        <v>0</v>
      </c>
      <c r="DR79" s="287">
        <f>IF(ISERROR('raw data'!IH80/'raw data'!II80),0,'raw data'!IH80/'raw data'!II80)</f>
        <v>0</v>
      </c>
      <c r="DS79" s="287">
        <f>IF(ISERROR('raw data'!IJ80/'raw data'!IK80),0,'raw data'!IJ80/'raw data'!IK80)</f>
        <v>0</v>
      </c>
      <c r="DT79" s="287">
        <f>IF(ISERROR('raw data'!IL80/'raw data'!IM80),0,'raw data'!IL80/'raw data'!IM80)</f>
        <v>0</v>
      </c>
      <c r="DU79" s="287">
        <f>IF(ISERROR('raw data'!IN80/'raw data'!IO80),0,'raw data'!IN80/'raw data'!IO80)</f>
        <v>0</v>
      </c>
      <c r="DV79" s="287">
        <f>IF(ISERROR('raw data'!IP80/'raw data'!IQ80),0,'raw data'!IP80/'raw data'!IQ80)</f>
        <v>0</v>
      </c>
      <c r="DW79" s="287">
        <f>IF(ISERROR('raw data'!IR80/'raw data'!IS80),0,'raw data'!IR80/'raw data'!IS80)</f>
        <v>0.19230769230769232</v>
      </c>
      <c r="DX79" s="287">
        <f>IF(ISERROR('raw data'!IT80/'raw data'!IU80),0,'raw data'!IT80/'raw data'!IU80)</f>
        <v>3.8461538461538464E-2</v>
      </c>
      <c r="DY79" s="287">
        <f>IF(ISERROR('raw data'!IV80/'raw data'!IW80),0,'raw data'!IV80/'raw data'!IW80)</f>
        <v>0.15</v>
      </c>
      <c r="DZ79" s="287">
        <f>IF(ISERROR('raw data'!IX80/'raw data'!IY80),0,'raw data'!IX80/'raw data'!IY80)</f>
        <v>0.13043478260869565</v>
      </c>
      <c r="EA79" s="287">
        <f>IF(ISERROR('raw data'!IZ80/'raw data'!JA80),0,'raw data'!IZ80/'raw data'!JA80)</f>
        <v>8.8235294117647065E-2</v>
      </c>
      <c r="EB79" s="287">
        <f>IF(ISERROR('raw data'!JB80/'raw data'!JC80),0,'raw data'!JB80/'raw data'!JC80)</f>
        <v>6.5217391304347824E-2</v>
      </c>
      <c r="EC79" s="287">
        <f>IF(ISERROR('raw data'!JD80/'raw data'!JE80),0,'raw data'!JD80/'raw data'!JE80)</f>
        <v>2.7777777777777776E-2</v>
      </c>
      <c r="ED79" s="243"/>
      <c r="EE79" s="284">
        <v>19</v>
      </c>
      <c r="EF79" s="284">
        <v>211</v>
      </c>
      <c r="EG79" s="285">
        <f t="shared" ref="EG79:EG81" si="1">IF(ISERROR(EE79/EF79),0,EE79/EF79)</f>
        <v>9.004739336492891E-2</v>
      </c>
    </row>
    <row r="80" spans="1:137" ht="28" x14ac:dyDescent="0.15">
      <c r="A80" s="281" t="s">
        <v>136</v>
      </c>
      <c r="B80" s="281" t="str">
        <f>'raw data'!B81</f>
        <v>Swift Payments to or from Yemen, VISA spend in Yemen and Online bank activity in Yemen</v>
      </c>
      <c r="C80" s="281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35"/>
      <c r="AI80" s="235"/>
      <c r="AJ80" s="235"/>
      <c r="AK80" s="235"/>
      <c r="AL80" s="235"/>
      <c r="AM80" s="235"/>
      <c r="AN80" s="235"/>
      <c r="AO80" s="235"/>
      <c r="AP80" s="235"/>
      <c r="AQ80" s="235"/>
      <c r="AR80" s="235"/>
      <c r="AS80" s="235"/>
      <c r="AT80" s="235"/>
      <c r="AU80" s="235"/>
      <c r="AV80" s="235"/>
      <c r="AW80" s="235"/>
      <c r="AX80" s="235"/>
      <c r="AY80" s="235"/>
      <c r="AZ80" s="235"/>
      <c r="BA80" s="235"/>
      <c r="BB80" s="235"/>
      <c r="BC80" s="235"/>
      <c r="BD80" s="235"/>
      <c r="BE80" s="235"/>
      <c r="BF80" s="235"/>
      <c r="BG80" s="235"/>
      <c r="BH80" s="235"/>
      <c r="BI80" s="235"/>
      <c r="BJ80" s="235"/>
      <c r="BK80" s="235"/>
      <c r="BL80" s="235"/>
      <c r="BM80" s="235"/>
      <c r="BN80" s="235"/>
      <c r="BO80" s="235"/>
      <c r="BP80" s="235"/>
      <c r="BQ80" s="235"/>
      <c r="BR80" s="235"/>
      <c r="BS80" s="235"/>
      <c r="BT80" s="235"/>
      <c r="BU80" s="235"/>
      <c r="BV80" s="235"/>
      <c r="BW80" s="235"/>
      <c r="BX80" s="235"/>
      <c r="BY80" s="235"/>
      <c r="BZ80" s="235"/>
      <c r="CA80" s="235"/>
      <c r="CB80" s="235"/>
      <c r="CC80" s="235"/>
      <c r="CD80" s="232"/>
      <c r="CE80" s="232"/>
      <c r="CF80" s="232"/>
      <c r="CG80" s="232"/>
      <c r="CH80" s="232"/>
      <c r="CI80" s="232"/>
      <c r="CJ80" s="287">
        <f>IF(ISERROR('raw data'!FR81/'raw data'!FS81),0,'raw data'!FR81/'raw data'!FS81)</f>
        <v>0</v>
      </c>
      <c r="CK80" s="287">
        <f>IF(ISERROR('raw data'!FT81/'raw data'!FU81),0,'raw data'!FT81/'raw data'!FU81)</f>
        <v>0</v>
      </c>
      <c r="CL80" s="287">
        <f>IF(ISERROR('raw data'!FV81/'raw data'!FW81),0,'raw data'!FV81/'raw data'!FW81)</f>
        <v>0</v>
      </c>
      <c r="CM80" s="287">
        <f>IF(ISERROR('raw data'!FX81/'raw data'!FY81),0,'raw data'!FX81/'raw data'!FY81)</f>
        <v>0</v>
      </c>
      <c r="CN80" s="287">
        <f>IF(ISERROR('raw data'!FZ81/'raw data'!GA81),0,'raw data'!FZ81/'raw data'!GA81)</f>
        <v>0</v>
      </c>
      <c r="CO80" s="287">
        <f>IF(ISERROR('raw data'!GB81/'raw data'!GC81),0,'raw data'!GB81/'raw data'!GC81)</f>
        <v>0</v>
      </c>
      <c r="CP80" s="287">
        <f>IF(ISERROR('raw data'!GD81/'raw data'!GE81),0,'raw data'!GD81/'raw data'!GE81)</f>
        <v>0</v>
      </c>
      <c r="CQ80" s="287">
        <f>IF(ISERROR('raw data'!GF81/'raw data'!GG81),0,'raw data'!GF81/'raw data'!GG81)</f>
        <v>0</v>
      </c>
      <c r="CR80" s="287">
        <f>IF(ISERROR('raw data'!GH81/'raw data'!GI81),0,'raw data'!GH81/'raw data'!GI81)</f>
        <v>0</v>
      </c>
      <c r="CS80" s="287">
        <f>IF(ISERROR('raw data'!GJ81/'raw data'!GK81),0,'raw data'!GJ81/'raw data'!GK81)</f>
        <v>0</v>
      </c>
      <c r="CT80" s="287">
        <f>IF(ISERROR('raw data'!GL81/'raw data'!GM81),0,'raw data'!GL81/'raw data'!GM81)</f>
        <v>0.1111111111111111</v>
      </c>
      <c r="CU80" s="287">
        <f>IF(ISERROR('raw data'!GN81/'raw data'!GO81),0,'raw data'!GN81/'raw data'!GO81)</f>
        <v>0</v>
      </c>
      <c r="CV80" s="287">
        <f>IF(ISERROR('raw data'!GP81/'raw data'!GQ81),0,'raw data'!GP81/'raw data'!GQ81)</f>
        <v>0.16666666666666666</v>
      </c>
      <c r="CW80" s="287">
        <f>IF(ISERROR('raw data'!GR81/'raw data'!GS81),0,'raw data'!GR81/'raw data'!GS81)</f>
        <v>0</v>
      </c>
      <c r="CX80" s="287">
        <f>IF(ISERROR('raw data'!GT81/'raw data'!GU81),0,'raw data'!GT81/'raw data'!GU81)</f>
        <v>0</v>
      </c>
      <c r="CY80" s="287">
        <f>IF(ISERROR('raw data'!GV81/'raw data'!GW81),0,'raw data'!GV81/'raw data'!GW81)</f>
        <v>0.16666666666666666</v>
      </c>
      <c r="CZ80" s="287">
        <f>IF(ISERROR('raw data'!GX81/'raw data'!GY81),0,'raw data'!GX81/'raw data'!GY81)</f>
        <v>0.16666666666666666</v>
      </c>
      <c r="DA80" s="287">
        <f>IF(ISERROR('raw data'!GZ81/'raw data'!HA81),0,'raw data'!GZ81/'raw data'!HA81)</f>
        <v>0.2</v>
      </c>
      <c r="DB80" s="287">
        <f>IF(ISERROR('raw data'!HB81/'raw data'!HC81),0,'raw data'!HB81/'raw data'!HC81)</f>
        <v>0.125</v>
      </c>
      <c r="DC80" s="287">
        <f>IF(ISERROR('raw data'!HD81/'raw data'!HE81),0,'raw data'!HD81/'raw data'!HE81)</f>
        <v>0</v>
      </c>
      <c r="DD80" s="287">
        <f>IF(ISERROR('raw data'!HF81/'raw data'!HG81),0,'raw data'!HF81/'raw data'!HG81)</f>
        <v>0</v>
      </c>
      <c r="DE80" s="287">
        <f>IF(ISERROR('raw data'!HH81/'raw data'!HI81),0,'raw data'!HH81/'raw data'!HI81)</f>
        <v>0</v>
      </c>
      <c r="DF80" s="287">
        <f>IF(ISERROR('raw data'!HJ81/'raw data'!HK81),0,'raw data'!HJ81/'raw data'!HK81)</f>
        <v>0</v>
      </c>
      <c r="DG80" s="287">
        <f>IF(ISERROR('raw data'!HL81/'raw data'!HM81),0,'raw data'!HL81/'raw data'!HM81)</f>
        <v>0</v>
      </c>
      <c r="DH80" s="287">
        <f>IF(ISERROR('raw data'!HN81/'raw data'!HO81),0,'raw data'!HN81/'raw data'!HO81)</f>
        <v>0</v>
      </c>
      <c r="DI80" s="287">
        <f>IF(ISERROR('raw data'!HP81/'raw data'!HQ81),0,'raw data'!HP81/'raw data'!HQ81)</f>
        <v>0</v>
      </c>
      <c r="DJ80" s="287">
        <f>IF(ISERROR('raw data'!HR81/'raw data'!HS81),0,'raw data'!HR81/'raw data'!HS81)</f>
        <v>0</v>
      </c>
      <c r="DK80" s="287">
        <f>IF(ISERROR('raw data'!HT81/'raw data'!HU81),0,'raw data'!HT81/'raw data'!HU81)</f>
        <v>0</v>
      </c>
      <c r="DL80" s="287">
        <f>IF(ISERROR('raw data'!HV81/'raw data'!HW81),0,'raw data'!HV81/'raw data'!HW81)</f>
        <v>0.5</v>
      </c>
      <c r="DM80" s="287">
        <f>IF(ISERROR('raw data'!HX81/'raw data'!HY81),0,'raw data'!HX81/'raw data'!HY81)</f>
        <v>0</v>
      </c>
      <c r="DN80" s="287">
        <f>IF(ISERROR('raw data'!HZ81/'raw data'!IA81),0,'raw data'!HZ81/'raw data'!IA81)</f>
        <v>0</v>
      </c>
      <c r="DO80" s="287">
        <f>IF(ISERROR('raw data'!IB81/'raw data'!IC81),0,'raw data'!IB81/'raw data'!IC81)</f>
        <v>0</v>
      </c>
      <c r="DP80" s="287">
        <f>IF(ISERROR('raw data'!ID81/'raw data'!IE81),0,'raw data'!ID81/'raw data'!IE81)</f>
        <v>0</v>
      </c>
      <c r="DQ80" s="287">
        <f>IF(ISERROR('raw data'!IF81/'raw data'!IG81),0,'raw data'!IF81/'raw data'!IG81)</f>
        <v>0</v>
      </c>
      <c r="DR80" s="287">
        <f>IF(ISERROR('raw data'!IH81/'raw data'!II81),0,'raw data'!IH81/'raw data'!II81)</f>
        <v>0</v>
      </c>
      <c r="DS80" s="287">
        <f>IF(ISERROR('raw data'!IJ81/'raw data'!IK81),0,'raw data'!IJ81/'raw data'!IK81)</f>
        <v>0</v>
      </c>
      <c r="DT80" s="287">
        <f>IF(ISERROR('raw data'!IL81/'raw data'!IM81),0,'raw data'!IL81/'raw data'!IM81)</f>
        <v>0</v>
      </c>
      <c r="DU80" s="287">
        <f>IF(ISERROR('raw data'!IN81/'raw data'!IO81),0,'raw data'!IN81/'raw data'!IO81)</f>
        <v>1</v>
      </c>
      <c r="DV80" s="287">
        <f>IF(ISERROR('raw data'!IP81/'raw data'!IQ81),0,'raw data'!IP81/'raw data'!IQ81)</f>
        <v>0</v>
      </c>
      <c r="DW80" s="287">
        <f>IF(ISERROR('raw data'!IR81/'raw data'!IS81),0,'raw data'!IR81/'raw data'!IS81)</f>
        <v>9.5238095238095233E-2</v>
      </c>
      <c r="DX80" s="287">
        <f>IF(ISERROR('raw data'!IT81/'raw data'!IU81),0,'raw data'!IT81/'raw data'!IU81)</f>
        <v>5.5555555555555552E-2</v>
      </c>
      <c r="DY80" s="287">
        <f>IF(ISERROR('raw data'!IV81/'raw data'!IW81),0,'raw data'!IV81/'raw data'!IW81)</f>
        <v>0.11764705882352941</v>
      </c>
      <c r="DZ80" s="287">
        <f>IF(ISERROR('raw data'!IX81/'raw data'!IY81),0,'raw data'!IX81/'raw data'!IY81)</f>
        <v>7.6923076923076927E-2</v>
      </c>
      <c r="EA80" s="287">
        <f>IF(ISERROR('raw data'!IZ81/'raw data'!JA81),0,'raw data'!IZ81/'raw data'!JA81)</f>
        <v>4.3478260869565216E-2</v>
      </c>
      <c r="EB80" s="287">
        <f>IF(ISERROR('raw data'!JB81/'raw data'!JC81),0,'raw data'!JB81/'raw data'!JC81)</f>
        <v>0</v>
      </c>
      <c r="EC80" s="287">
        <f>IF(ISERROR('raw data'!JD81/'raw data'!JE81),0,'raw data'!JD81/'raw data'!JE81)</f>
        <v>4.1666666666666664E-2</v>
      </c>
      <c r="ED80" s="243"/>
      <c r="EE80" s="284">
        <v>9</v>
      </c>
      <c r="EF80" s="284">
        <v>154</v>
      </c>
      <c r="EG80" s="285">
        <f t="shared" si="1"/>
        <v>5.844155844155844E-2</v>
      </c>
    </row>
    <row r="81" spans="1:137" ht="28" x14ac:dyDescent="0.15">
      <c r="A81" s="281" t="s">
        <v>138</v>
      </c>
      <c r="B81" s="281" t="str">
        <f>'raw data'!B82</f>
        <v>Swift Payments to or from Libya, VISA spend in Libya and Online bank activity in Libya</v>
      </c>
      <c r="C81" s="281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35"/>
      <c r="AI81" s="235"/>
      <c r="AJ81" s="235"/>
      <c r="AK81" s="235"/>
      <c r="AL81" s="235"/>
      <c r="AM81" s="235"/>
      <c r="AN81" s="235"/>
      <c r="AO81" s="235"/>
      <c r="AP81" s="235"/>
      <c r="AQ81" s="235"/>
      <c r="AR81" s="235"/>
      <c r="AS81" s="235"/>
      <c r="AT81" s="235"/>
      <c r="AU81" s="235"/>
      <c r="AV81" s="235"/>
      <c r="AW81" s="235"/>
      <c r="AX81" s="235"/>
      <c r="AY81" s="235"/>
      <c r="AZ81" s="235"/>
      <c r="BA81" s="235"/>
      <c r="BB81" s="235"/>
      <c r="BC81" s="235"/>
      <c r="BD81" s="235"/>
      <c r="BE81" s="235"/>
      <c r="BF81" s="235"/>
      <c r="BG81" s="235"/>
      <c r="BH81" s="235"/>
      <c r="BI81" s="235"/>
      <c r="BJ81" s="235"/>
      <c r="BK81" s="235"/>
      <c r="BL81" s="235"/>
      <c r="BM81" s="235"/>
      <c r="BN81" s="235"/>
      <c r="BO81" s="235"/>
      <c r="BP81" s="235"/>
      <c r="BQ81" s="235"/>
      <c r="BR81" s="235"/>
      <c r="BS81" s="235"/>
      <c r="BT81" s="235"/>
      <c r="BU81" s="235"/>
      <c r="BV81" s="235"/>
      <c r="BW81" s="235"/>
      <c r="BX81" s="235"/>
      <c r="BY81" s="235"/>
      <c r="BZ81" s="235"/>
      <c r="CA81" s="235"/>
      <c r="CB81" s="235"/>
      <c r="CC81" s="235"/>
      <c r="CD81" s="232"/>
      <c r="CE81" s="232"/>
      <c r="CF81" s="232"/>
      <c r="CG81" s="232"/>
      <c r="CH81" s="232"/>
      <c r="CI81" s="232"/>
      <c r="CJ81" s="287">
        <f>IF(ISERROR('raw data'!FR82/'raw data'!FS82),0,'raw data'!FR82/'raw data'!FS82)</f>
        <v>2.8571428571428571E-2</v>
      </c>
      <c r="CK81" s="287">
        <f>IF(ISERROR('raw data'!FT82/'raw data'!FU82),0,'raw data'!FT82/'raw data'!FU82)</f>
        <v>0</v>
      </c>
      <c r="CL81" s="287">
        <f>IF(ISERROR('raw data'!FV82/'raw data'!FW82),0,'raw data'!FV82/'raw data'!FW82)</f>
        <v>0</v>
      </c>
      <c r="CM81" s="287">
        <f>IF(ISERROR('raw data'!FX82/'raw data'!FY82),0,'raw data'!FX82/'raw data'!FY82)</f>
        <v>0.10810810810810811</v>
      </c>
      <c r="CN81" s="287">
        <f>IF(ISERROR('raw data'!FZ82/'raw data'!GA82),0,'raw data'!FZ82/'raw data'!GA82)</f>
        <v>7.1428571428571425E-2</v>
      </c>
      <c r="CO81" s="287">
        <f>IF(ISERROR('raw data'!GB82/'raw data'!GC82),0,'raw data'!GB82/'raw data'!GC82)</f>
        <v>9.375E-2</v>
      </c>
      <c r="CP81" s="287">
        <f>IF(ISERROR('raw data'!GD82/'raw data'!GE82),0,'raw data'!GD82/'raw data'!GE82)</f>
        <v>0.14705882352941177</v>
      </c>
      <c r="CQ81" s="287">
        <f>IF(ISERROR('raw data'!GF82/'raw data'!GG82),0,'raw data'!GF82/'raw data'!GG82)</f>
        <v>0.1</v>
      </c>
      <c r="CR81" s="287">
        <f>IF(ISERROR('raw data'!GH82/'raw data'!GI82),0,'raw data'!GH82/'raw data'!GI82)</f>
        <v>3.4482758620689655E-2</v>
      </c>
      <c r="CS81" s="287">
        <f>IF(ISERROR('raw data'!GJ82/'raw data'!GK82),0,'raw data'!GJ82/'raw data'!GK82)</f>
        <v>4.878048780487805E-2</v>
      </c>
      <c r="CT81" s="287">
        <f>IF(ISERROR('raw data'!GL82/'raw data'!GM82),0,'raw data'!GL82/'raw data'!GM82)</f>
        <v>3.7037037037037035E-2</v>
      </c>
      <c r="CU81" s="287">
        <f>IF(ISERROR('raw data'!GN82/'raw data'!GO82),0,'raw data'!GN82/'raw data'!GO82)</f>
        <v>0</v>
      </c>
      <c r="CV81" s="287">
        <f>IF(ISERROR('raw data'!GP82/'raw data'!GQ82),0,'raw data'!GP82/'raw data'!GQ82)</f>
        <v>2.7027027027027029E-2</v>
      </c>
      <c r="CW81" s="287">
        <f>IF(ISERROR('raw data'!GR82/'raw data'!GS82),0,'raw data'!GR82/'raw data'!GS82)</f>
        <v>0</v>
      </c>
      <c r="CX81" s="287">
        <f>IF(ISERROR('raw data'!GT82/'raw data'!GU82),0,'raw data'!GT82/'raw data'!GU82)</f>
        <v>0</v>
      </c>
      <c r="CY81" s="287">
        <f>IF(ISERROR('raw data'!GV82/'raw data'!GW82),0,'raw data'!GV82/'raw data'!GW82)</f>
        <v>6.0606060606060608E-2</v>
      </c>
      <c r="CZ81" s="287">
        <f>IF(ISERROR('raw data'!GX82/'raw data'!GY82),0,'raw data'!GX82/'raw data'!GY82)</f>
        <v>0.08</v>
      </c>
      <c r="DA81" s="287">
        <f>IF(ISERROR('raw data'!GZ82/'raw data'!HA82),0,'raw data'!GZ82/'raw data'!HA82)</f>
        <v>3.8461538461538464E-2</v>
      </c>
      <c r="DB81" s="287">
        <f>IF(ISERROR('raw data'!HB82/'raw data'!HC82),0,'raw data'!HB82/'raw data'!HC82)</f>
        <v>9.375E-2</v>
      </c>
      <c r="DC81" s="287">
        <f>IF(ISERROR('raw data'!HD82/'raw data'!HE82),0,'raw data'!HD82/'raw data'!HE82)</f>
        <v>0</v>
      </c>
      <c r="DD81" s="287">
        <f>IF(ISERROR('raw data'!HF82/'raw data'!HG82),0,'raw data'!HF82/'raw data'!HG82)</f>
        <v>0</v>
      </c>
      <c r="DE81" s="287">
        <f>IF(ISERROR('raw data'!HH82/'raw data'!HI82),0,'raw data'!HH82/'raw data'!HI82)</f>
        <v>0</v>
      </c>
      <c r="DF81" s="287">
        <f>IF(ISERROR('raw data'!HJ82/'raw data'!HK82),0,'raw data'!HJ82/'raw data'!HK82)</f>
        <v>0</v>
      </c>
      <c r="DG81" s="287">
        <f>IF(ISERROR('raw data'!HL82/'raw data'!HM82),0,'raw data'!HL82/'raw data'!HM82)</f>
        <v>0.5</v>
      </c>
      <c r="DH81" s="287">
        <f>IF(ISERROR('raw data'!HN82/'raw data'!HO82),0,'raw data'!HN82/'raw data'!HO82)</f>
        <v>0</v>
      </c>
      <c r="DI81" s="287">
        <f>IF(ISERROR('raw data'!HP82/'raw data'!HQ82),0,'raw data'!HP82/'raw data'!HQ82)</f>
        <v>0</v>
      </c>
      <c r="DJ81" s="287">
        <f>IF(ISERROR('raw data'!HR82/'raw data'!HS82),0,'raw data'!HR82/'raw data'!HS82)</f>
        <v>0.5</v>
      </c>
      <c r="DK81" s="287">
        <f>IF(ISERROR('raw data'!HT82/'raw data'!HU82),0,'raw data'!HT82/'raw data'!HU82)</f>
        <v>0</v>
      </c>
      <c r="DL81" s="287">
        <f>IF(ISERROR('raw data'!HV82/'raw data'!HW82),0,'raw data'!HV82/'raw data'!HW82)</f>
        <v>0</v>
      </c>
      <c r="DM81" s="287">
        <f>IF(ISERROR('raw data'!HX82/'raw data'!HY82),0,'raw data'!HX82/'raw data'!HY82)</f>
        <v>0</v>
      </c>
      <c r="DN81" s="287">
        <f>IF(ISERROR('raw data'!HZ82/'raw data'!IA82),0,'raw data'!HZ82/'raw data'!IA82)</f>
        <v>0</v>
      </c>
      <c r="DO81" s="287">
        <f>IF(ISERROR('raw data'!IB82/'raw data'!IC82),0,'raw data'!IB82/'raw data'!IC82)</f>
        <v>0</v>
      </c>
      <c r="DP81" s="287">
        <f>IF(ISERROR('raw data'!ID82/'raw data'!IE82),0,'raw data'!ID82/'raw data'!IE82)</f>
        <v>0</v>
      </c>
      <c r="DQ81" s="287">
        <f>IF(ISERROR('raw data'!IF82/'raw data'!IG82),0,'raw data'!IF82/'raw data'!IG82)</f>
        <v>0</v>
      </c>
      <c r="DR81" s="287">
        <f>IF(ISERROR('raw data'!IH82/'raw data'!II82),0,'raw data'!IH82/'raw data'!II82)</f>
        <v>0</v>
      </c>
      <c r="DS81" s="287">
        <f>IF(ISERROR('raw data'!IJ82/'raw data'!IK82),0,'raw data'!IJ82/'raw data'!IK82)</f>
        <v>0</v>
      </c>
      <c r="DT81" s="287">
        <f>IF(ISERROR('raw data'!IL82/'raw data'!IM82),0,'raw data'!IL82/'raw data'!IM82)</f>
        <v>0</v>
      </c>
      <c r="DU81" s="287">
        <f>IF(ISERROR('raw data'!IN82/'raw data'!IO82),0,'raw data'!IN82/'raw data'!IO82)</f>
        <v>0</v>
      </c>
      <c r="DV81" s="287">
        <f>IF(ISERROR('raw data'!IP82/'raw data'!IQ82),0,'raw data'!IP82/'raw data'!IQ82)</f>
        <v>0</v>
      </c>
      <c r="DW81" s="287">
        <f>IF(ISERROR('raw data'!IR82/'raw data'!IS82),0,'raw data'!IR82/'raw data'!IS82)</f>
        <v>0.1111111111111111</v>
      </c>
      <c r="DX81" s="287">
        <f>IF(ISERROR('raw data'!IT82/'raw data'!IU82),0,'raw data'!IT82/'raw data'!IU82)</f>
        <v>9.2592592592592587E-2</v>
      </c>
      <c r="DY81" s="287">
        <f>IF(ISERROR('raw data'!IV82/'raw data'!IW82),0,'raw data'!IV82/'raw data'!IW82)</f>
        <v>8.771929824561403E-2</v>
      </c>
      <c r="DZ81" s="287">
        <f>IF(ISERROR('raw data'!IX82/'raw data'!IY82),0,'raw data'!IX82/'raw data'!IY82)</f>
        <v>9.4339622641509441E-2</v>
      </c>
      <c r="EA81" s="287">
        <f>IF(ISERROR('raw data'!IZ82/'raw data'!JA82),0,'raw data'!IZ82/'raw data'!JA82)</f>
        <v>0.15254237288135594</v>
      </c>
      <c r="EB81" s="287">
        <f>IF(ISERROR('raw data'!JB82/'raw data'!JC82),0,'raw data'!JB82/'raw data'!JC82)</f>
        <v>0.12857142857142856</v>
      </c>
      <c r="EC81" s="287">
        <f>IF(ISERROR('raw data'!JD82/'raw data'!JE82),0,'raw data'!JD82/'raw data'!JE82)</f>
        <v>5.4545454545454543E-2</v>
      </c>
      <c r="ED81" s="243"/>
      <c r="EE81" s="284">
        <v>41</v>
      </c>
      <c r="EF81" s="284">
        <v>393</v>
      </c>
      <c r="EG81" s="285">
        <f t="shared" si="1"/>
        <v>0.10432569974554708</v>
      </c>
    </row>
    <row r="82" spans="1:137" ht="14" x14ac:dyDescent="0.15">
      <c r="A82" s="241"/>
      <c r="B82" s="242" t="s">
        <v>254</v>
      </c>
      <c r="C82" s="242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  <c r="AQ82" s="243"/>
      <c r="AR82" s="243"/>
      <c r="AS82" s="243"/>
      <c r="AT82" s="243"/>
      <c r="AU82" s="243"/>
      <c r="AV82" s="243"/>
      <c r="AW82" s="243"/>
      <c r="AX82" s="243"/>
      <c r="AY82" s="243"/>
      <c r="AZ82" s="243"/>
      <c r="BA82" s="243"/>
      <c r="BB82" s="243"/>
      <c r="BC82" s="243"/>
      <c r="BD82" s="243"/>
      <c r="BE82" s="243"/>
      <c r="BF82" s="243"/>
      <c r="BG82" s="243"/>
      <c r="BH82" s="243"/>
      <c r="BI82" s="243"/>
      <c r="BJ82" s="243"/>
      <c r="BK82" s="243"/>
      <c r="BL82" s="243"/>
      <c r="BM82" s="243"/>
      <c r="BN82" s="243"/>
      <c r="BO82" s="243"/>
      <c r="BP82" s="243"/>
      <c r="BQ82" s="243"/>
      <c r="BR82" s="243"/>
      <c r="BS82" s="243"/>
      <c r="BT82" s="243"/>
      <c r="BU82" s="243"/>
      <c r="BV82" s="243"/>
      <c r="BW82" s="243"/>
      <c r="BX82" s="243"/>
      <c r="BY82" s="243"/>
      <c r="BZ82" s="243">
        <f>IF(ISERROR('raw data'!EV83/'raw data'!EW83),0,'raw data'!EV83/'raw data'!EW83)</f>
        <v>0</v>
      </c>
      <c r="CA82" s="243">
        <f>IF(ISERROR('raw data'!EX83/'raw data'!EY83),0,'raw data'!EX83/'raw data'!EY83)</f>
        <v>7.6923076923076927E-2</v>
      </c>
      <c r="CB82" s="243">
        <f>IF(ISERROR('raw data'!EZ83/'raw data'!FA83),0,'raw data'!EZ83/'raw data'!FA83)</f>
        <v>0</v>
      </c>
      <c r="CC82" s="243">
        <f>IF(ISERROR('raw data'!FB83/'raw data'!FC83),0,'raw data'!FB83/'raw data'!FC83)</f>
        <v>0</v>
      </c>
      <c r="CD82" s="243">
        <f>IF(ISERROR('raw data'!FD83/'raw data'!FE83),0,'raw data'!FD83/'raw data'!FE83)</f>
        <v>0</v>
      </c>
      <c r="CE82" s="243">
        <f>IF(ISERROR('raw data'!FF83/'raw data'!FG83),0,'raw data'!FF83/'raw data'!FG83)</f>
        <v>0</v>
      </c>
      <c r="CF82" s="243">
        <f>IF(ISERROR('raw data'!FH83/'raw data'!FI83),0,'raw data'!FH83/'raw data'!FI83)</f>
        <v>0</v>
      </c>
      <c r="CG82" s="243">
        <f>IF(ISERROR('raw data'!FJ83/'raw data'!FM83),0,'raw data'!FJ83/'raw data'!FM83)</f>
        <v>0</v>
      </c>
      <c r="CH82" s="243">
        <f>IF(ISERROR('raw data'!FN83/'raw data'!FO83),0,'raw data'!FN83/'raw data'!FO83)</f>
        <v>0</v>
      </c>
      <c r="CI82" s="243">
        <f>IF(ISERROR('raw data'!FP83/'raw data'!FQ83),0,'raw data'!FP83/'raw data'!FQ83)</f>
        <v>0</v>
      </c>
      <c r="CJ82" s="243">
        <f>IF(ISERROR('raw data'!FR83/'raw data'!FS83),0,'raw data'!FR83/'raw data'!FS83)</f>
        <v>4.0816326530612242E-2</v>
      </c>
      <c r="CK82" s="243">
        <f>IF(ISERROR('raw data'!FT83/'raw data'!FU83),0,'raw data'!FT83/'raw data'!FU83)</f>
        <v>0</v>
      </c>
      <c r="CL82" s="243">
        <f>IF(ISERROR('raw data'!FV83/'raw data'!FW83),0,'raw data'!FV83/'raw data'!FW83)</f>
        <v>0</v>
      </c>
      <c r="CM82" s="243">
        <f>IF(ISERROR('raw data'!FX83/'raw data'!FY83),0,'raw data'!FX83/'raw data'!FY83)</f>
        <v>8.1632653061224483E-2</v>
      </c>
      <c r="CN82" s="243">
        <f>IF(ISERROR('raw data'!FZ83/'raw data'!GA83),0,'raw data'!FZ83/'raw data'!GA83)</f>
        <v>0.1111111111111111</v>
      </c>
      <c r="CO82" s="243">
        <f>IF(ISERROR('raw data'!GB83/'raw data'!GC83),0,'raw data'!GB83/'raw data'!GC83)</f>
        <v>0.06</v>
      </c>
      <c r="CP82" s="243">
        <f>IF(ISERROR('raw data'!GD83/'raw data'!GE83),0,'raw data'!GD83/'raw data'!GE83)</f>
        <v>0.1</v>
      </c>
      <c r="CQ82" s="243">
        <f>IF(ISERROR('raw data'!GF83/'raw data'!GG83),0,'raw data'!GF83/'raw data'!GG83)</f>
        <v>0.10169491525423729</v>
      </c>
      <c r="CR82" s="243">
        <f>IF(ISERROR('raw data'!GH83/'raw data'!GI83),0,'raw data'!GH83/'raw data'!GI83)</f>
        <v>7.1428571428571425E-2</v>
      </c>
      <c r="CS82" s="243">
        <f>IF(ISERROR('raw data'!GJ83/'raw data'!GK83),0,'raw data'!GJ83/'raw data'!GK83)</f>
        <v>4.6875E-2</v>
      </c>
      <c r="CT82" s="243">
        <f>IF(ISERROR('raw data'!GL83/'raw data'!GM83),0,'raw data'!GL83/'raw data'!GM83)</f>
        <v>3.8461538461538464E-2</v>
      </c>
      <c r="CU82" s="243">
        <f>IF(ISERROR('raw data'!GN83/'raw data'!GO83),0,'raw data'!GN83/'raw data'!GO83)</f>
        <v>2.1276595744680851E-2</v>
      </c>
      <c r="CV82" s="243">
        <f>IF(ISERROR('raw data'!GP83/'raw data'!GQ83),0,'raw data'!GP83/'raw data'!GQ83)</f>
        <v>4.9180327868852458E-2</v>
      </c>
      <c r="CW82" s="243">
        <f>IF(ISERROR('raw data'!GR83/'raw data'!GS83),0,'raw data'!GR83/'raw data'!GS83)</f>
        <v>0</v>
      </c>
      <c r="CX82" s="243">
        <f>IF(ISERROR('raw data'!GT83/'raw data'!GU83),0,'raw data'!GT83/'raw data'!GU83)</f>
        <v>0</v>
      </c>
      <c r="CY82" s="243">
        <f>IF(ISERROR('raw data'!GV83/'raw data'!GW83),0,'raw data'!GV83/'raw data'!GW83)</f>
        <v>7.407407407407407E-2</v>
      </c>
      <c r="CZ82" s="243">
        <f>IF(ISERROR('raw data'!GX83/'raw data'!GY83),0,'raw data'!GX83/'raw data'!GY83)</f>
        <v>0.125</v>
      </c>
      <c r="DA82" s="243">
        <f>IF(ISERROR('raw data'!GZ83/'raw data'!HA83),0,'raw data'!GZ83/'raw data'!HA83)</f>
        <v>4.0816326530612242E-2</v>
      </c>
      <c r="DB82" s="243">
        <f>IF(ISERROR('raw data'!HB83/'raw data'!HC83),0,'raw data'!HB83/'raw data'!HC83)</f>
        <v>9.8039215686274508E-2</v>
      </c>
      <c r="DC82" s="243">
        <f>IF(ISERROR('raw data'!HD83/'raw data'!HE83),0,'raw data'!HD83/'raw data'!HE83)</f>
        <v>0</v>
      </c>
      <c r="DD82" s="243">
        <f>IF(ISERROR('raw data'!HF83/'raw data'!HG83),0,'raw data'!HF83/'raw data'!HG83)</f>
        <v>0</v>
      </c>
      <c r="DE82" s="243">
        <f>IF(ISERROR('raw data'!HH83/'raw data'!HI83),0,'raw data'!HH83/'raw data'!HI83)</f>
        <v>0</v>
      </c>
      <c r="DF82" s="243">
        <f>IF(ISERROR('raw data'!HJ83/'raw data'!HK83),0,'raw data'!HJ83/'raw data'!HK83)</f>
        <v>0</v>
      </c>
      <c r="DG82" s="243">
        <f>IF(ISERROR('raw data'!HL83/'raw data'!HM83),0,'raw data'!HL83/'raw data'!HM83)</f>
        <v>0.5</v>
      </c>
      <c r="DH82" s="243">
        <f>IF(ISERROR('raw data'!HN83/'raw data'!HO83),0,'raw data'!HN83/'raw data'!HO83)</f>
        <v>0</v>
      </c>
      <c r="DI82" s="243">
        <f>IF(ISERROR('raw data'!HP83/'raw data'!HQ83),0,'raw data'!HP83/'raw data'!HQ83)</f>
        <v>0</v>
      </c>
      <c r="DJ82" s="243">
        <f>IF(ISERROR('raw data'!HR83/'raw data'!HS83),0,'raw data'!HR83/'raw data'!HS83)</f>
        <v>0.33333333333333331</v>
      </c>
      <c r="DK82" s="243">
        <f>IF(ISERROR('raw data'!HT83/'raw data'!HU83),0,'raw data'!HT83/'raw data'!HU83)</f>
        <v>0</v>
      </c>
      <c r="DL82" s="243">
        <f>IF(ISERROR('raw data'!HV83/'raw data'!HW83),0,'raw data'!HV83/'raw data'!HW83)</f>
        <v>0.33333333333333331</v>
      </c>
      <c r="DM82" s="243">
        <f>IF(ISERROR('raw data'!HX83/'raw data'!HY83),0,'raw data'!HX83/'raw data'!HY83)</f>
        <v>0</v>
      </c>
      <c r="DN82" s="243">
        <f>IF(ISERROR('raw data'!HZ83/'raw data'!IA83),0,'raw data'!HZ83/'raw data'!IA83)</f>
        <v>0</v>
      </c>
      <c r="DO82" s="243">
        <f>IF(ISERROR('raw data'!IB83/'raw data'!IC83),0,'raw data'!IB83/'raw data'!IC83)</f>
        <v>0</v>
      </c>
      <c r="DP82" s="243">
        <f>IF(ISERROR('raw data'!ID83/'raw data'!IE83),0,'raw data'!ID83/'raw data'!IE83)</f>
        <v>0</v>
      </c>
      <c r="DQ82" s="243">
        <f>IF(ISERROR('raw data'!IF83/'raw data'!IG83),0,'raw data'!IF83/'raw data'!IG83)</f>
        <v>0</v>
      </c>
      <c r="DR82" s="243">
        <f>IF(ISERROR('raw data'!IH83/'raw data'!II83),0,'raw data'!IH83/'raw data'!II83)</f>
        <v>0</v>
      </c>
      <c r="DS82" s="243">
        <f>IF(ISERROR('raw data'!IJ83/'raw data'!IK83),0,'raw data'!IJ83/'raw data'!IK83)</f>
        <v>0</v>
      </c>
      <c r="DT82" s="243">
        <f>IF(ISERROR('raw data'!IL83/'raw data'!IM83),0,'raw data'!IL83/'raw data'!IM83)</f>
        <v>0</v>
      </c>
      <c r="DU82" s="243">
        <f>IF(ISERROR('raw data'!IN83/'raw data'!IO83),0,'raw data'!IN83/'raw data'!IO83)</f>
        <v>1</v>
      </c>
      <c r="DV82" s="243">
        <f>IF(ISERROR('raw data'!IP83/'raw data'!IQ83),0,'raw data'!IP83/'raw data'!IQ83)</f>
        <v>0</v>
      </c>
      <c r="DW82" s="243">
        <f>IF(ISERROR('raw data'!IR83/'raw data'!IS83),0,'raw data'!IR83/'raw data'!IS83)</f>
        <v>0.13043478260869565</v>
      </c>
      <c r="DX82" s="243">
        <f>IF(ISERROR('raw data'!IT83/'raw data'!IU83),0,'raw data'!IT83/'raw data'!IU83)</f>
        <v>7.1428571428571425E-2</v>
      </c>
      <c r="DY82" s="243">
        <f>IF(ISERROR('raw data'!IV83/'raw data'!IW83),0,'raw data'!IV83/'raw data'!IW83)</f>
        <v>0.10638297872340426</v>
      </c>
      <c r="DZ82" s="243">
        <f>IF(ISERROR('raw data'!IX83/'raw data'!IY83),0,'raw data'!IX83/'raw data'!IY83)</f>
        <v>0.10112359550561797</v>
      </c>
      <c r="EA82" s="243">
        <f>IF(ISERROR('raw data'!IZ83/'raw data'!JA83),0,'raw data'!IZ83/'raw data'!JA83)</f>
        <v>0.11206896551724138</v>
      </c>
      <c r="EB82" s="243">
        <f>IF(ISERROR('raw data'!JB83/'raw data'!JC83),0,'raw data'!JB83/'raw data'!JC83)</f>
        <v>7.8947368421052627E-2</v>
      </c>
      <c r="EC82" s="243">
        <f>IF(ISERROR('raw data'!JD83/'raw data'!JE83),0,'raw data'!JD83/'raw data'!JE83)</f>
        <v>4.3478260869565216E-2</v>
      </c>
      <c r="ED82" s="243"/>
      <c r="EE82" s="244">
        <f>SUM(EE74:EE81)</f>
        <v>69</v>
      </c>
      <c r="EF82" s="244">
        <f>SUM(EF74:EF81)</f>
        <v>758</v>
      </c>
      <c r="EG82" s="245">
        <f>IF(ISERROR(EE82/EF82),0,EE82/EF82)</f>
        <v>9.1029023746701854E-2</v>
      </c>
    </row>
    <row r="83" spans="1:137" ht="25.5" customHeight="1" x14ac:dyDescent="0.15">
      <c r="A83" s="288" t="s">
        <v>141</v>
      </c>
      <c r="B83" s="289" t="str">
        <f>'raw data'!B84</f>
        <v>Cash Deposits &gt;=£10K In 3 or more transactions</v>
      </c>
      <c r="C83" s="290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5"/>
      <c r="AS83" s="235"/>
      <c r="AT83" s="235"/>
      <c r="AU83" s="235"/>
      <c r="AV83" s="235"/>
      <c r="AW83" s="235"/>
      <c r="AX83" s="235"/>
      <c r="AY83" s="235"/>
      <c r="AZ83" s="235"/>
      <c r="BA83" s="235"/>
      <c r="BB83" s="235"/>
      <c r="BC83" s="235"/>
      <c r="BD83" s="235"/>
      <c r="BE83" s="235"/>
      <c r="BF83" s="235"/>
      <c r="BG83" s="235"/>
      <c r="BH83" s="235"/>
      <c r="BI83" s="235"/>
      <c r="BJ83" s="235"/>
      <c r="BK83" s="235"/>
      <c r="BL83" s="235"/>
      <c r="BM83" s="235"/>
      <c r="BN83" s="235"/>
      <c r="BO83" s="235"/>
      <c r="BP83" s="235"/>
      <c r="BQ83" s="235"/>
      <c r="BR83" s="235"/>
      <c r="BS83" s="235"/>
      <c r="BT83" s="235"/>
      <c r="BU83" s="235"/>
      <c r="BV83" s="235"/>
      <c r="BW83" s="235"/>
      <c r="BX83" s="235"/>
      <c r="BY83" s="235"/>
      <c r="BZ83" s="235"/>
      <c r="CA83" s="235"/>
      <c r="CB83" s="235"/>
      <c r="CC83" s="235"/>
      <c r="CD83" s="232"/>
      <c r="CE83" s="232"/>
      <c r="CF83" s="232"/>
      <c r="CG83" s="232"/>
      <c r="CH83" s="232"/>
      <c r="CI83" s="232"/>
      <c r="CJ83" s="232"/>
      <c r="CK83" s="232"/>
      <c r="CL83" s="232"/>
      <c r="CM83" s="232"/>
      <c r="CN83" s="232"/>
      <c r="CO83" s="232"/>
      <c r="CP83" s="232"/>
      <c r="CQ83" s="232"/>
      <c r="CR83" s="232"/>
      <c r="CS83" s="232"/>
      <c r="CT83" s="232"/>
      <c r="CU83" s="291">
        <f>IF(ISERROR('raw data'!GN84/'raw data'!GO84),0,'raw data'!GN84/'raw data'!GO84)</f>
        <v>0.2558139534883721</v>
      </c>
      <c r="CV83" s="291">
        <f>IF(ISERROR('raw data'!GP84/'raw data'!GQ84),0,'raw data'!GP84/'raw data'!GQ84)</f>
        <v>0.32758620689655171</v>
      </c>
      <c r="CW83" s="291">
        <f>IF(ISERROR('raw data'!GR84/'raw data'!GS84),0,'raw data'!GR84/'raw data'!GS84)</f>
        <v>0.41860465116279072</v>
      </c>
      <c r="CX83" s="291">
        <f>IF(ISERROR('raw data'!GT84/'raw data'!GU84),0,'raw data'!GT84/'raw data'!GU84)</f>
        <v>0.40740740740740738</v>
      </c>
      <c r="CY83" s="291">
        <f>IF(ISERROR('raw data'!GV84/'raw data'!GW84),0,'raw data'!GV84/'raw data'!GW84)</f>
        <v>0.2857142857142857</v>
      </c>
      <c r="CZ83" s="291">
        <f>IF(ISERROR('raw data'!GX84/'raw data'!GY84),0,'raw data'!GX84/'raw data'!GY84)</f>
        <v>0.21951219512195122</v>
      </c>
      <c r="DA83" s="291">
        <f>IF(ISERROR('raw data'!GZ84/'raw data'!HA84),0,'raw data'!GZ84/'raw data'!HA84)</f>
        <v>0.25641025641025639</v>
      </c>
      <c r="DB83" s="291">
        <f>IF(ISERROR('raw data'!HB84/'raw data'!HC84),0,'raw data'!HB84/'raw data'!HC84)</f>
        <v>0.33333333333333331</v>
      </c>
      <c r="DC83" s="232" t="s">
        <v>243</v>
      </c>
      <c r="DD83" s="232" t="s">
        <v>243</v>
      </c>
      <c r="DE83" s="232" t="s">
        <v>243</v>
      </c>
      <c r="DF83" s="232" t="s">
        <v>243</v>
      </c>
      <c r="DG83" s="232" t="s">
        <v>243</v>
      </c>
      <c r="DH83" s="232" t="s">
        <v>243</v>
      </c>
      <c r="DI83" s="232" t="s">
        <v>243</v>
      </c>
      <c r="DJ83" s="232" t="s">
        <v>243</v>
      </c>
      <c r="DK83" s="232" t="s">
        <v>243</v>
      </c>
      <c r="DL83" s="232" t="s">
        <v>243</v>
      </c>
      <c r="DM83" s="232" t="s">
        <v>243</v>
      </c>
      <c r="DN83" s="232" t="s">
        <v>243</v>
      </c>
      <c r="DO83" s="232" t="s">
        <v>243</v>
      </c>
      <c r="DP83" s="232" t="s">
        <v>243</v>
      </c>
      <c r="DQ83" s="232" t="s">
        <v>243</v>
      </c>
      <c r="DR83" s="232" t="s">
        <v>243</v>
      </c>
      <c r="DS83" s="232" t="s">
        <v>243</v>
      </c>
      <c r="DT83" s="232" t="s">
        <v>243</v>
      </c>
      <c r="DU83" s="232" t="s">
        <v>243</v>
      </c>
      <c r="DV83" s="232" t="s">
        <v>243</v>
      </c>
      <c r="DW83" s="232" t="s">
        <v>243</v>
      </c>
      <c r="DX83" s="232" t="s">
        <v>243</v>
      </c>
      <c r="DY83" s="232" t="s">
        <v>243</v>
      </c>
      <c r="DZ83" s="232" t="s">
        <v>243</v>
      </c>
      <c r="EA83" s="232" t="s">
        <v>243</v>
      </c>
      <c r="EB83" s="232" t="s">
        <v>243</v>
      </c>
      <c r="EC83" s="232" t="s">
        <v>243</v>
      </c>
      <c r="ED83" s="243"/>
      <c r="EE83" s="292">
        <v>0</v>
      </c>
      <c r="EF83" s="292">
        <v>0</v>
      </c>
      <c r="EG83" s="293">
        <f>IF(ISERROR(EE83/EF83),0,EE83/EF83)</f>
        <v>0</v>
      </c>
    </row>
    <row r="84" spans="1:137" ht="25.5" customHeight="1" x14ac:dyDescent="0.15">
      <c r="A84" s="288" t="s">
        <v>143</v>
      </c>
      <c r="B84" s="289" t="str">
        <f>'raw data'!B85</f>
        <v>Branch Visits &gt;=3 Branches in 2 weeks</v>
      </c>
      <c r="C84" s="290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5"/>
      <c r="AS84" s="235"/>
      <c r="AT84" s="235"/>
      <c r="AU84" s="235"/>
      <c r="AV84" s="235"/>
      <c r="AW84" s="235"/>
      <c r="AX84" s="235"/>
      <c r="AY84" s="235"/>
      <c r="AZ84" s="235"/>
      <c r="BA84" s="235"/>
      <c r="BB84" s="235"/>
      <c r="BC84" s="235"/>
      <c r="BD84" s="235"/>
      <c r="BE84" s="235"/>
      <c r="BF84" s="235"/>
      <c r="BG84" s="235"/>
      <c r="BH84" s="235"/>
      <c r="BI84" s="235"/>
      <c r="BJ84" s="235"/>
      <c r="BK84" s="235"/>
      <c r="BL84" s="235"/>
      <c r="BM84" s="235"/>
      <c r="BN84" s="235"/>
      <c r="BO84" s="235"/>
      <c r="BP84" s="235"/>
      <c r="BQ84" s="235"/>
      <c r="BR84" s="235"/>
      <c r="BS84" s="235"/>
      <c r="BT84" s="235"/>
      <c r="BU84" s="235"/>
      <c r="BV84" s="235"/>
      <c r="BW84" s="235"/>
      <c r="BX84" s="235"/>
      <c r="BY84" s="235"/>
      <c r="BZ84" s="235"/>
      <c r="CA84" s="235"/>
      <c r="CB84" s="235"/>
      <c r="CC84" s="235"/>
      <c r="CD84" s="232"/>
      <c r="CE84" s="232"/>
      <c r="CF84" s="232"/>
      <c r="CG84" s="232"/>
      <c r="CH84" s="232"/>
      <c r="CI84" s="232"/>
      <c r="CJ84" s="232"/>
      <c r="CK84" s="232"/>
      <c r="CL84" s="232"/>
      <c r="CM84" s="232"/>
      <c r="CN84" s="232"/>
      <c r="CO84" s="232"/>
      <c r="CP84" s="232"/>
      <c r="CQ84" s="232"/>
      <c r="CR84" s="232"/>
      <c r="CS84" s="232"/>
      <c r="CT84" s="232"/>
      <c r="CU84" s="291">
        <f>IF(ISERROR('raw data'!GN85/'raw data'!GO85),0,'raw data'!GN85/'raw data'!GO85)</f>
        <v>0.21428571428571427</v>
      </c>
      <c r="CV84" s="291">
        <f>IF(ISERROR('raw data'!GP85/'raw data'!GQ85),0,'raw data'!GP85/'raw data'!GQ85)</f>
        <v>0.20370370370370369</v>
      </c>
      <c r="CW84" s="291">
        <f>IF(ISERROR('raw data'!GR85/'raw data'!GS85),0,'raw data'!GR85/'raw data'!GS85)</f>
        <v>0.27272727272727271</v>
      </c>
      <c r="CX84" s="291">
        <f>IF(ISERROR('raw data'!GT85/'raw data'!GU85),0,'raw data'!GT85/'raw data'!GU85)</f>
        <v>0.29166666666666669</v>
      </c>
      <c r="CY84" s="291">
        <f>IF(ISERROR('raw data'!GV85/'raw data'!GW85),0,'raw data'!GV85/'raw data'!GW85)</f>
        <v>0.18965517241379309</v>
      </c>
      <c r="CZ84" s="291">
        <f>IF(ISERROR('raw data'!GX85/'raw data'!GY85),0,'raw data'!GX85/'raw data'!GY85)</f>
        <v>0.20930232558139536</v>
      </c>
      <c r="DA84" s="291">
        <f>IF(ISERROR('raw data'!GZ85/'raw data'!HA85),0,'raw data'!GZ85/'raw data'!HA85)</f>
        <v>0.19642857142857142</v>
      </c>
      <c r="DB84" s="291">
        <f>IF(ISERROR('raw data'!HB85/'raw data'!HC85),0,'raw data'!HB85/'raw data'!HC85)</f>
        <v>0.25</v>
      </c>
      <c r="DC84" s="232" t="s">
        <v>243</v>
      </c>
      <c r="DD84" s="232" t="s">
        <v>243</v>
      </c>
      <c r="DE84" s="232" t="s">
        <v>243</v>
      </c>
      <c r="DF84" s="232" t="s">
        <v>243</v>
      </c>
      <c r="DG84" s="232" t="s">
        <v>243</v>
      </c>
      <c r="DH84" s="232" t="s">
        <v>243</v>
      </c>
      <c r="DI84" s="232" t="s">
        <v>243</v>
      </c>
      <c r="DJ84" s="232" t="s">
        <v>243</v>
      </c>
      <c r="DK84" s="232" t="s">
        <v>243</v>
      </c>
      <c r="DL84" s="232" t="s">
        <v>243</v>
      </c>
      <c r="DM84" s="232" t="s">
        <v>243</v>
      </c>
      <c r="DN84" s="232" t="s">
        <v>243</v>
      </c>
      <c r="DO84" s="232" t="s">
        <v>243</v>
      </c>
      <c r="DP84" s="232" t="s">
        <v>243</v>
      </c>
      <c r="DQ84" s="232" t="s">
        <v>243</v>
      </c>
      <c r="DR84" s="232" t="s">
        <v>243</v>
      </c>
      <c r="DS84" s="232" t="s">
        <v>243</v>
      </c>
      <c r="DT84" s="232" t="s">
        <v>243</v>
      </c>
      <c r="DU84" s="232" t="s">
        <v>243</v>
      </c>
      <c r="DV84" s="232" t="s">
        <v>243</v>
      </c>
      <c r="DW84" s="232" t="s">
        <v>243</v>
      </c>
      <c r="DX84" s="232" t="s">
        <v>243</v>
      </c>
      <c r="DY84" s="232" t="s">
        <v>243</v>
      </c>
      <c r="DZ84" s="232" t="s">
        <v>243</v>
      </c>
      <c r="EA84" s="232" t="s">
        <v>243</v>
      </c>
      <c r="EB84" s="232" t="s">
        <v>243</v>
      </c>
      <c r="EC84" s="232" t="s">
        <v>243</v>
      </c>
      <c r="ED84" s="243"/>
      <c r="EE84" s="292">
        <v>0</v>
      </c>
      <c r="EF84" s="292">
        <v>0</v>
      </c>
      <c r="EG84" s="293">
        <f t="shared" ref="EG84:EG87" si="2">IF(ISERROR(EE84/EF84),0,EE84/EF84)</f>
        <v>0</v>
      </c>
    </row>
    <row r="85" spans="1:137" ht="25.5" customHeight="1" x14ac:dyDescent="0.15">
      <c r="A85" s="288" t="s">
        <v>145</v>
      </c>
      <c r="B85" s="289" t="str">
        <f>'raw data'!B86</f>
        <v>Transaction to Coc &gt;=£10k exc if payment to ctry of nationality/residency</v>
      </c>
      <c r="C85" s="290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35"/>
      <c r="AI85" s="235"/>
      <c r="AJ85" s="235"/>
      <c r="AK85" s="235"/>
      <c r="AL85" s="235"/>
      <c r="AM85" s="235"/>
      <c r="AN85" s="235"/>
      <c r="AO85" s="235"/>
      <c r="AP85" s="235"/>
      <c r="AQ85" s="235"/>
      <c r="AR85" s="235"/>
      <c r="AS85" s="235"/>
      <c r="AT85" s="235"/>
      <c r="AU85" s="235"/>
      <c r="AV85" s="235"/>
      <c r="AW85" s="235"/>
      <c r="AX85" s="235"/>
      <c r="AY85" s="235"/>
      <c r="AZ85" s="235"/>
      <c r="BA85" s="235"/>
      <c r="BB85" s="235"/>
      <c r="BC85" s="235"/>
      <c r="BD85" s="235"/>
      <c r="BE85" s="235"/>
      <c r="BF85" s="235"/>
      <c r="BG85" s="235"/>
      <c r="BH85" s="235"/>
      <c r="BI85" s="235"/>
      <c r="BJ85" s="235"/>
      <c r="BK85" s="235"/>
      <c r="BL85" s="235"/>
      <c r="BM85" s="235"/>
      <c r="BN85" s="235"/>
      <c r="BO85" s="235"/>
      <c r="BP85" s="235"/>
      <c r="BQ85" s="235"/>
      <c r="BR85" s="235"/>
      <c r="BS85" s="235"/>
      <c r="BT85" s="235"/>
      <c r="BU85" s="235"/>
      <c r="BV85" s="235"/>
      <c r="BW85" s="235"/>
      <c r="BX85" s="235"/>
      <c r="BY85" s="235"/>
      <c r="BZ85" s="235"/>
      <c r="CA85" s="235"/>
      <c r="CB85" s="235"/>
      <c r="CC85" s="235"/>
      <c r="CD85" s="232"/>
      <c r="CE85" s="232"/>
      <c r="CF85" s="232"/>
      <c r="CG85" s="232"/>
      <c r="CH85" s="232"/>
      <c r="CI85" s="232"/>
      <c r="CJ85" s="232"/>
      <c r="CK85" s="232"/>
      <c r="CL85" s="232"/>
      <c r="CM85" s="232"/>
      <c r="CN85" s="232"/>
      <c r="CO85" s="232"/>
      <c r="CP85" s="232"/>
      <c r="CQ85" s="232"/>
      <c r="CR85" s="232"/>
      <c r="CS85" s="232"/>
      <c r="CT85" s="232"/>
      <c r="CU85" s="291">
        <f>IF(ISERROR('raw data'!GN86/'raw data'!GO86),0,'raw data'!GN86/'raw data'!GO86)</f>
        <v>0</v>
      </c>
      <c r="CV85" s="291">
        <f>IF(ISERROR('raw data'!GP86/'raw data'!GQ86),0,'raw data'!GP86/'raw data'!GQ86)</f>
        <v>0.22222222222222221</v>
      </c>
      <c r="CW85" s="291">
        <f>IF(ISERROR('raw data'!GR86/'raw data'!GS86),0,'raw data'!GR86/'raw data'!GS86)</f>
        <v>7.6923076923076927E-2</v>
      </c>
      <c r="CX85" s="291">
        <f>IF(ISERROR('raw data'!GT86/'raw data'!GU86),0,'raw data'!GT86/'raw data'!GU86)</f>
        <v>9.0909090909090912E-2</v>
      </c>
      <c r="CY85" s="291">
        <f>IF(ISERROR('raw data'!GV86/'raw data'!GW86),0,'raw data'!GV86/'raw data'!GW86)</f>
        <v>0</v>
      </c>
      <c r="CZ85" s="291">
        <f>IF(ISERROR('raw data'!GX86/'raw data'!GY86),0,'raw data'!GX86/'raw data'!GY86)</f>
        <v>0.13333333333333333</v>
      </c>
      <c r="DA85" s="291">
        <f>IF(ISERROR('raw data'!GZ86/'raw data'!HA86),0,'raw data'!GZ86/'raw data'!HA86)</f>
        <v>0</v>
      </c>
      <c r="DB85" s="291">
        <f>IF(ISERROR('raw data'!HB86/'raw data'!HC86),0,'raw data'!HB86/'raw data'!HC86)</f>
        <v>0.66666666666666663</v>
      </c>
      <c r="DC85" s="232" t="s">
        <v>243</v>
      </c>
      <c r="DD85" s="232" t="s">
        <v>243</v>
      </c>
      <c r="DE85" s="232" t="s">
        <v>243</v>
      </c>
      <c r="DF85" s="232" t="s">
        <v>243</v>
      </c>
      <c r="DG85" s="232" t="s">
        <v>243</v>
      </c>
      <c r="DH85" s="232" t="s">
        <v>243</v>
      </c>
      <c r="DI85" s="232" t="s">
        <v>243</v>
      </c>
      <c r="DJ85" s="232" t="s">
        <v>243</v>
      </c>
      <c r="DK85" s="232" t="s">
        <v>243</v>
      </c>
      <c r="DL85" s="232" t="s">
        <v>243</v>
      </c>
      <c r="DM85" s="232" t="s">
        <v>243</v>
      </c>
      <c r="DN85" s="232" t="s">
        <v>243</v>
      </c>
      <c r="DO85" s="232" t="s">
        <v>243</v>
      </c>
      <c r="DP85" s="232" t="s">
        <v>243</v>
      </c>
      <c r="DQ85" s="232" t="s">
        <v>243</v>
      </c>
      <c r="DR85" s="232" t="s">
        <v>243</v>
      </c>
      <c r="DS85" s="232" t="s">
        <v>243</v>
      </c>
      <c r="DT85" s="232" t="s">
        <v>243</v>
      </c>
      <c r="DU85" s="232" t="s">
        <v>243</v>
      </c>
      <c r="DV85" s="232" t="s">
        <v>243</v>
      </c>
      <c r="DW85" s="232" t="s">
        <v>243</v>
      </c>
      <c r="DX85" s="232" t="s">
        <v>243</v>
      </c>
      <c r="DY85" s="232" t="s">
        <v>243</v>
      </c>
      <c r="DZ85" s="232" t="s">
        <v>243</v>
      </c>
      <c r="EA85" s="232" t="s">
        <v>243</v>
      </c>
      <c r="EB85" s="232" t="s">
        <v>243</v>
      </c>
      <c r="EC85" s="232" t="s">
        <v>243</v>
      </c>
      <c r="ED85" s="243"/>
      <c r="EE85" s="292">
        <v>0</v>
      </c>
      <c r="EF85" s="292">
        <v>0</v>
      </c>
      <c r="EG85" s="293">
        <f t="shared" si="2"/>
        <v>0</v>
      </c>
    </row>
    <row r="86" spans="1:137" ht="25.5" customHeight="1" x14ac:dyDescent="0.15">
      <c r="A86" s="288" t="s">
        <v>147</v>
      </c>
      <c r="B86" s="289" t="str">
        <f>'raw data'!B87</f>
        <v>£30K Credit - Debit 200+ transactions</v>
      </c>
      <c r="C86" s="290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35"/>
      <c r="AI86" s="235"/>
      <c r="AJ86" s="235"/>
      <c r="AK86" s="235"/>
      <c r="AL86" s="235"/>
      <c r="AM86" s="235"/>
      <c r="AN86" s="235"/>
      <c r="AO86" s="235"/>
      <c r="AP86" s="235"/>
      <c r="AQ86" s="235"/>
      <c r="AR86" s="235"/>
      <c r="AS86" s="235"/>
      <c r="AT86" s="235"/>
      <c r="AU86" s="235"/>
      <c r="AV86" s="235"/>
      <c r="AW86" s="235"/>
      <c r="AX86" s="235"/>
      <c r="AY86" s="235"/>
      <c r="AZ86" s="235"/>
      <c r="BA86" s="235"/>
      <c r="BB86" s="235"/>
      <c r="BC86" s="235"/>
      <c r="BD86" s="235"/>
      <c r="BE86" s="235"/>
      <c r="BF86" s="235"/>
      <c r="BG86" s="235"/>
      <c r="BH86" s="235"/>
      <c r="BI86" s="235"/>
      <c r="BJ86" s="235"/>
      <c r="BK86" s="235"/>
      <c r="BL86" s="235"/>
      <c r="BM86" s="235"/>
      <c r="BN86" s="235"/>
      <c r="BO86" s="235"/>
      <c r="BP86" s="235"/>
      <c r="BQ86" s="235"/>
      <c r="BR86" s="235"/>
      <c r="BS86" s="235"/>
      <c r="BT86" s="235"/>
      <c r="BU86" s="235"/>
      <c r="BV86" s="235"/>
      <c r="BW86" s="235"/>
      <c r="BX86" s="235"/>
      <c r="BY86" s="235"/>
      <c r="BZ86" s="235"/>
      <c r="CA86" s="235"/>
      <c r="CB86" s="235"/>
      <c r="CC86" s="235"/>
      <c r="CD86" s="232"/>
      <c r="CE86" s="232"/>
      <c r="CF86" s="232"/>
      <c r="CG86" s="232"/>
      <c r="CH86" s="232"/>
      <c r="CI86" s="232"/>
      <c r="CJ86" s="232"/>
      <c r="CK86" s="232"/>
      <c r="CL86" s="232"/>
      <c r="CM86" s="232"/>
      <c r="CN86" s="232"/>
      <c r="CO86" s="232"/>
      <c r="CP86" s="232"/>
      <c r="CQ86" s="232"/>
      <c r="CR86" s="232"/>
      <c r="CS86" s="232"/>
      <c r="CT86" s="232"/>
      <c r="CU86" s="291">
        <f>IF(ISERROR('raw data'!GN87/'raw data'!GO87),0,'raw data'!GN87/'raw data'!GO87)</f>
        <v>0.17647058823529413</v>
      </c>
      <c r="CV86" s="291">
        <f>IF(ISERROR('raw data'!GP87/'raw data'!GQ87),0,'raw data'!GP87/'raw data'!GQ87)</f>
        <v>0.15151515151515152</v>
      </c>
      <c r="CW86" s="291">
        <f>IF(ISERROR('raw data'!GR87/'raw data'!GS87),0,'raw data'!GR87/'raw data'!GS87)</f>
        <v>8.8888888888888892E-2</v>
      </c>
      <c r="CX86" s="291">
        <f>IF(ISERROR('raw data'!GT87/'raw data'!GU87),0,'raw data'!GT87/'raw data'!GU87)</f>
        <v>0.18518518518518517</v>
      </c>
      <c r="CY86" s="291">
        <f>IF(ISERROR('raw data'!GV87/'raw data'!GW87),0,'raw data'!GV87/'raw data'!GW87)</f>
        <v>0.15116279069767441</v>
      </c>
      <c r="CZ86" s="291">
        <f>IF(ISERROR('raw data'!GX87/'raw data'!GY87),0,'raw data'!GX87/'raw data'!GY87)</f>
        <v>9.8901098901098897E-2</v>
      </c>
      <c r="DA86" s="291">
        <f>IF(ISERROR('raw data'!GZ87/'raw data'!HA87),0,'raw data'!GZ87/'raw data'!HA87)</f>
        <v>0.19047619047619047</v>
      </c>
      <c r="DB86" s="291">
        <f>IF(ISERROR('raw data'!HB87/'raw data'!HC87),0,'raw data'!HB87/'raw data'!HC87)</f>
        <v>0.18181818181818182</v>
      </c>
      <c r="DC86" s="232" t="s">
        <v>243</v>
      </c>
      <c r="DD86" s="232" t="s">
        <v>243</v>
      </c>
      <c r="DE86" s="232" t="s">
        <v>243</v>
      </c>
      <c r="DF86" s="232" t="s">
        <v>243</v>
      </c>
      <c r="DG86" s="232" t="s">
        <v>243</v>
      </c>
      <c r="DH86" s="232" t="s">
        <v>243</v>
      </c>
      <c r="DI86" s="232" t="s">
        <v>243</v>
      </c>
      <c r="DJ86" s="232" t="s">
        <v>243</v>
      </c>
      <c r="DK86" s="232" t="s">
        <v>243</v>
      </c>
      <c r="DL86" s="232" t="s">
        <v>243</v>
      </c>
      <c r="DM86" s="232" t="s">
        <v>243</v>
      </c>
      <c r="DN86" s="232" t="s">
        <v>243</v>
      </c>
      <c r="DO86" s="232" t="s">
        <v>243</v>
      </c>
      <c r="DP86" s="232" t="s">
        <v>243</v>
      </c>
      <c r="DQ86" s="232" t="s">
        <v>243</v>
      </c>
      <c r="DR86" s="232" t="s">
        <v>243</v>
      </c>
      <c r="DS86" s="232" t="s">
        <v>243</v>
      </c>
      <c r="DT86" s="232" t="s">
        <v>243</v>
      </c>
      <c r="DU86" s="232" t="s">
        <v>243</v>
      </c>
      <c r="DV86" s="232" t="s">
        <v>243</v>
      </c>
      <c r="DW86" s="232" t="s">
        <v>243</v>
      </c>
      <c r="DX86" s="232" t="s">
        <v>243</v>
      </c>
      <c r="DY86" s="232" t="s">
        <v>243</v>
      </c>
      <c r="DZ86" s="232" t="s">
        <v>243</v>
      </c>
      <c r="EA86" s="232" t="s">
        <v>243</v>
      </c>
      <c r="EB86" s="232" t="s">
        <v>243</v>
      </c>
      <c r="EC86" s="232" t="s">
        <v>243</v>
      </c>
      <c r="ED86" s="243"/>
      <c r="EE86" s="292">
        <v>0</v>
      </c>
      <c r="EF86" s="292">
        <v>0</v>
      </c>
      <c r="EG86" s="293">
        <f t="shared" si="2"/>
        <v>0</v>
      </c>
    </row>
    <row r="87" spans="1:137" ht="25.5" customHeight="1" x14ac:dyDescent="0.15">
      <c r="A87" s="288" t="s">
        <v>149</v>
      </c>
      <c r="B87" s="289" t="str">
        <f>'raw data'!B88</f>
        <v>High Value Transactions - Credits &gt;= £100K</v>
      </c>
      <c r="C87" s="290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  <c r="AA87" s="282"/>
      <c r="AB87" s="282"/>
      <c r="AC87" s="282"/>
      <c r="AD87" s="282"/>
      <c r="AE87" s="282"/>
      <c r="AF87" s="282"/>
      <c r="AG87" s="282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5"/>
      <c r="AS87" s="235"/>
      <c r="AT87" s="235"/>
      <c r="AU87" s="235"/>
      <c r="AV87" s="235"/>
      <c r="AW87" s="235"/>
      <c r="AX87" s="235"/>
      <c r="AY87" s="235"/>
      <c r="AZ87" s="235"/>
      <c r="BA87" s="235"/>
      <c r="BB87" s="235"/>
      <c r="BC87" s="235"/>
      <c r="BD87" s="235"/>
      <c r="BE87" s="235"/>
      <c r="BF87" s="235"/>
      <c r="BG87" s="235"/>
      <c r="BH87" s="235"/>
      <c r="BI87" s="235"/>
      <c r="BJ87" s="235"/>
      <c r="BK87" s="235"/>
      <c r="BL87" s="235"/>
      <c r="BM87" s="235"/>
      <c r="BN87" s="235"/>
      <c r="BO87" s="235"/>
      <c r="BP87" s="235"/>
      <c r="BQ87" s="235"/>
      <c r="BR87" s="235"/>
      <c r="BS87" s="235"/>
      <c r="BT87" s="235"/>
      <c r="BU87" s="235"/>
      <c r="BV87" s="235"/>
      <c r="BW87" s="235"/>
      <c r="BX87" s="235"/>
      <c r="BY87" s="235"/>
      <c r="BZ87" s="235"/>
      <c r="CA87" s="235"/>
      <c r="CB87" s="235"/>
      <c r="CC87" s="235"/>
      <c r="CD87" s="232"/>
      <c r="CE87" s="232"/>
      <c r="CF87" s="232"/>
      <c r="CG87" s="232"/>
      <c r="CH87" s="232"/>
      <c r="CI87" s="232"/>
      <c r="CJ87" s="232"/>
      <c r="CK87" s="232"/>
      <c r="CL87" s="232"/>
      <c r="CM87" s="232"/>
      <c r="CN87" s="232"/>
      <c r="CO87" s="232"/>
      <c r="CP87" s="232"/>
      <c r="CQ87" s="232"/>
      <c r="CR87" s="232"/>
      <c r="CS87" s="232"/>
      <c r="CT87" s="232"/>
      <c r="CU87" s="291">
        <f>IF(ISERROR('raw data'!GN88/'raw data'!GO88),0,'raw data'!GN88/'raw data'!GO88)</f>
        <v>0</v>
      </c>
      <c r="CV87" s="291">
        <f>IF(ISERROR('raw data'!GP88/'raw data'!GQ88),0,'raw data'!GP88/'raw data'!GQ88)</f>
        <v>9.0909090909090912E-2</v>
      </c>
      <c r="CW87" s="291">
        <f>IF(ISERROR('raw data'!GR88/'raw data'!GS88),0,'raw data'!GR88/'raw data'!GS88)</f>
        <v>0.16666666666666666</v>
      </c>
      <c r="CX87" s="291">
        <f>IF(ISERROR('raw data'!GT88/'raw data'!GU88),0,'raw data'!GT88/'raw data'!GU88)</f>
        <v>5.2631578947368418E-2</v>
      </c>
      <c r="CY87" s="291">
        <f>IF(ISERROR('raw data'!GV88/'raw data'!GW88),0,'raw data'!GV88/'raw data'!GW88)</f>
        <v>7.6923076923076927E-2</v>
      </c>
      <c r="CZ87" s="291">
        <f>IF(ISERROR('raw data'!GX88/'raw data'!GY88),0,'raw data'!GX88/'raw data'!GY88)</f>
        <v>4.5454545454545456E-2</v>
      </c>
      <c r="DA87" s="291">
        <f>IF(ISERROR('raw data'!GZ88/'raw data'!HA88),0,'raw data'!GZ88/'raw data'!HA88)</f>
        <v>0</v>
      </c>
      <c r="DB87" s="291">
        <f>IF(ISERROR('raw data'!HB88/'raw data'!HC88),0,'raw data'!HB88/'raw data'!HC88)</f>
        <v>0.1111111111111111</v>
      </c>
      <c r="DC87" s="232" t="s">
        <v>243</v>
      </c>
      <c r="DD87" s="232" t="s">
        <v>243</v>
      </c>
      <c r="DE87" s="232" t="s">
        <v>243</v>
      </c>
      <c r="DF87" s="232" t="s">
        <v>243</v>
      </c>
      <c r="DG87" s="232" t="s">
        <v>243</v>
      </c>
      <c r="DH87" s="232" t="s">
        <v>243</v>
      </c>
      <c r="DI87" s="232" t="s">
        <v>243</v>
      </c>
      <c r="DJ87" s="232" t="s">
        <v>243</v>
      </c>
      <c r="DK87" s="232" t="s">
        <v>243</v>
      </c>
      <c r="DL87" s="232" t="s">
        <v>243</v>
      </c>
      <c r="DM87" s="232" t="s">
        <v>243</v>
      </c>
      <c r="DN87" s="232" t="s">
        <v>243</v>
      </c>
      <c r="DO87" s="232" t="s">
        <v>243</v>
      </c>
      <c r="DP87" s="232" t="s">
        <v>243</v>
      </c>
      <c r="DQ87" s="232" t="s">
        <v>243</v>
      </c>
      <c r="DR87" s="232" t="s">
        <v>243</v>
      </c>
      <c r="DS87" s="232" t="s">
        <v>243</v>
      </c>
      <c r="DT87" s="232" t="s">
        <v>243</v>
      </c>
      <c r="DU87" s="232" t="s">
        <v>243</v>
      </c>
      <c r="DV87" s="232" t="s">
        <v>243</v>
      </c>
      <c r="DW87" s="232" t="s">
        <v>243</v>
      </c>
      <c r="DX87" s="232" t="s">
        <v>243</v>
      </c>
      <c r="DY87" s="232" t="s">
        <v>243</v>
      </c>
      <c r="DZ87" s="232" t="s">
        <v>243</v>
      </c>
      <c r="EA87" s="232" t="s">
        <v>243</v>
      </c>
      <c r="EB87" s="232" t="s">
        <v>243</v>
      </c>
      <c r="EC87" s="232" t="s">
        <v>243</v>
      </c>
      <c r="ED87" s="243"/>
      <c r="EE87" s="292">
        <v>0</v>
      </c>
      <c r="EF87" s="292">
        <v>0</v>
      </c>
      <c r="EG87" s="293">
        <f t="shared" si="2"/>
        <v>0</v>
      </c>
    </row>
    <row r="88" spans="1:137" ht="14" x14ac:dyDescent="0.15">
      <c r="A88" s="241"/>
      <c r="B88" s="242" t="s">
        <v>255</v>
      </c>
      <c r="C88" s="242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3"/>
      <c r="AI88" s="243"/>
      <c r="AJ88" s="243"/>
      <c r="AK88" s="243"/>
      <c r="AL88" s="243"/>
      <c r="AM88" s="243"/>
      <c r="AN88" s="243"/>
      <c r="AO88" s="243"/>
      <c r="AP88" s="243"/>
      <c r="AQ88" s="243"/>
      <c r="AR88" s="243"/>
      <c r="AS88" s="243"/>
      <c r="AT88" s="243"/>
      <c r="AU88" s="243"/>
      <c r="AV88" s="243"/>
      <c r="AW88" s="243"/>
      <c r="AX88" s="243"/>
      <c r="AY88" s="243"/>
      <c r="AZ88" s="243"/>
      <c r="BA88" s="243"/>
      <c r="BB88" s="243"/>
      <c r="BC88" s="243"/>
      <c r="BD88" s="243"/>
      <c r="BE88" s="243"/>
      <c r="BF88" s="243"/>
      <c r="BG88" s="243"/>
      <c r="BH88" s="243"/>
      <c r="BI88" s="243"/>
      <c r="BJ88" s="243"/>
      <c r="BK88" s="243"/>
      <c r="BL88" s="243"/>
      <c r="BM88" s="243"/>
      <c r="BN88" s="243"/>
      <c r="BO88" s="243"/>
      <c r="BP88" s="243"/>
      <c r="BQ88" s="243"/>
      <c r="BR88" s="243"/>
      <c r="BS88" s="243"/>
      <c r="BT88" s="243"/>
      <c r="BU88" s="243"/>
      <c r="BV88" s="243"/>
      <c r="BW88" s="243"/>
      <c r="BX88" s="243"/>
      <c r="BY88" s="243"/>
      <c r="BZ88" s="243"/>
      <c r="CA88" s="243"/>
      <c r="CB88" s="243"/>
      <c r="CC88" s="243"/>
      <c r="CD88" s="243"/>
      <c r="CE88" s="243"/>
      <c r="CF88" s="243"/>
      <c r="CG88" s="243"/>
      <c r="CH88" s="243"/>
      <c r="CI88" s="243"/>
      <c r="CJ88" s="243"/>
      <c r="CK88" s="243"/>
      <c r="CL88" s="243"/>
      <c r="CM88" s="243"/>
      <c r="CN88" s="243"/>
      <c r="CO88" s="243"/>
      <c r="CP88" s="243"/>
      <c r="CQ88" s="243"/>
      <c r="CR88" s="243"/>
      <c r="CS88" s="243"/>
      <c r="CT88" s="243"/>
      <c r="CU88" s="243">
        <f>IF(ISERROR('raw data'!GN89/'raw data'!GO89),0,'raw data'!GN89/'raw data'!GO89)</f>
        <v>0.18661971830985916</v>
      </c>
      <c r="CV88" s="243">
        <f>IF(ISERROR('raw data'!GP89/'raw data'!GQ89),0,'raw data'!GP89/'raw data'!GQ89)</f>
        <v>0.21428571428571427</v>
      </c>
      <c r="CW88" s="243">
        <f>IF(ISERROR('raw data'!GR89/'raw data'!GS89),0,'raw data'!GR89/'raw data'!GS89)</f>
        <v>0.23943661971830985</v>
      </c>
      <c r="CX88" s="243">
        <f>IF(ISERROR('raw data'!GT89/'raw data'!GU89),0,'raw data'!GT89/'raw data'!GU89)</f>
        <v>0.24043715846994534</v>
      </c>
      <c r="CY88" s="243">
        <f>IF(ISERROR('raw data'!GV89/'raw data'!GW89),0,'raw data'!GV89/'raw data'!GW89)</f>
        <v>0.17488789237668162</v>
      </c>
      <c r="CZ88" s="243">
        <f>IF(ISERROR('raw data'!GX89/'raw data'!GY89),0,'raw data'!GX89/'raw data'!GY89)</f>
        <v>0.15294117647058825</v>
      </c>
      <c r="DA88" s="243">
        <f>IF(ISERROR('raw data'!GZ89/'raw data'!HA89),0,'raw data'!GZ89/'raw data'!HA89)</f>
        <v>0.19411764705882353</v>
      </c>
      <c r="DB88" s="243">
        <f>IF(ISERROR('raw data'!HB89/'raw data'!HC89),0,'raw data'!HB89/'raw data'!HC89)</f>
        <v>0.23287671232876711</v>
      </c>
      <c r="DC88" s="243">
        <f>IF(ISERROR('raw data'!HD89/'raw data'!HE89),0,'raw data'!HD89/'raw data'!HE89)</f>
        <v>0</v>
      </c>
      <c r="DD88" s="243">
        <f>IF(ISERROR('raw data'!HF89/'raw data'!HG89),0,'raw data'!HF89/'raw data'!HG89)</f>
        <v>0</v>
      </c>
      <c r="DE88" s="243">
        <f>IF(ISERROR('raw data'!HH89/'raw data'!HI89),0,'raw data'!HH89/'raw data'!HI89)</f>
        <v>0</v>
      </c>
      <c r="DF88" s="243">
        <f>IF(ISERROR('raw data'!HJ89/'raw data'!HK89),0,'raw data'!HJ89/'raw data'!HK89)</f>
        <v>0</v>
      </c>
      <c r="DG88" s="243">
        <f>IF(ISERROR('raw data'!HL89/'raw data'!HM89),0,'raw data'!HL89/'raw data'!HM89)</f>
        <v>0</v>
      </c>
      <c r="DH88" s="243">
        <f>IF(ISERROR('raw data'!HN89/'raw data'!HO89),0,'raw data'!HN89/'raw data'!HO89)</f>
        <v>0</v>
      </c>
      <c r="DI88" s="243">
        <f>IF(ISERROR('raw data'!HP89/'raw data'!HQ89),0,'raw data'!HP89/'raw data'!HQ89)</f>
        <v>0</v>
      </c>
      <c r="DJ88" s="243">
        <f>IF(ISERROR('raw data'!HR89/'raw data'!HS89),0,'raw data'!HR89/'raw data'!HS89)</f>
        <v>0</v>
      </c>
      <c r="DK88" s="243">
        <f>IF(ISERROR('raw data'!HT89/'raw data'!HU89),0,'raw data'!HT89/'raw data'!HU89)</f>
        <v>0</v>
      </c>
      <c r="DL88" s="243">
        <f>IF(ISERROR('raw data'!HV89/'raw data'!HW89),0,'raw data'!HV89/'raw data'!HW89)</f>
        <v>0</v>
      </c>
      <c r="DM88" s="243">
        <f>IF(ISERROR('raw data'!HX89/'raw data'!HY89),0,'raw data'!HX89/'raw data'!HY89)</f>
        <v>0</v>
      </c>
      <c r="DN88" s="243">
        <f>IF(ISERROR('raw data'!HZ89/'raw data'!IA89),0,'raw data'!HZ89/'raw data'!IA89)</f>
        <v>0</v>
      </c>
      <c r="DO88" s="243">
        <f>IF(ISERROR('raw data'!IB89/'raw data'!IC89),0,'raw data'!IB89/'raw data'!IC89)</f>
        <v>0</v>
      </c>
      <c r="DP88" s="243">
        <f>IF(ISERROR('raw data'!ID89/'raw data'!IE89),0,'raw data'!ID89/'raw data'!IE89)</f>
        <v>0</v>
      </c>
      <c r="DQ88" s="243">
        <f>IF(ISERROR('raw data'!IF89/'raw data'!IG89),0,'raw data'!IF89/'raw data'!IG89)</f>
        <v>0</v>
      </c>
      <c r="DR88" s="243">
        <f>IF(ISERROR('raw data'!IH89/'raw data'!II89),0,'raw data'!IH89/'raw data'!II89)</f>
        <v>0</v>
      </c>
      <c r="DS88" s="243">
        <f>IF(ISERROR('raw data'!IJ89/'raw data'!IK89),0,'raw data'!IJ89/'raw data'!IK89)</f>
        <v>0</v>
      </c>
      <c r="DT88" s="243">
        <f>IF(ISERROR('raw data'!IL89/'raw data'!IM89),0,'raw data'!IL89/'raw data'!IM89)</f>
        <v>0</v>
      </c>
      <c r="DU88" s="243">
        <f>IF(ISERROR('raw data'!IN89/'raw data'!IO89),0,'raw data'!IN89/'raw data'!IO89)</f>
        <v>0</v>
      </c>
      <c r="DV88" s="243">
        <f>IF(ISERROR('raw data'!IP89/'raw data'!IQ89),0,'raw data'!IP89/'raw data'!IQ89)</f>
        <v>0</v>
      </c>
      <c r="DW88" s="243">
        <f>IF(ISERROR('raw data'!IR89/'raw data'!IS89),0,'raw data'!IR89/'raw data'!IS89)</f>
        <v>0</v>
      </c>
      <c r="DX88" s="243">
        <f>IF(ISERROR('raw data'!IT89/'raw data'!IU89),0,'raw data'!IT89/'raw data'!IU89)</f>
        <v>0</v>
      </c>
      <c r="DY88" s="243">
        <f>IF(ISERROR('raw data'!IV89/'raw data'!IW89),0,'raw data'!IV89/'raw data'!IW89)</f>
        <v>0</v>
      </c>
      <c r="DZ88" s="243">
        <f>IF(ISERROR('raw data'!IX89/'raw data'!IY89),0,'raw data'!IX89/'raw data'!IY89)</f>
        <v>0</v>
      </c>
      <c r="EA88" s="243">
        <f>IF(ISERROR('raw data'!IZ89/'raw data'!JA89),0,'raw data'!IZ89/'raw data'!JA89)</f>
        <v>0</v>
      </c>
      <c r="EB88" s="243">
        <f>IF(ISERROR('raw data'!JB89/'raw data'!JC89),0,'raw data'!JB89/'raw data'!JC89)</f>
        <v>0</v>
      </c>
      <c r="EC88" s="243">
        <f>IF(ISERROR('raw data'!JD89/'raw data'!JE89),0,'raw data'!JD89/'raw data'!JE89)</f>
        <v>0</v>
      </c>
      <c r="ED88" s="243"/>
      <c r="EE88" s="244">
        <f>SUM(EE83:EE87)</f>
        <v>0</v>
      </c>
      <c r="EF88" s="244">
        <f>SUM(EF83:EF87)</f>
        <v>0</v>
      </c>
      <c r="EG88" s="245">
        <f>IF(ISERROR(EE88/EF88),0,EE88/EF88)</f>
        <v>0</v>
      </c>
    </row>
    <row r="89" spans="1:137" ht="25.5" customHeight="1" x14ac:dyDescent="0.15">
      <c r="A89" s="294" t="s">
        <v>152</v>
      </c>
      <c r="B89" s="295" t="s">
        <v>142</v>
      </c>
      <c r="C89" s="295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82"/>
      <c r="AB89" s="282"/>
      <c r="AC89" s="282"/>
      <c r="AD89" s="282"/>
      <c r="AE89" s="282"/>
      <c r="AF89" s="282"/>
      <c r="AG89" s="282"/>
      <c r="AH89" s="282"/>
      <c r="AI89" s="282"/>
      <c r="AJ89" s="282"/>
      <c r="AK89" s="282"/>
      <c r="AL89" s="282"/>
      <c r="AM89" s="282"/>
      <c r="AN89" s="282"/>
      <c r="AO89" s="282"/>
      <c r="AP89" s="282"/>
      <c r="AQ89" s="282"/>
      <c r="AR89" s="282"/>
      <c r="AS89" s="282"/>
      <c r="AT89" s="282"/>
      <c r="AU89" s="282"/>
      <c r="AV89" s="282"/>
      <c r="AW89" s="282"/>
      <c r="AX89" s="282"/>
      <c r="AY89" s="282"/>
      <c r="AZ89" s="282"/>
      <c r="BA89" s="282"/>
      <c r="BB89" s="282"/>
      <c r="BC89" s="282"/>
      <c r="BD89" s="282"/>
      <c r="BE89" s="282"/>
      <c r="BF89" s="282"/>
      <c r="BG89" s="282"/>
      <c r="BH89" s="282"/>
      <c r="BI89" s="282"/>
      <c r="BJ89" s="282"/>
      <c r="BK89" s="282"/>
      <c r="BL89" s="282"/>
      <c r="BM89" s="282"/>
      <c r="BN89" s="282"/>
      <c r="BO89" s="282"/>
      <c r="BP89" s="282"/>
      <c r="BQ89" s="282"/>
      <c r="BR89" s="282"/>
      <c r="BS89" s="282"/>
      <c r="BT89" s="282"/>
      <c r="BU89" s="282"/>
      <c r="BV89" s="282"/>
      <c r="BW89" s="282"/>
      <c r="BX89" s="282"/>
      <c r="BY89" s="282"/>
      <c r="BZ89" s="282"/>
      <c r="CA89" s="282"/>
      <c r="CB89" s="282"/>
      <c r="CC89" s="282"/>
      <c r="CD89" s="282"/>
      <c r="CE89" s="282"/>
      <c r="CF89" s="282"/>
      <c r="CG89" s="282"/>
      <c r="CH89" s="282"/>
      <c r="CI89" s="282"/>
      <c r="CJ89" s="282"/>
      <c r="CK89" s="282"/>
      <c r="CL89" s="282"/>
      <c r="CM89" s="282"/>
      <c r="CN89" s="282"/>
      <c r="CO89" s="282"/>
      <c r="CP89" s="282"/>
      <c r="CQ89" s="282"/>
      <c r="CR89" s="282"/>
      <c r="CS89" s="282"/>
      <c r="CT89" s="282"/>
      <c r="CU89" s="282"/>
      <c r="CV89" s="282"/>
      <c r="CW89" s="282"/>
      <c r="CX89" s="282"/>
      <c r="CY89" s="282"/>
      <c r="CZ89" s="282"/>
      <c r="DA89" s="282"/>
      <c r="DB89" s="296">
        <f>IF(ISERROR('raw data'!HB90/'raw data'!HC90),0,'raw data'!HB90/'raw data'!HC90)</f>
        <v>0.10714285714285714</v>
      </c>
      <c r="DC89" s="296">
        <f>IF(ISERROR('raw data'!HD90/'raw data'!HE90),0,'raw data'!HD90/'raw data'!HE90)</f>
        <v>0</v>
      </c>
      <c r="DD89" s="296">
        <f>IF(ISERROR('raw data'!HF90/'raw data'!HG90),0,'raw data'!HF90/'raw data'!HG90)</f>
        <v>0.3</v>
      </c>
      <c r="DE89" s="296">
        <f>IF(ISERROR('raw data'!HH90/'raw data'!HI90),0,'raw data'!HH90/'raw data'!HI90)</f>
        <v>0</v>
      </c>
      <c r="DF89" s="296">
        <f>IF(ISERROR('raw data'!HJ90/'raw data'!HK90),0,'raw data'!HJ90/'raw data'!HK90)</f>
        <v>0</v>
      </c>
      <c r="DG89" s="296">
        <f>IF(ISERROR('raw data'!HL90/'raw data'!HM90),0,'raw data'!HL90/'raw data'!HM90)</f>
        <v>0.16666666666666666</v>
      </c>
      <c r="DH89" s="296">
        <f>IF(ISERROR('raw data'!HN90/'raw data'!HO90),0,'raw data'!HN90/'raw data'!HO90)</f>
        <v>0.125</v>
      </c>
      <c r="DI89" s="296">
        <f>IF(ISERROR('raw data'!HP90/'raw data'!HQ90),0,'raw data'!HP90/'raw data'!HQ90)</f>
        <v>0</v>
      </c>
      <c r="DJ89" s="296">
        <f>IF(ISERROR('raw data'!HR90/'raw data'!HS90),0,'raw data'!HR90/'raw data'!HS90)</f>
        <v>0</v>
      </c>
      <c r="DK89" s="296">
        <f>IF(ISERROR('raw data'!HT90/'raw data'!HU90),0,'raw data'!HT90/'raw data'!HU90)</f>
        <v>0</v>
      </c>
      <c r="DL89" s="296">
        <f>IF(ISERROR('raw data'!HV90/'raw data'!HW90),0,'raw data'!HV90/'raw data'!HW90)</f>
        <v>0</v>
      </c>
      <c r="DM89" s="296">
        <f>IF(ISERROR('raw data'!HX90/'raw data'!HY90),0,'raw data'!HX90/'raw data'!HY90)</f>
        <v>0</v>
      </c>
      <c r="DN89" s="296">
        <f>IF(ISERROR('raw data'!HZ90/'raw data'!IA90),0,'raw data'!HZ90/'raw data'!IA90)</f>
        <v>0</v>
      </c>
      <c r="DO89" s="296">
        <f>IF(ISERROR('raw data'!IB90/'raw data'!IC90),0,'raw data'!IB90/'raw data'!IC90)</f>
        <v>0</v>
      </c>
      <c r="DP89" s="296">
        <f>IF(ISERROR('raw data'!ID90/'raw data'!IE90),0,'raw data'!ID90/'raw data'!IE90)</f>
        <v>0</v>
      </c>
      <c r="DQ89" s="296">
        <f>IF(ISERROR('raw data'!IF90/'raw data'!IG90),0,'raw data'!IF90/'raw data'!IG90)</f>
        <v>0</v>
      </c>
      <c r="DR89" s="296">
        <f>IF(ISERROR('raw data'!IH90/'raw data'!II90),0,'raw data'!IH90/'raw data'!II90)</f>
        <v>0</v>
      </c>
      <c r="DS89" s="296">
        <f>IF(ISERROR('raw data'!IJ90/'raw data'!IK90),0,'raw data'!IJ90/'raw data'!IK90)</f>
        <v>0</v>
      </c>
      <c r="DT89" s="296">
        <f>IF(ISERROR('raw data'!IL90/'raw data'!IM90),0,'raw data'!IL90/'raw data'!IM90)</f>
        <v>0</v>
      </c>
      <c r="DU89" s="296">
        <f>IF(ISERROR('raw data'!IN90/'raw data'!IO90),0,'raw data'!IN90/'raw data'!IO90)</f>
        <v>0</v>
      </c>
      <c r="DV89" s="296">
        <f>IF(ISERROR('raw data'!IP90/'raw data'!IQ90),0,'raw data'!IP90/'raw data'!IQ90)</f>
        <v>0</v>
      </c>
      <c r="DW89" s="296">
        <f>IF(ISERROR('raw data'!IR90/'raw data'!IS90),0,'raw data'!IR90/'raw data'!IS90)</f>
        <v>0</v>
      </c>
      <c r="DX89" s="296">
        <f>IF(ISERROR('raw data'!IT90/'raw data'!IU90),0,'raw data'!IT90/'raw data'!IU90)</f>
        <v>0</v>
      </c>
      <c r="DY89" s="296">
        <f>IF(ISERROR('raw data'!IV90/'raw data'!IW90),0,'raw data'!IV90/'raw data'!IW90)</f>
        <v>0</v>
      </c>
      <c r="DZ89" s="296">
        <f>IF(ISERROR('raw data'!IX90/'raw data'!IY90),0,'raw data'!IX90/'raw data'!IY90)</f>
        <v>0</v>
      </c>
      <c r="EA89" s="296">
        <f>IF(ISERROR('raw data'!IZ90/'raw data'!JA90),0,'raw data'!IZ90/'raw data'!JA90)</f>
        <v>0.18181818181818182</v>
      </c>
      <c r="EB89" s="296">
        <f>IF(ISERROR('raw data'!JB90/'raw data'!JC90),0,'raw data'!JB90/'raw data'!JC90)</f>
        <v>0</v>
      </c>
      <c r="EC89" s="296">
        <f>IF(ISERROR('raw data'!JD90/'raw data'!JE90),0,'raw data'!JD90/'raw data'!JE90)</f>
        <v>0.13333333333333333</v>
      </c>
      <c r="ED89" s="243"/>
      <c r="EE89" s="297">
        <v>4</v>
      </c>
      <c r="EF89" s="297">
        <v>96</v>
      </c>
      <c r="EG89" s="298">
        <f>IF(ISERROR(EE89/EF89),0,EE89/EF89)</f>
        <v>4.1666666666666664E-2</v>
      </c>
    </row>
    <row r="90" spans="1:137" ht="25.5" customHeight="1" x14ac:dyDescent="0.15">
      <c r="A90" s="294" t="s">
        <v>153</v>
      </c>
      <c r="B90" s="295" t="s">
        <v>144</v>
      </c>
      <c r="C90" s="295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/>
      <c r="AE90" s="282"/>
      <c r="AF90" s="282"/>
      <c r="AG90" s="282"/>
      <c r="AH90" s="282"/>
      <c r="AI90" s="282"/>
      <c r="AJ90" s="282"/>
      <c r="AK90" s="282"/>
      <c r="AL90" s="282"/>
      <c r="AM90" s="282"/>
      <c r="AN90" s="282"/>
      <c r="AO90" s="282"/>
      <c r="AP90" s="282"/>
      <c r="AQ90" s="282"/>
      <c r="AR90" s="282"/>
      <c r="AS90" s="282"/>
      <c r="AT90" s="282"/>
      <c r="AU90" s="282"/>
      <c r="AV90" s="282"/>
      <c r="AW90" s="282"/>
      <c r="AX90" s="282"/>
      <c r="AY90" s="282"/>
      <c r="AZ90" s="282"/>
      <c r="BA90" s="282"/>
      <c r="BB90" s="282"/>
      <c r="BC90" s="282"/>
      <c r="BD90" s="282"/>
      <c r="BE90" s="282"/>
      <c r="BF90" s="282"/>
      <c r="BG90" s="282"/>
      <c r="BH90" s="282"/>
      <c r="BI90" s="282"/>
      <c r="BJ90" s="282"/>
      <c r="BK90" s="282"/>
      <c r="BL90" s="282"/>
      <c r="BM90" s="282"/>
      <c r="BN90" s="282"/>
      <c r="BO90" s="282"/>
      <c r="BP90" s="282"/>
      <c r="BQ90" s="282"/>
      <c r="BR90" s="282"/>
      <c r="BS90" s="282"/>
      <c r="BT90" s="282"/>
      <c r="BU90" s="282"/>
      <c r="BV90" s="282"/>
      <c r="BW90" s="282"/>
      <c r="BX90" s="282"/>
      <c r="BY90" s="282"/>
      <c r="BZ90" s="282"/>
      <c r="CA90" s="282"/>
      <c r="CB90" s="282"/>
      <c r="CC90" s="282"/>
      <c r="CD90" s="282"/>
      <c r="CE90" s="282"/>
      <c r="CF90" s="282"/>
      <c r="CG90" s="282"/>
      <c r="CH90" s="282"/>
      <c r="CI90" s="282"/>
      <c r="CJ90" s="282"/>
      <c r="CK90" s="282"/>
      <c r="CL90" s="282"/>
      <c r="CM90" s="282"/>
      <c r="CN90" s="282"/>
      <c r="CO90" s="282"/>
      <c r="CP90" s="282"/>
      <c r="CQ90" s="282"/>
      <c r="CR90" s="282"/>
      <c r="CS90" s="282"/>
      <c r="CT90" s="282"/>
      <c r="CU90" s="282"/>
      <c r="CV90" s="282"/>
      <c r="CW90" s="282"/>
      <c r="CX90" s="282"/>
      <c r="CY90" s="282"/>
      <c r="CZ90" s="282"/>
      <c r="DA90" s="282"/>
      <c r="DB90" s="296">
        <f>IF(ISERROR('raw data'!HB91/'raw data'!HC91),0,'raw data'!HB91/'raw data'!HC91)</f>
        <v>0</v>
      </c>
      <c r="DC90" s="296">
        <f>IF(ISERROR('raw data'!HD91/'raw data'!HE91),0,'raw data'!HD91/'raw data'!HE91)</f>
        <v>0</v>
      </c>
      <c r="DD90" s="296">
        <f>IF(ISERROR('raw data'!HF91/'raw data'!HG91),0,'raw data'!HF91/'raw data'!HG91)</f>
        <v>3.4482758620689655E-2</v>
      </c>
      <c r="DE90" s="296">
        <f>IF(ISERROR('raw data'!HH91/'raw data'!HI91),0,'raw data'!HH91/'raw data'!HI91)</f>
        <v>0.1</v>
      </c>
      <c r="DF90" s="296">
        <f>IF(ISERROR('raw data'!HJ91/'raw data'!HK91),0,'raw data'!HJ91/'raw data'!HK91)</f>
        <v>0</v>
      </c>
      <c r="DG90" s="296">
        <f>IF(ISERROR('raw data'!HL91/'raw data'!HM91),0,'raw data'!HL91/'raw data'!HM91)</f>
        <v>0</v>
      </c>
      <c r="DH90" s="296">
        <f>IF(ISERROR('raw data'!HN91/'raw data'!HO91),0,'raw data'!HN91/'raw data'!HO91)</f>
        <v>0</v>
      </c>
      <c r="DI90" s="296">
        <f>IF(ISERROR('raw data'!HP91/'raw data'!HQ91),0,'raw data'!HP91/'raw data'!HQ91)</f>
        <v>0</v>
      </c>
      <c r="DJ90" s="296">
        <f>IF(ISERROR('raw data'!HR91/'raw data'!HS91),0,'raw data'!HR91/'raw data'!HS91)</f>
        <v>0</v>
      </c>
      <c r="DK90" s="296">
        <f>IF(ISERROR('raw data'!HT91/'raw data'!HU91),0,'raw data'!HT91/'raw data'!HU91)</f>
        <v>0</v>
      </c>
      <c r="DL90" s="296">
        <f>IF(ISERROR('raw data'!HV91/'raw data'!HW91),0,'raw data'!HV91/'raw data'!HW91)</f>
        <v>0</v>
      </c>
      <c r="DM90" s="296">
        <f>IF(ISERROR('raw data'!HX91/'raw data'!HY91),0,'raw data'!HX91/'raw data'!HY91)</f>
        <v>0</v>
      </c>
      <c r="DN90" s="296">
        <f>IF(ISERROR('raw data'!HZ91/'raw data'!IA91),0,'raw data'!HZ91/'raw data'!IA91)</f>
        <v>0</v>
      </c>
      <c r="DO90" s="296">
        <f>IF(ISERROR('raw data'!IB91/'raw data'!IC91),0,'raw data'!IB91/'raw data'!IC91)</f>
        <v>0</v>
      </c>
      <c r="DP90" s="296">
        <f>IF(ISERROR('raw data'!ID91/'raw data'!IE91),0,'raw data'!ID91/'raw data'!IE91)</f>
        <v>0</v>
      </c>
      <c r="DQ90" s="296">
        <f>IF(ISERROR('raw data'!IF91/'raw data'!IG91),0,'raw data'!IF91/'raw data'!IG91)</f>
        <v>0</v>
      </c>
      <c r="DR90" s="296">
        <f>IF(ISERROR('raw data'!IH91/'raw data'!II91),0,'raw data'!IH91/'raw data'!II91)</f>
        <v>0</v>
      </c>
      <c r="DS90" s="296">
        <f>IF(ISERROR('raw data'!IJ91/'raw data'!IK91),0,'raw data'!IJ91/'raw data'!IK91)</f>
        <v>0</v>
      </c>
      <c r="DT90" s="296">
        <f>IF(ISERROR('raw data'!IL91/'raw data'!IM91),0,'raw data'!IL91/'raw data'!IM91)</f>
        <v>0</v>
      </c>
      <c r="DU90" s="296">
        <f>IF(ISERROR('raw data'!IN91/'raw data'!IO91),0,'raw data'!IN91/'raw data'!IO91)</f>
        <v>0</v>
      </c>
      <c r="DV90" s="296">
        <f>IF(ISERROR('raw data'!IP91/'raw data'!IQ91),0,'raw data'!IP91/'raw data'!IQ91)</f>
        <v>0</v>
      </c>
      <c r="DW90" s="296">
        <f>IF(ISERROR('raw data'!IR91/'raw data'!IS91),0,'raw data'!IR91/'raw data'!IS91)</f>
        <v>0</v>
      </c>
      <c r="DX90" s="296">
        <f>IF(ISERROR('raw data'!IT91/'raw data'!IU91),0,'raw data'!IT91/'raw data'!IU91)</f>
        <v>0</v>
      </c>
      <c r="DY90" s="296">
        <f>IF(ISERROR('raw data'!IV91/'raw data'!IW91),0,'raw data'!IV91/'raw data'!IW91)</f>
        <v>0</v>
      </c>
      <c r="DZ90" s="296">
        <f>IF(ISERROR('raw data'!IX91/'raw data'!IY91),0,'raw data'!IX91/'raw data'!IY91)</f>
        <v>0</v>
      </c>
      <c r="EA90" s="296">
        <f>IF(ISERROR('raw data'!IZ91/'raw data'!JA91),0,'raw data'!IZ91/'raw data'!JA91)</f>
        <v>0</v>
      </c>
      <c r="EB90" s="296">
        <f>IF(ISERROR('raw data'!JB91/'raw data'!JC91),0,'raw data'!JB91/'raw data'!JC91)</f>
        <v>0</v>
      </c>
      <c r="EC90" s="296">
        <f>IF(ISERROR('raw data'!JD91/'raw data'!JE91),0,'raw data'!JD91/'raw data'!JE91)</f>
        <v>0</v>
      </c>
      <c r="ED90" s="243"/>
      <c r="EE90" s="297">
        <v>0</v>
      </c>
      <c r="EF90" s="297">
        <v>39</v>
      </c>
      <c r="EG90" s="298">
        <f t="shared" ref="EG90:EG93" si="3">IF(ISERROR(EE90/EF90),0,EE90/EF90)</f>
        <v>0</v>
      </c>
    </row>
    <row r="91" spans="1:137" ht="25.5" customHeight="1" x14ac:dyDescent="0.15">
      <c r="A91" s="294" t="s">
        <v>154</v>
      </c>
      <c r="B91" s="295" t="s">
        <v>146</v>
      </c>
      <c r="C91" s="295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  <c r="AA91" s="282"/>
      <c r="AB91" s="282"/>
      <c r="AC91" s="282"/>
      <c r="AD91" s="282"/>
      <c r="AE91" s="282"/>
      <c r="AF91" s="282"/>
      <c r="AG91" s="282"/>
      <c r="AH91" s="282"/>
      <c r="AI91" s="282"/>
      <c r="AJ91" s="282"/>
      <c r="AK91" s="282"/>
      <c r="AL91" s="282"/>
      <c r="AM91" s="282"/>
      <c r="AN91" s="282"/>
      <c r="AO91" s="282"/>
      <c r="AP91" s="282"/>
      <c r="AQ91" s="282"/>
      <c r="AR91" s="282"/>
      <c r="AS91" s="282"/>
      <c r="AT91" s="282"/>
      <c r="AU91" s="282"/>
      <c r="AV91" s="282"/>
      <c r="AW91" s="282"/>
      <c r="AX91" s="282"/>
      <c r="AY91" s="282"/>
      <c r="AZ91" s="282"/>
      <c r="BA91" s="282"/>
      <c r="BB91" s="282"/>
      <c r="BC91" s="282"/>
      <c r="BD91" s="282"/>
      <c r="BE91" s="282"/>
      <c r="BF91" s="282"/>
      <c r="BG91" s="282"/>
      <c r="BH91" s="282"/>
      <c r="BI91" s="282"/>
      <c r="BJ91" s="282"/>
      <c r="BK91" s="282"/>
      <c r="BL91" s="282"/>
      <c r="BM91" s="282"/>
      <c r="BN91" s="282"/>
      <c r="BO91" s="282"/>
      <c r="BP91" s="282"/>
      <c r="BQ91" s="282"/>
      <c r="BR91" s="282"/>
      <c r="BS91" s="282"/>
      <c r="BT91" s="282"/>
      <c r="BU91" s="282"/>
      <c r="BV91" s="282"/>
      <c r="BW91" s="282"/>
      <c r="BX91" s="282"/>
      <c r="BY91" s="282"/>
      <c r="BZ91" s="282"/>
      <c r="CA91" s="282"/>
      <c r="CB91" s="282"/>
      <c r="CC91" s="282"/>
      <c r="CD91" s="282"/>
      <c r="CE91" s="282"/>
      <c r="CF91" s="282"/>
      <c r="CG91" s="282"/>
      <c r="CH91" s="282"/>
      <c r="CI91" s="282"/>
      <c r="CJ91" s="282"/>
      <c r="CK91" s="282"/>
      <c r="CL91" s="282"/>
      <c r="CM91" s="282"/>
      <c r="CN91" s="282"/>
      <c r="CO91" s="282"/>
      <c r="CP91" s="282"/>
      <c r="CQ91" s="282"/>
      <c r="CR91" s="282"/>
      <c r="CS91" s="282"/>
      <c r="CT91" s="282"/>
      <c r="CU91" s="282"/>
      <c r="CV91" s="282"/>
      <c r="CW91" s="282"/>
      <c r="CX91" s="282"/>
      <c r="CY91" s="282"/>
      <c r="CZ91" s="282"/>
      <c r="DA91" s="282"/>
      <c r="DB91" s="296">
        <f>IF(ISERROR('raw data'!HB92/'raw data'!HC92),0,'raw data'!HB92/'raw data'!HC92)</f>
        <v>0</v>
      </c>
      <c r="DC91" s="296">
        <f>IF(ISERROR('raw data'!HD92/'raw data'!HE92),0,'raw data'!HD92/'raw data'!HE92)</f>
        <v>0</v>
      </c>
      <c r="DD91" s="296">
        <f>IF(ISERROR('raw data'!HF92/'raw data'!HG92),0,'raw data'!HF92/'raw data'!HG92)</f>
        <v>0</v>
      </c>
      <c r="DE91" s="296">
        <f>IF(ISERROR('raw data'!HH92/'raw data'!HI92),0,'raw data'!HH92/'raw data'!HI92)</f>
        <v>0</v>
      </c>
      <c r="DF91" s="296">
        <f>IF(ISERROR('raw data'!HJ92/'raw data'!HK92),0,'raw data'!HJ92/'raw data'!HK92)</f>
        <v>0</v>
      </c>
      <c r="DG91" s="296">
        <f>IF(ISERROR('raw data'!HL92/'raw data'!HM92),0,'raw data'!HL92/'raw data'!HM92)</f>
        <v>0</v>
      </c>
      <c r="DH91" s="296">
        <f>IF(ISERROR('raw data'!HN92/'raw data'!HO92),0,'raw data'!HN92/'raw data'!HO92)</f>
        <v>0</v>
      </c>
      <c r="DI91" s="296">
        <f>IF(ISERROR('raw data'!HP92/'raw data'!HQ92),0,'raw data'!HP92/'raw data'!HQ92)</f>
        <v>0</v>
      </c>
      <c r="DJ91" s="296">
        <f>IF(ISERROR('raw data'!HR92/'raw data'!HS92),0,'raw data'!HR92/'raw data'!HS92)</f>
        <v>0</v>
      </c>
      <c r="DK91" s="296">
        <f>IF(ISERROR('raw data'!HT92/'raw data'!HU92),0,'raw data'!HT92/'raw data'!HU92)</f>
        <v>0</v>
      </c>
      <c r="DL91" s="296">
        <f>IF(ISERROR('raw data'!HV92/'raw data'!HW92),0,'raw data'!HV92/'raw data'!HW92)</f>
        <v>0</v>
      </c>
      <c r="DM91" s="296">
        <f>IF(ISERROR('raw data'!HX92/'raw data'!HY92),0,'raw data'!HX92/'raw data'!HY92)</f>
        <v>0</v>
      </c>
      <c r="DN91" s="296">
        <f>IF(ISERROR('raw data'!HZ92/'raw data'!IA92),0,'raw data'!HZ92/'raw data'!IA92)</f>
        <v>0</v>
      </c>
      <c r="DO91" s="296">
        <f>IF(ISERROR('raw data'!IB92/'raw data'!IC92),0,'raw data'!IB92/'raw data'!IC92)</f>
        <v>0</v>
      </c>
      <c r="DP91" s="296">
        <f>IF(ISERROR('raw data'!ID92/'raw data'!IE92),0,'raw data'!ID92/'raw data'!IE92)</f>
        <v>0</v>
      </c>
      <c r="DQ91" s="296">
        <f>IF(ISERROR('raw data'!IF92/'raw data'!IG92),0,'raw data'!IF92/'raw data'!IG92)</f>
        <v>0</v>
      </c>
      <c r="DR91" s="296">
        <f>IF(ISERROR('raw data'!IH92/'raw data'!II92),0,'raw data'!IH92/'raw data'!II92)</f>
        <v>0</v>
      </c>
      <c r="DS91" s="296">
        <f>IF(ISERROR('raw data'!IJ92/'raw data'!IK92),0,'raw data'!IJ92/'raw data'!IK92)</f>
        <v>0</v>
      </c>
      <c r="DT91" s="296">
        <f>IF(ISERROR('raw data'!IL92/'raw data'!IM92),0,'raw data'!IL92/'raw data'!IM92)</f>
        <v>0</v>
      </c>
      <c r="DU91" s="296">
        <f>IF(ISERROR('raw data'!IN92/'raw data'!IO92),0,'raw data'!IN92/'raw data'!IO92)</f>
        <v>0</v>
      </c>
      <c r="DV91" s="296">
        <f>IF(ISERROR('raw data'!IP92/'raw data'!IQ92),0,'raw data'!IP92/'raw data'!IQ92)</f>
        <v>0</v>
      </c>
      <c r="DW91" s="296">
        <f>IF(ISERROR('raw data'!IR92/'raw data'!IS92),0,'raw data'!IR92/'raw data'!IS92)</f>
        <v>0</v>
      </c>
      <c r="DX91" s="296">
        <f>IF(ISERROR('raw data'!IT92/'raw data'!IU92),0,'raw data'!IT92/'raw data'!IU92)</f>
        <v>0</v>
      </c>
      <c r="DY91" s="296">
        <f>IF(ISERROR('raw data'!IV92/'raw data'!IW92),0,'raw data'!IV92/'raw data'!IW92)</f>
        <v>0</v>
      </c>
      <c r="DZ91" s="296">
        <f>IF(ISERROR('raw data'!IX92/'raw data'!IY92),0,'raw data'!IX92/'raw data'!IY92)</f>
        <v>0</v>
      </c>
      <c r="EA91" s="296">
        <f>IF(ISERROR('raw data'!IZ92/'raw data'!JA92),0,'raw data'!IZ92/'raw data'!JA92)</f>
        <v>0</v>
      </c>
      <c r="EB91" s="296">
        <f>IF(ISERROR('raw data'!JB92/'raw data'!JC92),0,'raw data'!JB92/'raw data'!JC92)</f>
        <v>0</v>
      </c>
      <c r="EC91" s="296">
        <f>IF(ISERROR('raw data'!JD92/'raw data'!JE92),0,'raw data'!JD92/'raw data'!JE92)</f>
        <v>0</v>
      </c>
      <c r="ED91" s="243"/>
      <c r="EE91" s="297">
        <v>0</v>
      </c>
      <c r="EF91" s="297">
        <v>3</v>
      </c>
      <c r="EG91" s="298">
        <f t="shared" si="3"/>
        <v>0</v>
      </c>
    </row>
    <row r="92" spans="1:137" ht="25.5" customHeight="1" x14ac:dyDescent="0.15">
      <c r="A92" s="294" t="s">
        <v>155</v>
      </c>
      <c r="B92" s="295" t="s">
        <v>148</v>
      </c>
      <c r="C92" s="295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  <c r="AA92" s="282"/>
      <c r="AB92" s="282"/>
      <c r="AC92" s="282"/>
      <c r="AD92" s="282"/>
      <c r="AE92" s="282"/>
      <c r="AF92" s="282"/>
      <c r="AG92" s="282"/>
      <c r="AH92" s="282"/>
      <c r="AI92" s="282"/>
      <c r="AJ92" s="282"/>
      <c r="AK92" s="282"/>
      <c r="AL92" s="282"/>
      <c r="AM92" s="282"/>
      <c r="AN92" s="282"/>
      <c r="AO92" s="282"/>
      <c r="AP92" s="282"/>
      <c r="AQ92" s="282"/>
      <c r="AR92" s="282"/>
      <c r="AS92" s="282"/>
      <c r="AT92" s="282"/>
      <c r="AU92" s="282"/>
      <c r="AV92" s="282"/>
      <c r="AW92" s="282"/>
      <c r="AX92" s="282"/>
      <c r="AY92" s="282"/>
      <c r="AZ92" s="282"/>
      <c r="BA92" s="282"/>
      <c r="BB92" s="282"/>
      <c r="BC92" s="282"/>
      <c r="BD92" s="282"/>
      <c r="BE92" s="282"/>
      <c r="BF92" s="282"/>
      <c r="BG92" s="282"/>
      <c r="BH92" s="282"/>
      <c r="BI92" s="282"/>
      <c r="BJ92" s="282"/>
      <c r="BK92" s="282"/>
      <c r="BL92" s="282"/>
      <c r="BM92" s="282"/>
      <c r="BN92" s="282"/>
      <c r="BO92" s="282"/>
      <c r="BP92" s="282"/>
      <c r="BQ92" s="282"/>
      <c r="BR92" s="282"/>
      <c r="BS92" s="282"/>
      <c r="BT92" s="282"/>
      <c r="BU92" s="282"/>
      <c r="BV92" s="282"/>
      <c r="BW92" s="282"/>
      <c r="BX92" s="282"/>
      <c r="BY92" s="282"/>
      <c r="BZ92" s="282"/>
      <c r="CA92" s="282"/>
      <c r="CB92" s="282"/>
      <c r="CC92" s="282"/>
      <c r="CD92" s="282"/>
      <c r="CE92" s="282"/>
      <c r="CF92" s="282"/>
      <c r="CG92" s="282"/>
      <c r="CH92" s="282"/>
      <c r="CI92" s="282"/>
      <c r="CJ92" s="282"/>
      <c r="CK92" s="282"/>
      <c r="CL92" s="282"/>
      <c r="CM92" s="282"/>
      <c r="CN92" s="282"/>
      <c r="CO92" s="282"/>
      <c r="CP92" s="282"/>
      <c r="CQ92" s="282"/>
      <c r="CR92" s="282"/>
      <c r="CS92" s="282"/>
      <c r="CT92" s="282"/>
      <c r="CU92" s="282"/>
      <c r="CV92" s="282"/>
      <c r="CW92" s="282"/>
      <c r="CX92" s="282"/>
      <c r="CY92" s="282"/>
      <c r="CZ92" s="282"/>
      <c r="DA92" s="282"/>
      <c r="DB92" s="296">
        <f>IF(ISERROR('raw data'!HB93/'raw data'!HC93),0,'raw data'!HB93/'raw data'!HC93)</f>
        <v>0</v>
      </c>
      <c r="DC92" s="296">
        <f>IF(ISERROR('raw data'!HD93/'raw data'!HE93),0,'raw data'!HD93/'raw data'!HE93)</f>
        <v>0.15384615384615385</v>
      </c>
      <c r="DD92" s="296">
        <f>IF(ISERROR('raw data'!HF93/'raw data'!HG93),0,'raw data'!HF93/'raw data'!HG93)</f>
        <v>7.407407407407407E-2</v>
      </c>
      <c r="DE92" s="296">
        <f>IF(ISERROR('raw data'!HH93/'raw data'!HI93),0,'raw data'!HH93/'raw data'!HI93)</f>
        <v>7.3170731707317069E-2</v>
      </c>
      <c r="DF92" s="296">
        <f>IF(ISERROR('raw data'!HJ93/'raw data'!HK93),0,'raw data'!HJ93/'raw data'!HK93)</f>
        <v>3.5714285714285712E-2</v>
      </c>
      <c r="DG92" s="296">
        <f>IF(ISERROR('raw data'!HL93/'raw data'!HM93),0,'raw data'!HL93/'raw data'!HM93)</f>
        <v>0</v>
      </c>
      <c r="DH92" s="296">
        <f>IF(ISERROR('raw data'!HN93/'raw data'!HO93),0,'raw data'!HN93/'raw data'!HO93)</f>
        <v>4.6511627906976744E-2</v>
      </c>
      <c r="DI92" s="296">
        <f>IF(ISERROR('raw data'!HP93/'raw data'!HQ93),0,'raw data'!HP93/'raw data'!HQ93)</f>
        <v>0</v>
      </c>
      <c r="DJ92" s="296">
        <f>IF(ISERROR('raw data'!HR93/'raw data'!HS93),0,'raw data'!HR93/'raw data'!HS93)</f>
        <v>0</v>
      </c>
      <c r="DK92" s="296">
        <f>IF(ISERROR('raw data'!HT93/'raw data'!HU93),0,'raw data'!HT93/'raw data'!HU93)</f>
        <v>2.7027027027027029E-2</v>
      </c>
      <c r="DL92" s="296">
        <f>IF(ISERROR('raw data'!HV93/'raw data'!HW93),0,'raw data'!HV93/'raw data'!HW93)</f>
        <v>4.4444444444444446E-2</v>
      </c>
      <c r="DM92" s="296">
        <f>IF(ISERROR('raw data'!HX93/'raw data'!HY93),0,'raw data'!HX93/'raw data'!HY93)</f>
        <v>0.08</v>
      </c>
      <c r="DN92" s="296">
        <f>IF(ISERROR('raw data'!HZ93/'raw data'!IA93),0,'raw data'!HZ93/'raw data'!IA93)</f>
        <v>0</v>
      </c>
      <c r="DO92" s="296">
        <f>IF(ISERROR('raw data'!IB93/'raw data'!IC93),0,'raw data'!IB93/'raw data'!IC93)</f>
        <v>0</v>
      </c>
      <c r="DP92" s="296">
        <f>IF(ISERROR('raw data'!ID93/'raw data'!IE93),0,'raw data'!ID93/'raw data'!IE93)</f>
        <v>0</v>
      </c>
      <c r="DQ92" s="296">
        <f>IF(ISERROR('raw data'!IF93/'raw data'!IG93),0,'raw data'!IF93/'raw data'!IG93)</f>
        <v>0</v>
      </c>
      <c r="DR92" s="296">
        <f>IF(ISERROR('raw data'!IH93/'raw data'!II93),0,'raw data'!IH93/'raw data'!II93)</f>
        <v>0</v>
      </c>
      <c r="DS92" s="296">
        <f>IF(ISERROR('raw data'!IJ93/'raw data'!IK93),0,'raw data'!IJ93/'raw data'!IK93)</f>
        <v>0</v>
      </c>
      <c r="DT92" s="296">
        <f>IF(ISERROR('raw data'!IL93/'raw data'!IM93),0,'raw data'!IL93/'raw data'!IM93)</f>
        <v>0</v>
      </c>
      <c r="DU92" s="296">
        <f>IF(ISERROR('raw data'!IN93/'raw data'!IO93),0,'raw data'!IN93/'raw data'!IO93)</f>
        <v>0</v>
      </c>
      <c r="DV92" s="296">
        <f>IF(ISERROR('raw data'!IP93/'raw data'!IQ93),0,'raw data'!IP93/'raw data'!IQ93)</f>
        <v>0</v>
      </c>
      <c r="DW92" s="296">
        <f>IF(ISERROR('raw data'!IR93/'raw data'!IS93),0,'raw data'!IR93/'raw data'!IS93)</f>
        <v>0</v>
      </c>
      <c r="DX92" s="296">
        <f>IF(ISERROR('raw data'!IT93/'raw data'!IU93),0,'raw data'!IT93/'raw data'!IU93)</f>
        <v>0</v>
      </c>
      <c r="DY92" s="296">
        <f>IF(ISERROR('raw data'!IV93/'raw data'!IW93),0,'raw data'!IV93/'raw data'!IW93)</f>
        <v>0</v>
      </c>
      <c r="DZ92" s="296">
        <f>IF(ISERROR('raw data'!IX93/'raw data'!IY93),0,'raw data'!IX93/'raw data'!IY93)</f>
        <v>7.3891625615763543E-3</v>
      </c>
      <c r="EA92" s="296">
        <f>IF(ISERROR('raw data'!IZ93/'raw data'!JA93),0,'raw data'!IZ93/'raw data'!JA93)</f>
        <v>1.4851485148514851E-2</v>
      </c>
      <c r="EB92" s="296">
        <f>IF(ISERROR('raw data'!JB93/'raw data'!JC93),0,'raw data'!JB93/'raw data'!JC93)</f>
        <v>0</v>
      </c>
      <c r="EC92" s="296">
        <f>IF(ISERROR('raw data'!JD93/'raw data'!JE93),0,'raw data'!JD93/'raw data'!JE93)</f>
        <v>3.2128514056224897E-2</v>
      </c>
      <c r="ED92" s="243"/>
      <c r="EE92" s="297">
        <v>14</v>
      </c>
      <c r="EF92" s="297">
        <v>1360</v>
      </c>
      <c r="EG92" s="298">
        <f t="shared" si="3"/>
        <v>1.0294117647058823E-2</v>
      </c>
    </row>
    <row r="93" spans="1:137" ht="25.5" customHeight="1" x14ac:dyDescent="0.15">
      <c r="A93" s="294" t="s">
        <v>156</v>
      </c>
      <c r="B93" s="295" t="s">
        <v>150</v>
      </c>
      <c r="C93" s="295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  <c r="AA93" s="282"/>
      <c r="AB93" s="282"/>
      <c r="AC93" s="282"/>
      <c r="AD93" s="282"/>
      <c r="AE93" s="282"/>
      <c r="AF93" s="282"/>
      <c r="AG93" s="282"/>
      <c r="AH93" s="282"/>
      <c r="AI93" s="282"/>
      <c r="AJ93" s="282"/>
      <c r="AK93" s="282"/>
      <c r="AL93" s="282"/>
      <c r="AM93" s="282"/>
      <c r="AN93" s="282"/>
      <c r="AO93" s="282"/>
      <c r="AP93" s="282"/>
      <c r="AQ93" s="282"/>
      <c r="AR93" s="282"/>
      <c r="AS93" s="282"/>
      <c r="AT93" s="282"/>
      <c r="AU93" s="282"/>
      <c r="AV93" s="282"/>
      <c r="AW93" s="282"/>
      <c r="AX93" s="282"/>
      <c r="AY93" s="282"/>
      <c r="AZ93" s="282"/>
      <c r="BA93" s="282"/>
      <c r="BB93" s="282"/>
      <c r="BC93" s="282"/>
      <c r="BD93" s="282"/>
      <c r="BE93" s="282"/>
      <c r="BF93" s="282"/>
      <c r="BG93" s="282"/>
      <c r="BH93" s="282"/>
      <c r="BI93" s="282"/>
      <c r="BJ93" s="282"/>
      <c r="BK93" s="282"/>
      <c r="BL93" s="282"/>
      <c r="BM93" s="282"/>
      <c r="BN93" s="282"/>
      <c r="BO93" s="282"/>
      <c r="BP93" s="282"/>
      <c r="BQ93" s="282"/>
      <c r="BR93" s="282"/>
      <c r="BS93" s="282"/>
      <c r="BT93" s="282"/>
      <c r="BU93" s="282"/>
      <c r="BV93" s="282"/>
      <c r="BW93" s="282"/>
      <c r="BX93" s="282"/>
      <c r="BY93" s="282"/>
      <c r="BZ93" s="282"/>
      <c r="CA93" s="282"/>
      <c r="CB93" s="282"/>
      <c r="CC93" s="282"/>
      <c r="CD93" s="282"/>
      <c r="CE93" s="282"/>
      <c r="CF93" s="282"/>
      <c r="CG93" s="282"/>
      <c r="CH93" s="282"/>
      <c r="CI93" s="282"/>
      <c r="CJ93" s="282"/>
      <c r="CK93" s="282"/>
      <c r="CL93" s="282"/>
      <c r="CM93" s="282"/>
      <c r="CN93" s="282"/>
      <c r="CO93" s="282"/>
      <c r="CP93" s="282"/>
      <c r="CQ93" s="282"/>
      <c r="CR93" s="282"/>
      <c r="CS93" s="282"/>
      <c r="CT93" s="282"/>
      <c r="CU93" s="282"/>
      <c r="CV93" s="282"/>
      <c r="CW93" s="282"/>
      <c r="CX93" s="282"/>
      <c r="CY93" s="282"/>
      <c r="CZ93" s="282"/>
      <c r="DA93" s="282"/>
      <c r="DB93" s="296">
        <f>IF(ISERROR('raw data'!HB94/'raw data'!HC94),0,'raw data'!HB94/'raw data'!HC94)</f>
        <v>0</v>
      </c>
      <c r="DC93" s="296">
        <f>IF(ISERROR('raw data'!HD94/'raw data'!HE94),0,'raw data'!HD94/'raw data'!HE94)</f>
        <v>0</v>
      </c>
      <c r="DD93" s="296">
        <f>IF(ISERROR('raw data'!HF94/'raw data'!HG94),0,'raw data'!HF94/'raw data'!HG94)</f>
        <v>0</v>
      </c>
      <c r="DE93" s="296">
        <f>IF(ISERROR('raw data'!HH94/'raw data'!HI94),0,'raw data'!HH94/'raw data'!HI94)</f>
        <v>0</v>
      </c>
      <c r="DF93" s="296">
        <f>IF(ISERROR('raw data'!HJ94/'raw data'!HK94),0,'raw data'!HJ94/'raw data'!HK94)</f>
        <v>0</v>
      </c>
      <c r="DG93" s="296">
        <f>IF(ISERROR('raw data'!HL94/'raw data'!HM94),0,'raw data'!HL94/'raw data'!HM94)</f>
        <v>0</v>
      </c>
      <c r="DH93" s="296">
        <f>IF(ISERROR('raw data'!HN94/'raw data'!HO94),0,'raw data'!HN94/'raw data'!HO94)</f>
        <v>0</v>
      </c>
      <c r="DI93" s="296">
        <f>IF(ISERROR('raw data'!HP94/'raw data'!HQ94),0,'raw data'!HP94/'raw data'!HQ94)</f>
        <v>0</v>
      </c>
      <c r="DJ93" s="296">
        <f>IF(ISERROR('raw data'!HR94/'raw data'!HS94),0,'raw data'!HR94/'raw data'!HS94)</f>
        <v>0</v>
      </c>
      <c r="DK93" s="296">
        <f>IF(ISERROR('raw data'!HT94/'raw data'!HU94),0,'raw data'!HT94/'raw data'!HU94)</f>
        <v>0</v>
      </c>
      <c r="DL93" s="296">
        <f>IF(ISERROR('raw data'!HV94/'raw data'!HW94),0,'raw data'!HV94/'raw data'!HW94)</f>
        <v>0</v>
      </c>
      <c r="DM93" s="296">
        <f>IF(ISERROR('raw data'!HX94/'raw data'!HY94),0,'raw data'!HX94/'raw data'!HY94)</f>
        <v>0</v>
      </c>
      <c r="DN93" s="296">
        <f>IF(ISERROR('raw data'!HZ94/'raw data'!IA94),0,'raw data'!HZ94/'raw data'!IA94)</f>
        <v>0</v>
      </c>
      <c r="DO93" s="296">
        <f>IF(ISERROR('raw data'!IB94/'raw data'!IC94),0,'raw data'!IB94/'raw data'!IC94)</f>
        <v>0</v>
      </c>
      <c r="DP93" s="296">
        <f>IF(ISERROR('raw data'!ID94/'raw data'!IE94),0,'raw data'!ID94/'raw data'!IE94)</f>
        <v>0</v>
      </c>
      <c r="DQ93" s="296">
        <f>IF(ISERROR('raw data'!IF94/'raw data'!IG94),0,'raw data'!IF94/'raw data'!IG94)</f>
        <v>0</v>
      </c>
      <c r="DR93" s="296">
        <f>IF(ISERROR('raw data'!IH94/'raw data'!II94),0,'raw data'!IH94/'raw data'!II94)</f>
        <v>0</v>
      </c>
      <c r="DS93" s="296">
        <f>IF(ISERROR('raw data'!IJ94/'raw data'!IK94),0,'raw data'!IJ94/'raw data'!IK94)</f>
        <v>0</v>
      </c>
      <c r="DT93" s="296">
        <f>IF(ISERROR('raw data'!IL94/'raw data'!IM94),0,'raw data'!IL94/'raw data'!IM94)</f>
        <v>0</v>
      </c>
      <c r="DU93" s="296">
        <f>IF(ISERROR('raw data'!IN94/'raw data'!IO94),0,'raw data'!IN94/'raw data'!IO94)</f>
        <v>0</v>
      </c>
      <c r="DV93" s="296">
        <f>IF(ISERROR('raw data'!IP94/'raw data'!IQ94),0,'raw data'!IP94/'raw data'!IQ94)</f>
        <v>0</v>
      </c>
      <c r="DW93" s="296">
        <f>IF(ISERROR('raw data'!IR94/'raw data'!IS94),0,'raw data'!IR94/'raw data'!IS94)</f>
        <v>0</v>
      </c>
      <c r="DX93" s="296">
        <f>IF(ISERROR('raw data'!IT94/'raw data'!IU94),0,'raw data'!IT94/'raw data'!IU94)</f>
        <v>0</v>
      </c>
      <c r="DY93" s="296">
        <f>IF(ISERROR('raw data'!IV94/'raw data'!IW94),0,'raw data'!IV94/'raw data'!IW94)</f>
        <v>0</v>
      </c>
      <c r="DZ93" s="296">
        <f>IF(ISERROR('raw data'!IX94/'raw data'!IY94),0,'raw data'!IX94/'raw data'!IY94)</f>
        <v>0</v>
      </c>
      <c r="EA93" s="296">
        <f>IF(ISERROR('raw data'!IZ94/'raw data'!JA94),0,'raw data'!IZ94/'raw data'!JA94)</f>
        <v>0</v>
      </c>
      <c r="EB93" s="296">
        <f>IF(ISERROR('raw data'!JB94/'raw data'!JC94),0,'raw data'!JB94/'raw data'!JC94)</f>
        <v>0</v>
      </c>
      <c r="EC93" s="296">
        <f>IF(ISERROR('raw data'!JD94/'raw data'!JE94),0,'raw data'!JD94/'raw data'!JE94)</f>
        <v>0</v>
      </c>
      <c r="ED93" s="243"/>
      <c r="EE93" s="297">
        <v>0</v>
      </c>
      <c r="EF93" s="297">
        <v>140</v>
      </c>
      <c r="EG93" s="298">
        <f t="shared" si="3"/>
        <v>0</v>
      </c>
    </row>
    <row r="94" spans="1:137" ht="14" x14ac:dyDescent="0.15">
      <c r="A94" s="241"/>
      <c r="B94" s="129" t="s">
        <v>157</v>
      </c>
      <c r="C94" s="242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  <c r="AU94" s="243"/>
      <c r="AV94" s="243"/>
      <c r="AW94" s="243"/>
      <c r="AX94" s="243"/>
      <c r="AY94" s="243"/>
      <c r="AZ94" s="243"/>
      <c r="BA94" s="243"/>
      <c r="BB94" s="243"/>
      <c r="BC94" s="243"/>
      <c r="BD94" s="243"/>
      <c r="BE94" s="243"/>
      <c r="BF94" s="243"/>
      <c r="BG94" s="243"/>
      <c r="BH94" s="243"/>
      <c r="BI94" s="243"/>
      <c r="BJ94" s="243"/>
      <c r="BK94" s="243"/>
      <c r="BL94" s="243"/>
      <c r="BM94" s="243"/>
      <c r="BN94" s="243"/>
      <c r="BO94" s="243"/>
      <c r="BP94" s="243"/>
      <c r="BQ94" s="243"/>
      <c r="BR94" s="243"/>
      <c r="BS94" s="243"/>
      <c r="BT94" s="243"/>
      <c r="BU94" s="243"/>
      <c r="BV94" s="243"/>
      <c r="BW94" s="243"/>
      <c r="BX94" s="243"/>
      <c r="BY94" s="243"/>
      <c r="BZ94" s="243"/>
      <c r="CA94" s="243"/>
      <c r="CB94" s="243"/>
      <c r="CC94" s="243"/>
      <c r="CD94" s="243"/>
      <c r="CE94" s="243"/>
      <c r="CF94" s="243"/>
      <c r="CG94" s="243"/>
      <c r="CH94" s="243"/>
      <c r="CI94" s="243"/>
      <c r="CJ94" s="243"/>
      <c r="CK94" s="243"/>
      <c r="CL94" s="243"/>
      <c r="CM94" s="243"/>
      <c r="CN94" s="243"/>
      <c r="CO94" s="243"/>
      <c r="CP94" s="243"/>
      <c r="CQ94" s="243"/>
      <c r="CR94" s="243"/>
      <c r="CS94" s="243"/>
      <c r="CT94" s="243"/>
      <c r="CU94" s="243"/>
      <c r="CV94" s="243"/>
      <c r="CW94" s="243"/>
      <c r="CX94" s="243"/>
      <c r="CY94" s="243"/>
      <c r="CZ94" s="243"/>
      <c r="DA94" s="243"/>
      <c r="DB94" s="243">
        <f>IF(ISERROR('raw data'!HB95/'raw data'!HC95),0,'raw data'!HB95/'raw data'!HC95)</f>
        <v>0.02</v>
      </c>
      <c r="DC94" s="243">
        <f>IF(ISERROR('raw data'!HD95/'raw data'!HE95),0,'raw data'!HD95/'raw data'!HE95)</f>
        <v>4.5454545454545456E-2</v>
      </c>
      <c r="DD94" s="243">
        <f>IF(ISERROR('raw data'!HF95/'raw data'!HG95),0,'raw data'!HF95/'raw data'!HG95)</f>
        <v>0.08</v>
      </c>
      <c r="DE94" s="243">
        <f>IF(ISERROR('raw data'!HH95/'raw data'!HI95),0,'raw data'!HH95/'raw data'!HI95)</f>
        <v>6.3492063492063489E-2</v>
      </c>
      <c r="DF94" s="243">
        <f>IF(ISERROR('raw data'!HJ95/'raw data'!HK95),0,'raw data'!HJ95/'raw data'!HK95)</f>
        <v>2.1276595744680851E-2</v>
      </c>
      <c r="DG94" s="243">
        <f>IF(ISERROR('raw data'!HL95/'raw data'!HM95),0,'raw data'!HL95/'raw data'!HM95)</f>
        <v>1.2048192771084338E-2</v>
      </c>
      <c r="DH94" s="243">
        <f>IF(ISERROR('raw data'!HN95/'raw data'!HO95),0,'raw data'!HN95/'raw data'!HO95)</f>
        <v>5.2631578947368418E-2</v>
      </c>
      <c r="DI94" s="243">
        <f>IF(ISERROR('raw data'!HP95/'raw data'!HQ95),0,'raw data'!HP95/'raw data'!HQ95)</f>
        <v>0</v>
      </c>
      <c r="DJ94" s="243">
        <f>IF(ISERROR('raw data'!HR95/'raw data'!HS95),0,'raw data'!HR95/'raw data'!HS95)</f>
        <v>0</v>
      </c>
      <c r="DK94" s="243">
        <f>IF(ISERROR('raw data'!HT95/'raw data'!HU95),0,'raw data'!HT95/'raw data'!HU95)</f>
        <v>2.4390243902439025E-2</v>
      </c>
      <c r="DL94" s="243">
        <f>IF(ISERROR('raw data'!HV95/'raw data'!HW95),0,'raw data'!HV95/'raw data'!HW95)</f>
        <v>0.04</v>
      </c>
      <c r="DM94" s="243">
        <f>IF(ISERROR('raw data'!HX95/'raw data'!HY95),0,'raw data'!HX95/'raw data'!HY95)</f>
        <v>7.407407407407407E-2</v>
      </c>
      <c r="DN94" s="243">
        <f>IF(ISERROR('raw data'!HZ95/'raw data'!IA95),0,'raw data'!HZ95/'raw data'!IA95)</f>
        <v>0</v>
      </c>
      <c r="DO94" s="243">
        <f>IF(ISERROR('raw data'!IB95/'raw data'!IC95),0,'raw data'!IB95/'raw data'!IC95)</f>
        <v>0</v>
      </c>
      <c r="DP94" s="243">
        <f>IF(ISERROR('raw data'!ID95/'raw data'!IE95),0,'raw data'!ID95/'raw data'!IE95)</f>
        <v>0</v>
      </c>
      <c r="DQ94" s="243">
        <f>IF(ISERROR('raw data'!IF95/'raw data'!IG95),0,'raw data'!IF95/'raw data'!IG95)</f>
        <v>0</v>
      </c>
      <c r="DR94" s="243">
        <f>IF(ISERROR('raw data'!IH95/'raw data'!II95),0,'raw data'!IH95/'raw data'!II95)</f>
        <v>0</v>
      </c>
      <c r="DS94" s="243">
        <f>IF(ISERROR('raw data'!IJ95/'raw data'!IK95),0,'raw data'!IJ95/'raw data'!IK95)</f>
        <v>0</v>
      </c>
      <c r="DT94" s="243">
        <f>IF(ISERROR('raw data'!IL95/'raw data'!IM95),0,'raw data'!IL95/'raw data'!IM95)</f>
        <v>0</v>
      </c>
      <c r="DU94" s="243">
        <f>IF(ISERROR('raw data'!IN95/'raw data'!IO95),0,'raw data'!IN95/'raw data'!IO95)</f>
        <v>0</v>
      </c>
      <c r="DV94" s="243">
        <f>IF(ISERROR('raw data'!IP95/'raw data'!IQ95),0,'raw data'!IP95/'raw data'!IQ95)</f>
        <v>0</v>
      </c>
      <c r="DW94" s="243">
        <f>IF(ISERROR('raw data'!IR95/'raw data'!IS95),0,'raw data'!IR95/'raw data'!IS95)</f>
        <v>0</v>
      </c>
      <c r="DX94" s="243">
        <f>IF(ISERROR('raw data'!IT95/'raw data'!IU95),0,'raw data'!IT95/'raw data'!IU95)</f>
        <v>0</v>
      </c>
      <c r="DY94" s="243">
        <f>IF(ISERROR('raw data'!IV95/'raw data'!IW95),0,'raw data'!IV95/'raw data'!IW95)</f>
        <v>0</v>
      </c>
      <c r="DZ94" s="243">
        <f>IF(ISERROR('raw data'!IX95/'raw data'!IY95),0,'raw data'!IX95/'raw data'!IY95)</f>
        <v>5.7803468208092483E-3</v>
      </c>
      <c r="EA94" s="243">
        <f>IF(ISERROR('raw data'!IZ95/'raw data'!JA95),0,'raw data'!IZ95/'raw data'!JA95)</f>
        <v>2.1645021645021644E-2</v>
      </c>
      <c r="EB94" s="243">
        <f>IF(ISERROR('raw data'!JB95/'raw data'!JC95),0,'raw data'!JB95/'raw data'!JC95)</f>
        <v>0</v>
      </c>
      <c r="EC94" s="243">
        <f>IF(ISERROR('raw data'!JD95/'raw data'!JE95),0,'raw data'!JD95/'raw data'!JE95)</f>
        <v>3.3783783783783786E-2</v>
      </c>
      <c r="ED94" s="243"/>
      <c r="EE94" s="244">
        <f>SUM(EE89:EE93)</f>
        <v>18</v>
      </c>
      <c r="EF94" s="244">
        <f>SUM(EF89:EF93)</f>
        <v>1638</v>
      </c>
      <c r="EG94" s="245">
        <f>IF(ISERROR(EE94/EF94),0,EE94/EF94)</f>
        <v>1.098901098901099E-2</v>
      </c>
    </row>
    <row r="95" spans="1:137" ht="25.5" customHeight="1" x14ac:dyDescent="0.15">
      <c r="A95" s="212" t="s">
        <v>158</v>
      </c>
      <c r="B95" s="299" t="s">
        <v>159</v>
      </c>
      <c r="C95" s="136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  <c r="BX95" s="282"/>
      <c r="BY95" s="282"/>
      <c r="BZ95" s="282"/>
      <c r="CA95" s="282"/>
      <c r="CB95" s="282"/>
      <c r="CC95" s="282"/>
      <c r="CD95" s="282"/>
      <c r="CE95" s="282"/>
      <c r="CF95" s="282"/>
      <c r="CG95" s="282"/>
      <c r="CH95" s="282"/>
      <c r="CI95" s="282"/>
      <c r="CJ95" s="282"/>
      <c r="CK95" s="282"/>
      <c r="CL95" s="282"/>
      <c r="CM95" s="282"/>
      <c r="CN95" s="282"/>
      <c r="CO95" s="282"/>
      <c r="CP95" s="282"/>
      <c r="CQ95" s="282"/>
      <c r="CR95" s="282"/>
      <c r="CS95" s="282"/>
      <c r="CT95" s="282"/>
      <c r="CU95" s="282"/>
      <c r="CV95" s="282"/>
      <c r="CW95" s="282"/>
      <c r="CX95" s="282"/>
      <c r="CY95" s="282"/>
      <c r="CZ95" s="282"/>
      <c r="DA95" s="282"/>
      <c r="DB95" s="282"/>
      <c r="DC95" s="282"/>
      <c r="DD95" s="282"/>
      <c r="DE95" s="300">
        <f>IF(ISERROR('raw data'!HH96/'raw data'!HI96),0,'raw data'!HH96/'raw data'!HI96)</f>
        <v>0.18965517241379309</v>
      </c>
      <c r="DF95" s="300">
        <f>IF(ISERROR('raw data'!HJ96/'raw data'!HK96),0,'raw data'!HJ96/'raw data'!HK96)</f>
        <v>0.45454545454545453</v>
      </c>
      <c r="DG95" s="300">
        <f>IF(ISERROR('raw data'!HL96/'raw data'!HM96),0,'raw data'!HL96/'raw data'!HM96)</f>
        <v>0.3</v>
      </c>
      <c r="DH95" s="300">
        <f>IF(ISERROR('raw data'!HN96/'raw data'!HO96),0,'raw data'!HN96/'raw data'!HO96)</f>
        <v>0.3888888888888889</v>
      </c>
      <c r="DI95" s="300">
        <f>IF(ISERROR('raw data'!HP96/'raw data'!HQ96),0,'raw data'!HP96/'raw data'!HQ96)</f>
        <v>0.4107142857142857</v>
      </c>
      <c r="DJ95" s="300">
        <f>IF(ISERROR('raw data'!HR96/'raw data'!HS96),0,'raw data'!HR96/'raw data'!HS96)</f>
        <v>0.47058823529411764</v>
      </c>
      <c r="DK95" s="300">
        <f>IF(ISERROR('raw data'!HT96/'raw data'!HU96),0,'raw data'!HT96/'raw data'!HU96)</f>
        <v>0.5161290322580645</v>
      </c>
      <c r="DL95" s="300">
        <f>IF(ISERROR('raw data'!HV96/'raw data'!HW96),0,'raw data'!HV96/'raw data'!HW96)</f>
        <v>0.45833333333333331</v>
      </c>
      <c r="DM95" s="300">
        <f>IF(ISERROR('raw data'!HX96/'raw data'!HY96),0,'raw data'!HX96/'raw data'!HY96)</f>
        <v>6.4516129032258063E-2</v>
      </c>
      <c r="DN95" s="300">
        <f>IF(ISERROR('raw data'!HZ96/'raw data'!IA96),0,'raw data'!HZ96/'raw data'!IA96)</f>
        <v>0.63157894736842102</v>
      </c>
      <c r="DO95" s="300">
        <f>IF(ISERROR('raw data'!IB96/'raw data'!IC96),0,'raw data'!IB96/'raw data'!IC96)</f>
        <v>0.38461538461538464</v>
      </c>
      <c r="DP95" s="300">
        <f>IF(ISERROR('raw data'!ID96/'raw data'!IE96),0,'raw data'!ID96/'raw data'!IE96)</f>
        <v>0.60606060606060608</v>
      </c>
      <c r="DQ95" s="300">
        <f>IF(ISERROR('raw data'!IF96/'raw data'!IG96),0,'raw data'!IF96/'raw data'!IG96)</f>
        <v>0.37037037037037035</v>
      </c>
      <c r="DR95" s="300">
        <f>IF(ISERROR('raw data'!IH96/'raw data'!II96),0,'raw data'!IH96/'raw data'!II96)</f>
        <v>0.41666666666666669</v>
      </c>
      <c r="DS95" s="300">
        <f>IF(ISERROR('raw data'!IJ96/'raw data'!IK96),0,'raw data'!IJ96/'raw data'!IK96)</f>
        <v>0.5</v>
      </c>
      <c r="DT95" s="300">
        <f>IF(ISERROR('raw data'!IL96/'raw data'!IM96),0,'raw data'!IL96/'raw data'!IM96)</f>
        <v>0.42857142857142855</v>
      </c>
      <c r="DU95" s="300">
        <f>IF(ISERROR('raw data'!IN96/'raw data'!IO96),0,'raw data'!IN96/'raw data'!IO96)</f>
        <v>0.10344827586206896</v>
      </c>
      <c r="DV95" s="300">
        <f>IF(ISERROR('raw data'!IP96/'raw data'!IQ96),0,'raw data'!IP96/'raw data'!IQ96)</f>
        <v>0.5</v>
      </c>
      <c r="DW95" s="300">
        <f>IF(ISERROR('raw data'!IR96/'raw data'!IS96),0,'raw data'!IR96/'raw data'!IS96)</f>
        <v>0.69230769230769229</v>
      </c>
      <c r="DX95" s="300">
        <f>IF(ISERROR('raw data'!IT96/'raw data'!IU96),0,'raw data'!IT96/'raw data'!IU96)</f>
        <v>0.75</v>
      </c>
      <c r="DY95" s="300">
        <f>IF(ISERROR('raw data'!IV96/'raw data'!IW96),0,'raw data'!IV96/'raw data'!IW96)</f>
        <v>0.43478260869565216</v>
      </c>
      <c r="DZ95" s="300">
        <f>IF(ISERROR('raw data'!IX96/'raw data'!IY96),0,'raw data'!IX96/'raw data'!IY96)</f>
        <v>0.54545454545454541</v>
      </c>
      <c r="EA95" s="300">
        <f>IF(ISERROR('raw data'!IZ96/'raw data'!JA96),0,'raw data'!IZ96/'raw data'!JA96)</f>
        <v>0.5</v>
      </c>
      <c r="EB95" s="300">
        <f>IF(ISERROR('raw data'!JB96/'raw data'!JC96),0,'raw data'!JB96/'raw data'!JC96)</f>
        <v>0.70967741935483875</v>
      </c>
      <c r="EC95" s="300">
        <f>IF(ISERROR('raw data'!JD96/'raw data'!JE96),0,'raw data'!JD96/'raw data'!JE96)</f>
        <v>0.3</v>
      </c>
      <c r="ED95" s="243"/>
      <c r="EE95" s="301">
        <v>120</v>
      </c>
      <c r="EF95" s="301">
        <v>241</v>
      </c>
      <c r="EG95" s="302">
        <f>IF(ISERROR(EE95/EF95),0,EE95/EF95)</f>
        <v>0.49792531120331951</v>
      </c>
    </row>
    <row r="96" spans="1:137" ht="25.5" customHeight="1" x14ac:dyDescent="0.15">
      <c r="A96" s="212" t="s">
        <v>160</v>
      </c>
      <c r="B96" s="299" t="s">
        <v>161</v>
      </c>
      <c r="C96" s="136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  <c r="BX96" s="282"/>
      <c r="BY96" s="282"/>
      <c r="BZ96" s="282"/>
      <c r="CA96" s="282"/>
      <c r="CB96" s="282"/>
      <c r="CC96" s="282"/>
      <c r="CD96" s="282"/>
      <c r="CE96" s="282"/>
      <c r="CF96" s="282"/>
      <c r="CG96" s="282"/>
      <c r="CH96" s="282"/>
      <c r="CI96" s="282"/>
      <c r="CJ96" s="282"/>
      <c r="CK96" s="282"/>
      <c r="CL96" s="282"/>
      <c r="CM96" s="282"/>
      <c r="CN96" s="282"/>
      <c r="CO96" s="282"/>
      <c r="CP96" s="282"/>
      <c r="CQ96" s="282"/>
      <c r="CR96" s="282"/>
      <c r="CS96" s="282"/>
      <c r="CT96" s="282"/>
      <c r="CU96" s="282"/>
      <c r="CV96" s="282"/>
      <c r="CW96" s="282"/>
      <c r="CX96" s="282"/>
      <c r="CY96" s="282"/>
      <c r="CZ96" s="282"/>
      <c r="DA96" s="282"/>
      <c r="DB96" s="282"/>
      <c r="DC96" s="282"/>
      <c r="DD96" s="282"/>
      <c r="DE96" s="300">
        <f>IF(ISERROR('raw data'!HH97/'raw data'!HI97),0,'raw data'!HH97/'raw data'!HI97)</f>
        <v>0</v>
      </c>
      <c r="DF96" s="300">
        <f>IF(ISERROR('raw data'!HJ97/'raw data'!HK97),0,'raw data'!HJ97/'raw data'!HK97)</f>
        <v>0.33333333333333331</v>
      </c>
      <c r="DG96" s="300">
        <f>IF(ISERROR('raw data'!HL97/'raw data'!HM97),0,'raw data'!HL97/'raw data'!HM97)</f>
        <v>0.25</v>
      </c>
      <c r="DH96" s="300">
        <f>IF(ISERROR('raw data'!HN97/'raw data'!HO97),0,'raw data'!HN97/'raw data'!HO97)</f>
        <v>1</v>
      </c>
      <c r="DI96" s="300">
        <f>IF(ISERROR('raw data'!HP97/'raw data'!HQ97),0,'raw data'!HP97/'raw data'!HQ97)</f>
        <v>1</v>
      </c>
      <c r="DJ96" s="300">
        <f>IF(ISERROR('raw data'!HR97/'raw data'!HS97),0,'raw data'!HR97/'raw data'!HS97)</f>
        <v>0.16666666666666666</v>
      </c>
      <c r="DK96" s="300">
        <f>IF(ISERROR('raw data'!HT97/'raw data'!HU97),0,'raw data'!HT97/'raw data'!HU97)</f>
        <v>1</v>
      </c>
      <c r="DL96" s="300">
        <f>IF(ISERROR('raw data'!HV97/'raw data'!HW97),0,'raw data'!HV97/'raw data'!HW97)</f>
        <v>1</v>
      </c>
      <c r="DM96" s="300">
        <f>IF(ISERROR('raw data'!HX97/'raw data'!HY97),0,'raw data'!HX97/'raw data'!HY97)</f>
        <v>1</v>
      </c>
      <c r="DN96" s="300">
        <f>IF(ISERROR('raw data'!HZ97/'raw data'!IA97),0,'raw data'!HZ97/'raw data'!IA97)</f>
        <v>0.7142857142857143</v>
      </c>
      <c r="DO96" s="300">
        <f>IF(ISERROR('raw data'!IB97/'raw data'!IC97),0,'raw data'!IB97/'raw data'!IC97)</f>
        <v>1</v>
      </c>
      <c r="DP96" s="300">
        <f>IF(ISERROR('raw data'!ID97/'raw data'!IE97),0,'raw data'!ID97/'raw data'!IE97)</f>
        <v>0.33333333333333331</v>
      </c>
      <c r="DQ96" s="300">
        <f>IF(ISERROR('raw data'!IF97/'raw data'!IG97),0,'raw data'!IF97/'raw data'!IG97)</f>
        <v>0.38461538461538464</v>
      </c>
      <c r="DR96" s="300">
        <f>IF(ISERROR('raw data'!IH97/'raw data'!II97),0,'raw data'!IH97/'raw data'!II97)</f>
        <v>0.7142857142857143</v>
      </c>
      <c r="DS96" s="300">
        <f>IF(ISERROR('raw data'!IJ97/'raw data'!IK97),0,'raw data'!IJ97/'raw data'!IK97)</f>
        <v>0.58823529411764708</v>
      </c>
      <c r="DT96" s="300">
        <f>IF(ISERROR('raw data'!IL97/'raw data'!IM97),0,'raw data'!IL97/'raw data'!IM97)</f>
        <v>0</v>
      </c>
      <c r="DU96" s="300">
        <f>IF(ISERROR('raw data'!IN97/'raw data'!IO97),0,'raw data'!IN97/'raw data'!IO97)</f>
        <v>0.125</v>
      </c>
      <c r="DV96" s="300">
        <f>IF(ISERROR('raw data'!IP97/'raw data'!IQ97),0,'raw data'!IP97/'raw data'!IQ97)</f>
        <v>0.5</v>
      </c>
      <c r="DW96" s="300">
        <f>IF(ISERROR('raw data'!IR97/'raw data'!IS97),0,'raw data'!IR97/'raw data'!IS97)</f>
        <v>0.2857142857142857</v>
      </c>
      <c r="DX96" s="300">
        <f>IF(ISERROR('raw data'!IT97/'raw data'!IU97),0,'raw data'!IT97/'raw data'!IU97)</f>
        <v>0.25</v>
      </c>
      <c r="DY96" s="300">
        <f>IF(ISERROR('raw data'!IV97/'raw data'!IW97),0,'raw data'!IV97/'raw data'!IW97)</f>
        <v>0.33333333333333331</v>
      </c>
      <c r="DZ96" s="300">
        <f>IF(ISERROR('raw data'!IX97/'raw data'!IY97),0,'raw data'!IX97/'raw data'!IY97)</f>
        <v>1</v>
      </c>
      <c r="EA96" s="300">
        <f>IF(ISERROR('raw data'!IZ97/'raw data'!JA97),0,'raw data'!IZ97/'raw data'!JA97)</f>
        <v>1</v>
      </c>
      <c r="EB96" s="300">
        <f>IF(ISERROR('raw data'!JB97/'raw data'!JC97),0,'raw data'!JB97/'raw data'!JC97)</f>
        <v>0.5</v>
      </c>
      <c r="EC96" s="300">
        <f>IF(ISERROR('raw data'!JD97/'raw data'!JE97),0,'raw data'!JD97/'raw data'!JE97)</f>
        <v>1</v>
      </c>
      <c r="ED96" s="243"/>
      <c r="EE96" s="301">
        <v>35</v>
      </c>
      <c r="EF96" s="301">
        <v>70</v>
      </c>
      <c r="EG96" s="302">
        <f t="shared" ref="EG96:EG98" si="4">IF(ISERROR(EE96/EF96),0,EE96/EF96)</f>
        <v>0.5</v>
      </c>
    </row>
    <row r="97" spans="1:137" ht="25.5" customHeight="1" x14ac:dyDescent="0.15">
      <c r="A97" s="212" t="s">
        <v>162</v>
      </c>
      <c r="B97" s="299" t="s">
        <v>163</v>
      </c>
      <c r="C97" s="136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  <c r="BX97" s="282"/>
      <c r="BY97" s="282"/>
      <c r="BZ97" s="282"/>
      <c r="CA97" s="282"/>
      <c r="CB97" s="282"/>
      <c r="CC97" s="282"/>
      <c r="CD97" s="282"/>
      <c r="CE97" s="282"/>
      <c r="CF97" s="282"/>
      <c r="CG97" s="282"/>
      <c r="CH97" s="282"/>
      <c r="CI97" s="282"/>
      <c r="CJ97" s="282"/>
      <c r="CK97" s="282"/>
      <c r="CL97" s="282"/>
      <c r="CM97" s="282"/>
      <c r="CN97" s="282"/>
      <c r="CO97" s="282"/>
      <c r="CP97" s="282"/>
      <c r="CQ97" s="282"/>
      <c r="CR97" s="282"/>
      <c r="CS97" s="282"/>
      <c r="CT97" s="282"/>
      <c r="CU97" s="282"/>
      <c r="CV97" s="282"/>
      <c r="CW97" s="282"/>
      <c r="CX97" s="282"/>
      <c r="CY97" s="282"/>
      <c r="CZ97" s="282"/>
      <c r="DA97" s="282"/>
      <c r="DB97" s="282"/>
      <c r="DC97" s="282"/>
      <c r="DD97" s="282"/>
      <c r="DE97" s="300">
        <f>IF(ISERROR('raw data'!HH98/'raw data'!HI98),0,'raw data'!HH98/'raw data'!HI98)</f>
        <v>1</v>
      </c>
      <c r="DF97" s="300">
        <f>IF(ISERROR('raw data'!HJ98/'raw data'!HK98),0,'raw data'!HJ98/'raw data'!HK98)</f>
        <v>0</v>
      </c>
      <c r="DG97" s="300">
        <f>IF(ISERROR('raw data'!HL98/'raw data'!HM98),0,'raw data'!HL98/'raw data'!HM98)</f>
        <v>0</v>
      </c>
      <c r="DH97" s="300">
        <f>IF(ISERROR('raw data'!HN98/'raw data'!HO98),0,'raw data'!HN98/'raw data'!HO98)</f>
        <v>0</v>
      </c>
      <c r="DI97" s="300">
        <f>IF(ISERROR('raw data'!HP98/'raw data'!HQ98),0,'raw data'!HP98/'raw data'!HQ98)</f>
        <v>0.15217391304347827</v>
      </c>
      <c r="DJ97" s="300">
        <f>IF(ISERROR('raw data'!HR98/'raw data'!HS98),0,'raw data'!HR98/'raw data'!HS98)</f>
        <v>0</v>
      </c>
      <c r="DK97" s="300">
        <f>IF(ISERROR('raw data'!HT98/'raw data'!HU98),0,'raw data'!HT98/'raw data'!HU98)</f>
        <v>0.33333333333333331</v>
      </c>
      <c r="DL97" s="300">
        <f>IF(ISERROR('raw data'!HV98/'raw data'!HW98),0,'raw data'!HV98/'raw data'!HW98)</f>
        <v>0.25</v>
      </c>
      <c r="DM97" s="300">
        <f>IF(ISERROR('raw data'!HX98/'raw data'!HY98),0,'raw data'!HX98/'raw data'!HY98)</f>
        <v>0</v>
      </c>
      <c r="DN97" s="300">
        <f>IF(ISERROR('raw data'!HZ98/'raw data'!IA98),0,'raw data'!HZ98/'raw data'!IA98)</f>
        <v>0.5</v>
      </c>
      <c r="DO97" s="300">
        <f>IF(ISERROR('raw data'!IB98/'raw data'!IC98),0,'raw data'!IB98/'raw data'!IC98)</f>
        <v>0.66666666666666663</v>
      </c>
      <c r="DP97" s="300">
        <f>IF(ISERROR('raw data'!ID98/'raw data'!IE98),0,'raw data'!ID98/'raw data'!IE98)</f>
        <v>0.16216216216216217</v>
      </c>
      <c r="DQ97" s="300">
        <f>IF(ISERROR('raw data'!IF98/'raw data'!IG98),0,'raw data'!IF98/'raw data'!IG98)</f>
        <v>0</v>
      </c>
      <c r="DR97" s="300">
        <f>IF(ISERROR('raw data'!IH98/'raw data'!II98),0,'raw data'!IH98/'raw data'!II98)</f>
        <v>0.2</v>
      </c>
      <c r="DS97" s="300">
        <f>IF(ISERROR('raw data'!IJ98/'raw data'!IK98),0,'raw data'!IJ98/'raw data'!IK98)</f>
        <v>0.5</v>
      </c>
      <c r="DT97" s="300">
        <f>IF(ISERROR('raw data'!IL98/'raw data'!IM98),0,'raw data'!IL98/'raw data'!IM98)</f>
        <v>0.16666666666666666</v>
      </c>
      <c r="DU97" s="300">
        <f>IF(ISERROR('raw data'!IN98/'raw data'!IO98),0,'raw data'!IN98/'raw data'!IO98)</f>
        <v>0</v>
      </c>
      <c r="DV97" s="300">
        <f>IF(ISERROR('raw data'!IP98/'raw data'!IQ98),0,'raw data'!IP98/'raw data'!IQ98)</f>
        <v>0.4</v>
      </c>
      <c r="DW97" s="300">
        <f>IF(ISERROR('raw data'!IR98/'raw data'!IS98),0,'raw data'!IR98/'raw data'!IS98)</f>
        <v>9.0909090909090912E-2</v>
      </c>
      <c r="DX97" s="300">
        <f>IF(ISERROR('raw data'!IT98/'raw data'!IU98),0,'raw data'!IT98/'raw data'!IU98)</f>
        <v>0.2</v>
      </c>
      <c r="DY97" s="300">
        <f>IF(ISERROR('raw data'!IV98/'raw data'!IW98),0,'raw data'!IV98/'raw data'!IW98)</f>
        <v>0.2857142857142857</v>
      </c>
      <c r="DZ97" s="300">
        <f>IF(ISERROR('raw data'!IX98/'raw data'!IY98),0,'raw data'!IX98/'raw data'!IY98)</f>
        <v>0.66666666666666663</v>
      </c>
      <c r="EA97" s="300">
        <f>IF(ISERROR('raw data'!IZ98/'raw data'!JA98),0,'raw data'!IZ98/'raw data'!JA98)</f>
        <v>0.4</v>
      </c>
      <c r="EB97" s="300">
        <f>IF(ISERROR('raw data'!JB98/'raw data'!JC98),0,'raw data'!JB98/'raw data'!JC98)</f>
        <v>0.125</v>
      </c>
      <c r="EC97" s="300">
        <f>IF(ISERROR('raw data'!JD98/'raw data'!JE98),0,'raw data'!JD98/'raw data'!JE98)</f>
        <v>0</v>
      </c>
      <c r="ED97" s="243"/>
      <c r="EE97" s="301">
        <v>23</v>
      </c>
      <c r="EF97" s="301">
        <v>104</v>
      </c>
      <c r="EG97" s="302">
        <f t="shared" si="4"/>
        <v>0.22115384615384615</v>
      </c>
    </row>
    <row r="98" spans="1:137" ht="25.5" hidden="1" customHeight="1" x14ac:dyDescent="0.15">
      <c r="A98" s="212" t="s">
        <v>164</v>
      </c>
      <c r="B98" s="299"/>
      <c r="C98" s="136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  <c r="BX98" s="282"/>
      <c r="BY98" s="282"/>
      <c r="BZ98" s="282"/>
      <c r="CA98" s="282"/>
      <c r="CB98" s="282"/>
      <c r="CC98" s="282"/>
      <c r="CD98" s="282"/>
      <c r="CE98" s="282"/>
      <c r="CF98" s="282"/>
      <c r="CG98" s="282"/>
      <c r="CH98" s="282"/>
      <c r="CI98" s="282"/>
      <c r="CJ98" s="282"/>
      <c r="CK98" s="282"/>
      <c r="CL98" s="282"/>
      <c r="CM98" s="282"/>
      <c r="CN98" s="282"/>
      <c r="CO98" s="282"/>
      <c r="CP98" s="282"/>
      <c r="CQ98" s="282"/>
      <c r="CR98" s="282"/>
      <c r="CS98" s="282"/>
      <c r="CT98" s="282"/>
      <c r="CU98" s="282"/>
      <c r="CV98" s="282"/>
      <c r="CW98" s="282"/>
      <c r="CX98" s="282"/>
      <c r="CY98" s="282"/>
      <c r="CZ98" s="282"/>
      <c r="DA98" s="282"/>
      <c r="DB98" s="282"/>
      <c r="DC98" s="282"/>
      <c r="DD98" s="282"/>
      <c r="DE98" s="282"/>
      <c r="DF98" s="282"/>
      <c r="DG98" s="282"/>
      <c r="DH98" s="282"/>
      <c r="DI98" s="282"/>
      <c r="DJ98" s="282"/>
      <c r="DK98" s="282"/>
      <c r="DL98" s="282"/>
      <c r="DM98" s="282"/>
      <c r="DN98" s="282"/>
      <c r="DO98" s="282"/>
      <c r="DP98" s="282"/>
      <c r="DQ98" s="282"/>
      <c r="DR98" s="282"/>
      <c r="DS98" s="282"/>
      <c r="DT98" s="282"/>
      <c r="DU98" s="282"/>
      <c r="DV98" s="282"/>
      <c r="DW98" s="282"/>
      <c r="DX98" s="282"/>
      <c r="DY98" s="282"/>
      <c r="DZ98" s="282"/>
      <c r="EA98" s="282"/>
      <c r="EB98" s="282"/>
      <c r="EC98" s="282"/>
      <c r="ED98" s="243"/>
      <c r="EE98" s="301">
        <v>0</v>
      </c>
      <c r="EF98" s="301">
        <v>0</v>
      </c>
      <c r="EG98" s="302">
        <f t="shared" si="4"/>
        <v>0</v>
      </c>
    </row>
    <row r="99" spans="1:137" ht="14" x14ac:dyDescent="0.15">
      <c r="A99" s="241"/>
      <c r="B99" s="129" t="s">
        <v>165</v>
      </c>
      <c r="C99" s="242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  <c r="AM99" s="243"/>
      <c r="AN99" s="243"/>
      <c r="AO99" s="243"/>
      <c r="AP99" s="243"/>
      <c r="AQ99" s="243"/>
      <c r="AR99" s="243"/>
      <c r="AS99" s="243"/>
      <c r="AT99" s="243"/>
      <c r="AU99" s="243"/>
      <c r="AV99" s="243"/>
      <c r="AW99" s="243"/>
      <c r="AX99" s="243"/>
      <c r="AY99" s="243"/>
      <c r="AZ99" s="243"/>
      <c r="BA99" s="243"/>
      <c r="BB99" s="243"/>
      <c r="BC99" s="243"/>
      <c r="BD99" s="243"/>
      <c r="BE99" s="243"/>
      <c r="BF99" s="243"/>
      <c r="BG99" s="243"/>
      <c r="BH99" s="243"/>
      <c r="BI99" s="243"/>
      <c r="BJ99" s="243"/>
      <c r="BK99" s="243"/>
      <c r="BL99" s="243"/>
      <c r="BM99" s="243"/>
      <c r="BN99" s="243"/>
      <c r="BO99" s="243"/>
      <c r="BP99" s="243"/>
      <c r="BQ99" s="243"/>
      <c r="BR99" s="243"/>
      <c r="BS99" s="243"/>
      <c r="BT99" s="243"/>
      <c r="BU99" s="243"/>
      <c r="BV99" s="243"/>
      <c r="BW99" s="243"/>
      <c r="BX99" s="243"/>
      <c r="BY99" s="243"/>
      <c r="BZ99" s="243"/>
      <c r="CA99" s="243"/>
      <c r="CB99" s="243"/>
      <c r="CC99" s="243"/>
      <c r="CD99" s="243"/>
      <c r="CE99" s="243"/>
      <c r="CF99" s="243"/>
      <c r="CG99" s="243"/>
      <c r="CH99" s="243"/>
      <c r="CI99" s="243"/>
      <c r="CJ99" s="243"/>
      <c r="CK99" s="243"/>
      <c r="CL99" s="243"/>
      <c r="CM99" s="243"/>
      <c r="CN99" s="243"/>
      <c r="CO99" s="243"/>
      <c r="CP99" s="243"/>
      <c r="CQ99" s="243"/>
      <c r="CR99" s="243"/>
      <c r="CS99" s="243"/>
      <c r="CT99" s="243"/>
      <c r="CU99" s="243"/>
      <c r="CV99" s="243"/>
      <c r="CW99" s="243"/>
      <c r="CX99" s="243"/>
      <c r="CY99" s="243"/>
      <c r="CZ99" s="243"/>
      <c r="DA99" s="243"/>
      <c r="DB99" s="243"/>
      <c r="DC99" s="243"/>
      <c r="DD99" s="243"/>
      <c r="DE99" s="243">
        <f>IF(ISERROR('raw data'!HH100/'raw data'!HI100),0,'raw data'!HH100/'raw data'!HI100)</f>
        <v>0.2</v>
      </c>
      <c r="DF99" s="243">
        <f>IF(ISERROR('raw data'!HJ100/'raw data'!HK100),0,'raw data'!HJ100/'raw data'!HK100)</f>
        <v>0.42499999999999999</v>
      </c>
      <c r="DG99" s="243">
        <f>IF(ISERROR('raw data'!HL100/'raw data'!HM100),0,'raw data'!HL100/'raw data'!HM100)</f>
        <v>0.26666666666666666</v>
      </c>
      <c r="DH99" s="243">
        <f>IF(ISERROR('raw data'!HN100/'raw data'!HO100),0,'raw data'!HN100/'raw data'!HO100)</f>
        <v>0.5</v>
      </c>
      <c r="DI99" s="243">
        <f>IF(ISERROR('raw data'!HP100/'raw data'!HQ100),0,'raw data'!HP100/'raw data'!HQ100)</f>
        <v>0.30097087378640774</v>
      </c>
      <c r="DJ99" s="243">
        <f>IF(ISERROR('raw data'!HR100/'raw data'!HS100),0,'raw data'!HR100/'raw data'!HS100)</f>
        <v>0.32258064516129031</v>
      </c>
      <c r="DK99" s="243">
        <f>IF(ISERROR('raw data'!HT100/'raw data'!HU100),0,'raw data'!HT100/'raw data'!HU100)</f>
        <v>0.47916666666666669</v>
      </c>
      <c r="DL99" s="243">
        <f>IF(ISERROR('raw data'!HV100/'raw data'!HW100),0,'raw data'!HV100/'raw data'!HW100)</f>
        <v>0.43859649122807015</v>
      </c>
      <c r="DM99" s="243">
        <f>IF(ISERROR('raw data'!HX100/'raw data'!HY100),0,'raw data'!HX100/'raw data'!HY100)</f>
        <v>9.375E-2</v>
      </c>
      <c r="DN99" s="243">
        <f>IF(ISERROR('raw data'!HZ100/'raw data'!IA100),0,'raw data'!HZ100/'raw data'!IA100)</f>
        <v>0.6428571428571429</v>
      </c>
      <c r="DO99" s="243">
        <f>IF(ISERROR('raw data'!IB100/'raw data'!IC100),0,'raw data'!IB100/'raw data'!IC100)</f>
        <v>0.625</v>
      </c>
      <c r="DP99" s="243">
        <f>IF(ISERROR('raw data'!ID100/'raw data'!IE100),0,'raw data'!ID100/'raw data'!IE100)</f>
        <v>0.36986301369863012</v>
      </c>
      <c r="DQ99" s="243">
        <f>IF(ISERROR('raw data'!IF100/'raw data'!IG100),0,'raw data'!IF100/'raw data'!IG100)</f>
        <v>0.3</v>
      </c>
      <c r="DR99" s="243">
        <f>IF(ISERROR('raw data'!IH100/'raw data'!II100),0,'raw data'!IH100/'raw data'!II100)</f>
        <v>0.45833333333333331</v>
      </c>
      <c r="DS99" s="243">
        <f>IF(ISERROR('raw data'!IJ100/'raw data'!IK100),0,'raw data'!IJ100/'raw data'!IK100)</f>
        <v>0.52830188679245282</v>
      </c>
      <c r="DT99" s="243">
        <f>IF(ISERROR('raw data'!IL100/'raw data'!IM100),0,'raw data'!IL100/'raw data'!IM100)</f>
        <v>0.30769230769230771</v>
      </c>
      <c r="DU99" s="243">
        <f>IF(ISERROR('raw data'!IN100/'raw data'!IO100),0,'raw data'!IN100/'raw data'!IO100)</f>
        <v>9.5238095238095233E-2</v>
      </c>
      <c r="DV99" s="243">
        <f>IF(ISERROR('raw data'!IP100/'raw data'!IQ100),0,'raw data'!IP100/'raw data'!IQ100)</f>
        <v>0.4838709677419355</v>
      </c>
      <c r="DW99" s="243">
        <f>IF(ISERROR('raw data'!IR100/'raw data'!IS100),0,'raw data'!IR100/'raw data'!IS100)</f>
        <v>0.30952380952380953</v>
      </c>
      <c r="DX99" s="243">
        <f>IF(ISERROR('raw data'!IT100/'raw data'!IU100),0,'raw data'!IT100/'raw data'!IU100)</f>
        <v>0.5714285714285714</v>
      </c>
      <c r="DY99" s="243">
        <f>IF(ISERROR('raw data'!IV100/'raw data'!IW100),0,'raw data'!IV100/'raw data'!IW100)</f>
        <v>0.3888888888888889</v>
      </c>
      <c r="DZ99" s="243">
        <f>IF(ISERROR('raw data'!IX100/'raw data'!IY100),0,'raw data'!IX100/'raw data'!IY100)</f>
        <v>0.58620689655172409</v>
      </c>
      <c r="EA99" s="243">
        <f>IF(ISERROR('raw data'!IZ100/'raw data'!JA100),0,'raw data'!IZ100/'raw data'!JA100)</f>
        <v>0.5</v>
      </c>
      <c r="EB99" s="243">
        <f>IF(ISERROR('raw data'!JB100/'raw data'!JC100),0,'raw data'!JB100/'raw data'!JC100)</f>
        <v>0.58536585365853655</v>
      </c>
      <c r="EC99" s="243">
        <f>IF(ISERROR('raw data'!JD100/'raw data'!JE100),0,'raw data'!JD100/'raw data'!JE100)</f>
        <v>0.22727272727272727</v>
      </c>
      <c r="ED99" s="243"/>
      <c r="EE99" s="244">
        <f>SUM(EE95:EE98)</f>
        <v>178</v>
      </c>
      <c r="EF99" s="244">
        <f>SUM(EF95:EF98)</f>
        <v>415</v>
      </c>
      <c r="EG99" s="245">
        <f>IF(ISERROR(EE99/EF99),0,EE99/EF99)</f>
        <v>0.42891566265060244</v>
      </c>
    </row>
    <row r="100" spans="1:137" ht="42" x14ac:dyDescent="0.15">
      <c r="A100" s="303">
        <v>5.0999999999999996</v>
      </c>
      <c r="B100" s="304" t="str">
        <f>'raw data'!B101</f>
        <v xml:space="preserve">Customer residing in OFAC sanctioned country performing a £100+ transaction on a B&amp;S account last month (excludes standing orders, direct debits and interest transactions). </v>
      </c>
      <c r="C100" s="305" t="s">
        <v>167</v>
      </c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306"/>
      <c r="W100" s="306"/>
      <c r="X100" s="306"/>
      <c r="Y100" s="306"/>
      <c r="Z100" s="306"/>
      <c r="AA100" s="306"/>
      <c r="AB100" s="306"/>
      <c r="AC100" s="306"/>
      <c r="AD100" s="307">
        <f>IF(ISERROR('raw data'!BD101/'raw data'!BE101),0,'raw data'!BD101/'raw data'!BE101)</f>
        <v>0</v>
      </c>
      <c r="AE100" s="307">
        <f>IF(ISERROR('raw data'!BF101/'raw data'!BG101),0,'raw data'!BF101/'raw data'!BG101)</f>
        <v>0</v>
      </c>
      <c r="AF100" s="307">
        <f>IF(ISERROR('raw data'!BH101/'raw data'!BI101),0,'raw data'!BH101/'raw data'!BI101)</f>
        <v>0</v>
      </c>
      <c r="AG100" s="307">
        <f>IF(ISERROR('raw data'!BJ101/'raw data'!BK101),0,'raw data'!BJ101/'raw data'!BK101)</f>
        <v>0</v>
      </c>
      <c r="AH100" s="307">
        <f>IF(ISERROR('raw data'!BL101/'raw data'!BM101),0,'raw data'!BL101/'raw data'!BM101)</f>
        <v>0</v>
      </c>
      <c r="AI100" s="307">
        <f>IF(ISERROR('raw data'!BN101/'raw data'!BO101),0,'raw data'!BN101/'raw data'!BO101)</f>
        <v>0</v>
      </c>
      <c r="AJ100" s="307">
        <f>IF(ISERROR('raw data'!BP101/'raw data'!BQ101),0,'raw data'!BP101/'raw data'!BQ101)</f>
        <v>0</v>
      </c>
      <c r="AK100" s="307">
        <f>IF(ISERROR('raw data'!BR101/'raw data'!BS101),0,'raw data'!BR101/'raw data'!BS101)</f>
        <v>0</v>
      </c>
      <c r="AL100" s="307">
        <f>IF(ISERROR('raw data'!BT101/'raw data'!BU101),0,'raw data'!BT101/'raw data'!BU101)</f>
        <v>0</v>
      </c>
      <c r="AM100" s="307">
        <f>IF(ISERROR('raw data'!BV101/'raw data'!BW101),0,'raw data'!BV101/'raw data'!BW101)</f>
        <v>0</v>
      </c>
      <c r="AN100" s="307">
        <f>IF(ISERROR('raw data'!BX101/'raw data'!BY101),0,'raw data'!BX101/'raw data'!BY101)</f>
        <v>0</v>
      </c>
      <c r="AO100" s="307">
        <f>IF(ISERROR('raw data'!BZ101/'raw data'!CA101),0,'raw data'!BZ101/'raw data'!CA101)</f>
        <v>0.5</v>
      </c>
      <c r="AP100" s="307">
        <f>IF(ISERROR('raw data'!CB101/'raw data'!CC101),0,'raw data'!CB101/'raw data'!CC101)</f>
        <v>0</v>
      </c>
      <c r="AQ100" s="307">
        <f>IF(ISERROR('raw data'!CD101/'raw data'!CE101),0,'raw data'!CD101/'raw data'!CE101)</f>
        <v>0.5</v>
      </c>
      <c r="AR100" s="307">
        <f>IF(ISERROR('raw data'!CF101/'raw data'!CG101),0,'raw data'!CF101/'raw data'!CG101)</f>
        <v>0</v>
      </c>
      <c r="AS100" s="307">
        <f>IF(ISERROR('raw data'!CH101/'raw data'!CI101),0,'raw data'!CH101/'raw data'!CI101)</f>
        <v>0</v>
      </c>
      <c r="AT100" s="307">
        <f>IF(ISERROR('raw data'!CJ101/'raw data'!CK101),0,'raw data'!CJ101/'raw data'!CK101)</f>
        <v>0</v>
      </c>
      <c r="AU100" s="307">
        <f>IF(ISERROR('raw data'!CL101/'raw data'!CM101),0,'raw data'!CL101/'raw data'!CM101)</f>
        <v>0</v>
      </c>
      <c r="AV100" s="307">
        <f>IF(ISERROR('raw data'!CN101/'raw data'!CO101),0,'raw data'!CN101/'raw data'!CO101)</f>
        <v>0.33333333333333331</v>
      </c>
      <c r="AW100" s="307">
        <f>IF(ISERROR('raw data'!CP101/'raw data'!CQ101),0,'raw data'!CP101/'raw data'!CQ101)</f>
        <v>0</v>
      </c>
      <c r="AX100" s="307">
        <f>IF(ISERROR('raw data'!CR101/'raw data'!CS101),0,'raw data'!CR101/'raw data'!CS101)</f>
        <v>0</v>
      </c>
      <c r="AY100" s="307">
        <f>IF(ISERROR('raw data'!CT101/'raw data'!CU101),0,'raw data'!CT101/'raw data'!CU101)</f>
        <v>0.33333333333333331</v>
      </c>
      <c r="AZ100" s="307">
        <f>IF(ISERROR('raw data'!CV101/'raw data'!CW101),0,'raw data'!CV101/'raw data'!CW101)</f>
        <v>0</v>
      </c>
      <c r="BA100" s="307">
        <f>IF(ISERROR('raw data'!CX101/'raw data'!CY101),0,'raw data'!CX101/'raw data'!CY101)</f>
        <v>0</v>
      </c>
      <c r="BB100" s="307">
        <f>IF(ISERROR('raw data'!CZ101/'raw data'!DA101),0,'raw data'!CZ101/'raw data'!DA101)</f>
        <v>0.5</v>
      </c>
      <c r="BC100" s="307">
        <f>IF(ISERROR('raw data'!DB101/'raw data'!DC101),0,'raw data'!DB101/'raw data'!DC101)</f>
        <v>0</v>
      </c>
      <c r="BD100" s="307">
        <v>0</v>
      </c>
      <c r="BE100" s="307">
        <f>IF(ISERROR('raw data'!DF101/'raw data'!DG101),0,'raw data'!DF101/'raw data'!DG101)</f>
        <v>0</v>
      </c>
      <c r="BF100" s="307">
        <f>IF(ISERROR('raw data'!DH101/'raw data'!DI101),0,'raw data'!DH101/'raw data'!DI101)</f>
        <v>0</v>
      </c>
      <c r="BG100" s="307">
        <f>IF(ISERROR('raw data'!DJ101/'raw data'!DK101),0,'raw data'!DJ101/'raw data'!DK101)</f>
        <v>0</v>
      </c>
      <c r="BH100" s="307">
        <f>IF(ISERROR('raw data'!DL101/'raw data'!DM101),0,'raw data'!DL101/'raw data'!DM101)</f>
        <v>0</v>
      </c>
      <c r="BI100" s="307">
        <f>IF(ISERROR('raw data'!DN101/'raw data'!DO101),0,'raw data'!DN101/'raw data'!DO101)</f>
        <v>0</v>
      </c>
      <c r="BJ100" s="307">
        <f>IF(ISERROR('raw data'!DP101/'raw data'!DQ101),0,'raw data'!DP101/'raw data'!DQ101)</f>
        <v>0</v>
      </c>
      <c r="BK100" s="307">
        <f>IF(ISERROR('raw data'!DR101/'raw data'!DS101),0,'raw data'!DR101/'raw data'!DS101)</f>
        <v>0</v>
      </c>
      <c r="BL100" s="307">
        <f>IF(ISERROR('raw data'!DT101/'raw data'!DU101),0,'raw data'!DT101/'raw data'!DU101)</f>
        <v>0</v>
      </c>
      <c r="BM100" s="307">
        <f>IF(ISERROR('raw data'!DV101/'raw data'!DW101),0,'raw data'!DV101/'raw data'!DW101)</f>
        <v>0</v>
      </c>
      <c r="BN100" s="307">
        <f>IF(ISERROR('raw data'!DX101/'raw data'!DY101),0,'raw data'!DX101/'raw data'!DY101)</f>
        <v>0</v>
      </c>
      <c r="BO100" s="307">
        <f>IF(ISERROR('raw data'!DZ101/'raw data'!EA101),0,'raw data'!DZ101/'raw data'!EA101)</f>
        <v>0</v>
      </c>
      <c r="BP100" s="307">
        <f>IF(ISERROR('raw data'!EB101/'raw data'!EC101),0,'raw data'!EB101/'raw data'!EC101)</f>
        <v>0</v>
      </c>
      <c r="BQ100" s="307">
        <f>IF(ISERROR('raw data'!ED101/'raw data'!EE101),0,'raw data'!ED101/'raw data'!EE101)</f>
        <v>0</v>
      </c>
      <c r="BR100" s="307">
        <f>IF(ISERROR('raw data'!EF101/'raw data'!EG101),0,'raw data'!EF101/'raw data'!EG101)</f>
        <v>0</v>
      </c>
      <c r="BS100" s="307">
        <f>IF(ISERROR('raw data'!EH101/'raw data'!EI101),0,'raw data'!EH101/'raw data'!EI101)</f>
        <v>0</v>
      </c>
      <c r="BT100" s="307">
        <f>IF(ISERROR('raw data'!EJ101/'raw data'!EK101),0,'raw data'!EJ101/'raw data'!EK101)</f>
        <v>0</v>
      </c>
      <c r="BU100" s="232" t="s">
        <v>243</v>
      </c>
      <c r="BV100" s="232" t="s">
        <v>243</v>
      </c>
      <c r="BW100" s="232" t="s">
        <v>243</v>
      </c>
      <c r="BX100" s="232" t="s">
        <v>243</v>
      </c>
      <c r="BY100" s="232" t="s">
        <v>243</v>
      </c>
      <c r="BZ100" s="232" t="s">
        <v>243</v>
      </c>
      <c r="CA100" s="232" t="s">
        <v>243</v>
      </c>
      <c r="CB100" s="232" t="s">
        <v>243</v>
      </c>
      <c r="CC100" s="232" t="s">
        <v>243</v>
      </c>
      <c r="CD100" s="232" t="s">
        <v>243</v>
      </c>
      <c r="CE100" s="232" t="s">
        <v>243</v>
      </c>
      <c r="CF100" s="232" t="s">
        <v>243</v>
      </c>
      <c r="CG100" s="232" t="s">
        <v>243</v>
      </c>
      <c r="CH100" s="232" t="s">
        <v>243</v>
      </c>
      <c r="CI100" s="232" t="s">
        <v>243</v>
      </c>
      <c r="CJ100" s="232" t="s">
        <v>243</v>
      </c>
      <c r="CK100" s="232" t="s">
        <v>243</v>
      </c>
      <c r="CL100" s="232" t="s">
        <v>243</v>
      </c>
      <c r="CM100" s="232" t="s">
        <v>243</v>
      </c>
      <c r="CN100" s="232" t="s">
        <v>243</v>
      </c>
      <c r="CO100" s="232" t="s">
        <v>243</v>
      </c>
      <c r="CP100" s="232" t="s">
        <v>243</v>
      </c>
      <c r="CQ100" s="232" t="s">
        <v>243</v>
      </c>
      <c r="CR100" s="232" t="s">
        <v>243</v>
      </c>
      <c r="CS100" s="232" t="s">
        <v>243</v>
      </c>
      <c r="CT100" s="232" t="s">
        <v>243</v>
      </c>
      <c r="CU100" s="232" t="s">
        <v>243</v>
      </c>
      <c r="CV100" s="232" t="s">
        <v>243</v>
      </c>
      <c r="CW100" s="232" t="s">
        <v>243</v>
      </c>
      <c r="CX100" s="232" t="s">
        <v>243</v>
      </c>
      <c r="CY100" s="232" t="s">
        <v>243</v>
      </c>
      <c r="CZ100" s="232" t="s">
        <v>243</v>
      </c>
      <c r="DA100" s="232" t="s">
        <v>243</v>
      </c>
      <c r="DB100" s="232" t="s">
        <v>243</v>
      </c>
      <c r="DC100" s="232" t="s">
        <v>243</v>
      </c>
      <c r="DD100" s="232" t="s">
        <v>243</v>
      </c>
      <c r="DE100" s="232" t="s">
        <v>243</v>
      </c>
      <c r="DF100" s="232" t="s">
        <v>243</v>
      </c>
      <c r="DG100" s="232" t="s">
        <v>243</v>
      </c>
      <c r="DH100" s="232" t="s">
        <v>243</v>
      </c>
      <c r="DI100" s="232" t="s">
        <v>243</v>
      </c>
      <c r="DJ100" s="232" t="s">
        <v>243</v>
      </c>
      <c r="DK100" s="232" t="s">
        <v>243</v>
      </c>
      <c r="DL100" s="232" t="s">
        <v>243</v>
      </c>
      <c r="DM100" s="232" t="s">
        <v>243</v>
      </c>
      <c r="DN100" s="232" t="s">
        <v>243</v>
      </c>
      <c r="DO100" s="232" t="s">
        <v>243</v>
      </c>
      <c r="DP100" s="232" t="s">
        <v>243</v>
      </c>
      <c r="DQ100" s="232" t="s">
        <v>243</v>
      </c>
      <c r="DR100" s="232" t="s">
        <v>243</v>
      </c>
      <c r="DS100" s="232" t="s">
        <v>243</v>
      </c>
      <c r="DT100" s="232" t="s">
        <v>243</v>
      </c>
      <c r="DU100" s="232" t="s">
        <v>243</v>
      </c>
      <c r="DV100" s="232" t="s">
        <v>243</v>
      </c>
      <c r="DW100" s="232" t="s">
        <v>243</v>
      </c>
      <c r="DX100" s="232" t="s">
        <v>243</v>
      </c>
      <c r="DY100" s="232" t="s">
        <v>243</v>
      </c>
      <c r="DZ100" s="232" t="s">
        <v>243</v>
      </c>
      <c r="EA100" s="232" t="s">
        <v>243</v>
      </c>
      <c r="EB100" s="232" t="s">
        <v>243</v>
      </c>
      <c r="EC100" s="232" t="s">
        <v>243</v>
      </c>
      <c r="ED100" s="243"/>
      <c r="EE100" s="308">
        <v>0</v>
      </c>
      <c r="EF100" s="308">
        <v>0</v>
      </c>
      <c r="EG100" s="309">
        <f t="shared" si="0"/>
        <v>0</v>
      </c>
    </row>
    <row r="101" spans="1:137" ht="28" x14ac:dyDescent="0.15">
      <c r="A101" s="303">
        <v>5.2</v>
      </c>
      <c r="B101" s="304" t="str">
        <f>'raw data'!B102</f>
        <v>Customer residing in OFAC sanctioned country, transacting last month on B&amp;S account and not reviewed for 6 months.</v>
      </c>
      <c r="C101" s="305" t="s">
        <v>169</v>
      </c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306"/>
      <c r="W101" s="306"/>
      <c r="X101" s="306"/>
      <c r="Y101" s="306"/>
      <c r="Z101" s="306"/>
      <c r="AA101" s="306"/>
      <c r="AB101" s="306"/>
      <c r="AC101" s="306"/>
      <c r="AD101" s="307">
        <f>IF(ISERROR('raw data'!BD102/'raw data'!BE102),0,'raw data'!BD102/'raw data'!BE102)</f>
        <v>0</v>
      </c>
      <c r="AE101" s="307">
        <f>IF(ISERROR('raw data'!BF102/'raw data'!BG102),0,'raw data'!BF102/'raw data'!BG102)</f>
        <v>0</v>
      </c>
      <c r="AF101" s="307">
        <f>IF(ISERROR('raw data'!BH102/'raw data'!BI102),0,'raw data'!BH102/'raw data'!BI102)</f>
        <v>0</v>
      </c>
      <c r="AG101" s="307">
        <f>IF(ISERROR('raw data'!BJ102/'raw data'!BK102),0,'raw data'!BJ102/'raw data'!BK102)</f>
        <v>0</v>
      </c>
      <c r="AH101" s="307">
        <f>IF(ISERROR('raw data'!BL102/'raw data'!BM102),0,'raw data'!BL102/'raw data'!BM102)</f>
        <v>0</v>
      </c>
      <c r="AI101" s="307">
        <f>IF(ISERROR('raw data'!BN102/'raw data'!BO102),0,'raw data'!BN102/'raw data'!BO102)</f>
        <v>0</v>
      </c>
      <c r="AJ101" s="307">
        <f>IF(ISERROR('raw data'!BP102/'raw data'!BQ102),0,'raw data'!BP102/'raw data'!BQ102)</f>
        <v>0</v>
      </c>
      <c r="AK101" s="307">
        <f>IF(ISERROR('raw data'!BR102/'raw data'!BS102),0,'raw data'!BR102/'raw data'!BS102)</f>
        <v>0</v>
      </c>
      <c r="AL101" s="307">
        <f>IF(ISERROR('raw data'!BT102/'raw data'!BU102),0,'raw data'!BT102/'raw data'!BU102)</f>
        <v>0</v>
      </c>
      <c r="AM101" s="307">
        <f>IF(ISERROR('raw data'!BV102/'raw data'!BW102),0,'raw data'!BV102/'raw data'!BW102)</f>
        <v>0</v>
      </c>
      <c r="AN101" s="307">
        <f>IF(ISERROR('raw data'!BX102/'raw data'!BY102),0,'raw data'!BX102/'raw data'!BY102)</f>
        <v>0</v>
      </c>
      <c r="AO101" s="307">
        <f>IF(ISERROR('raw data'!BZ102/'raw data'!CA102),0,'raw data'!BZ102/'raw data'!CA102)</f>
        <v>1</v>
      </c>
      <c r="AP101" s="307">
        <f>IF(ISERROR('raw data'!CB102/'raw data'!CC102),0,'raw data'!CB102/'raw data'!CC102)</f>
        <v>0</v>
      </c>
      <c r="AQ101" s="307">
        <f>IF(ISERROR('raw data'!CD102/'raw data'!CE102),0,'raw data'!CD102/'raw data'!CE102)</f>
        <v>0</v>
      </c>
      <c r="AR101" s="307">
        <f>IF(ISERROR('raw data'!CF102/'raw data'!CG102),0,'raw data'!CF102/'raw data'!CG102)</f>
        <v>0</v>
      </c>
      <c r="AS101" s="307">
        <f>IF(ISERROR('raw data'!CH102/'raw data'!CI102),0,'raw data'!CH102/'raw data'!CI102)</f>
        <v>0</v>
      </c>
      <c r="AT101" s="307">
        <f>IF(ISERROR('raw data'!CJ102/'raw data'!CK102),0,'raw data'!CJ102/'raw data'!CK102)</f>
        <v>1</v>
      </c>
      <c r="AU101" s="307">
        <f>IF(ISERROR('raw data'!CL102/'raw data'!CM102),0,'raw data'!CL102/'raw data'!CM102)</f>
        <v>0</v>
      </c>
      <c r="AV101" s="307">
        <f>IF(ISERROR('raw data'!CN102/'raw data'!CO102),0,'raw data'!CN102/'raw data'!CO102)</f>
        <v>0</v>
      </c>
      <c r="AW101" s="307">
        <f>IF(ISERROR('raw data'!CP102/'raw data'!CQ102),0,'raw data'!CP102/'raw data'!CQ102)</f>
        <v>0</v>
      </c>
      <c r="AX101" s="307">
        <f>IF(ISERROR('raw data'!CR102/'raw data'!CS102),0,'raw data'!CR102/'raw data'!CS102)</f>
        <v>0</v>
      </c>
      <c r="AY101" s="307">
        <f>IF(ISERROR('raw data'!CT102/'raw data'!CU102),0,'raw data'!CT102/'raw data'!CU102)</f>
        <v>0</v>
      </c>
      <c r="AZ101" s="307">
        <f>IF(ISERROR('raw data'!CV102/'raw data'!CW102),0,'raw data'!CV102/'raw data'!CW102)</f>
        <v>0</v>
      </c>
      <c r="BA101" s="307">
        <f>IF(ISERROR('raw data'!CX102/'raw data'!CY102),0,'raw data'!CX102/'raw data'!CY102)</f>
        <v>0</v>
      </c>
      <c r="BB101" s="307">
        <f>IF(ISERROR('raw data'!CZ102/'raw data'!DA102),0,'raw data'!CZ102/'raw data'!DA102)</f>
        <v>0</v>
      </c>
      <c r="BC101" s="307">
        <f>IF(ISERROR('raw data'!DB102/'raw data'!DC102),0,'raw data'!DB102/'raw data'!DC102)</f>
        <v>0</v>
      </c>
      <c r="BD101" s="307">
        <v>0</v>
      </c>
      <c r="BE101" s="307">
        <f>IF(ISERROR('raw data'!DF102/'raw data'!DG102),0,'raw data'!DF102/'raw data'!DG102)</f>
        <v>0</v>
      </c>
      <c r="BF101" s="307">
        <f>IF(ISERROR('raw data'!DH102/'raw data'!DI102),0,'raw data'!DH102/'raw data'!DI102)</f>
        <v>0</v>
      </c>
      <c r="BG101" s="307">
        <f>IF(ISERROR('raw data'!DJ102/'raw data'!DK102),0,'raw data'!DJ102/'raw data'!DK102)</f>
        <v>0</v>
      </c>
      <c r="BH101" s="307">
        <f>IF(ISERROR('raw data'!DL102/'raw data'!DM102),0,'raw data'!DL102/'raw data'!DM102)</f>
        <v>0</v>
      </c>
      <c r="BI101" s="307">
        <f>IF(ISERROR('raw data'!DN102/'raw data'!DO102),0,'raw data'!DN102/'raw data'!DO102)</f>
        <v>0.33333333333333331</v>
      </c>
      <c r="BJ101" s="307">
        <f>IF(ISERROR('raw data'!DP102/'raw data'!DQ102),0,'raw data'!DP102/'raw data'!DQ102)</f>
        <v>0</v>
      </c>
      <c r="BK101" s="307">
        <f>IF(ISERROR('raw data'!DR102/'raw data'!DS102),0,'raw data'!DR102/'raw data'!DS102)</f>
        <v>0</v>
      </c>
      <c r="BL101" s="307">
        <f>IF(ISERROR('raw data'!DT102/'raw data'!DU102),0,'raw data'!DT102/'raw data'!DU102)</f>
        <v>0</v>
      </c>
      <c r="BM101" s="307">
        <f>IF(ISERROR('raw data'!DV102/'raw data'!DW102),0,'raw data'!DV102/'raw data'!DW102)</f>
        <v>0</v>
      </c>
      <c r="BN101" s="307">
        <f>IF(ISERROR('raw data'!DX102/'raw data'!DY102),0,'raw data'!DX102/'raw data'!DY102)</f>
        <v>0</v>
      </c>
      <c r="BO101" s="307">
        <f>IF(ISERROR('raw data'!DZ102/'raw data'!EA102),0,'raw data'!DZ102/'raw data'!EA102)</f>
        <v>0</v>
      </c>
      <c r="BP101" s="307">
        <f>IF(ISERROR('raw data'!EB102/'raw data'!EC102),0,'raw data'!EB102/'raw data'!EC102)</f>
        <v>0</v>
      </c>
      <c r="BQ101" s="307">
        <f>IF(ISERROR('raw data'!ED102/'raw data'!EE102),0,'raw data'!ED102/'raw data'!EE102)</f>
        <v>0</v>
      </c>
      <c r="BR101" s="307">
        <f>IF(ISERROR('raw data'!EF102/'raw data'!EG102),0,'raw data'!EF102/'raw data'!EG102)</f>
        <v>0</v>
      </c>
      <c r="BS101" s="307">
        <f>IF(ISERROR('raw data'!EH102/'raw data'!EI102),0,'raw data'!EH102/'raw data'!EI102)</f>
        <v>0</v>
      </c>
      <c r="BT101" s="307">
        <f>IF(ISERROR('raw data'!EJ102/'raw data'!EK102),0,'raw data'!EJ102/'raw data'!EK102)</f>
        <v>0</v>
      </c>
      <c r="BU101" s="232" t="s">
        <v>243</v>
      </c>
      <c r="BV101" s="232" t="s">
        <v>243</v>
      </c>
      <c r="BW101" s="232" t="s">
        <v>243</v>
      </c>
      <c r="BX101" s="232" t="s">
        <v>243</v>
      </c>
      <c r="BY101" s="232" t="s">
        <v>243</v>
      </c>
      <c r="BZ101" s="232" t="s">
        <v>243</v>
      </c>
      <c r="CA101" s="232" t="s">
        <v>243</v>
      </c>
      <c r="CB101" s="232" t="s">
        <v>243</v>
      </c>
      <c r="CC101" s="232" t="s">
        <v>243</v>
      </c>
      <c r="CD101" s="232" t="s">
        <v>243</v>
      </c>
      <c r="CE101" s="232" t="s">
        <v>243</v>
      </c>
      <c r="CF101" s="232" t="s">
        <v>243</v>
      </c>
      <c r="CG101" s="232" t="s">
        <v>243</v>
      </c>
      <c r="CH101" s="232" t="s">
        <v>243</v>
      </c>
      <c r="CI101" s="232" t="s">
        <v>243</v>
      </c>
      <c r="CJ101" s="232" t="s">
        <v>243</v>
      </c>
      <c r="CK101" s="232" t="s">
        <v>243</v>
      </c>
      <c r="CL101" s="232" t="s">
        <v>243</v>
      </c>
      <c r="CM101" s="232" t="s">
        <v>243</v>
      </c>
      <c r="CN101" s="232" t="s">
        <v>243</v>
      </c>
      <c r="CO101" s="232" t="s">
        <v>243</v>
      </c>
      <c r="CP101" s="232" t="s">
        <v>243</v>
      </c>
      <c r="CQ101" s="232" t="s">
        <v>243</v>
      </c>
      <c r="CR101" s="232" t="s">
        <v>243</v>
      </c>
      <c r="CS101" s="232" t="s">
        <v>243</v>
      </c>
      <c r="CT101" s="232" t="s">
        <v>243</v>
      </c>
      <c r="CU101" s="232" t="s">
        <v>243</v>
      </c>
      <c r="CV101" s="232" t="s">
        <v>243</v>
      </c>
      <c r="CW101" s="232" t="s">
        <v>243</v>
      </c>
      <c r="CX101" s="232" t="s">
        <v>243</v>
      </c>
      <c r="CY101" s="232" t="s">
        <v>243</v>
      </c>
      <c r="CZ101" s="232" t="s">
        <v>243</v>
      </c>
      <c r="DA101" s="232" t="s">
        <v>243</v>
      </c>
      <c r="DB101" s="232" t="s">
        <v>243</v>
      </c>
      <c r="DC101" s="232" t="s">
        <v>243</v>
      </c>
      <c r="DD101" s="232" t="s">
        <v>243</v>
      </c>
      <c r="DE101" s="232" t="s">
        <v>243</v>
      </c>
      <c r="DF101" s="232" t="s">
        <v>243</v>
      </c>
      <c r="DG101" s="232" t="s">
        <v>243</v>
      </c>
      <c r="DH101" s="232" t="s">
        <v>243</v>
      </c>
      <c r="DI101" s="232" t="s">
        <v>243</v>
      </c>
      <c r="DJ101" s="232" t="s">
        <v>243</v>
      </c>
      <c r="DK101" s="232" t="s">
        <v>243</v>
      </c>
      <c r="DL101" s="232" t="s">
        <v>243</v>
      </c>
      <c r="DM101" s="232" t="s">
        <v>243</v>
      </c>
      <c r="DN101" s="232" t="s">
        <v>243</v>
      </c>
      <c r="DO101" s="232" t="s">
        <v>243</v>
      </c>
      <c r="DP101" s="232" t="s">
        <v>243</v>
      </c>
      <c r="DQ101" s="232" t="s">
        <v>243</v>
      </c>
      <c r="DR101" s="232" t="s">
        <v>243</v>
      </c>
      <c r="DS101" s="232" t="s">
        <v>243</v>
      </c>
      <c r="DT101" s="232" t="s">
        <v>243</v>
      </c>
      <c r="DU101" s="232" t="s">
        <v>243</v>
      </c>
      <c r="DV101" s="232" t="s">
        <v>243</v>
      </c>
      <c r="DW101" s="232" t="s">
        <v>243</v>
      </c>
      <c r="DX101" s="232" t="s">
        <v>243</v>
      </c>
      <c r="DY101" s="232" t="s">
        <v>243</v>
      </c>
      <c r="DZ101" s="232" t="s">
        <v>243</v>
      </c>
      <c r="EA101" s="232" t="s">
        <v>243</v>
      </c>
      <c r="EB101" s="232" t="s">
        <v>243</v>
      </c>
      <c r="EC101" s="232" t="s">
        <v>243</v>
      </c>
      <c r="ED101" s="243"/>
      <c r="EE101" s="308">
        <v>0</v>
      </c>
      <c r="EF101" s="308">
        <v>0</v>
      </c>
      <c r="EG101" s="309">
        <f t="shared" si="0"/>
        <v>0</v>
      </c>
    </row>
    <row r="102" spans="1:137" ht="28" x14ac:dyDescent="0.15">
      <c r="A102" s="303">
        <v>5.3</v>
      </c>
      <c r="B102" s="304" t="str">
        <f>'raw data'!B103</f>
        <v xml:space="preserve">Customer has changed their country of residence to one of the OFAC sanctioned countries. </v>
      </c>
      <c r="C102" s="305" t="s">
        <v>171</v>
      </c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306"/>
      <c r="W102" s="306"/>
      <c r="X102" s="306"/>
      <c r="Y102" s="306"/>
      <c r="Z102" s="306"/>
      <c r="AA102" s="306"/>
      <c r="AB102" s="306"/>
      <c r="AC102" s="306"/>
      <c r="AD102" s="307">
        <f>IF(ISERROR('raw data'!BD103/'raw data'!BE103),0,'raw data'!BD103/'raw data'!BE103)</f>
        <v>0</v>
      </c>
      <c r="AE102" s="307">
        <f>IF(ISERROR('raw data'!BF103/'raw data'!BG103),0,'raw data'!BF103/'raw data'!BG103)</f>
        <v>0</v>
      </c>
      <c r="AF102" s="307">
        <f>IF(ISERROR('raw data'!BH103/'raw data'!BI103),0,'raw data'!BH103/'raw data'!BI103)</f>
        <v>0</v>
      </c>
      <c r="AG102" s="307">
        <f>IF(ISERROR('raw data'!BJ103/'raw data'!BK103),0,'raw data'!BJ103/'raw data'!BK103)</f>
        <v>0</v>
      </c>
      <c r="AH102" s="307">
        <f>IF(ISERROR('raw data'!BL103/'raw data'!BM103),0,'raw data'!BL103/'raw data'!BM103)</f>
        <v>0</v>
      </c>
      <c r="AI102" s="307">
        <f>IF(ISERROR('raw data'!BN103/'raw data'!BO103),0,'raw data'!BN103/'raw data'!BO103)</f>
        <v>0</v>
      </c>
      <c r="AJ102" s="307">
        <f>IF(ISERROR('raw data'!BP103/'raw data'!BQ103),0,'raw data'!BP103/'raw data'!BQ103)</f>
        <v>0</v>
      </c>
      <c r="AK102" s="307">
        <f>IF(ISERROR('raw data'!BR103/'raw data'!BS103),0,'raw data'!BR103/'raw data'!BS103)</f>
        <v>0</v>
      </c>
      <c r="AL102" s="307">
        <f>IF(ISERROR('raw data'!BT103/'raw data'!BU103),0,'raw data'!BT103/'raw data'!BU103)</f>
        <v>0</v>
      </c>
      <c r="AM102" s="307">
        <f>IF(ISERROR('raw data'!BV103/'raw data'!BW103),0,'raw data'!BV103/'raw data'!BW103)</f>
        <v>0</v>
      </c>
      <c r="AN102" s="307">
        <f>IF(ISERROR('raw data'!BX103/'raw data'!BY103),0,'raw data'!BX103/'raw data'!BY103)</f>
        <v>0</v>
      </c>
      <c r="AO102" s="307">
        <f>IF(ISERROR('raw data'!BZ103/'raw data'!CA103),0,'raw data'!BZ103/'raw data'!CA103)</f>
        <v>0.125</v>
      </c>
      <c r="AP102" s="307">
        <f>IF(ISERROR('raw data'!CB103/'raw data'!CC103),0,'raw data'!CB103/'raw data'!CC103)</f>
        <v>0</v>
      </c>
      <c r="AQ102" s="307">
        <f>IF(ISERROR('raw data'!CD103/'raw data'!CE103),0,'raw data'!CD103/'raw data'!CE103)</f>
        <v>0</v>
      </c>
      <c r="AR102" s="307">
        <f>IF(ISERROR('raw data'!CF103/'raw data'!CG103),0,'raw data'!CF103/'raw data'!CG103)</f>
        <v>0</v>
      </c>
      <c r="AS102" s="307">
        <f>IF(ISERROR('raw data'!CH103/'raw data'!CI103),0,'raw data'!CH103/'raw data'!CI103)</f>
        <v>0</v>
      </c>
      <c r="AT102" s="307">
        <f>IF(ISERROR('raw data'!CJ103/'raw data'!CK103),0,'raw data'!CJ103/'raw data'!CK103)</f>
        <v>1</v>
      </c>
      <c r="AU102" s="307">
        <f>IF(ISERROR('raw data'!CL103/'raw data'!CM103),0,'raw data'!CL103/'raw data'!CM103)</f>
        <v>0</v>
      </c>
      <c r="AV102" s="307">
        <f>IF(ISERROR('raw data'!CN103/'raw data'!CO103),0,'raw data'!CN103/'raw data'!CO103)</f>
        <v>0</v>
      </c>
      <c r="AW102" s="307">
        <f>IF(ISERROR('raw data'!CP103/'raw data'!CQ103),0,'raw data'!CP103/'raw data'!CQ103)</f>
        <v>0</v>
      </c>
      <c r="AX102" s="307">
        <f>IF(ISERROR('raw data'!CR103/'raw data'!CS103),0,'raw data'!CR103/'raw data'!CS103)</f>
        <v>0</v>
      </c>
      <c r="AY102" s="307">
        <f>IF(ISERROR('raw data'!CT103/'raw data'!CU103),0,'raw data'!CT103/'raw data'!CU103)</f>
        <v>0</v>
      </c>
      <c r="AZ102" s="307">
        <f>IF(ISERROR('raw data'!CV103/'raw data'!CW103),0,'raw data'!CV103/'raw data'!CW103)</f>
        <v>0</v>
      </c>
      <c r="BA102" s="307">
        <f>IF(ISERROR('raw data'!CX103/'raw data'!CY103),0,'raw data'!CX103/'raw data'!CY103)</f>
        <v>0</v>
      </c>
      <c r="BB102" s="307">
        <f>IF(ISERROR('raw data'!CZ103/'raw data'!DA103),0,'raw data'!CZ103/'raw data'!DA103)</f>
        <v>0</v>
      </c>
      <c r="BC102" s="307">
        <f>IF(ISERROR('raw data'!DB103/'raw data'!DC103),0,'raw data'!DB103/'raw data'!DC103)</f>
        <v>0</v>
      </c>
      <c r="BD102" s="232" t="s">
        <v>243</v>
      </c>
      <c r="BE102" s="232" t="s">
        <v>243</v>
      </c>
      <c r="BF102" s="232" t="s">
        <v>243</v>
      </c>
      <c r="BG102" s="232" t="s">
        <v>243</v>
      </c>
      <c r="BH102" s="232" t="s">
        <v>243</v>
      </c>
      <c r="BI102" s="232" t="s">
        <v>243</v>
      </c>
      <c r="BJ102" s="232" t="s">
        <v>243</v>
      </c>
      <c r="BK102" s="232" t="s">
        <v>243</v>
      </c>
      <c r="BL102" s="232" t="s">
        <v>243</v>
      </c>
      <c r="BM102" s="232" t="s">
        <v>243</v>
      </c>
      <c r="BN102" s="232" t="s">
        <v>243</v>
      </c>
      <c r="BO102" s="232" t="s">
        <v>243</v>
      </c>
      <c r="BP102" s="232" t="s">
        <v>243</v>
      </c>
      <c r="BQ102" s="232" t="s">
        <v>243</v>
      </c>
      <c r="BR102" s="232" t="s">
        <v>243</v>
      </c>
      <c r="BS102" s="232" t="s">
        <v>243</v>
      </c>
      <c r="BT102" s="232" t="s">
        <v>243</v>
      </c>
      <c r="BU102" s="232" t="s">
        <v>243</v>
      </c>
      <c r="BV102" s="232" t="s">
        <v>243</v>
      </c>
      <c r="BW102" s="232" t="s">
        <v>243</v>
      </c>
      <c r="BX102" s="232" t="s">
        <v>243</v>
      </c>
      <c r="BY102" s="232" t="s">
        <v>243</v>
      </c>
      <c r="BZ102" s="232" t="s">
        <v>243</v>
      </c>
      <c r="CA102" s="232" t="s">
        <v>243</v>
      </c>
      <c r="CB102" s="232" t="s">
        <v>243</v>
      </c>
      <c r="CC102" s="232" t="s">
        <v>243</v>
      </c>
      <c r="CD102" s="232" t="s">
        <v>243</v>
      </c>
      <c r="CE102" s="232" t="s">
        <v>243</v>
      </c>
      <c r="CF102" s="232" t="s">
        <v>243</v>
      </c>
      <c r="CG102" s="232" t="s">
        <v>243</v>
      </c>
      <c r="CH102" s="232" t="s">
        <v>243</v>
      </c>
      <c r="CI102" s="232" t="s">
        <v>243</v>
      </c>
      <c r="CJ102" s="232" t="s">
        <v>243</v>
      </c>
      <c r="CK102" s="232" t="s">
        <v>243</v>
      </c>
      <c r="CL102" s="232" t="s">
        <v>243</v>
      </c>
      <c r="CM102" s="232" t="s">
        <v>243</v>
      </c>
      <c r="CN102" s="232" t="s">
        <v>243</v>
      </c>
      <c r="CO102" s="232" t="s">
        <v>243</v>
      </c>
      <c r="CP102" s="232" t="s">
        <v>243</v>
      </c>
      <c r="CQ102" s="232" t="s">
        <v>243</v>
      </c>
      <c r="CR102" s="232" t="s">
        <v>243</v>
      </c>
      <c r="CS102" s="232" t="s">
        <v>243</v>
      </c>
      <c r="CT102" s="232" t="s">
        <v>243</v>
      </c>
      <c r="CU102" s="232" t="s">
        <v>243</v>
      </c>
      <c r="CV102" s="232" t="s">
        <v>243</v>
      </c>
      <c r="CW102" s="232" t="s">
        <v>243</v>
      </c>
      <c r="CX102" s="232" t="s">
        <v>243</v>
      </c>
      <c r="CY102" s="232" t="s">
        <v>243</v>
      </c>
      <c r="CZ102" s="232" t="s">
        <v>243</v>
      </c>
      <c r="DA102" s="232" t="s">
        <v>243</v>
      </c>
      <c r="DB102" s="232" t="s">
        <v>243</v>
      </c>
      <c r="DC102" s="232" t="s">
        <v>243</v>
      </c>
      <c r="DD102" s="232" t="s">
        <v>243</v>
      </c>
      <c r="DE102" s="232" t="s">
        <v>243</v>
      </c>
      <c r="DF102" s="232" t="s">
        <v>243</v>
      </c>
      <c r="DG102" s="232" t="s">
        <v>243</v>
      </c>
      <c r="DH102" s="232" t="s">
        <v>243</v>
      </c>
      <c r="DI102" s="232" t="s">
        <v>243</v>
      </c>
      <c r="DJ102" s="232" t="s">
        <v>243</v>
      </c>
      <c r="DK102" s="232" t="s">
        <v>243</v>
      </c>
      <c r="DL102" s="232" t="s">
        <v>243</v>
      </c>
      <c r="DM102" s="232" t="s">
        <v>243</v>
      </c>
      <c r="DN102" s="232" t="s">
        <v>243</v>
      </c>
      <c r="DO102" s="232" t="s">
        <v>243</v>
      </c>
      <c r="DP102" s="232" t="s">
        <v>243</v>
      </c>
      <c r="DQ102" s="232" t="s">
        <v>243</v>
      </c>
      <c r="DR102" s="232" t="s">
        <v>243</v>
      </c>
      <c r="DS102" s="232" t="s">
        <v>243</v>
      </c>
      <c r="DT102" s="232" t="s">
        <v>243</v>
      </c>
      <c r="DU102" s="232" t="s">
        <v>243</v>
      </c>
      <c r="DV102" s="232" t="s">
        <v>243</v>
      </c>
      <c r="DW102" s="232" t="s">
        <v>243</v>
      </c>
      <c r="DX102" s="232" t="s">
        <v>243</v>
      </c>
      <c r="DY102" s="232" t="s">
        <v>243</v>
      </c>
      <c r="DZ102" s="232" t="s">
        <v>243</v>
      </c>
      <c r="EA102" s="232" t="s">
        <v>243</v>
      </c>
      <c r="EB102" s="232" t="s">
        <v>243</v>
      </c>
      <c r="EC102" s="232" t="s">
        <v>243</v>
      </c>
      <c r="ED102" s="243"/>
      <c r="EE102" s="308">
        <v>0</v>
      </c>
      <c r="EF102" s="308">
        <v>0</v>
      </c>
      <c r="EG102" s="309">
        <f t="shared" si="0"/>
        <v>0</v>
      </c>
    </row>
    <row r="103" spans="1:137" ht="28" x14ac:dyDescent="0.15">
      <c r="A103" s="303">
        <v>5.4</v>
      </c>
      <c r="B103" s="304" t="str">
        <f>'raw data'!B104</f>
        <v>Customer with open accounts that resides in an OFAC sanctioned country and has not been reviewed for 12 months.</v>
      </c>
      <c r="C103" s="305" t="s">
        <v>173</v>
      </c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306"/>
      <c r="W103" s="306"/>
      <c r="X103" s="306"/>
      <c r="Y103" s="306"/>
      <c r="Z103" s="306"/>
      <c r="AA103" s="306"/>
      <c r="AB103" s="306"/>
      <c r="AC103" s="306"/>
      <c r="AD103" s="307">
        <f>IF(ISERROR('raw data'!BD104/'raw data'!BE104),0,'raw data'!BD104/'raw data'!BE104)</f>
        <v>0</v>
      </c>
      <c r="AE103" s="307">
        <f>IF(ISERROR('raw data'!BF104/'raw data'!BG104),0,'raw data'!BF104/'raw data'!BG104)</f>
        <v>0</v>
      </c>
      <c r="AF103" s="307">
        <f>IF(ISERROR('raw data'!BH104/'raw data'!BI104),0,'raw data'!BH104/'raw data'!BI104)</f>
        <v>0</v>
      </c>
      <c r="AG103" s="307">
        <f>IF(ISERROR('raw data'!BJ104/'raw data'!BK104),0,'raw data'!BJ104/'raw data'!BK104)</f>
        <v>0</v>
      </c>
      <c r="AH103" s="307">
        <f>IF(ISERROR('raw data'!BL104/'raw data'!BM104),0,'raw data'!BL104/'raw data'!BM104)</f>
        <v>0</v>
      </c>
      <c r="AI103" s="307">
        <f>IF(ISERROR('raw data'!BN104/'raw data'!BO104),0,'raw data'!BN104/'raw data'!BO104)</f>
        <v>0</v>
      </c>
      <c r="AJ103" s="307">
        <f>IF(ISERROR('raw data'!BP104/'raw data'!BQ104),0,'raw data'!BP104/'raw data'!BQ104)</f>
        <v>0</v>
      </c>
      <c r="AK103" s="307">
        <f>IF(ISERROR('raw data'!BR104/'raw data'!BS104),0,'raw data'!BR104/'raw data'!BS104)</f>
        <v>0</v>
      </c>
      <c r="AL103" s="307">
        <f>IF(ISERROR('raw data'!BT104/'raw data'!BU104),0,'raw data'!BT104/'raw data'!BU104)</f>
        <v>0</v>
      </c>
      <c r="AM103" s="307">
        <f>IF(ISERROR('raw data'!BV104/'raw data'!BW104),0,'raw data'!BV104/'raw data'!BW104)</f>
        <v>0</v>
      </c>
      <c r="AN103" s="307">
        <f>IF(ISERROR('raw data'!BX104/'raw data'!BY104),0,'raw data'!BX104/'raw data'!BY104)</f>
        <v>0</v>
      </c>
      <c r="AO103" s="307">
        <f>IF(ISERROR('raw data'!BZ104/'raw data'!CA104),0,'raw data'!BZ104/'raw data'!CA104)</f>
        <v>0.16666666666666666</v>
      </c>
      <c r="AP103" s="307">
        <f>IF(ISERROR('raw data'!CB104/'raw data'!CC104),0,'raw data'!CB104/'raw data'!CC104)</f>
        <v>0</v>
      </c>
      <c r="AQ103" s="307">
        <f>IF(ISERROR('raw data'!CD104/'raw data'!CE104),0,'raw data'!CD104/'raw data'!CE104)</f>
        <v>0</v>
      </c>
      <c r="AR103" s="307">
        <f>IF(ISERROR('raw data'!CF104/'raw data'!CG104),0,'raw data'!CF104/'raw data'!CG104)</f>
        <v>0</v>
      </c>
      <c r="AS103" s="307">
        <f>IF(ISERROR('raw data'!CH104/'raw data'!CI104),0,'raw data'!CH104/'raw data'!CI104)</f>
        <v>0</v>
      </c>
      <c r="AT103" s="307">
        <f>IF(ISERROR('raw data'!CJ104/'raw data'!CK104),0,'raw data'!CJ104/'raw data'!CK104)</f>
        <v>1</v>
      </c>
      <c r="AU103" s="307">
        <f>IF(ISERROR('raw data'!CL104/'raw data'!CM104),0,'raw data'!CL104/'raw data'!CM104)</f>
        <v>0</v>
      </c>
      <c r="AV103" s="307">
        <f>IF(ISERROR('raw data'!CN104/'raw data'!CO104),0,'raw data'!CN104/'raw data'!CO104)</f>
        <v>0</v>
      </c>
      <c r="AW103" s="307">
        <f>IF(ISERROR('raw data'!CP104/'raw data'!CQ104),0,'raw data'!CP104/'raw data'!CQ104)</f>
        <v>0</v>
      </c>
      <c r="AX103" s="307">
        <f>IF(ISERROR('raw data'!CR104/'raw data'!CS104),0,'raw data'!CR104/'raw data'!CS104)</f>
        <v>0</v>
      </c>
      <c r="AY103" s="307">
        <f>IF(ISERROR('raw data'!CT104/'raw data'!CU104),0,'raw data'!CT104/'raw data'!CU104)</f>
        <v>0</v>
      </c>
      <c r="AZ103" s="307">
        <f>IF(ISERROR('raw data'!CV104/'raw data'!CW104),0,'raw data'!CV104/'raw data'!CW104)</f>
        <v>0</v>
      </c>
      <c r="BA103" s="307">
        <f>IF(ISERROR('raw data'!CX104/'raw data'!CY104),0,'raw data'!CX104/'raw data'!CY104)</f>
        <v>0</v>
      </c>
      <c r="BB103" s="307">
        <f>IF(ISERROR('raw data'!CZ104/'raw data'!DA104),0,'raw data'!CZ104/'raw data'!DA104)</f>
        <v>0</v>
      </c>
      <c r="BC103" s="307">
        <f>IF(ISERROR('raw data'!DB104/'raw data'!DC104),0,'raw data'!DB104/'raw data'!DC104)</f>
        <v>0</v>
      </c>
      <c r="BD103" s="232" t="s">
        <v>243</v>
      </c>
      <c r="BE103" s="232" t="s">
        <v>243</v>
      </c>
      <c r="BF103" s="232" t="s">
        <v>243</v>
      </c>
      <c r="BG103" s="232" t="s">
        <v>243</v>
      </c>
      <c r="BH103" s="232" t="s">
        <v>243</v>
      </c>
      <c r="BI103" s="232" t="s">
        <v>243</v>
      </c>
      <c r="BJ103" s="232" t="s">
        <v>243</v>
      </c>
      <c r="BK103" s="232" t="s">
        <v>243</v>
      </c>
      <c r="BL103" s="232" t="s">
        <v>243</v>
      </c>
      <c r="BM103" s="232" t="s">
        <v>243</v>
      </c>
      <c r="BN103" s="232" t="s">
        <v>243</v>
      </c>
      <c r="BO103" s="232" t="s">
        <v>243</v>
      </c>
      <c r="BP103" s="232" t="s">
        <v>243</v>
      </c>
      <c r="BQ103" s="232" t="s">
        <v>243</v>
      </c>
      <c r="BR103" s="232" t="s">
        <v>243</v>
      </c>
      <c r="BS103" s="232" t="s">
        <v>243</v>
      </c>
      <c r="BT103" s="232" t="s">
        <v>243</v>
      </c>
      <c r="BU103" s="232" t="s">
        <v>243</v>
      </c>
      <c r="BV103" s="232" t="s">
        <v>243</v>
      </c>
      <c r="BW103" s="232" t="s">
        <v>243</v>
      </c>
      <c r="BX103" s="232" t="s">
        <v>243</v>
      </c>
      <c r="BY103" s="232" t="s">
        <v>243</v>
      </c>
      <c r="BZ103" s="232" t="s">
        <v>243</v>
      </c>
      <c r="CA103" s="232" t="s">
        <v>243</v>
      </c>
      <c r="CB103" s="232" t="s">
        <v>243</v>
      </c>
      <c r="CC103" s="232" t="s">
        <v>243</v>
      </c>
      <c r="CD103" s="232" t="s">
        <v>243</v>
      </c>
      <c r="CE103" s="232" t="s">
        <v>243</v>
      </c>
      <c r="CF103" s="232" t="s">
        <v>243</v>
      </c>
      <c r="CG103" s="232" t="s">
        <v>243</v>
      </c>
      <c r="CH103" s="232" t="s">
        <v>243</v>
      </c>
      <c r="CI103" s="232" t="s">
        <v>243</v>
      </c>
      <c r="CJ103" s="232" t="s">
        <v>243</v>
      </c>
      <c r="CK103" s="232" t="s">
        <v>243</v>
      </c>
      <c r="CL103" s="232" t="s">
        <v>243</v>
      </c>
      <c r="CM103" s="232" t="s">
        <v>243</v>
      </c>
      <c r="CN103" s="232" t="s">
        <v>243</v>
      </c>
      <c r="CO103" s="232" t="s">
        <v>243</v>
      </c>
      <c r="CP103" s="232" t="s">
        <v>243</v>
      </c>
      <c r="CQ103" s="232" t="s">
        <v>243</v>
      </c>
      <c r="CR103" s="232" t="s">
        <v>243</v>
      </c>
      <c r="CS103" s="232" t="s">
        <v>243</v>
      </c>
      <c r="CT103" s="232" t="s">
        <v>243</v>
      </c>
      <c r="CU103" s="232" t="s">
        <v>243</v>
      </c>
      <c r="CV103" s="232" t="s">
        <v>243</v>
      </c>
      <c r="CW103" s="232" t="s">
        <v>243</v>
      </c>
      <c r="CX103" s="232" t="s">
        <v>243</v>
      </c>
      <c r="CY103" s="232" t="s">
        <v>243</v>
      </c>
      <c r="CZ103" s="232" t="s">
        <v>243</v>
      </c>
      <c r="DA103" s="232" t="s">
        <v>243</v>
      </c>
      <c r="DB103" s="232" t="s">
        <v>243</v>
      </c>
      <c r="DC103" s="232" t="s">
        <v>243</v>
      </c>
      <c r="DD103" s="232" t="s">
        <v>243</v>
      </c>
      <c r="DE103" s="232" t="s">
        <v>243</v>
      </c>
      <c r="DF103" s="232" t="s">
        <v>243</v>
      </c>
      <c r="DG103" s="232" t="s">
        <v>243</v>
      </c>
      <c r="DH103" s="232" t="s">
        <v>243</v>
      </c>
      <c r="DI103" s="232" t="s">
        <v>243</v>
      </c>
      <c r="DJ103" s="232" t="s">
        <v>243</v>
      </c>
      <c r="DK103" s="232" t="s">
        <v>243</v>
      </c>
      <c r="DL103" s="232" t="s">
        <v>243</v>
      </c>
      <c r="DM103" s="232" t="s">
        <v>243</v>
      </c>
      <c r="DN103" s="232" t="s">
        <v>243</v>
      </c>
      <c r="DO103" s="232" t="s">
        <v>243</v>
      </c>
      <c r="DP103" s="232" t="s">
        <v>243</v>
      </c>
      <c r="DQ103" s="232" t="s">
        <v>243</v>
      </c>
      <c r="DR103" s="232" t="s">
        <v>243</v>
      </c>
      <c r="DS103" s="232" t="s">
        <v>243</v>
      </c>
      <c r="DT103" s="232" t="s">
        <v>243</v>
      </c>
      <c r="DU103" s="232" t="s">
        <v>243</v>
      </c>
      <c r="DV103" s="232" t="s">
        <v>243</v>
      </c>
      <c r="DW103" s="232" t="s">
        <v>243</v>
      </c>
      <c r="DX103" s="232" t="s">
        <v>243</v>
      </c>
      <c r="DY103" s="232" t="s">
        <v>243</v>
      </c>
      <c r="DZ103" s="232" t="s">
        <v>243</v>
      </c>
      <c r="EA103" s="232" t="s">
        <v>243</v>
      </c>
      <c r="EB103" s="232" t="s">
        <v>243</v>
      </c>
      <c r="EC103" s="232" t="s">
        <v>243</v>
      </c>
      <c r="ED103" s="243"/>
      <c r="EE103" s="308">
        <v>0</v>
      </c>
      <c r="EF103" s="308">
        <v>0</v>
      </c>
      <c r="EG103" s="309">
        <f t="shared" si="0"/>
        <v>0</v>
      </c>
    </row>
    <row r="104" spans="1:137" ht="14" x14ac:dyDescent="0.15">
      <c r="A104" s="241"/>
      <c r="B104" s="242" t="s">
        <v>174</v>
      </c>
      <c r="C104" s="242" t="s">
        <v>174</v>
      </c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>
        <f>IF(ISERROR('raw data'!BD105/'raw data'!BE105),0,'raw data'!BD105/'raw data'!BE105)</f>
        <v>0</v>
      </c>
      <c r="AE104" s="243">
        <f>IF(ISERROR('raw data'!BF105/'raw data'!BG105),0,'raw data'!BF105/'raw data'!BG105)</f>
        <v>0</v>
      </c>
      <c r="AF104" s="243">
        <f>IF(ISERROR('raw data'!BH105/'raw data'!BI105),0,'raw data'!BH105/'raw data'!BI105)</f>
        <v>0</v>
      </c>
      <c r="AG104" s="243">
        <f>IF(ISERROR('raw data'!BJ105/'raw data'!BK105),0,'raw data'!BJ105/'raw data'!BK105)</f>
        <v>0</v>
      </c>
      <c r="AH104" s="243">
        <f>IF(ISERROR('raw data'!BL105/'raw data'!BM105),0,'raw data'!BL105/'raw data'!BM105)</f>
        <v>0</v>
      </c>
      <c r="AI104" s="243">
        <f>IF(ISERROR('raw data'!BN105/'raw data'!BO105),0,'raw data'!BN105/'raw data'!BO105)</f>
        <v>0</v>
      </c>
      <c r="AJ104" s="243">
        <f>IF(ISERROR('raw data'!BP105/'raw data'!BQ105),0,'raw data'!BP105/'raw data'!BQ105)</f>
        <v>0</v>
      </c>
      <c r="AK104" s="243">
        <f>IF(ISERROR('raw data'!BR105/'raw data'!BS105),0,'raw data'!BR105/'raw data'!BS105)</f>
        <v>0</v>
      </c>
      <c r="AL104" s="243">
        <f>IF(ISERROR('raw data'!BT105/'raw data'!BU105),0,'raw data'!BT105/'raw data'!BU105)</f>
        <v>0</v>
      </c>
      <c r="AM104" s="243">
        <f>IF(ISERROR('raw data'!BV105/'raw data'!BW105),0,'raw data'!BV105/'raw data'!BW105)</f>
        <v>0</v>
      </c>
      <c r="AN104" s="243">
        <f>IF(ISERROR('raw data'!BX105/'raw data'!BY105),0,'raw data'!BX105/'raw data'!BY105)</f>
        <v>0</v>
      </c>
      <c r="AO104" s="243">
        <f>IF(ISERROR('raw data'!BZ105/'raw data'!CA105),0,'raw data'!BZ105/'raw data'!CA105)</f>
        <v>0.23529411764705882</v>
      </c>
      <c r="AP104" s="243">
        <f>IF(ISERROR('raw data'!CB105/'raw data'!CC105),0,'raw data'!CB105/'raw data'!CC105)</f>
        <v>0</v>
      </c>
      <c r="AQ104" s="243">
        <f>IF(ISERROR('raw data'!CD105/'raw data'!CE105),0,'raw data'!CD105/'raw data'!CE105)</f>
        <v>7.1428571428571425E-2</v>
      </c>
      <c r="AR104" s="243">
        <f>IF(ISERROR('raw data'!CF105/'raw data'!CG105),0,'raw data'!CF105/'raw data'!CG105)</f>
        <v>0</v>
      </c>
      <c r="AS104" s="243">
        <f>IF(ISERROR('raw data'!CH105/'raw data'!CI105),0,'raw data'!CH105/'raw data'!CI105)</f>
        <v>0</v>
      </c>
      <c r="AT104" s="243">
        <f>IF(ISERROR('raw data'!CJ105/'raw data'!CK105),0,'raw data'!CJ105/'raw data'!CK105)</f>
        <v>0.5</v>
      </c>
      <c r="AU104" s="243">
        <f>IF(ISERROR('raw data'!CL105/'raw data'!CM105),0,'raw data'!CL105/'raw data'!CM105)</f>
        <v>0</v>
      </c>
      <c r="AV104" s="243">
        <f>IF(ISERROR('raw data'!CN105/'raw data'!CO105),0,'raw data'!CN105/'raw data'!CO105)</f>
        <v>0.33333333333333331</v>
      </c>
      <c r="AW104" s="243">
        <f>IF(ISERROR('raw data'!CP105/'raw data'!CQ105),0,'raw data'!CP105/'raw data'!CQ105)</f>
        <v>0</v>
      </c>
      <c r="AX104" s="243">
        <f>IF(ISERROR('raw data'!CR105/'raw data'!CS105),0,'raw data'!CR105/'raw data'!CS105)</f>
        <v>0</v>
      </c>
      <c r="AY104" s="243">
        <f>IF(ISERROR('raw data'!CT105/'raw data'!CU105),0,'raw data'!CT105/'raw data'!CU105)</f>
        <v>0.33333333333333331</v>
      </c>
      <c r="AZ104" s="243">
        <f>IF(ISERROR('raw data'!CV105/'raw data'!CW105),0,'raw data'!CV105/'raw data'!CW105)</f>
        <v>0</v>
      </c>
      <c r="BA104" s="243">
        <f>IF(ISERROR('raw data'!CX105/'raw data'!CY105),0,'raw data'!CX105/'raw data'!CY105)</f>
        <v>0</v>
      </c>
      <c r="BB104" s="243">
        <f>IF(ISERROR('raw data'!CZ105/'raw data'!DA105),0,'raw data'!CZ105/'raw data'!DA105)</f>
        <v>0.33333333333333331</v>
      </c>
      <c r="BC104" s="243">
        <f>IF(ISERROR('raw data'!DB105/'raw data'!DC105),0,'raw data'!DB105/'raw data'!DC105)</f>
        <v>0</v>
      </c>
      <c r="BD104" s="243">
        <v>0</v>
      </c>
      <c r="BE104" s="243">
        <f>IF(ISERROR('raw data'!DF105/'raw data'!DG105),0,'raw data'!DF105/'raw data'!DG105)</f>
        <v>0</v>
      </c>
      <c r="BF104" s="243">
        <f>IF(ISERROR('raw data'!DH105/'raw data'!DI105),0,'raw data'!DH105/'raw data'!DI105)</f>
        <v>0</v>
      </c>
      <c r="BG104" s="243">
        <f>IF(ISERROR('raw data'!DJ105/'raw data'!DK105),0,'raw data'!DJ105/'raw data'!DK105)</f>
        <v>0</v>
      </c>
      <c r="BH104" s="243">
        <f>IF(ISERROR('raw data'!DL105/'raw data'!DM105),0,'raw data'!DL105/'raw data'!DM105)</f>
        <v>0</v>
      </c>
      <c r="BI104" s="243">
        <f>IF(ISERROR('raw data'!DN105/'raw data'!DO105),0,'raw data'!DN105/'raw data'!DO105)</f>
        <v>0.2</v>
      </c>
      <c r="BJ104" s="243">
        <f>IF(ISERROR('raw data'!DP105/'raw data'!DQ105),0,'raw data'!DP105/'raw data'!DQ105)</f>
        <v>0</v>
      </c>
      <c r="BK104" s="243">
        <f>IF(ISERROR('raw data'!DR105/'raw data'!DS105),0,'raw data'!DR105/'raw data'!DS105)</f>
        <v>0</v>
      </c>
      <c r="BL104" s="243">
        <f>IF(ISERROR('raw data'!DT105/'raw data'!DU105),0,'raw data'!DT105/'raw data'!DU105)</f>
        <v>0</v>
      </c>
      <c r="BM104" s="243">
        <f>IF(ISERROR('raw data'!DV105/'raw data'!DW105),0,'raw data'!DV105/'raw data'!DW105)</f>
        <v>0</v>
      </c>
      <c r="BN104" s="243">
        <f>IF(ISERROR('raw data'!DX105/'raw data'!DY105),0,'raw data'!DX105/'raw data'!DY105)</f>
        <v>0</v>
      </c>
      <c r="BO104" s="243">
        <f>IF(ISERROR('raw data'!DZ105/'raw data'!EA105),0,'raw data'!DZ105/'raw data'!EA105)</f>
        <v>0</v>
      </c>
      <c r="BP104" s="243">
        <f>IF(ISERROR('raw data'!EB105/'raw data'!EC105),0,'raw data'!EB105/'raw data'!EC105)</f>
        <v>0</v>
      </c>
      <c r="BQ104" s="243">
        <f>IF(ISERROR('raw data'!ED105/'raw data'!EE105),0,'raw data'!ED105/'raw data'!EE105)</f>
        <v>0</v>
      </c>
      <c r="BR104" s="243">
        <f>IF(ISERROR('raw data'!EF105/'raw data'!EG105),0,'raw data'!EF105/'raw data'!EG105)</f>
        <v>0</v>
      </c>
      <c r="BS104" s="243">
        <f>IF(ISERROR('raw data'!EH105/'raw data'!EI105),0,'raw data'!EH105/'raw data'!EI105)</f>
        <v>0</v>
      </c>
      <c r="BT104" s="243">
        <f>IF(ISERROR('raw data'!EJ105/'raw data'!EK105),0,'raw data'!EJ105/'raw data'!EK105)</f>
        <v>0</v>
      </c>
      <c r="BU104" s="243">
        <f>IF(ISERROR('raw data'!EL105/'raw data'!EM105),0,'raw data'!EL105/'raw data'!EM105)</f>
        <v>0</v>
      </c>
      <c r="BV104" s="243">
        <f>IF(ISERROR('raw data'!EN105/'raw data'!EO105),0,'raw data'!EN105/'raw data'!EO105)</f>
        <v>0</v>
      </c>
      <c r="BW104" s="243">
        <f>IF(ISERROR('raw data'!EP105/'raw data'!EQ105),0,'raw data'!EP105/'raw data'!EQ105)</f>
        <v>0</v>
      </c>
      <c r="BX104" s="243">
        <f>IF(ISERROR('raw data'!ER105/'raw data'!ES105),0,'raw data'!ER105/'raw data'!ES105)</f>
        <v>0</v>
      </c>
      <c r="BY104" s="243">
        <f>IF(ISERROR('raw data'!ET105/'raw data'!EU105),0,'raw data'!ET105/'raw data'!EU105)</f>
        <v>0</v>
      </c>
      <c r="BZ104" s="243">
        <f>IF(ISERROR('raw data'!EV105/'raw data'!EW105),0,'raw data'!EV105/'raw data'!EW105)</f>
        <v>0</v>
      </c>
      <c r="CA104" s="243">
        <f>IF(ISERROR('raw data'!EX105/'raw data'!EY105),0,'raw data'!EX105/'raw data'!EY105)</f>
        <v>0</v>
      </c>
      <c r="CB104" s="243">
        <f>IF(ISERROR('raw data'!EZ105/'raw data'!FA105),0,'raw data'!EZ105/'raw data'!FA105)</f>
        <v>0</v>
      </c>
      <c r="CC104" s="243">
        <f>IF(ISERROR('raw data'!FB105/'raw data'!FC105),0,'raw data'!FB105/'raw data'!FC105)</f>
        <v>0</v>
      </c>
      <c r="CD104" s="243">
        <f>IF(ISERROR('raw data'!FD105/'raw data'!FE105),0,'raw data'!FD105/'raw data'!FE105)</f>
        <v>0</v>
      </c>
      <c r="CE104" s="243">
        <f>IF(ISERROR('raw data'!FF105/'raw data'!FG105),0,'raw data'!FF105/'raw data'!FG105)</f>
        <v>0</v>
      </c>
      <c r="CF104" s="243">
        <f>IF(ISERROR('raw data'!FH105/'raw data'!FI105),0,'raw data'!FH105/'raw data'!FI105)</f>
        <v>0</v>
      </c>
      <c r="CG104" s="243">
        <f>IF(ISERROR('raw data'!FJ105/'raw data'!FM105),0,'raw data'!FJ105/'raw data'!FM105)</f>
        <v>0</v>
      </c>
      <c r="CH104" s="243">
        <f>IF(ISERROR('raw data'!FN105/'raw data'!FO105),0,'raw data'!FN105/'raw data'!FO105)</f>
        <v>0</v>
      </c>
      <c r="CI104" s="243">
        <f>IF(ISERROR('raw data'!FP105/'raw data'!FQ105),0,'raw data'!FP105/'raw data'!FQ105)</f>
        <v>0</v>
      </c>
      <c r="CJ104" s="243">
        <f>IF(ISERROR('raw data'!FR105/'raw data'!FS105),0,'raw data'!FR105/'raw data'!FS105)</f>
        <v>0</v>
      </c>
      <c r="CK104" s="243">
        <f>IF(ISERROR('raw data'!FT105/'raw data'!FU105),0,'raw data'!FT105/'raw data'!FU105)</f>
        <v>0</v>
      </c>
      <c r="CL104" s="243">
        <f>IF(ISERROR('raw data'!FV105/'raw data'!FW105),0,'raw data'!FV105/'raw data'!FW105)</f>
        <v>0</v>
      </c>
      <c r="CM104" s="243">
        <f>IF(ISERROR('raw data'!FX105/'raw data'!FY105),0,'raw data'!FX105/'raw data'!FY105)</f>
        <v>0</v>
      </c>
      <c r="CN104" s="243">
        <f>IF(ISERROR('raw data'!FZ105/'raw data'!GA105),0,'raw data'!FZ105/'raw data'!GA105)</f>
        <v>0</v>
      </c>
      <c r="CO104" s="243">
        <f>IF(ISERROR('raw data'!GB105/'raw data'!GC105),0,'raw data'!GB105/'raw data'!GC105)</f>
        <v>0</v>
      </c>
      <c r="CP104" s="243">
        <f>IF(ISERROR('raw data'!GD105/'raw data'!GE105),0,'raw data'!GD105/'raw data'!GE105)</f>
        <v>0</v>
      </c>
      <c r="CQ104" s="243">
        <f>IF(ISERROR('raw data'!GF105/'raw data'!GG105),0,'raw data'!GF105/'raw data'!GG105)</f>
        <v>0</v>
      </c>
      <c r="CR104" s="243">
        <f>IF(ISERROR('raw data'!GH105/'raw data'!GI105),0,'raw data'!GH105/'raw data'!GI105)</f>
        <v>0</v>
      </c>
      <c r="CS104" s="243">
        <f>IF(ISERROR('raw data'!GJ105/'raw data'!GK105),0,'raw data'!GJ105/'raw data'!GK105)</f>
        <v>0</v>
      </c>
      <c r="CT104" s="243">
        <f>IF(ISERROR('raw data'!GL105/'raw data'!GM105),0,'raw data'!GL105/'raw data'!GM105)</f>
        <v>0</v>
      </c>
      <c r="CU104" s="243">
        <f>IF(ISERROR('raw data'!GN105/'raw data'!GO105),0,'raw data'!GN105/'raw data'!GO105)</f>
        <v>0</v>
      </c>
      <c r="CV104" s="243">
        <f>IF(ISERROR('raw data'!GP105/'raw data'!GQ105),0,'raw data'!GP105/'raw data'!GQ105)</f>
        <v>0</v>
      </c>
      <c r="CW104" s="243">
        <f>IF(ISERROR('raw data'!GR105/'raw data'!GS105),0,'raw data'!GR105/'raw data'!GS105)</f>
        <v>0</v>
      </c>
      <c r="CX104" s="243">
        <f>IF(ISERROR('raw data'!GT105/'raw data'!GU105),0,'raw data'!GT105/'raw data'!GU105)</f>
        <v>0</v>
      </c>
      <c r="CY104" s="243">
        <f>IF(ISERROR('raw data'!GV105/'raw data'!GW105),0,'raw data'!GV105/'raw data'!GW105)</f>
        <v>0</v>
      </c>
      <c r="CZ104" s="243">
        <f>IF(ISERROR('raw data'!GX105/'raw data'!GY105),0,'raw data'!GX105/'raw data'!GY105)</f>
        <v>0</v>
      </c>
      <c r="DA104" s="243">
        <f>IF(ISERROR('raw data'!GZ105/'raw data'!HA105),0,'raw data'!GZ105/'raw data'!HA105)</f>
        <v>0</v>
      </c>
      <c r="DB104" s="243">
        <f>IF(ISERROR('raw data'!HB105/'raw data'!HC105),0,'raw data'!HB105/'raw data'!HC105)</f>
        <v>0</v>
      </c>
      <c r="DC104" s="243">
        <f>IF(ISERROR('raw data'!HD105/'raw data'!HE105),0,'raw data'!HD105/'raw data'!HE105)</f>
        <v>0</v>
      </c>
      <c r="DD104" s="243">
        <f>IF(ISERROR('raw data'!HF105/'raw data'!HG105),0,'raw data'!HF105/'raw data'!HG105)</f>
        <v>0</v>
      </c>
      <c r="DE104" s="243">
        <f>IF(ISERROR('raw data'!HH105/'raw data'!HI105),0,'raw data'!HH105/'raw data'!HI105)</f>
        <v>0</v>
      </c>
      <c r="DF104" s="243">
        <f>IF(ISERROR('raw data'!HJ105/'raw data'!HK105),0,'raw data'!HJ105/'raw data'!HK105)</f>
        <v>0</v>
      </c>
      <c r="DG104" s="243">
        <f>IF(ISERROR('raw data'!HL105/'raw data'!HM105),0,'raw data'!HL105/'raw data'!HM105)</f>
        <v>0</v>
      </c>
      <c r="DH104" s="243">
        <f>IF(ISERROR('raw data'!HN105/'raw data'!HO105),0,'raw data'!HN105/'raw data'!HO105)</f>
        <v>0</v>
      </c>
      <c r="DI104" s="243">
        <f>IF(ISERROR('raw data'!HP105/'raw data'!HQ105),0,'raw data'!HP105/'raw data'!HQ105)</f>
        <v>0</v>
      </c>
      <c r="DJ104" s="243">
        <f>IF(ISERROR('raw data'!HR105/'raw data'!HS105),0,'raw data'!HR105/'raw data'!HS105)</f>
        <v>0</v>
      </c>
      <c r="DK104" s="243">
        <f>IF(ISERROR('raw data'!HT105/'raw data'!HU105),0,'raw data'!HT105/'raw data'!HU105)</f>
        <v>0</v>
      </c>
      <c r="DL104" s="243">
        <f>IF(ISERROR('raw data'!HV105/'raw data'!HW105),0,'raw data'!HV105/'raw data'!HW105)</f>
        <v>0</v>
      </c>
      <c r="DM104" s="243">
        <f>IF(ISERROR('raw data'!HX105/'raw data'!HY105),0,'raw data'!HX105/'raw data'!HY105)</f>
        <v>0</v>
      </c>
      <c r="DN104" s="243">
        <f>IF(ISERROR('raw data'!HZ105/'raw data'!IA105),0,'raw data'!HZ105/'raw data'!IA105)</f>
        <v>0</v>
      </c>
      <c r="DO104" s="243">
        <f>IF(ISERROR('raw data'!IB105/'raw data'!IC105),0,'raw data'!IB105/'raw data'!IC105)</f>
        <v>0</v>
      </c>
      <c r="DP104" s="243">
        <f>IF(ISERROR('raw data'!ID105/'raw data'!IE105),0,'raw data'!ID105/'raw data'!IE105)</f>
        <v>0</v>
      </c>
      <c r="DQ104" s="243">
        <f>IF(ISERROR('raw data'!IF105/'raw data'!IG105),0,'raw data'!IF105/'raw data'!IG105)</f>
        <v>0</v>
      </c>
      <c r="DR104" s="243">
        <f>IF(ISERROR('raw data'!IH105/'raw data'!II105),0,'raw data'!IH105/'raw data'!II105)</f>
        <v>0</v>
      </c>
      <c r="DS104" s="243">
        <f>IF(ISERROR('raw data'!IJ105/'raw data'!IK105),0,'raw data'!IJ105/'raw data'!IK105)</f>
        <v>0</v>
      </c>
      <c r="DT104" s="243">
        <f>IF(ISERROR('raw data'!IL105/'raw data'!IM105),0,'raw data'!IL105/'raw data'!IM105)</f>
        <v>0</v>
      </c>
      <c r="DU104" s="243">
        <f>IF(ISERROR('raw data'!IN105/'raw data'!IO105),0,'raw data'!IN105/'raw data'!IO105)</f>
        <v>0</v>
      </c>
      <c r="DV104" s="243">
        <f>IF(ISERROR('raw data'!IP105/'raw data'!IQ105),0,'raw data'!IP105/'raw data'!IQ105)</f>
        <v>0</v>
      </c>
      <c r="DW104" s="243">
        <f>IF(ISERROR('raw data'!IR105/'raw data'!IS105),0,'raw data'!IR105/'raw data'!IS105)</f>
        <v>0</v>
      </c>
      <c r="DX104" s="243">
        <f>IF(ISERROR('raw data'!IT105/'raw data'!IU105),0,'raw data'!IT105/'raw data'!IU105)</f>
        <v>0</v>
      </c>
      <c r="DY104" s="243">
        <f>IF(ISERROR('raw data'!IV105/'raw data'!IW105),0,'raw data'!IV105/'raw data'!IW105)</f>
        <v>0</v>
      </c>
      <c r="DZ104" s="243">
        <f>IF(ISERROR('raw data'!IX105/'raw data'!IY105),0,'raw data'!IX105/'raw data'!IY105)</f>
        <v>0</v>
      </c>
      <c r="EA104" s="243">
        <f>IF(ISERROR('raw data'!IZ105/'raw data'!JA105),0,'raw data'!IZ105/'raw data'!JA105)</f>
        <v>0</v>
      </c>
      <c r="EB104" s="243">
        <f>IF(ISERROR('raw data'!JB105/'raw data'!JC105),0,'raw data'!JB105/'raw data'!JC105)</f>
        <v>0</v>
      </c>
      <c r="EC104" s="243">
        <f>IF(ISERROR('raw data'!JD105/'raw data'!JE105),0,'raw data'!JD105/'raw data'!JE105)</f>
        <v>0</v>
      </c>
      <c r="ED104" s="243"/>
      <c r="EE104" s="244">
        <f>SUM(EE100:EE103)</f>
        <v>0</v>
      </c>
      <c r="EF104" s="244">
        <f>SUM(EF100:EF103)</f>
        <v>0</v>
      </c>
      <c r="EG104" s="245">
        <f t="shared" si="0"/>
        <v>0</v>
      </c>
    </row>
    <row r="105" spans="1:137" ht="25.5" customHeight="1" x14ac:dyDescent="0.15">
      <c r="A105" s="310">
        <v>6.1</v>
      </c>
      <c r="B105" s="311" t="str">
        <f>'raw data'!B106</f>
        <v>TMW accounts redeemed when in arrears for 3+ months.</v>
      </c>
      <c r="C105" s="312" t="s">
        <v>176</v>
      </c>
      <c r="D105" s="313"/>
      <c r="E105" s="313"/>
      <c r="F105" s="313"/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4"/>
      <c r="R105" s="314"/>
      <c r="S105" s="314"/>
      <c r="T105" s="314"/>
      <c r="U105" s="314"/>
      <c r="V105" s="314"/>
      <c r="W105" s="314"/>
      <c r="X105" s="314"/>
      <c r="Y105" s="314"/>
      <c r="Z105" s="314"/>
      <c r="AA105" s="314"/>
      <c r="AB105" s="314"/>
      <c r="AC105" s="314"/>
      <c r="AD105" s="314"/>
      <c r="AE105" s="314"/>
      <c r="AF105" s="314"/>
      <c r="AG105" s="314"/>
      <c r="AH105" s="315"/>
      <c r="AI105" s="315"/>
      <c r="AJ105" s="316">
        <f>IF(ISERROR('raw data'!BP106/'raw data'!BQ106),0,'raw data'!BP106/'raw data'!BQ106)</f>
        <v>0</v>
      </c>
      <c r="AK105" s="316">
        <f>IF(ISERROR('raw data'!BR106/'raw data'!BS106),0,'raw data'!BR106/'raw data'!BS106)</f>
        <v>0</v>
      </c>
      <c r="AL105" s="316">
        <f>IF(ISERROR('raw data'!BT106/'raw data'!BU106),0,'raw data'!BT106/'raw data'!BU106)</f>
        <v>0</v>
      </c>
      <c r="AM105" s="316">
        <f>IF(ISERROR('raw data'!BV106/'raw data'!BW106),0,'raw data'!BV106/'raw data'!BW106)</f>
        <v>0</v>
      </c>
      <c r="AN105" s="316">
        <f>IF(ISERROR('raw data'!BX106/'raw data'!BY106),0,'raw data'!BX106/'raw data'!BY106)</f>
        <v>0</v>
      </c>
      <c r="AO105" s="316">
        <f>IF(ISERROR('raw data'!BZ106/'raw data'!CA106),0,'raw data'!BZ106/'raw data'!CA106)</f>
        <v>0</v>
      </c>
      <c r="AP105" s="316">
        <f>IF(ISERROR('raw data'!CB106/'raw data'!CC106),0,'raw data'!CB106/'raw data'!CC106)</f>
        <v>0</v>
      </c>
      <c r="AQ105" s="316">
        <f>IF(ISERROR('raw data'!CD106/'raw data'!CE106),0,'raw data'!CD106/'raw data'!CE106)</f>
        <v>0</v>
      </c>
      <c r="AR105" s="316">
        <f>IF(ISERROR('raw data'!CF106/'raw data'!CG106),0,'raw data'!CF106/'raw data'!CG106)</f>
        <v>0</v>
      </c>
      <c r="AS105" s="316">
        <f>IF(ISERROR('raw data'!CH106/'raw data'!CI106),0,'raw data'!CH106/'raw data'!CI106)</f>
        <v>0</v>
      </c>
      <c r="AT105" s="316">
        <f>IF(ISERROR('raw data'!CJ106/'raw data'!CK106),0,'raw data'!CJ106/'raw data'!CK106)</f>
        <v>0</v>
      </c>
      <c r="AU105" s="316">
        <f>IF(ISERROR('raw data'!CL106/'raw data'!CM106),0,'raw data'!CL106/'raw data'!CM106)</f>
        <v>0</v>
      </c>
      <c r="AV105" s="316">
        <f>IF(ISERROR('raw data'!CN106/'raw data'!CO106),0,'raw data'!CN106/'raw data'!CO106)</f>
        <v>0</v>
      </c>
      <c r="AW105" s="316">
        <f>IF(ISERROR('raw data'!CP106/'raw data'!CQ106),0,'raw data'!CP106/'raw data'!CQ106)</f>
        <v>0</v>
      </c>
      <c r="AX105" s="316">
        <f>IF(ISERROR('raw data'!CR106/'raw data'!CS106),0,'raw data'!CR106/'raw data'!CS106)</f>
        <v>0</v>
      </c>
      <c r="AY105" s="316">
        <f>IF(ISERROR('raw data'!CT106/'raw data'!CU106),0,'raw data'!CT106/'raw data'!CU106)</f>
        <v>0</v>
      </c>
      <c r="AZ105" s="316">
        <f>IF(ISERROR('raw data'!CV106/'raw data'!CW106),0,'raw data'!CV106/'raw data'!CW106)</f>
        <v>0</v>
      </c>
      <c r="BA105" s="316">
        <f>IF(ISERROR('raw data'!CX106/'raw data'!CY106),0,'raw data'!CX106/'raw data'!CY106)</f>
        <v>0</v>
      </c>
      <c r="BB105" s="316">
        <f>IF(ISERROR('raw data'!CZ106/'raw data'!DA106),0,'raw data'!CZ106/'raw data'!DA106)</f>
        <v>0</v>
      </c>
      <c r="BC105" s="316">
        <f>IF(ISERROR('raw data'!DB106/'raw data'!DC106),0,'raw data'!DB106/'raw data'!DC106)</f>
        <v>0</v>
      </c>
      <c r="BD105" s="316">
        <v>0</v>
      </c>
      <c r="BE105" s="316">
        <f>IF(ISERROR('raw data'!DF106/'raw data'!DG106),0,'raw data'!DF106/'raw data'!DG106)</f>
        <v>0</v>
      </c>
      <c r="BF105" s="316">
        <f>IF(ISERROR('raw data'!DH106/'raw data'!DI106),0,'raw data'!DH106/'raw data'!DI106)</f>
        <v>0</v>
      </c>
      <c r="BG105" s="316">
        <f>IF(ISERROR('raw data'!DJ106/'raw data'!DK106),0,'raw data'!DJ106/'raw data'!DK106)</f>
        <v>0</v>
      </c>
      <c r="BH105" s="316">
        <f>IF(ISERROR('raw data'!DL106/'raw data'!DM106),0,'raw data'!DL106/'raw data'!DM106)</f>
        <v>0</v>
      </c>
      <c r="BI105" s="316">
        <f>IF(ISERROR('raw data'!DN106/'raw data'!DO106),0,'raw data'!DN106/'raw data'!DO106)</f>
        <v>0</v>
      </c>
      <c r="BJ105" s="316">
        <f>IF(ISERROR('raw data'!DP106/'raw data'!DQ106),0,'raw data'!DP106/'raw data'!DQ106)</f>
        <v>0</v>
      </c>
      <c r="BK105" s="316">
        <f>IF(ISERROR('raw data'!DR106/'raw data'!DS106),0,'raw data'!DR106/'raw data'!DS106)</f>
        <v>0</v>
      </c>
      <c r="BL105" s="316">
        <f>IF(ISERROR('raw data'!DT106/'raw data'!DU106),0,'raw data'!DT106/'raw data'!DU106)</f>
        <v>0</v>
      </c>
      <c r="BM105" s="316">
        <f>IF(ISERROR('raw data'!DV106/'raw data'!DW106),0,'raw data'!DV106/'raw data'!DW106)</f>
        <v>0</v>
      </c>
      <c r="BN105" s="316">
        <f>IF(ISERROR('raw data'!DX106/'raw data'!DY106),0,'raw data'!DX106/'raw data'!DY106)</f>
        <v>0</v>
      </c>
      <c r="BO105" s="316">
        <f>IF(ISERROR('raw data'!DZ106/'raw data'!EA106),0,'raw data'!DZ106/'raw data'!EA106)</f>
        <v>0</v>
      </c>
      <c r="BP105" s="316">
        <f>IF(ISERROR('raw data'!EB106/'raw data'!EC106),0,'raw data'!EB106/'raw data'!EC106)</f>
        <v>0</v>
      </c>
      <c r="BQ105" s="316">
        <f>IF(ISERROR('raw data'!ED106/'raw data'!EE106),0,'raw data'!ED106/'raw data'!EE106)</f>
        <v>0</v>
      </c>
      <c r="BR105" s="316">
        <f>IF(ISERROR('raw data'!EF106/'raw data'!EG106),0,'raw data'!EF106/'raw data'!EG106)</f>
        <v>0</v>
      </c>
      <c r="BS105" s="316">
        <f>IF(ISERROR('raw data'!EH106/'raw data'!EI106),0,'raw data'!EH106/'raw data'!EI106)</f>
        <v>0</v>
      </c>
      <c r="BT105" s="316">
        <f>IF(ISERROR('raw data'!EJ106/'raw data'!EK106),0,'raw data'!EJ106/'raw data'!EK106)</f>
        <v>0</v>
      </c>
      <c r="BU105" s="316">
        <f>IF(ISERROR('raw data'!EL106/'raw data'!EM106),0,'raw data'!EL106/'raw data'!EM106)</f>
        <v>0</v>
      </c>
      <c r="BV105" s="316">
        <f>IF(ISERROR('raw data'!EN106/'raw data'!EO106),0,'raw data'!EN106/'raw data'!EO106)</f>
        <v>0</v>
      </c>
      <c r="BW105" s="316">
        <f>IF(ISERROR('raw data'!EP106/'raw data'!EQ106),0,'raw data'!EP106/'raw data'!EQ106)</f>
        <v>0</v>
      </c>
      <c r="BX105" s="316">
        <f>IF(ISERROR('raw data'!ER106/'raw data'!ES106),0,'raw data'!ER106/'raw data'!ES106)</f>
        <v>0</v>
      </c>
      <c r="BY105" s="232" t="s">
        <v>243</v>
      </c>
      <c r="BZ105" s="232" t="s">
        <v>243</v>
      </c>
      <c r="CA105" s="232" t="s">
        <v>243</v>
      </c>
      <c r="CB105" s="232" t="s">
        <v>243</v>
      </c>
      <c r="CC105" s="232" t="s">
        <v>243</v>
      </c>
      <c r="CD105" s="232" t="s">
        <v>243</v>
      </c>
      <c r="CE105" s="232" t="s">
        <v>243</v>
      </c>
      <c r="CF105" s="232" t="s">
        <v>243</v>
      </c>
      <c r="CG105" s="232" t="s">
        <v>243</v>
      </c>
      <c r="CH105" s="232" t="s">
        <v>243</v>
      </c>
      <c r="CI105" s="232" t="s">
        <v>243</v>
      </c>
      <c r="CJ105" s="232" t="s">
        <v>243</v>
      </c>
      <c r="CK105" s="232" t="s">
        <v>243</v>
      </c>
      <c r="CL105" s="232" t="s">
        <v>243</v>
      </c>
      <c r="CM105" s="232" t="s">
        <v>243</v>
      </c>
      <c r="CN105" s="232" t="s">
        <v>243</v>
      </c>
      <c r="CO105" s="232" t="s">
        <v>243</v>
      </c>
      <c r="CP105" s="232" t="s">
        <v>243</v>
      </c>
      <c r="CQ105" s="232" t="s">
        <v>243</v>
      </c>
      <c r="CR105" s="232" t="s">
        <v>243</v>
      </c>
      <c r="CS105" s="232" t="s">
        <v>243</v>
      </c>
      <c r="CT105" s="232" t="s">
        <v>243</v>
      </c>
      <c r="CU105" s="232" t="s">
        <v>243</v>
      </c>
      <c r="CV105" s="232" t="s">
        <v>243</v>
      </c>
      <c r="CW105" s="232" t="s">
        <v>243</v>
      </c>
      <c r="CX105" s="232" t="s">
        <v>243</v>
      </c>
      <c r="CY105" s="232" t="s">
        <v>243</v>
      </c>
      <c r="CZ105" s="232" t="s">
        <v>243</v>
      </c>
      <c r="DA105" s="232" t="s">
        <v>243</v>
      </c>
      <c r="DB105" s="232" t="s">
        <v>243</v>
      </c>
      <c r="DC105" s="232" t="s">
        <v>243</v>
      </c>
      <c r="DD105" s="232" t="s">
        <v>243</v>
      </c>
      <c r="DE105" s="232" t="s">
        <v>243</v>
      </c>
      <c r="DF105" s="232" t="s">
        <v>243</v>
      </c>
      <c r="DG105" s="232" t="s">
        <v>243</v>
      </c>
      <c r="DH105" s="232" t="s">
        <v>243</v>
      </c>
      <c r="DI105" s="232" t="s">
        <v>243</v>
      </c>
      <c r="DJ105" s="232" t="s">
        <v>243</v>
      </c>
      <c r="DK105" s="232" t="s">
        <v>243</v>
      </c>
      <c r="DL105" s="232" t="s">
        <v>243</v>
      </c>
      <c r="DM105" s="232" t="s">
        <v>243</v>
      </c>
      <c r="DN105" s="232" t="s">
        <v>243</v>
      </c>
      <c r="DO105" s="232" t="s">
        <v>243</v>
      </c>
      <c r="DP105" s="232" t="s">
        <v>243</v>
      </c>
      <c r="DQ105" s="232" t="s">
        <v>243</v>
      </c>
      <c r="DR105" s="232" t="s">
        <v>243</v>
      </c>
      <c r="DS105" s="232" t="s">
        <v>243</v>
      </c>
      <c r="DT105" s="232" t="s">
        <v>243</v>
      </c>
      <c r="DU105" s="232" t="s">
        <v>243</v>
      </c>
      <c r="DV105" s="232" t="s">
        <v>243</v>
      </c>
      <c r="DW105" s="232" t="s">
        <v>243</v>
      </c>
      <c r="DX105" s="232" t="s">
        <v>243</v>
      </c>
      <c r="DY105" s="232" t="s">
        <v>243</v>
      </c>
      <c r="DZ105" s="232" t="s">
        <v>243</v>
      </c>
      <c r="EA105" s="232" t="s">
        <v>243</v>
      </c>
      <c r="EB105" s="232" t="s">
        <v>243</v>
      </c>
      <c r="EC105" s="232" t="s">
        <v>243</v>
      </c>
      <c r="ED105" s="317"/>
      <c r="EE105" s="318">
        <v>0</v>
      </c>
      <c r="EF105" s="318">
        <v>0</v>
      </c>
      <c r="EG105" s="319">
        <f t="shared" si="0"/>
        <v>0</v>
      </c>
    </row>
    <row r="106" spans="1:137" ht="25.5" customHeight="1" x14ac:dyDescent="0.15">
      <c r="A106" s="310">
        <v>6.2</v>
      </c>
      <c r="B106" s="311" t="str">
        <f>'raw data'!B107</f>
        <v>TMW accounts redeemed within 12 months of inception.</v>
      </c>
      <c r="C106" s="312" t="s">
        <v>178</v>
      </c>
      <c r="D106" s="313"/>
      <c r="E106" s="313"/>
      <c r="F106" s="313"/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4"/>
      <c r="R106" s="314"/>
      <c r="S106" s="314"/>
      <c r="T106" s="314"/>
      <c r="U106" s="314"/>
      <c r="V106" s="314"/>
      <c r="W106" s="314"/>
      <c r="X106" s="314"/>
      <c r="Y106" s="314"/>
      <c r="Z106" s="314"/>
      <c r="AA106" s="314"/>
      <c r="AB106" s="314"/>
      <c r="AC106" s="314"/>
      <c r="AD106" s="314"/>
      <c r="AE106" s="314"/>
      <c r="AF106" s="314"/>
      <c r="AG106" s="314"/>
      <c r="AH106" s="315"/>
      <c r="AI106" s="315"/>
      <c r="AJ106" s="316">
        <f>IF(ISERROR('raw data'!BP107/'raw data'!BQ107),0,'raw data'!BP107/'raw data'!BQ107)</f>
        <v>0</v>
      </c>
      <c r="AK106" s="316">
        <f>IF(ISERROR('raw data'!BR107/'raw data'!BS107),0,'raw data'!BR107/'raw data'!BS107)</f>
        <v>0</v>
      </c>
      <c r="AL106" s="316">
        <f>IF(ISERROR('raw data'!BT107/'raw data'!BU107),0,'raw data'!BT107/'raw data'!BU107)</f>
        <v>0</v>
      </c>
      <c r="AM106" s="316">
        <f>IF(ISERROR('raw data'!BV107/'raw data'!BW107),0,'raw data'!BV107/'raw data'!BW107)</f>
        <v>0</v>
      </c>
      <c r="AN106" s="316">
        <f>IF(ISERROR('raw data'!BX107/'raw data'!BY107),0,'raw data'!BX107/'raw data'!BY107)</f>
        <v>0</v>
      </c>
      <c r="AO106" s="316">
        <f>IF(ISERROR('raw data'!BZ107/'raw data'!CA107),0,'raw data'!BZ107/'raw data'!CA107)</f>
        <v>0</v>
      </c>
      <c r="AP106" s="316">
        <f>IF(ISERROR('raw data'!CB107/'raw data'!CC107),0,'raw data'!CB107/'raw data'!CC107)</f>
        <v>0</v>
      </c>
      <c r="AQ106" s="316">
        <f>IF(ISERROR('raw data'!CD107/'raw data'!CE107),0,'raw data'!CD107/'raw data'!CE107)</f>
        <v>0</v>
      </c>
      <c r="AR106" s="316">
        <f>IF(ISERROR('raw data'!CF107/'raw data'!CG107),0,'raw data'!CF107/'raw data'!CG107)</f>
        <v>0</v>
      </c>
      <c r="AS106" s="316">
        <f>IF(ISERROR('raw data'!CH107/'raw data'!CI107),0,'raw data'!CH107/'raw data'!CI107)</f>
        <v>0</v>
      </c>
      <c r="AT106" s="316">
        <f>IF(ISERROR('raw data'!CJ107/'raw data'!CK107),0,'raw data'!CJ107/'raw data'!CK107)</f>
        <v>0</v>
      </c>
      <c r="AU106" s="316">
        <f>IF(ISERROR('raw data'!CL107/'raw data'!CM107),0,'raw data'!CL107/'raw data'!CM107)</f>
        <v>0</v>
      </c>
      <c r="AV106" s="316">
        <f>IF(ISERROR('raw data'!CN107/'raw data'!CO107),0,'raw data'!CN107/'raw data'!CO107)</f>
        <v>0</v>
      </c>
      <c r="AW106" s="316">
        <f>IF(ISERROR('raw data'!CP107/'raw data'!CQ107),0,'raw data'!CP107/'raw data'!CQ107)</f>
        <v>0</v>
      </c>
      <c r="AX106" s="316">
        <f>IF(ISERROR('raw data'!CR107/'raw data'!CS107),0,'raw data'!CR107/'raw data'!CS107)</f>
        <v>0</v>
      </c>
      <c r="AY106" s="316">
        <f>IF(ISERROR('raw data'!CT107/'raw data'!CU107),0,'raw data'!CT107/'raw data'!CU107)</f>
        <v>0</v>
      </c>
      <c r="AZ106" s="316">
        <f>IF(ISERROR('raw data'!CV107/'raw data'!CW107),0,'raw data'!CV107/'raw data'!CW107)</f>
        <v>0</v>
      </c>
      <c r="BA106" s="316">
        <f>IF(ISERROR('raw data'!CX107/'raw data'!CY107),0,'raw data'!CX107/'raw data'!CY107)</f>
        <v>0</v>
      </c>
      <c r="BB106" s="316">
        <f>IF(ISERROR('raw data'!CZ107/'raw data'!DA107),0,'raw data'!CZ107/'raw data'!DA107)</f>
        <v>0</v>
      </c>
      <c r="BC106" s="316">
        <f>IF(ISERROR('raw data'!DB107/'raw data'!DC107),0,'raw data'!DB107/'raw data'!DC107)</f>
        <v>0.1111111111111111</v>
      </c>
      <c r="BD106" s="316">
        <v>0</v>
      </c>
      <c r="BE106" s="316">
        <f>IF(ISERROR('raw data'!DF107/'raw data'!DG107),0,'raw data'!DF107/'raw data'!DG107)</f>
        <v>0</v>
      </c>
      <c r="BF106" s="316">
        <f>IF(ISERROR('raw data'!DH107/'raw data'!DI107),0,'raw data'!DH107/'raw data'!DI107)</f>
        <v>0</v>
      </c>
      <c r="BG106" s="316">
        <f>IF(ISERROR('raw data'!DJ107/'raw data'!DK107),0,'raw data'!DJ107/'raw data'!DK107)</f>
        <v>0</v>
      </c>
      <c r="BH106" s="316">
        <f>IF(ISERROR('raw data'!DL107/'raw data'!DM107),0,'raw data'!DL107/'raw data'!DM107)</f>
        <v>0</v>
      </c>
      <c r="BI106" s="316">
        <f>IF(ISERROR('raw data'!DN107/'raw data'!DO107),0,'raw data'!DN107/'raw data'!DO107)</f>
        <v>0</v>
      </c>
      <c r="BJ106" s="316">
        <f>IF(ISERROR('raw data'!DP107/'raw data'!DQ107),0,'raw data'!DP107/'raw data'!DQ107)</f>
        <v>0</v>
      </c>
      <c r="BK106" s="316">
        <f>IF(ISERROR('raw data'!DR107/'raw data'!DS107),0,'raw data'!DR107/'raw data'!DS107)</f>
        <v>0</v>
      </c>
      <c r="BL106" s="316">
        <f>IF(ISERROR('raw data'!DT107/'raw data'!DU107),0,'raw data'!DT107/'raw data'!DU107)</f>
        <v>0</v>
      </c>
      <c r="BM106" s="316">
        <f>IF(ISERROR('raw data'!DV107/'raw data'!DW107),0,'raw data'!DV107/'raw data'!DW107)</f>
        <v>0</v>
      </c>
      <c r="BN106" s="316">
        <f>IF(ISERROR('raw data'!DX107/'raw data'!DY107),0,'raw data'!DX107/'raw data'!DY107)</f>
        <v>0</v>
      </c>
      <c r="BO106" s="316">
        <f>IF(ISERROR('raw data'!DZ107/'raw data'!EA107),0,'raw data'!DZ107/'raw data'!EA107)</f>
        <v>0</v>
      </c>
      <c r="BP106" s="316">
        <f>IF(ISERROR('raw data'!EB107/'raw data'!EC107),0,'raw data'!EB107/'raw data'!EC107)</f>
        <v>0</v>
      </c>
      <c r="BQ106" s="316">
        <f>IF(ISERROR('raw data'!ED107/'raw data'!EE107),0,'raw data'!ED107/'raw data'!EE107)</f>
        <v>0</v>
      </c>
      <c r="BR106" s="316">
        <f>IF(ISERROR('raw data'!EF107/'raw data'!EG107),0,'raw data'!EF107/'raw data'!EG107)</f>
        <v>0</v>
      </c>
      <c r="BS106" s="316">
        <f>IF(ISERROR('raw data'!EH107/'raw data'!EI107),0,'raw data'!EH107/'raw data'!EI107)</f>
        <v>0</v>
      </c>
      <c r="BT106" s="316">
        <f>IF(ISERROR('raw data'!EJ107/'raw data'!EK107),0,'raw data'!EJ107/'raw data'!EK107)</f>
        <v>0</v>
      </c>
      <c r="BU106" s="316">
        <f>IF(ISERROR('raw data'!EL107/'raw data'!EM107),0,'raw data'!EL107/'raw data'!EM107)</f>
        <v>0</v>
      </c>
      <c r="BV106" s="316">
        <f>IF(ISERROR('raw data'!EN107/'raw data'!EO107),0,'raw data'!EN107/'raw data'!EO107)</f>
        <v>0</v>
      </c>
      <c r="BW106" s="316">
        <f>IF(ISERROR('raw data'!EP107/'raw data'!EQ107),0,'raw data'!EP107/'raw data'!EQ107)</f>
        <v>0</v>
      </c>
      <c r="BX106" s="316">
        <f>IF(ISERROR('raw data'!ER107/'raw data'!ES107),0,'raw data'!ER107/'raw data'!ES107)</f>
        <v>0</v>
      </c>
      <c r="BY106" s="316">
        <f>IF(ISERROR('raw data'!ET107/'raw data'!EU107),0,'raw data'!ET107/'raw data'!EU107)</f>
        <v>0</v>
      </c>
      <c r="BZ106" s="316">
        <f>IF(ISERROR('raw data'!EV107/'raw data'!EW107),0,'raw data'!EV107/'raw data'!EW107)</f>
        <v>0</v>
      </c>
      <c r="CA106" s="316">
        <f>IF(ISERROR('raw data'!EX107/'raw data'!EY107),0,'raw data'!EX107/'raw data'!EY107)</f>
        <v>0</v>
      </c>
      <c r="CB106" s="316">
        <f>IF(ISERROR('raw data'!EZ107/'raw data'!FA107),0,'raw data'!EZ107/'raw data'!FA107)</f>
        <v>0</v>
      </c>
      <c r="CC106" s="232" t="s">
        <v>243</v>
      </c>
      <c r="CD106" s="232" t="s">
        <v>243</v>
      </c>
      <c r="CE106" s="232" t="s">
        <v>243</v>
      </c>
      <c r="CF106" s="232" t="s">
        <v>243</v>
      </c>
      <c r="CG106" s="232" t="s">
        <v>243</v>
      </c>
      <c r="CH106" s="232" t="s">
        <v>243</v>
      </c>
      <c r="CI106" s="232" t="s">
        <v>243</v>
      </c>
      <c r="CJ106" s="232" t="s">
        <v>243</v>
      </c>
      <c r="CK106" s="232" t="s">
        <v>243</v>
      </c>
      <c r="CL106" s="232" t="s">
        <v>243</v>
      </c>
      <c r="CM106" s="232" t="s">
        <v>243</v>
      </c>
      <c r="CN106" s="232" t="s">
        <v>243</v>
      </c>
      <c r="CO106" s="232" t="s">
        <v>243</v>
      </c>
      <c r="CP106" s="232" t="s">
        <v>243</v>
      </c>
      <c r="CQ106" s="232" t="s">
        <v>243</v>
      </c>
      <c r="CR106" s="232" t="s">
        <v>243</v>
      </c>
      <c r="CS106" s="232" t="s">
        <v>243</v>
      </c>
      <c r="CT106" s="232" t="s">
        <v>243</v>
      </c>
      <c r="CU106" s="232" t="s">
        <v>243</v>
      </c>
      <c r="CV106" s="232" t="s">
        <v>243</v>
      </c>
      <c r="CW106" s="232" t="s">
        <v>243</v>
      </c>
      <c r="CX106" s="232" t="s">
        <v>243</v>
      </c>
      <c r="CY106" s="232" t="s">
        <v>243</v>
      </c>
      <c r="CZ106" s="232" t="s">
        <v>243</v>
      </c>
      <c r="DA106" s="232" t="s">
        <v>243</v>
      </c>
      <c r="DB106" s="232" t="s">
        <v>243</v>
      </c>
      <c r="DC106" s="232" t="s">
        <v>243</v>
      </c>
      <c r="DD106" s="232" t="s">
        <v>243</v>
      </c>
      <c r="DE106" s="232" t="s">
        <v>243</v>
      </c>
      <c r="DF106" s="232" t="s">
        <v>243</v>
      </c>
      <c r="DG106" s="232" t="s">
        <v>243</v>
      </c>
      <c r="DH106" s="232" t="s">
        <v>243</v>
      </c>
      <c r="DI106" s="232" t="s">
        <v>243</v>
      </c>
      <c r="DJ106" s="232" t="s">
        <v>243</v>
      </c>
      <c r="DK106" s="232" t="s">
        <v>243</v>
      </c>
      <c r="DL106" s="232" t="s">
        <v>243</v>
      </c>
      <c r="DM106" s="232" t="s">
        <v>243</v>
      </c>
      <c r="DN106" s="232" t="s">
        <v>243</v>
      </c>
      <c r="DO106" s="232" t="s">
        <v>243</v>
      </c>
      <c r="DP106" s="232" t="s">
        <v>243</v>
      </c>
      <c r="DQ106" s="232" t="s">
        <v>243</v>
      </c>
      <c r="DR106" s="232" t="s">
        <v>243</v>
      </c>
      <c r="DS106" s="232" t="s">
        <v>243</v>
      </c>
      <c r="DT106" s="232" t="s">
        <v>243</v>
      </c>
      <c r="DU106" s="232" t="s">
        <v>243</v>
      </c>
      <c r="DV106" s="232" t="s">
        <v>243</v>
      </c>
      <c r="DW106" s="232" t="s">
        <v>243</v>
      </c>
      <c r="DX106" s="232" t="s">
        <v>243</v>
      </c>
      <c r="DY106" s="232" t="s">
        <v>243</v>
      </c>
      <c r="DZ106" s="232" t="s">
        <v>243</v>
      </c>
      <c r="EA106" s="232" t="s">
        <v>243</v>
      </c>
      <c r="EB106" s="232" t="s">
        <v>243</v>
      </c>
      <c r="EC106" s="232" t="s">
        <v>243</v>
      </c>
      <c r="ED106" s="317"/>
      <c r="EE106" s="318">
        <v>0</v>
      </c>
      <c r="EF106" s="318">
        <v>0</v>
      </c>
      <c r="EG106" s="319">
        <f t="shared" si="0"/>
        <v>0</v>
      </c>
    </row>
    <row r="107" spans="1:137" ht="25.5" customHeight="1" x14ac:dyDescent="0.15">
      <c r="A107" s="310">
        <v>6.3</v>
      </c>
      <c r="B107" s="311" t="str">
        <f>'raw data'!B108</f>
        <v>TMW accounts with £15k+ capital repayment within 3 months of inception.</v>
      </c>
      <c r="C107" s="312" t="s">
        <v>180</v>
      </c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314"/>
      <c r="AB107" s="314"/>
      <c r="AC107" s="314"/>
      <c r="AD107" s="314"/>
      <c r="AE107" s="314"/>
      <c r="AF107" s="314"/>
      <c r="AG107" s="314"/>
      <c r="AH107" s="315"/>
      <c r="AI107" s="315"/>
      <c r="AJ107" s="316">
        <f>IF(ISERROR('raw data'!BP108/'raw data'!BQ108),0,'raw data'!BP108/'raw data'!BQ108)</f>
        <v>0</v>
      </c>
      <c r="AK107" s="316">
        <f>IF(ISERROR('raw data'!BR108/'raw data'!BS108),0,'raw data'!BR108/'raw data'!BS108)</f>
        <v>0</v>
      </c>
      <c r="AL107" s="316">
        <f>IF(ISERROR('raw data'!BT108/'raw data'!BU108),0,'raw data'!BT108/'raw data'!BU108)</f>
        <v>0</v>
      </c>
      <c r="AM107" s="316">
        <f>IF(ISERROR('raw data'!BV108/'raw data'!BW108),0,'raw data'!BV108/'raw data'!BW108)</f>
        <v>0</v>
      </c>
      <c r="AN107" s="316">
        <f>IF(ISERROR('raw data'!BX108/'raw data'!BY108),0,'raw data'!BX108/'raw data'!BY108)</f>
        <v>0</v>
      </c>
      <c r="AO107" s="316">
        <f>IF(ISERROR('raw data'!BZ108/'raw data'!CA108),0,'raw data'!BZ108/'raw data'!CA108)</f>
        <v>0</v>
      </c>
      <c r="AP107" s="316">
        <f>IF(ISERROR('raw data'!CB108/'raw data'!CC108),0,'raw data'!CB108/'raw data'!CC108)</f>
        <v>0</v>
      </c>
      <c r="AQ107" s="316">
        <f>IF(ISERROR('raw data'!CD108/'raw data'!CE108),0,'raw data'!CD108/'raw data'!CE108)</f>
        <v>0</v>
      </c>
      <c r="AR107" s="316">
        <f>IF(ISERROR('raw data'!CF108/'raw data'!CG108),0,'raw data'!CF108/'raw data'!CG108)</f>
        <v>0</v>
      </c>
      <c r="AS107" s="316">
        <f>IF(ISERROR('raw data'!CH108/'raw data'!CI108),0,'raw data'!CH108/'raw data'!CI108)</f>
        <v>0</v>
      </c>
      <c r="AT107" s="316">
        <f>IF(ISERROR('raw data'!CJ108/'raw data'!CK108),0,'raw data'!CJ108/'raw data'!CK108)</f>
        <v>0</v>
      </c>
      <c r="AU107" s="316">
        <f>IF(ISERROR('raw data'!CL108/'raw data'!CM108),0,'raw data'!CL108/'raw data'!CM108)</f>
        <v>0.33333333333333331</v>
      </c>
      <c r="AV107" s="316">
        <f>IF(ISERROR('raw data'!CN108/'raw data'!CO108),0,'raw data'!CN108/'raw data'!CO108)</f>
        <v>0</v>
      </c>
      <c r="AW107" s="316">
        <f>IF(ISERROR('raw data'!CP108/'raw data'!CQ108),0,'raw data'!CP108/'raw data'!CQ108)</f>
        <v>0</v>
      </c>
      <c r="AX107" s="316">
        <f>IF(ISERROR('raw data'!CR108/'raw data'!CS108),0,'raw data'!CR108/'raw data'!CS108)</f>
        <v>0</v>
      </c>
      <c r="AY107" s="316">
        <f>IF(ISERROR('raw data'!CT108/'raw data'!CU108),0,'raw data'!CT108/'raw data'!CU108)</f>
        <v>0</v>
      </c>
      <c r="AZ107" s="316">
        <f>IF(ISERROR('raw data'!CV108/'raw data'!CW108),0,'raw data'!CV108/'raw data'!CW108)</f>
        <v>0</v>
      </c>
      <c r="BA107" s="316">
        <f>IF(ISERROR('raw data'!CX108/'raw data'!CY108),0,'raw data'!CX108/'raw data'!CY108)</f>
        <v>0</v>
      </c>
      <c r="BB107" s="316">
        <f>IF(ISERROR('raw data'!CZ108/'raw data'!DA108),0,'raw data'!CZ108/'raw data'!DA108)</f>
        <v>0</v>
      </c>
      <c r="BC107" s="316">
        <f>IF(ISERROR('raw data'!DB108/'raw data'!DC108),0,'raw data'!DB108/'raw data'!DC108)</f>
        <v>0</v>
      </c>
      <c r="BD107" s="316">
        <v>0</v>
      </c>
      <c r="BE107" s="316">
        <f>IF(ISERROR('raw data'!DF108/'raw data'!DG108),0,'raw data'!DF108/'raw data'!DG108)</f>
        <v>0</v>
      </c>
      <c r="BF107" s="316">
        <f>IF(ISERROR('raw data'!DH108/'raw data'!DI108),0,'raw data'!DH108/'raw data'!DI108)</f>
        <v>0</v>
      </c>
      <c r="BG107" s="316">
        <f>IF(ISERROR('raw data'!DJ108/'raw data'!DK108),0,'raw data'!DJ108/'raw data'!DK108)</f>
        <v>0</v>
      </c>
      <c r="BH107" s="316">
        <f>IF(ISERROR('raw data'!DL108/'raw data'!DM108),0,'raw data'!DL108/'raw data'!DM108)</f>
        <v>0</v>
      </c>
      <c r="BI107" s="316">
        <f>IF(ISERROR('raw data'!DN108/'raw data'!DO108),0,'raw data'!DN108/'raw data'!DO108)</f>
        <v>0</v>
      </c>
      <c r="BJ107" s="316">
        <f>IF(ISERROR('raw data'!DP108/'raw data'!DQ108),0,'raw data'!DP108/'raw data'!DQ108)</f>
        <v>0</v>
      </c>
      <c r="BK107" s="316">
        <f>IF(ISERROR('raw data'!DR108/'raw data'!DS108),0,'raw data'!DR108/'raw data'!DS108)</f>
        <v>0</v>
      </c>
      <c r="BL107" s="316">
        <f>IF(ISERROR('raw data'!DT108/'raw data'!DU108),0,'raw data'!DT108/'raw data'!DU108)</f>
        <v>0</v>
      </c>
      <c r="BM107" s="316">
        <f>IF(ISERROR('raw data'!DV108/'raw data'!DW108),0,'raw data'!DV108/'raw data'!DW108)</f>
        <v>0</v>
      </c>
      <c r="BN107" s="316">
        <f>IF(ISERROR('raw data'!DX108/'raw data'!DY108),0,'raw data'!DX108/'raw data'!DY108)</f>
        <v>0</v>
      </c>
      <c r="BO107" s="316">
        <f>IF(ISERROR('raw data'!DZ108/'raw data'!EA108),0,'raw data'!DZ108/'raw data'!EA108)</f>
        <v>0</v>
      </c>
      <c r="BP107" s="316">
        <f>IF(ISERROR('raw data'!EB108/'raw data'!EC108),0,'raw data'!EB108/'raw data'!EC108)</f>
        <v>0</v>
      </c>
      <c r="BQ107" s="316">
        <f>IF(ISERROR('raw data'!ED108/'raw data'!EE108),0,'raw data'!ED108/'raw data'!EE108)</f>
        <v>0</v>
      </c>
      <c r="BR107" s="316">
        <f>IF(ISERROR('raw data'!EF108/'raw data'!EG108),0,'raw data'!EF108/'raw data'!EG108)</f>
        <v>0</v>
      </c>
      <c r="BS107" s="316">
        <f>IF(ISERROR('raw data'!EH108/'raw data'!EI108),0,'raw data'!EH108/'raw data'!EI108)</f>
        <v>0</v>
      </c>
      <c r="BT107" s="316">
        <f>IF(ISERROR('raw data'!EJ108/'raw data'!EK108),0,'raw data'!EJ108/'raw data'!EK108)</f>
        <v>0</v>
      </c>
      <c r="BU107" s="316">
        <f>IF(ISERROR('raw data'!EL108/'raw data'!EM108),0,'raw data'!EL108/'raw data'!EM108)</f>
        <v>0</v>
      </c>
      <c r="BV107" s="316">
        <f>IF(ISERROR('raw data'!EN108/'raw data'!EO108),0,'raw data'!EN108/'raw data'!EO108)</f>
        <v>0</v>
      </c>
      <c r="BW107" s="316">
        <f>IF(ISERROR('raw data'!EP108/'raw data'!EQ108),0,'raw data'!EP108/'raw data'!EQ108)</f>
        <v>0</v>
      </c>
      <c r="BX107" s="316">
        <f>IF(ISERROR('raw data'!ER108/'raw data'!ES108),0,'raw data'!ER108/'raw data'!ES108)</f>
        <v>0</v>
      </c>
      <c r="BY107" s="238" t="s">
        <v>30</v>
      </c>
      <c r="BZ107" s="238" t="s">
        <v>30</v>
      </c>
      <c r="CA107" s="238" t="s">
        <v>30</v>
      </c>
      <c r="CB107" s="238" t="s">
        <v>30</v>
      </c>
      <c r="CC107" s="232" t="s">
        <v>243</v>
      </c>
      <c r="CD107" s="232" t="s">
        <v>243</v>
      </c>
      <c r="CE107" s="232" t="s">
        <v>243</v>
      </c>
      <c r="CF107" s="232" t="s">
        <v>243</v>
      </c>
      <c r="CG107" s="232" t="s">
        <v>243</v>
      </c>
      <c r="CH107" s="232" t="s">
        <v>243</v>
      </c>
      <c r="CI107" s="232" t="s">
        <v>243</v>
      </c>
      <c r="CJ107" s="232" t="s">
        <v>243</v>
      </c>
      <c r="CK107" s="232" t="s">
        <v>243</v>
      </c>
      <c r="CL107" s="232" t="s">
        <v>243</v>
      </c>
      <c r="CM107" s="232" t="s">
        <v>243</v>
      </c>
      <c r="CN107" s="232" t="s">
        <v>243</v>
      </c>
      <c r="CO107" s="232" t="s">
        <v>243</v>
      </c>
      <c r="CP107" s="232" t="s">
        <v>243</v>
      </c>
      <c r="CQ107" s="232" t="s">
        <v>243</v>
      </c>
      <c r="CR107" s="232" t="s">
        <v>243</v>
      </c>
      <c r="CS107" s="232" t="s">
        <v>243</v>
      </c>
      <c r="CT107" s="232" t="s">
        <v>243</v>
      </c>
      <c r="CU107" s="232" t="s">
        <v>243</v>
      </c>
      <c r="CV107" s="232" t="s">
        <v>243</v>
      </c>
      <c r="CW107" s="232" t="s">
        <v>243</v>
      </c>
      <c r="CX107" s="232" t="s">
        <v>243</v>
      </c>
      <c r="CY107" s="232" t="s">
        <v>243</v>
      </c>
      <c r="CZ107" s="232" t="s">
        <v>243</v>
      </c>
      <c r="DA107" s="232" t="s">
        <v>243</v>
      </c>
      <c r="DB107" s="232" t="s">
        <v>243</v>
      </c>
      <c r="DC107" s="232" t="s">
        <v>243</v>
      </c>
      <c r="DD107" s="232" t="s">
        <v>243</v>
      </c>
      <c r="DE107" s="232" t="s">
        <v>243</v>
      </c>
      <c r="DF107" s="232" t="s">
        <v>243</v>
      </c>
      <c r="DG107" s="232" t="s">
        <v>243</v>
      </c>
      <c r="DH107" s="232" t="s">
        <v>243</v>
      </c>
      <c r="DI107" s="232" t="s">
        <v>243</v>
      </c>
      <c r="DJ107" s="232" t="s">
        <v>243</v>
      </c>
      <c r="DK107" s="232" t="s">
        <v>243</v>
      </c>
      <c r="DL107" s="232" t="s">
        <v>243</v>
      </c>
      <c r="DM107" s="232" t="s">
        <v>243</v>
      </c>
      <c r="DN107" s="232" t="s">
        <v>243</v>
      </c>
      <c r="DO107" s="232" t="s">
        <v>243</v>
      </c>
      <c r="DP107" s="232" t="s">
        <v>243</v>
      </c>
      <c r="DQ107" s="232" t="s">
        <v>243</v>
      </c>
      <c r="DR107" s="232" t="s">
        <v>243</v>
      </c>
      <c r="DS107" s="232" t="s">
        <v>243</v>
      </c>
      <c r="DT107" s="232" t="s">
        <v>243</v>
      </c>
      <c r="DU107" s="232" t="s">
        <v>243</v>
      </c>
      <c r="DV107" s="232" t="s">
        <v>243</v>
      </c>
      <c r="DW107" s="232" t="s">
        <v>243</v>
      </c>
      <c r="DX107" s="232" t="s">
        <v>243</v>
      </c>
      <c r="DY107" s="232" t="s">
        <v>243</v>
      </c>
      <c r="DZ107" s="232" t="s">
        <v>243</v>
      </c>
      <c r="EA107" s="232" t="s">
        <v>243</v>
      </c>
      <c r="EB107" s="232" t="s">
        <v>243</v>
      </c>
      <c r="EC107" s="232" t="s">
        <v>243</v>
      </c>
      <c r="ED107" s="317"/>
      <c r="EE107" s="318">
        <v>0</v>
      </c>
      <c r="EF107" s="318">
        <v>0</v>
      </c>
      <c r="EG107" s="319">
        <f t="shared" si="0"/>
        <v>0</v>
      </c>
    </row>
    <row r="108" spans="1:137" ht="25.5" customHeight="1" x14ac:dyDescent="0.15">
      <c r="A108" s="310">
        <v>6.4</v>
      </c>
      <c r="B108" s="311" t="str">
        <f>'raw data'!B109</f>
        <v>TMW accounts with at least one £5k+ overpayment in each of the past 3 months.</v>
      </c>
      <c r="C108" s="312" t="s">
        <v>182</v>
      </c>
      <c r="D108" s="313"/>
      <c r="E108" s="313"/>
      <c r="F108" s="313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  <c r="AA108" s="314"/>
      <c r="AB108" s="314"/>
      <c r="AC108" s="314"/>
      <c r="AD108" s="314"/>
      <c r="AE108" s="314"/>
      <c r="AF108" s="314"/>
      <c r="AG108" s="314"/>
      <c r="AH108" s="315"/>
      <c r="AI108" s="315"/>
      <c r="AJ108" s="316">
        <f>IF(ISERROR('raw data'!BP109/'raw data'!BQ109),0,'raw data'!BP109/'raw data'!BQ109)</f>
        <v>1</v>
      </c>
      <c r="AK108" s="316">
        <f>IF(ISERROR('raw data'!BR109/'raw data'!BS109),0,'raw data'!BR109/'raw data'!BS109)</f>
        <v>0</v>
      </c>
      <c r="AL108" s="316">
        <f>IF(ISERROR('raw data'!BT109/'raw data'!BU109),0,'raw data'!BT109/'raw data'!BU109)</f>
        <v>0</v>
      </c>
      <c r="AM108" s="316">
        <f>IF(ISERROR('raw data'!BV109/'raw data'!BW109),0,'raw data'!BV109/'raw data'!BW109)</f>
        <v>0</v>
      </c>
      <c r="AN108" s="316">
        <f>IF(ISERROR('raw data'!BX109/'raw data'!BY109),0,'raw data'!BX109/'raw data'!BY109)</f>
        <v>0</v>
      </c>
      <c r="AO108" s="316">
        <f>IF(ISERROR('raw data'!BZ109/'raw data'!CA109),0,'raw data'!BZ109/'raw data'!CA109)</f>
        <v>0</v>
      </c>
      <c r="AP108" s="316">
        <f>IF(ISERROR('raw data'!CB109/'raw data'!CC109),0,'raw data'!CB109/'raw data'!CC109)</f>
        <v>0</v>
      </c>
      <c r="AQ108" s="316">
        <f>IF(ISERROR('raw data'!CD109/'raw data'!CE109),0,'raw data'!CD109/'raw data'!CE109)</f>
        <v>0</v>
      </c>
      <c r="AR108" s="316">
        <f>IF(ISERROR('raw data'!CF109/'raw data'!CG109),0,'raw data'!CF109/'raw data'!CG109)</f>
        <v>0</v>
      </c>
      <c r="AS108" s="316">
        <f>IF(ISERROR('raw data'!CH109/'raw data'!CI109),0,'raw data'!CH109/'raw data'!CI109)</f>
        <v>0</v>
      </c>
      <c r="AT108" s="316">
        <f>IF(ISERROR('raw data'!CJ109/'raw data'!CK109),0,'raw data'!CJ109/'raw data'!CK109)</f>
        <v>0</v>
      </c>
      <c r="AU108" s="316">
        <f>IF(ISERROR('raw data'!CL109/'raw data'!CM109),0,'raw data'!CL109/'raw data'!CM109)</f>
        <v>0</v>
      </c>
      <c r="AV108" s="316">
        <f>IF(ISERROR('raw data'!CN109/'raw data'!CO109),0,'raw data'!CN109/'raw data'!CO109)</f>
        <v>0</v>
      </c>
      <c r="AW108" s="316">
        <f>IF(ISERROR('raw data'!CP109/'raw data'!CQ109),0,'raw data'!CP109/'raw data'!CQ109)</f>
        <v>0</v>
      </c>
      <c r="AX108" s="316">
        <f>IF(ISERROR('raw data'!CR109/'raw data'!CS109),0,'raw data'!CR109/'raw data'!CS109)</f>
        <v>0</v>
      </c>
      <c r="AY108" s="316">
        <f>IF(ISERROR('raw data'!CT109/'raw data'!CU109),0,'raw data'!CT109/'raw data'!CU109)</f>
        <v>0</v>
      </c>
      <c r="AZ108" s="316">
        <f>IF(ISERROR('raw data'!CV109/'raw data'!CW109),0,'raw data'!CV109/'raw data'!CW109)</f>
        <v>0</v>
      </c>
      <c r="BA108" s="316">
        <f>IF(ISERROR('raw data'!CX109/'raw data'!CY109),0,'raw data'!CX109/'raw data'!CY109)</f>
        <v>0</v>
      </c>
      <c r="BB108" s="316">
        <f>IF(ISERROR('raw data'!CZ109/'raw data'!DA109),0,'raw data'!CZ109/'raw data'!DA109)</f>
        <v>0</v>
      </c>
      <c r="BC108" s="316">
        <f>IF(ISERROR('raw data'!DB109/'raw data'!DC109),0,'raw data'!DB109/'raw data'!DC109)</f>
        <v>0</v>
      </c>
      <c r="BD108" s="316">
        <v>0</v>
      </c>
      <c r="BE108" s="316">
        <f>IF(ISERROR('raw data'!DF109/'raw data'!DG109),0,'raw data'!DF109/'raw data'!DG109)</f>
        <v>0</v>
      </c>
      <c r="BF108" s="316">
        <f>IF(ISERROR('raw data'!DH109/'raw data'!DI109),0,'raw data'!DH109/'raw data'!DI109)</f>
        <v>0</v>
      </c>
      <c r="BG108" s="316">
        <f>IF(ISERROR('raw data'!DJ109/'raw data'!DK109),0,'raw data'!DJ109/'raw data'!DK109)</f>
        <v>1</v>
      </c>
      <c r="BH108" s="316">
        <f>IF(ISERROR('raw data'!DL109/'raw data'!DM109),0,'raw data'!DL109/'raw data'!DM109)</f>
        <v>0</v>
      </c>
      <c r="BI108" s="316">
        <f>IF(ISERROR('raw data'!DN109/'raw data'!DO109),0,'raw data'!DN109/'raw data'!DO109)</f>
        <v>0</v>
      </c>
      <c r="BJ108" s="316">
        <f>IF(ISERROR('raw data'!DP109/'raw data'!DQ109),0,'raw data'!DP109/'raw data'!DQ109)</f>
        <v>0</v>
      </c>
      <c r="BK108" s="316">
        <f>IF(ISERROR('raw data'!DR109/'raw data'!DS109),0,'raw data'!DR109/'raw data'!DS109)</f>
        <v>0</v>
      </c>
      <c r="BL108" s="316">
        <f>IF(ISERROR('raw data'!DT109/'raw data'!DU109),0,'raw data'!DT109/'raw data'!DU109)</f>
        <v>0</v>
      </c>
      <c r="BM108" s="316">
        <f>IF(ISERROR('raw data'!DV109/'raw data'!DW109),0,'raw data'!DV109/'raw data'!DW109)</f>
        <v>0</v>
      </c>
      <c r="BN108" s="316">
        <f>IF(ISERROR('raw data'!DX109/'raw data'!DY109),0,'raw data'!DX109/'raw data'!DY109)</f>
        <v>0</v>
      </c>
      <c r="BO108" s="316">
        <f>IF(ISERROR('raw data'!DZ109/'raw data'!EA109),0,'raw data'!DZ109/'raw data'!EA109)</f>
        <v>0</v>
      </c>
      <c r="BP108" s="316">
        <f>IF(ISERROR('raw data'!EB109/'raw data'!EC109),0,'raw data'!EB109/'raw data'!EC109)</f>
        <v>0</v>
      </c>
      <c r="BQ108" s="316">
        <f>IF(ISERROR('raw data'!ED109/'raw data'!EE109),0,'raw data'!ED109/'raw data'!EE109)</f>
        <v>0</v>
      </c>
      <c r="BR108" s="316">
        <f>IF(ISERROR('raw data'!EF109/'raw data'!EG109),0,'raw data'!EF109/'raw data'!EG109)</f>
        <v>0</v>
      </c>
      <c r="BS108" s="316">
        <f>IF(ISERROR('raw data'!EH109/'raw data'!EI109),0,'raw data'!EH109/'raw data'!EI109)</f>
        <v>0</v>
      </c>
      <c r="BT108" s="316">
        <f>IF(ISERROR('raw data'!EJ109/'raw data'!EK109),0,'raw data'!EJ109/'raw data'!EK109)</f>
        <v>0</v>
      </c>
      <c r="BU108" s="316">
        <f>IF(ISERROR('raw data'!EL109/'raw data'!EM109),0,'raw data'!EL109/'raw data'!EM109)</f>
        <v>0</v>
      </c>
      <c r="BV108" s="316">
        <f>IF(ISERROR('raw data'!EN109/'raw data'!EO109),0,'raw data'!EN109/'raw data'!EO109)</f>
        <v>0</v>
      </c>
      <c r="BW108" s="316">
        <f>IF(ISERROR('raw data'!EP109/'raw data'!EQ109),0,'raw data'!EP109/'raw data'!EQ109)</f>
        <v>0</v>
      </c>
      <c r="BX108" s="316">
        <f>IF(ISERROR('raw data'!ER109/'raw data'!ES109),0,'raw data'!ER109/'raw data'!ES109)</f>
        <v>0</v>
      </c>
      <c r="BY108" s="232" t="s">
        <v>243</v>
      </c>
      <c r="BZ108" s="232" t="s">
        <v>243</v>
      </c>
      <c r="CA108" s="232" t="s">
        <v>243</v>
      </c>
      <c r="CB108" s="232" t="s">
        <v>243</v>
      </c>
      <c r="CC108" s="232" t="s">
        <v>243</v>
      </c>
      <c r="CD108" s="232" t="s">
        <v>243</v>
      </c>
      <c r="CE108" s="232" t="s">
        <v>243</v>
      </c>
      <c r="CF108" s="232" t="s">
        <v>243</v>
      </c>
      <c r="CG108" s="232" t="s">
        <v>243</v>
      </c>
      <c r="CH108" s="232" t="s">
        <v>243</v>
      </c>
      <c r="CI108" s="232" t="s">
        <v>243</v>
      </c>
      <c r="CJ108" s="232" t="s">
        <v>243</v>
      </c>
      <c r="CK108" s="232" t="s">
        <v>243</v>
      </c>
      <c r="CL108" s="232" t="s">
        <v>243</v>
      </c>
      <c r="CM108" s="232" t="s">
        <v>243</v>
      </c>
      <c r="CN108" s="232" t="s">
        <v>243</v>
      </c>
      <c r="CO108" s="232" t="s">
        <v>243</v>
      </c>
      <c r="CP108" s="232" t="s">
        <v>243</v>
      </c>
      <c r="CQ108" s="232" t="s">
        <v>243</v>
      </c>
      <c r="CR108" s="232" t="s">
        <v>243</v>
      </c>
      <c r="CS108" s="232" t="s">
        <v>243</v>
      </c>
      <c r="CT108" s="232" t="s">
        <v>243</v>
      </c>
      <c r="CU108" s="232" t="s">
        <v>243</v>
      </c>
      <c r="CV108" s="232" t="s">
        <v>243</v>
      </c>
      <c r="CW108" s="232" t="s">
        <v>243</v>
      </c>
      <c r="CX108" s="232" t="s">
        <v>243</v>
      </c>
      <c r="CY108" s="232" t="s">
        <v>243</v>
      </c>
      <c r="CZ108" s="232" t="s">
        <v>243</v>
      </c>
      <c r="DA108" s="232" t="s">
        <v>243</v>
      </c>
      <c r="DB108" s="232" t="s">
        <v>243</v>
      </c>
      <c r="DC108" s="232" t="s">
        <v>243</v>
      </c>
      <c r="DD108" s="232" t="s">
        <v>243</v>
      </c>
      <c r="DE108" s="232" t="s">
        <v>243</v>
      </c>
      <c r="DF108" s="232" t="s">
        <v>243</v>
      </c>
      <c r="DG108" s="232" t="s">
        <v>243</v>
      </c>
      <c r="DH108" s="232" t="s">
        <v>243</v>
      </c>
      <c r="DI108" s="232" t="s">
        <v>243</v>
      </c>
      <c r="DJ108" s="232" t="s">
        <v>243</v>
      </c>
      <c r="DK108" s="232" t="s">
        <v>243</v>
      </c>
      <c r="DL108" s="232" t="s">
        <v>243</v>
      </c>
      <c r="DM108" s="232" t="s">
        <v>243</v>
      </c>
      <c r="DN108" s="232" t="s">
        <v>243</v>
      </c>
      <c r="DO108" s="232" t="s">
        <v>243</v>
      </c>
      <c r="DP108" s="232" t="s">
        <v>243</v>
      </c>
      <c r="DQ108" s="232" t="s">
        <v>243</v>
      </c>
      <c r="DR108" s="232" t="s">
        <v>243</v>
      </c>
      <c r="DS108" s="232" t="s">
        <v>243</v>
      </c>
      <c r="DT108" s="232" t="s">
        <v>243</v>
      </c>
      <c r="DU108" s="232" t="s">
        <v>243</v>
      </c>
      <c r="DV108" s="232" t="s">
        <v>243</v>
      </c>
      <c r="DW108" s="232" t="s">
        <v>243</v>
      </c>
      <c r="DX108" s="232" t="s">
        <v>243</v>
      </c>
      <c r="DY108" s="232" t="s">
        <v>243</v>
      </c>
      <c r="DZ108" s="232" t="s">
        <v>243</v>
      </c>
      <c r="EA108" s="232" t="s">
        <v>243</v>
      </c>
      <c r="EB108" s="232" t="s">
        <v>243</v>
      </c>
      <c r="EC108" s="232" t="s">
        <v>243</v>
      </c>
      <c r="ED108" s="317"/>
      <c r="EE108" s="318">
        <v>0</v>
      </c>
      <c r="EF108" s="318">
        <v>0</v>
      </c>
      <c r="EG108" s="319">
        <f t="shared" si="0"/>
        <v>0</v>
      </c>
    </row>
    <row r="109" spans="1:137" ht="25.5" customHeight="1" x14ac:dyDescent="0.15">
      <c r="A109" s="310">
        <v>6.5</v>
      </c>
      <c r="B109" s="311" t="str">
        <f>'raw data'!B110</f>
        <v>Specialist Mortgages redeemed within 365 days of inception</v>
      </c>
      <c r="C109" s="312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314"/>
      <c r="AB109" s="314"/>
      <c r="AC109" s="314"/>
      <c r="AD109" s="314"/>
      <c r="AE109" s="314"/>
      <c r="AF109" s="314"/>
      <c r="AG109" s="314"/>
      <c r="AH109" s="315"/>
      <c r="AI109" s="315"/>
      <c r="AJ109" s="316"/>
      <c r="AK109" s="316"/>
      <c r="AL109" s="316"/>
      <c r="AM109" s="316"/>
      <c r="AN109" s="316"/>
      <c r="AO109" s="316"/>
      <c r="AP109" s="316"/>
      <c r="AQ109" s="316"/>
      <c r="AR109" s="316"/>
      <c r="AS109" s="316"/>
      <c r="AT109" s="316"/>
      <c r="AU109" s="316"/>
      <c r="AV109" s="316"/>
      <c r="AW109" s="316"/>
      <c r="AX109" s="316"/>
      <c r="AY109" s="316"/>
      <c r="AZ109" s="316"/>
      <c r="BA109" s="316"/>
      <c r="BB109" s="316"/>
      <c r="BC109" s="316"/>
      <c r="BD109" s="316"/>
      <c r="BE109" s="316"/>
      <c r="BF109" s="316"/>
      <c r="BG109" s="316"/>
      <c r="BH109" s="316"/>
      <c r="BI109" s="316"/>
      <c r="BJ109" s="316"/>
      <c r="BK109" s="316"/>
      <c r="BL109" s="316"/>
      <c r="BM109" s="316"/>
      <c r="BN109" s="316"/>
      <c r="BO109" s="316"/>
      <c r="BP109" s="316"/>
      <c r="BQ109" s="316"/>
      <c r="BR109" s="316"/>
      <c r="BS109" s="316"/>
      <c r="BT109" s="316"/>
      <c r="BU109" s="316"/>
      <c r="BV109" s="316"/>
      <c r="BW109" s="316"/>
      <c r="BX109" s="316"/>
      <c r="BY109" s="232"/>
      <c r="BZ109" s="232"/>
      <c r="CA109" s="232"/>
      <c r="CB109" s="232"/>
      <c r="CC109" s="232"/>
      <c r="CD109" s="232"/>
      <c r="CE109" s="232"/>
      <c r="CF109" s="232"/>
      <c r="CG109" s="232"/>
      <c r="CH109" s="232"/>
      <c r="CI109" s="320">
        <f>IF(ISERROR('raw data'!FP110/'raw data'!FQ110),0,'raw data'!FP110/'raw data'!FQ110)</f>
        <v>0.2</v>
      </c>
      <c r="CJ109" s="320">
        <f>IF(ISERROR('raw data'!FR110/'raw data'!FS110),0,'raw data'!FR110/'raw data'!FS110)</f>
        <v>0</v>
      </c>
      <c r="CK109" s="320">
        <f>IF(ISERROR('raw data'!FT110/'raw data'!FU110),0,'raw data'!FT110/'raw data'!FU110)</f>
        <v>0</v>
      </c>
      <c r="CL109" s="320">
        <f>IF(ISERROR('raw data'!FV110/'raw data'!FW110),0,'raw data'!FV110/'raw data'!FW110)</f>
        <v>0</v>
      </c>
      <c r="CM109" s="320">
        <f>IF(ISERROR('raw data'!FX110/'raw data'!FY110),0,'raw data'!FX110/'raw data'!FY110)</f>
        <v>0</v>
      </c>
      <c r="CN109" s="320">
        <f>IF(ISERROR('raw data'!FZ110/'raw data'!GA110),0,'raw data'!FZ110/'raw data'!GA110)</f>
        <v>0</v>
      </c>
      <c r="CO109" s="320">
        <f>IF(ISERROR('raw data'!GB110/'raw data'!GC110),0,'raw data'!GB110/'raw data'!GC110)</f>
        <v>0</v>
      </c>
      <c r="CP109" s="320">
        <f>IF(ISERROR('raw data'!GD110/'raw data'!GE110),0,'raw data'!GD110/'raw data'!GE110)</f>
        <v>0</v>
      </c>
      <c r="CQ109" s="320">
        <f>IF(ISERROR('raw data'!GF110/'raw data'!GG110),0,'raw data'!GF110/'raw data'!GG110)</f>
        <v>0</v>
      </c>
      <c r="CR109" s="320">
        <f>IF(ISERROR('raw data'!GH110/'raw data'!GI110),0,'raw data'!GH110/'raw data'!GI110)</f>
        <v>0</v>
      </c>
      <c r="CS109" s="320">
        <f>IF(ISERROR('raw data'!GJ110/'raw data'!GK110),0,'raw data'!GJ110/'raw data'!GK110)</f>
        <v>0</v>
      </c>
      <c r="CT109" s="320">
        <f>IF(ISERROR('raw data'!GL110/'raw data'!GM110),0,'raw data'!GL110/'raw data'!GM110)</f>
        <v>0</v>
      </c>
      <c r="CU109" s="320">
        <f>IF(ISERROR('raw data'!GN110/'raw data'!GO110),0,'raw data'!GN110/'raw data'!GO110)</f>
        <v>0</v>
      </c>
      <c r="CV109" s="320">
        <f>IF(ISERROR('raw data'!GP110/'raw data'!GQ110),0,'raw data'!GP110/'raw data'!GQ110)</f>
        <v>0</v>
      </c>
      <c r="CW109" s="320">
        <f>IF(ISERROR('raw data'!GR110/'raw data'!GS110),0,'raw data'!GR110/'raw data'!GS110)</f>
        <v>0</v>
      </c>
      <c r="CX109" s="320">
        <f>IF(ISERROR('raw data'!GT110/'raw data'!GU110),0,'raw data'!GT110/'raw data'!GU110)</f>
        <v>0</v>
      </c>
      <c r="CY109" s="320">
        <f>IF(ISERROR('raw data'!GV110/'raw data'!GW110),0,'raw data'!GV110/'raw data'!GW110)</f>
        <v>0</v>
      </c>
      <c r="CZ109" s="320">
        <f>IF(ISERROR('raw data'!GX110/'raw data'!GY110),0,'raw data'!GX110/'raw data'!GY110)</f>
        <v>0</v>
      </c>
      <c r="DA109" s="320">
        <f>IF(ISERROR('raw data'!GZ110/'raw data'!HA110),0,'raw data'!GZ110/'raw data'!HA110)</f>
        <v>0</v>
      </c>
      <c r="DB109" s="320">
        <f>IF(ISERROR('raw data'!HB110/'raw data'!HC110),0,'raw data'!HB110/'raw data'!HC110)</f>
        <v>0</v>
      </c>
      <c r="DC109" s="320">
        <f>IF(ISERROR('raw data'!HD110/'raw data'!HE110),0,'raw data'!HD110/'raw data'!HE110)</f>
        <v>0</v>
      </c>
      <c r="DD109" s="320">
        <f>IF(ISERROR('raw data'!HF110/'raw data'!HG110),0,'raw data'!HF110/'raw data'!HG110)</f>
        <v>0</v>
      </c>
      <c r="DE109" s="320">
        <f>IF(ISERROR('raw data'!HH110/'raw data'!HI110),0,'raw data'!HH110/'raw data'!HI110)</f>
        <v>0</v>
      </c>
      <c r="DF109" s="320">
        <f>IF(ISERROR('raw data'!HJ110/'raw data'!HK110),0,'raw data'!HJ110/'raw data'!HK110)</f>
        <v>0</v>
      </c>
      <c r="DG109" s="320">
        <f>IF(ISERROR('raw data'!HL110/'raw data'!HM110),0,'raw data'!HL110/'raw data'!HM110)</f>
        <v>0</v>
      </c>
      <c r="DH109" s="320">
        <f>IF(ISERROR('raw data'!HN110/'raw data'!HO110),0,'raw data'!HN110/'raw data'!HO110)</f>
        <v>0</v>
      </c>
      <c r="DI109" s="320">
        <f>IF(ISERROR('raw data'!HP110/'raw data'!HQ110),0,'raw data'!HP110/'raw data'!HQ110)</f>
        <v>0</v>
      </c>
      <c r="DJ109" s="320">
        <f>IF(ISERROR('raw data'!HR110/'raw data'!HS110),0,'raw data'!HR110/'raw data'!HS110)</f>
        <v>0</v>
      </c>
      <c r="DK109" s="320">
        <f>IF(ISERROR('raw data'!HT110/'raw data'!HU110),0,'raw data'!HT110/'raw data'!HU110)</f>
        <v>0</v>
      </c>
      <c r="DL109" s="320">
        <f>IF(ISERROR('raw data'!HV110/'raw data'!HW110),0,'raw data'!HV110/'raw data'!HW110)</f>
        <v>0</v>
      </c>
      <c r="DM109" s="320">
        <f>IF(ISERROR('raw data'!HX110/'raw data'!HY110),0,'raw data'!HX110/'raw data'!HY110)</f>
        <v>0</v>
      </c>
      <c r="DN109" s="320">
        <f>IF(ISERROR('raw data'!HZ110/'raw data'!IA110),0,'raw data'!HZ110/'raw data'!IA110)</f>
        <v>0</v>
      </c>
      <c r="DO109" s="320">
        <f>IF(ISERROR('raw data'!IB110/'raw data'!IC110),0,'raw data'!IB110/'raw data'!IC110)</f>
        <v>0</v>
      </c>
      <c r="DP109" s="320">
        <f>IF(ISERROR('raw data'!ID110/'raw data'!IE110),0,'raw data'!ID110/'raw data'!IE110)</f>
        <v>0</v>
      </c>
      <c r="DQ109" s="320">
        <f>IF(ISERROR('raw data'!IF110/'raw data'!IG110),0,'raw data'!IF110/'raw data'!IG110)</f>
        <v>0</v>
      </c>
      <c r="DR109" s="320">
        <f>IF(ISERROR('raw data'!IH110/'raw data'!II110),0,'raw data'!IH110/'raw data'!II110)</f>
        <v>0</v>
      </c>
      <c r="DS109" s="320">
        <f>IF(ISERROR('raw data'!IJ110/'raw data'!IK110),0,'raw data'!IJ110/'raw data'!IK110)</f>
        <v>0</v>
      </c>
      <c r="DT109" s="320">
        <f>IF(ISERROR('raw data'!IL110/'raw data'!IM110),0,'raw data'!IL110/'raw data'!IM110)</f>
        <v>0</v>
      </c>
      <c r="DU109" s="320">
        <f>IF(ISERROR('raw data'!IN110/'raw data'!IO110),0,'raw data'!IN110/'raw data'!IO110)</f>
        <v>0</v>
      </c>
      <c r="DV109" s="320">
        <f>IF(ISERROR('raw data'!IP110/'raw data'!IQ110),0,'raw data'!IP110/'raw data'!IQ110)</f>
        <v>0</v>
      </c>
      <c r="DW109" s="320">
        <f>IF(ISERROR('raw data'!IR110/'raw data'!IS110),0,'raw data'!IR110/'raw data'!IS110)</f>
        <v>0</v>
      </c>
      <c r="DX109" s="320">
        <f>IF(ISERROR('raw data'!IT110/'raw data'!IU110),0,'raw data'!IT110/'raw data'!IU110)</f>
        <v>0</v>
      </c>
      <c r="DY109" s="320">
        <f>IF(ISERROR('raw data'!IV110/'raw data'!IW110),0,'raw data'!IV110/'raw data'!IW110)</f>
        <v>0</v>
      </c>
      <c r="DZ109" s="320">
        <f>IF(ISERROR('raw data'!IX110/'raw data'!IY110),0,'raw data'!IX110/'raw data'!IY110)</f>
        <v>0</v>
      </c>
      <c r="EA109" s="320">
        <f>IF(ISERROR('raw data'!IZ110/'raw data'!JA110),0,'raw data'!IZ110/'raw data'!JA110)</f>
        <v>0</v>
      </c>
      <c r="EB109" s="320">
        <f>IF(ISERROR('raw data'!JB110/'raw data'!JC110),0,'raw data'!JB110/'raw data'!JC110)</f>
        <v>0</v>
      </c>
      <c r="EC109" s="320">
        <f>IF(ISERROR('raw data'!JD110/'raw data'!JE110),0,'raw data'!JD110/'raw data'!JE110)</f>
        <v>0</v>
      </c>
      <c r="ED109" s="317"/>
      <c r="EE109" s="318">
        <v>0</v>
      </c>
      <c r="EF109" s="318">
        <v>10</v>
      </c>
      <c r="EG109" s="319">
        <f>IF(ISERROR(EE109/EF109),0,EE109/EF109)</f>
        <v>0</v>
      </c>
    </row>
    <row r="110" spans="1:137" ht="25.5" customHeight="1" x14ac:dyDescent="0.15">
      <c r="A110" s="310">
        <v>6.6</v>
      </c>
      <c r="B110" s="311" t="str">
        <f>'raw data'!B111</f>
        <v>Specialist Mortgages with a one off overpayment more than 10% (which is not then redeemed in the same month)</v>
      </c>
      <c r="C110" s="312"/>
      <c r="D110" s="313"/>
      <c r="E110" s="313"/>
      <c r="F110" s="313"/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4"/>
      <c r="R110" s="314"/>
      <c r="S110" s="314"/>
      <c r="T110" s="314"/>
      <c r="U110" s="314"/>
      <c r="V110" s="314"/>
      <c r="W110" s="314"/>
      <c r="X110" s="314"/>
      <c r="Y110" s="314"/>
      <c r="Z110" s="314"/>
      <c r="AA110" s="314"/>
      <c r="AB110" s="314"/>
      <c r="AC110" s="314"/>
      <c r="AD110" s="314"/>
      <c r="AE110" s="314"/>
      <c r="AF110" s="314"/>
      <c r="AG110" s="314"/>
      <c r="AH110" s="315"/>
      <c r="AI110" s="315"/>
      <c r="AJ110" s="316"/>
      <c r="AK110" s="316"/>
      <c r="AL110" s="316"/>
      <c r="AM110" s="316"/>
      <c r="AN110" s="316"/>
      <c r="AO110" s="316"/>
      <c r="AP110" s="316"/>
      <c r="AQ110" s="316"/>
      <c r="AR110" s="316"/>
      <c r="AS110" s="316"/>
      <c r="AT110" s="316"/>
      <c r="AU110" s="316"/>
      <c r="AV110" s="316"/>
      <c r="AW110" s="316"/>
      <c r="AX110" s="316"/>
      <c r="AY110" s="316"/>
      <c r="AZ110" s="316"/>
      <c r="BA110" s="316"/>
      <c r="BB110" s="316"/>
      <c r="BC110" s="316"/>
      <c r="BD110" s="316"/>
      <c r="BE110" s="316"/>
      <c r="BF110" s="316"/>
      <c r="BG110" s="316"/>
      <c r="BH110" s="316"/>
      <c r="BI110" s="316"/>
      <c r="BJ110" s="316"/>
      <c r="BK110" s="316"/>
      <c r="BL110" s="316"/>
      <c r="BM110" s="316"/>
      <c r="BN110" s="316"/>
      <c r="BO110" s="316"/>
      <c r="BP110" s="316"/>
      <c r="BQ110" s="316"/>
      <c r="BR110" s="316"/>
      <c r="BS110" s="316"/>
      <c r="BT110" s="316"/>
      <c r="BU110" s="316"/>
      <c r="BV110" s="316"/>
      <c r="BW110" s="316"/>
      <c r="BX110" s="316"/>
      <c r="BY110" s="232"/>
      <c r="BZ110" s="232"/>
      <c r="CA110" s="232"/>
      <c r="CB110" s="232"/>
      <c r="CC110" s="232"/>
      <c r="CD110" s="232"/>
      <c r="CE110" s="232"/>
      <c r="CF110" s="232"/>
      <c r="CG110" s="232"/>
      <c r="CH110" s="232"/>
      <c r="CI110" s="320">
        <f>IF(ISERROR('raw data'!FP111/'raw data'!FQ111),0,'raw data'!FP111/'raw data'!FQ111)</f>
        <v>0</v>
      </c>
      <c r="CJ110" s="320">
        <f>IF(ISERROR('raw data'!FR111/'raw data'!FS111),0,'raw data'!FR111/'raw data'!FS111)</f>
        <v>0</v>
      </c>
      <c r="CK110" s="320">
        <f>IF(ISERROR('raw data'!FT111/'raw data'!FU111),0,'raw data'!FT111/'raw data'!FU111)</f>
        <v>0.25</v>
      </c>
      <c r="CL110" s="320">
        <f>IF(ISERROR('raw data'!FV111/'raw data'!FW111),0,'raw data'!FV111/'raw data'!FW111)</f>
        <v>0.35714285714285715</v>
      </c>
      <c r="CM110" s="320">
        <f>IF(ISERROR('raw data'!FX111/'raw data'!FY111),0,'raw data'!FX111/'raw data'!FY111)</f>
        <v>0.25</v>
      </c>
      <c r="CN110" s="320">
        <f>IF(ISERROR('raw data'!FZ111/'raw data'!GA111),0,'raw data'!FZ111/'raw data'!GA111)</f>
        <v>0</v>
      </c>
      <c r="CO110" s="320">
        <f>IF(ISERROR('raw data'!GB111/'raw data'!GC111),0,'raw data'!GB111/'raw data'!GC111)</f>
        <v>0.2</v>
      </c>
      <c r="CP110" s="320">
        <f>IF(ISERROR('raw data'!GD111/'raw data'!GE111),0,'raw data'!GD111/'raw data'!GE111)</f>
        <v>0</v>
      </c>
      <c r="CQ110" s="320">
        <f>IF(ISERROR('raw data'!GF111/'raw data'!GG111),0,'raw data'!GF111/'raw data'!GG111)</f>
        <v>0.375</v>
      </c>
      <c r="CR110" s="320">
        <f>IF(ISERROR('raw data'!GH111/'raw data'!GI111),0,'raw data'!GH111/'raw data'!GI111)</f>
        <v>0.14285714285714285</v>
      </c>
      <c r="CS110" s="320">
        <f>IF(ISERROR('raw data'!GJ111/'raw data'!GK111),0,'raw data'!GJ111/'raw data'!GK111)</f>
        <v>0</v>
      </c>
      <c r="CT110" s="320">
        <f>IF(ISERROR('raw data'!GL111/'raw data'!GM111),0,'raw data'!GL111/'raw data'!GM111)</f>
        <v>0</v>
      </c>
      <c r="CU110" s="320">
        <f>IF(ISERROR('raw data'!GN111/'raw data'!GO111),0,'raw data'!GN111/'raw data'!GO111)</f>
        <v>0.33333333333333331</v>
      </c>
      <c r="CV110" s="320">
        <f>IF(ISERROR('raw data'!GP111/'raw data'!GQ111),0,'raw data'!GP111/'raw data'!GQ111)</f>
        <v>0</v>
      </c>
      <c r="CW110" s="320">
        <f>IF(ISERROR('raw data'!GR111/'raw data'!GS111),0,'raw data'!GR111/'raw data'!GS111)</f>
        <v>0</v>
      </c>
      <c r="CX110" s="320">
        <f>IF(ISERROR('raw data'!GT111/'raw data'!GU111),0,'raw data'!GT111/'raw data'!GU111)</f>
        <v>0</v>
      </c>
      <c r="CY110" s="320">
        <f>IF(ISERROR('raw data'!GV111/'raw data'!GW111),0,'raw data'!GV111/'raw data'!GW111)</f>
        <v>0</v>
      </c>
      <c r="CZ110" s="320">
        <f>IF(ISERROR('raw data'!GX111/'raw data'!GY111),0,'raw data'!GX111/'raw data'!GY111)</f>
        <v>0.14285714285714285</v>
      </c>
      <c r="DA110" s="320">
        <f>IF(ISERROR('raw data'!GZ111/'raw data'!HA111),0,'raw data'!GZ111/'raw data'!HA111)</f>
        <v>0.1111111111111111</v>
      </c>
      <c r="DB110" s="320">
        <f>IF(ISERROR('raw data'!HB111/'raw data'!HC111),0,'raw data'!HB111/'raw data'!HC111)</f>
        <v>0</v>
      </c>
      <c r="DC110" s="320">
        <f>IF(ISERROR('raw data'!HD111/'raw data'!HE111),0,'raw data'!HD111/'raw data'!HE111)</f>
        <v>0.1</v>
      </c>
      <c r="DD110" s="320">
        <f>IF(ISERROR('raw data'!HF111/'raw data'!HG111),0,'raw data'!HF111/'raw data'!HG111)</f>
        <v>0</v>
      </c>
      <c r="DE110" s="320">
        <f>IF(ISERROR('raw data'!HH111/'raw data'!HI111),0,'raw data'!HH111/'raw data'!HI111)</f>
        <v>0</v>
      </c>
      <c r="DF110" s="320">
        <f>IF(ISERROR('raw data'!HJ111/'raw data'!HK111),0,'raw data'!HJ111/'raw data'!HK111)</f>
        <v>0</v>
      </c>
      <c r="DG110" s="320">
        <f>IF(ISERROR('raw data'!HL111/'raw data'!HM111),0,'raw data'!HL111/'raw data'!HM111)</f>
        <v>0</v>
      </c>
      <c r="DH110" s="320">
        <f>IF(ISERROR('raw data'!HN111/'raw data'!HO111),0,'raw data'!HN111/'raw data'!HO111)</f>
        <v>0</v>
      </c>
      <c r="DI110" s="320">
        <f>IF(ISERROR('raw data'!HP111/'raw data'!HQ111),0,'raw data'!HP111/'raw data'!HQ111)</f>
        <v>0</v>
      </c>
      <c r="DJ110" s="320">
        <f>IF(ISERROR('raw data'!HR111/'raw data'!HS111),0,'raw data'!HR111/'raw data'!HS111)</f>
        <v>0</v>
      </c>
      <c r="DK110" s="320">
        <f>IF(ISERROR('raw data'!HT111/'raw data'!HU111),0,'raw data'!HT111/'raw data'!HU111)</f>
        <v>0.14285714285714285</v>
      </c>
      <c r="DL110" s="320">
        <f>IF(ISERROR('raw data'!HV111/'raw data'!HW111),0,'raw data'!HV111/'raw data'!HW111)</f>
        <v>0.2</v>
      </c>
      <c r="DM110" s="320">
        <f>IF(ISERROR('raw data'!HX111/'raw data'!HY111),0,'raw data'!HX111/'raw data'!HY111)</f>
        <v>0</v>
      </c>
      <c r="DN110" s="320">
        <f>IF(ISERROR('raw data'!HZ111/'raw data'!IA111),0,'raw data'!HZ111/'raw data'!IA111)</f>
        <v>0</v>
      </c>
      <c r="DO110" s="320">
        <f>IF(ISERROR('raw data'!IB111/'raw data'!IC111),0,'raw data'!IB111/'raw data'!IC111)</f>
        <v>0.13333333333333333</v>
      </c>
      <c r="DP110" s="320">
        <f>IF(ISERROR('raw data'!ID111/'raw data'!IE111),0,'raw data'!ID111/'raw data'!IE111)</f>
        <v>0</v>
      </c>
      <c r="DQ110" s="320">
        <f>IF(ISERROR('raw data'!IF111/'raw data'!IG111),0,'raw data'!IF111/'raw data'!IG111)</f>
        <v>0</v>
      </c>
      <c r="DR110" s="320">
        <f>IF(ISERROR('raw data'!IH111/'raw data'!II111),0,'raw data'!IH111/'raw data'!II111)</f>
        <v>0</v>
      </c>
      <c r="DS110" s="320">
        <f>IF(ISERROR('raw data'!IJ111/'raw data'!IK111),0,'raw data'!IJ111/'raw data'!IK111)</f>
        <v>0</v>
      </c>
      <c r="DT110" s="320">
        <f>IF(ISERROR('raw data'!IL111/'raw data'!IM111),0,'raw data'!IL111/'raw data'!IM111)</f>
        <v>0.14285714285714285</v>
      </c>
      <c r="DU110" s="320">
        <f>IF(ISERROR('raw data'!IN111/'raw data'!IO111),0,'raw data'!IN111/'raw data'!IO111)</f>
        <v>0.14285714285714285</v>
      </c>
      <c r="DV110" s="320">
        <f>IF(ISERROR('raw data'!IP111/'raw data'!IQ111),0,'raw data'!IP111/'raw data'!IQ111)</f>
        <v>6.6666666666666666E-2</v>
      </c>
      <c r="DW110" s="320">
        <f>IF(ISERROR('raw data'!IR111/'raw data'!IS111),0,'raw data'!IR111/'raw data'!IS111)</f>
        <v>0.1</v>
      </c>
      <c r="DX110" s="320">
        <f>IF(ISERROR('raw data'!IT111/'raw data'!IU111),0,'raw data'!IT111/'raw data'!IU111)</f>
        <v>0.2</v>
      </c>
      <c r="DY110" s="320">
        <f>IF(ISERROR('raw data'!IV111/'raw data'!IW111),0,'raw data'!IV111/'raw data'!IW111)</f>
        <v>0</v>
      </c>
      <c r="DZ110" s="320">
        <f>IF(ISERROR('raw data'!IX111/'raw data'!IY111),0,'raw data'!IX111/'raw data'!IY111)</f>
        <v>8.3333333333333329E-2</v>
      </c>
      <c r="EA110" s="320">
        <f>IF(ISERROR('raw data'!IZ111/'raw data'!JA111),0,'raw data'!IZ111/'raw data'!JA111)</f>
        <v>0</v>
      </c>
      <c r="EB110" s="320">
        <f>IF(ISERROR('raw data'!JB111/'raw data'!JC111),0,'raw data'!JB111/'raw data'!JC111)</f>
        <v>0</v>
      </c>
      <c r="EC110" s="320">
        <f>IF(ISERROR('raw data'!JD111/'raw data'!JE111),0,'raw data'!JD111/'raw data'!JE111)</f>
        <v>0.1</v>
      </c>
      <c r="ED110" s="317"/>
      <c r="EE110" s="318">
        <v>8</v>
      </c>
      <c r="EF110" s="318">
        <v>110</v>
      </c>
      <c r="EG110" s="319">
        <f>IF(ISERROR(EE110/EF110),0,EE110/EF110)</f>
        <v>7.2727272727272724E-2</v>
      </c>
    </row>
    <row r="111" spans="1:137" ht="14" x14ac:dyDescent="0.15">
      <c r="A111" s="241"/>
      <c r="B111" s="321" t="s">
        <v>185</v>
      </c>
      <c r="C111" s="321" t="s">
        <v>185</v>
      </c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>
        <f>IF(ISERROR('raw data'!BP112/'raw data'!BQ112),0,'raw data'!BP112/'raw data'!BQ112)</f>
        <v>9.0909090909090912E-2</v>
      </c>
      <c r="AK111" s="243">
        <f>IF(ISERROR('raw data'!BR112/'raw data'!BS112),0,'raw data'!BR112/'raw data'!BS112)</f>
        <v>0</v>
      </c>
      <c r="AL111" s="243">
        <f>IF(ISERROR('raw data'!BT112/'raw data'!BU112),0,'raw data'!BT112/'raw data'!BU112)</f>
        <v>0</v>
      </c>
      <c r="AM111" s="243">
        <f>IF(ISERROR('raw data'!BV112/'raw data'!BW112),0,'raw data'!BV112/'raw data'!BW112)</f>
        <v>0</v>
      </c>
      <c r="AN111" s="243">
        <f>IF(ISERROR('raw data'!BX112/'raw data'!BY112),0,'raw data'!BX112/'raw data'!BY112)</f>
        <v>0</v>
      </c>
      <c r="AO111" s="243">
        <f>IF(ISERROR('raw data'!BZ112/'raw data'!CA112),0,'raw data'!BZ112/'raw data'!CA112)</f>
        <v>0</v>
      </c>
      <c r="AP111" s="243">
        <f>IF(ISERROR('raw data'!CB112/'raw data'!CC112),0,'raw data'!CB112/'raw data'!CC112)</f>
        <v>0</v>
      </c>
      <c r="AQ111" s="243">
        <f>IF(ISERROR('raw data'!CD112/'raw data'!CE112),0,'raw data'!CD112/'raw data'!CE112)</f>
        <v>0</v>
      </c>
      <c r="AR111" s="243">
        <f>IF(ISERROR('raw data'!CF112/'raw data'!CG112),0,'raw data'!CF112/'raw data'!CG112)</f>
        <v>0</v>
      </c>
      <c r="AS111" s="243">
        <f>IF(ISERROR('raw data'!CH112/'raw data'!CI112),0,'raw data'!CH112/'raw data'!CI112)</f>
        <v>0</v>
      </c>
      <c r="AT111" s="243">
        <f>IF(ISERROR('raw data'!CJ112/'raw data'!CK112),0,'raw data'!CJ112/'raw data'!CK112)</f>
        <v>0</v>
      </c>
      <c r="AU111" s="243">
        <f>IF(ISERROR('raw data'!CL112/'raw data'!CM112),0,'raw data'!CL112/'raw data'!CM112)</f>
        <v>6.25E-2</v>
      </c>
      <c r="AV111" s="243">
        <f>IF(ISERROR('raw data'!CN112/'raw data'!CO112),0,'raw data'!CN112/'raw data'!CO112)</f>
        <v>0</v>
      </c>
      <c r="AW111" s="243">
        <f>IF(ISERROR('raw data'!CP112/'raw data'!CQ112),0,'raw data'!CP112/'raw data'!CQ112)</f>
        <v>0</v>
      </c>
      <c r="AX111" s="243">
        <f>IF(ISERROR('raw data'!CR112/'raw data'!CS112),0,'raw data'!CR112/'raw data'!CS112)</f>
        <v>0</v>
      </c>
      <c r="AY111" s="243">
        <f>IF(ISERROR('raw data'!CT112/'raw data'!CU112),0,'raw data'!CT112/'raw data'!CU112)</f>
        <v>0</v>
      </c>
      <c r="AZ111" s="243">
        <f>IF(ISERROR('raw data'!CV112/'raw data'!CW112),0,'raw data'!CV112/'raw data'!CW112)</f>
        <v>0</v>
      </c>
      <c r="BA111" s="243">
        <f>IF(ISERROR('raw data'!CX112/'raw data'!CY112),0,'raw data'!CX112/'raw data'!CY112)</f>
        <v>0</v>
      </c>
      <c r="BB111" s="243">
        <f>IF(ISERROR('raw data'!CZ112/'raw data'!DA112),0,'raw data'!CZ112/'raw data'!DA112)</f>
        <v>0</v>
      </c>
      <c r="BC111" s="243">
        <f>IF(ISERROR('raw data'!DB112/'raw data'!DC112),0,'raw data'!DB112/'raw data'!DC112)</f>
        <v>5.2631578947368418E-2</v>
      </c>
      <c r="BD111" s="243">
        <v>0</v>
      </c>
      <c r="BE111" s="243">
        <f>IF(ISERROR('raw data'!DF112/'raw data'!DG112),0,'raw data'!DF112/'raw data'!DG112)</f>
        <v>0</v>
      </c>
      <c r="BF111" s="243">
        <f>IF(ISERROR('raw data'!DH112/'raw data'!DI112),0,'raw data'!DH112/'raw data'!DI112)</f>
        <v>0</v>
      </c>
      <c r="BG111" s="243">
        <f>IF(ISERROR('raw data'!DJ112/'raw data'!DK112),0,'raw data'!DJ112/'raw data'!DK112)</f>
        <v>4.5454545454545456E-2</v>
      </c>
      <c r="BH111" s="243">
        <f>IF(ISERROR('raw data'!DL112/'raw data'!DM112),0,'raw data'!DL112/'raw data'!DM112)</f>
        <v>0</v>
      </c>
      <c r="BI111" s="243">
        <f>IF(ISERROR('raw data'!DN112/'raw data'!DO112),0,'raw data'!DN112/'raw data'!DO112)</f>
        <v>0</v>
      </c>
      <c r="BJ111" s="243">
        <f>IF(ISERROR('raw data'!DP112/'raw data'!DQ112),0,'raw data'!DP112/'raw data'!DQ112)</f>
        <v>0</v>
      </c>
      <c r="BK111" s="243">
        <f>IF(ISERROR('raw data'!DR112/'raw data'!DS112),0,'raw data'!DR112/'raw data'!DS112)</f>
        <v>0</v>
      </c>
      <c r="BL111" s="243">
        <f>IF(ISERROR('raw data'!DT112/'raw data'!DU112),0,'raw data'!DT112/'raw data'!DU112)</f>
        <v>0</v>
      </c>
      <c r="BM111" s="243">
        <f>IF(ISERROR('raw data'!DV112/'raw data'!DW112),0,'raw data'!DV112/'raw data'!DW112)</f>
        <v>0</v>
      </c>
      <c r="BN111" s="243">
        <f>IF(ISERROR('raw data'!DX112/'raw data'!DY112),0,'raw data'!DX112/'raw data'!DY112)</f>
        <v>0</v>
      </c>
      <c r="BO111" s="243">
        <f>IF(ISERROR('raw data'!DZ112/'raw data'!EA112),0,'raw data'!DZ112/'raw data'!EA112)</f>
        <v>0</v>
      </c>
      <c r="BP111" s="243">
        <f>IF(ISERROR('raw data'!EB112/'raw data'!EC112),0,'raw data'!EB112/'raw data'!EC112)</f>
        <v>0</v>
      </c>
      <c r="BQ111" s="243">
        <f>IF(ISERROR('raw data'!ED112/'raw data'!EE112),0,'raw data'!ED112/'raw data'!EE112)</f>
        <v>0</v>
      </c>
      <c r="BR111" s="243">
        <f>IF(ISERROR('raw data'!EF112/'raw data'!EG112),0,'raw data'!EF112/'raw data'!EG112)</f>
        <v>0</v>
      </c>
      <c r="BS111" s="243">
        <f>IF(ISERROR('raw data'!EH112/'raw data'!EI112),0,'raw data'!EH112/'raw data'!EI112)</f>
        <v>0</v>
      </c>
      <c r="BT111" s="243">
        <f>IF(ISERROR('raw data'!EJ112/'raw data'!EK112),0,'raw data'!EJ112/'raw data'!EK112)</f>
        <v>0</v>
      </c>
      <c r="BU111" s="243">
        <f>IF(ISERROR('raw data'!EL112/'raw data'!EM112),0,'raw data'!EL112/'raw data'!EM112)</f>
        <v>0</v>
      </c>
      <c r="BV111" s="243">
        <f>IF(ISERROR('raw data'!EN112/'raw data'!EO112),0,'raw data'!EN112/'raw data'!EO112)</f>
        <v>0</v>
      </c>
      <c r="BW111" s="243">
        <f>IF(ISERROR('raw data'!EP112/'raw data'!EQ112),0,'raw data'!EP112/'raw data'!EQ112)</f>
        <v>0</v>
      </c>
      <c r="BX111" s="243">
        <f>IF(ISERROR('raw data'!ER112/'raw data'!ES112),0,'raw data'!ER112/'raw data'!ES112)</f>
        <v>0</v>
      </c>
      <c r="BY111" s="243">
        <f>IF(ISERROR('raw data'!ET112/'raw data'!EU112),0,'raw data'!ET112/'raw data'!EU112)</f>
        <v>0</v>
      </c>
      <c r="BZ111" s="243">
        <f>IF(ISERROR('raw data'!EV112/'raw data'!EW112),0,'raw data'!EV112/'raw data'!EW112)</f>
        <v>0</v>
      </c>
      <c r="CA111" s="243">
        <f>IF(ISERROR('raw data'!EX112/'raw data'!EY112),0,'raw data'!EX112/'raw data'!EY112)</f>
        <v>0</v>
      </c>
      <c r="CB111" s="243">
        <f>IF(ISERROR('raw data'!EZ112/'raw data'!FA112),0,'raw data'!EZ112/'raw data'!FA112)</f>
        <v>0</v>
      </c>
      <c r="CC111" s="243">
        <f>IF(ISERROR('raw data'!FB112/'raw data'!FC112),0,'raw data'!FB112/'raw data'!FC112)</f>
        <v>0</v>
      </c>
      <c r="CD111" s="243">
        <f>IF(ISERROR('raw data'!FD112/'raw data'!FE112),0,'raw data'!FD112/'raw data'!FE112)</f>
        <v>0</v>
      </c>
      <c r="CE111" s="243">
        <f>IF(ISERROR('raw data'!FF112/'raw data'!FG112),0,'raw data'!FF112/'raw data'!FG112)</f>
        <v>0</v>
      </c>
      <c r="CF111" s="243">
        <f>IF(ISERROR('raw data'!FH112/'raw data'!FI112),0,'raw data'!FH112/'raw data'!FI112)</f>
        <v>0</v>
      </c>
      <c r="CG111" s="243">
        <f>IF(ISERROR('raw data'!FJ112/'raw data'!FM112),0,'raw data'!FJ112/'raw data'!FM112)</f>
        <v>0</v>
      </c>
      <c r="CH111" s="243">
        <f>IF(ISERROR('raw data'!FN112/'raw data'!FO112),0,'raw data'!FN112/'raw data'!FO112)</f>
        <v>0</v>
      </c>
      <c r="CI111" s="243">
        <f>IF(ISERROR('raw data'!FP112/'raw data'!FQ112),0,'raw data'!FP112/'raw data'!FQ112)</f>
        <v>1.7857142857142856E-2</v>
      </c>
      <c r="CJ111" s="243">
        <f>IF(ISERROR('raw data'!FR112/'raw data'!FS112),0,'raw data'!FR112/'raw data'!FS112)</f>
        <v>0</v>
      </c>
      <c r="CK111" s="243">
        <f>IF(ISERROR('raw data'!FT112/'raw data'!FU112),0,'raw data'!FT112/'raw data'!FU112)</f>
        <v>0.25</v>
      </c>
      <c r="CL111" s="243">
        <f>IF(ISERROR('raw data'!FV112/'raw data'!FW112),0,'raw data'!FV112/'raw data'!FW112)</f>
        <v>0.35714285714285715</v>
      </c>
      <c r="CM111" s="243">
        <f>IF(ISERROR('raw data'!FX112/'raw data'!FY112),0,'raw data'!FX112/'raw data'!FY112)</f>
        <v>0.25</v>
      </c>
      <c r="CN111" s="243">
        <f>IF(ISERROR('raw data'!FZ112/'raw data'!GA112),0,'raw data'!FZ112/'raw data'!GA112)</f>
        <v>0</v>
      </c>
      <c r="CO111" s="243">
        <f>IF(ISERROR('raw data'!GB112/'raw data'!GC112),0,'raw data'!GB112/'raw data'!GC112)</f>
        <v>0.2</v>
      </c>
      <c r="CP111" s="243">
        <f>IF(ISERROR('raw data'!GD112/'raw data'!GE112),0,'raw data'!GD112/'raw data'!GE112)</f>
        <v>0</v>
      </c>
      <c r="CQ111" s="243">
        <f>IF(ISERROR('raw data'!GF112/'raw data'!GG112),0,'raw data'!GF112/'raw data'!GG112)</f>
        <v>0.375</v>
      </c>
      <c r="CR111" s="243">
        <f>IF(ISERROR('raw data'!GH112/'raw data'!GI112),0,'raw data'!GH112/'raw data'!GI112)</f>
        <v>0.14285714285714285</v>
      </c>
      <c r="CS111" s="243">
        <f>IF(ISERROR('raw data'!GJ112/'raw data'!GK112),0,'raw data'!GJ112/'raw data'!GK112)</f>
        <v>0</v>
      </c>
      <c r="CT111" s="243">
        <f>IF(ISERROR('raw data'!GL112/'raw data'!GM112),0,'raw data'!GL112/'raw data'!GM112)</f>
        <v>0</v>
      </c>
      <c r="CU111" s="243">
        <f>IF(ISERROR('raw data'!GN112/'raw data'!GO112),0,'raw data'!GN112/'raw data'!GO112)</f>
        <v>0.33333333333333331</v>
      </c>
      <c r="CV111" s="243">
        <f>IF(ISERROR('raw data'!GP112/'raw data'!GQ112),0,'raw data'!GP112/'raw data'!GQ112)</f>
        <v>0</v>
      </c>
      <c r="CW111" s="243">
        <f>IF(ISERROR('raw data'!GR112/'raw data'!GS112),0,'raw data'!GR112/'raw data'!GS112)</f>
        <v>0</v>
      </c>
      <c r="CX111" s="243">
        <f>IF(ISERROR('raw data'!GT112/'raw data'!GU112),0,'raw data'!GT112/'raw data'!GU112)</f>
        <v>0</v>
      </c>
      <c r="CY111" s="243">
        <f>IF(ISERROR('raw data'!GV112/'raw data'!GW112),0,'raw data'!GV112/'raw data'!GW112)</f>
        <v>0</v>
      </c>
      <c r="CZ111" s="243">
        <f>IF(ISERROR('raw data'!GX112/'raw data'!GY112),0,'raw data'!GX112/'raw data'!GY112)</f>
        <v>0.1</v>
      </c>
      <c r="DA111" s="243">
        <f>IF(ISERROR('raw data'!GZ112/'raw data'!HA112),0,'raw data'!GZ112/'raw data'!HA112)</f>
        <v>0.1111111111111111</v>
      </c>
      <c r="DB111" s="243">
        <f>IF(ISERROR('raw data'!HB112/'raw data'!HC112),0,'raw data'!HB112/'raw data'!HC112)</f>
        <v>0</v>
      </c>
      <c r="DC111" s="243">
        <f>IF(ISERROR('raw data'!HD112/'raw data'!HE112),0,'raw data'!HD112/'raw data'!HE112)</f>
        <v>8.3333333333333329E-2</v>
      </c>
      <c r="DD111" s="243">
        <f>IF(ISERROR('raw data'!HF112/'raw data'!HG112),0,'raw data'!HF112/'raw data'!HG112)</f>
        <v>0</v>
      </c>
      <c r="DE111" s="243">
        <f>IF(ISERROR('raw data'!HH112/'raw data'!HI112),0,'raw data'!HH112/'raw data'!HI112)</f>
        <v>0</v>
      </c>
      <c r="DF111" s="243">
        <f>IF(ISERROR('raw data'!HJ112/'raw data'!HK112),0,'raw data'!HJ112/'raw data'!HK112)</f>
        <v>0</v>
      </c>
      <c r="DG111" s="243">
        <f>IF(ISERROR('raw data'!HL112/'raw data'!HM112),0,'raw data'!HL112/'raw data'!HM112)</f>
        <v>0</v>
      </c>
      <c r="DH111" s="243">
        <f>IF(ISERROR('raw data'!HN112/'raw data'!HO112),0,'raw data'!HN112/'raw data'!HO112)</f>
        <v>0</v>
      </c>
      <c r="DI111" s="243">
        <f>IF(ISERROR('raw data'!HP112/'raw data'!HQ112),0,'raw data'!HP112/'raw data'!HQ112)</f>
        <v>0</v>
      </c>
      <c r="DJ111" s="243">
        <f>IF(ISERROR('raw data'!HR112/'raw data'!HS112),0,'raw data'!HR112/'raw data'!HS112)</f>
        <v>0</v>
      </c>
      <c r="DK111" s="243">
        <f>IF(ISERROR('raw data'!HT112/'raw data'!HU112),0,'raw data'!HT112/'raw data'!HU112)</f>
        <v>0.125</v>
      </c>
      <c r="DL111" s="243">
        <f>IF(ISERROR('raw data'!HV112/'raw data'!HW112),0,'raw data'!HV112/'raw data'!HW112)</f>
        <v>0.2</v>
      </c>
      <c r="DM111" s="243">
        <f>IF(ISERROR('raw data'!HX112/'raw data'!HY112),0,'raw data'!HX112/'raw data'!HY112)</f>
        <v>0</v>
      </c>
      <c r="DN111" s="243">
        <f>IF(ISERROR('raw data'!HZ112/'raw data'!IA112),0,'raw data'!HZ112/'raw data'!IA112)</f>
        <v>0</v>
      </c>
      <c r="DO111" s="243">
        <f>IF(ISERROR('raw data'!IB112/'raw data'!IC112),0,'raw data'!IB112/'raw data'!IC112)</f>
        <v>0.13333333333333333</v>
      </c>
      <c r="DP111" s="243">
        <f>IF(ISERROR('raw data'!ID112/'raw data'!IE112),0,'raw data'!ID112/'raw data'!IE112)</f>
        <v>0</v>
      </c>
      <c r="DQ111" s="243">
        <f>IF(ISERROR('raw data'!IF112/'raw data'!IG112),0,'raw data'!IF112/'raw data'!IG112)</f>
        <v>0</v>
      </c>
      <c r="DR111" s="243">
        <f>IF(ISERROR('raw data'!IH112/'raw data'!II112),0,'raw data'!IH112/'raw data'!II112)</f>
        <v>0</v>
      </c>
      <c r="DS111" s="243">
        <f>IF(ISERROR('raw data'!IJ112/'raw data'!IK112),0,'raw data'!IJ112/'raw data'!IK112)</f>
        <v>0</v>
      </c>
      <c r="DT111" s="243">
        <f>IF(ISERROR('raw data'!IL112/'raw data'!IM112),0,'raw data'!IL112/'raw data'!IM112)</f>
        <v>0.1111111111111111</v>
      </c>
      <c r="DU111" s="243">
        <f>IF(ISERROR('raw data'!IN112/'raw data'!IO112),0,'raw data'!IN112/'raw data'!IO112)</f>
        <v>0.14285714285714285</v>
      </c>
      <c r="DV111" s="243">
        <f>IF(ISERROR('raw data'!IP112/'raw data'!IQ112),0,'raw data'!IP112/'raw data'!IQ112)</f>
        <v>6.6666666666666666E-2</v>
      </c>
      <c r="DW111" s="243">
        <f>IF(ISERROR('raw data'!IR112/'raw data'!IS112),0,'raw data'!IR112/'raw data'!IS112)</f>
        <v>0.1</v>
      </c>
      <c r="DX111" s="243">
        <f>IF(ISERROR('raw data'!IT112/'raw data'!IU112),0,'raw data'!IT112/'raw data'!IU112)</f>
        <v>0.16666666666666666</v>
      </c>
      <c r="DY111" s="243">
        <f>IF(ISERROR('raw data'!IV112/'raw data'!IW112),0,'raw data'!IV112/'raw data'!IW112)</f>
        <v>0</v>
      </c>
      <c r="DZ111" s="243">
        <f>IF(ISERROR('raw data'!IX112/'raw data'!IY112),0,'raw data'!IX112/'raw data'!IY112)</f>
        <v>7.6923076923076927E-2</v>
      </c>
      <c r="EA111" s="243">
        <f>IF(ISERROR('raw data'!IZ112/'raw data'!JA112),0,'raw data'!IZ112/'raw data'!JA112)</f>
        <v>0</v>
      </c>
      <c r="EB111" s="243">
        <f>IF(ISERROR('raw data'!JB112/'raw data'!JC112),0,'raw data'!JB112/'raw data'!JC112)</f>
        <v>0</v>
      </c>
      <c r="EC111" s="243">
        <f>IF(ISERROR('raw data'!JD112/'raw data'!JE112),0,'raw data'!JD112/'raw data'!JE112)</f>
        <v>9.0909090909090912E-2</v>
      </c>
      <c r="ED111" s="243"/>
      <c r="EE111" s="244">
        <f>SUM(EE105:EE110)</f>
        <v>8</v>
      </c>
      <c r="EF111" s="244">
        <f>SUM(EF105:EF110)</f>
        <v>120</v>
      </c>
      <c r="EG111" s="245">
        <f>IF(ISERROR(EE111/EF111),0,EE111/EF111)</f>
        <v>6.6666666666666666E-2</v>
      </c>
    </row>
    <row r="112" spans="1:137" ht="28" x14ac:dyDescent="0.15">
      <c r="A112" s="322" t="s">
        <v>201</v>
      </c>
      <c r="B112" s="323" t="str">
        <f>'raw data'!B126</f>
        <v>Multiple JSA and DWP UC (&gt;=3 different NINOs) received over all customer's B&amp;S accounts.</v>
      </c>
      <c r="C112" s="324" t="s">
        <v>203</v>
      </c>
      <c r="D112" s="325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7">
        <f>IF(ISERROR('raw data'!AX126/'raw data'!AY126),0,'raw data'!AX126/'raw data'!AY126)</f>
        <v>1</v>
      </c>
      <c r="AB112" s="327">
        <f>IF(ISERROR('raw data'!AZ126/'raw data'!BA126),0,'raw data'!AZ126/'raw data'!BA126)</f>
        <v>0.4</v>
      </c>
      <c r="AC112" s="327">
        <f>IF(ISERROR('raw data'!BB126/'raw data'!BC126),0,'raw data'!BB126/'raw data'!BC126)</f>
        <v>0</v>
      </c>
      <c r="AD112" s="327">
        <f>IF(ISERROR('raw data'!BD126/'raw data'!BE126),0,'raw data'!BD126/'raw data'!BE126)</f>
        <v>1</v>
      </c>
      <c r="AE112" s="327">
        <f>IF(ISERROR('raw data'!BF126/'raw data'!BG126),0,'raw data'!BF126/'raw data'!BG126)</f>
        <v>0.5</v>
      </c>
      <c r="AF112" s="327">
        <f>IF(ISERROR('raw data'!BH126/'raw data'!BI126),0,'raw data'!BH126/'raw data'!BI126)</f>
        <v>0</v>
      </c>
      <c r="AG112" s="327">
        <f>IF(ISERROR('raw data'!BJ126/'raw data'!BK126),0,'raw data'!BJ126/'raw data'!BK126)</f>
        <v>0</v>
      </c>
      <c r="AH112" s="327">
        <f>IF(ISERROR('raw data'!BL126/'raw data'!BM126),0,'raw data'!BL126/'raw data'!BM126)</f>
        <v>1</v>
      </c>
      <c r="AI112" s="327">
        <f>IF(ISERROR('raw data'!BN126/'raw data'!BO126),0,'raw data'!BN126/'raw data'!BO126)</f>
        <v>0.55555555555555558</v>
      </c>
      <c r="AJ112" s="327">
        <f>IF(ISERROR('raw data'!BP126/'raw data'!BQ126),0,'raw data'!BP126/'raw data'!BQ126)</f>
        <v>0.66666666666666663</v>
      </c>
      <c r="AK112" s="327">
        <f>IF(ISERROR('raw data'!BR126/'raw data'!BS126),0,'raw data'!BR126/'raw data'!BS126)</f>
        <v>0.66666666666666663</v>
      </c>
      <c r="AL112" s="327">
        <f>IF(ISERROR('raw data'!BT126/'raw data'!BU126),0,'raw data'!BT126/'raw data'!BU126)</f>
        <v>0.8</v>
      </c>
      <c r="AM112" s="327">
        <f>IF(ISERROR('raw data'!BV126/'raw data'!BW126),0,'raw data'!BV126/'raw data'!BW126)</f>
        <v>0.75</v>
      </c>
      <c r="AN112" s="327">
        <f>IF(ISERROR('raw data'!BX126/'raw data'!BY126),0,'raw data'!BX126/'raw data'!BY126)</f>
        <v>0.5</v>
      </c>
      <c r="AO112" s="327">
        <f>IF(ISERROR('raw data'!BZ126/'raw data'!CA126),0,'raw data'!BZ126/'raw data'!CA126)</f>
        <v>0.5</v>
      </c>
      <c r="AP112" s="327">
        <f>IF(ISERROR('raw data'!CB126/'raw data'!CC126),0,'raw data'!CB126/'raw data'!CC126)</f>
        <v>0</v>
      </c>
      <c r="AQ112" s="327">
        <f>IF(ISERROR('raw data'!CD126/'raw data'!CE126),0,'raw data'!CD126/'raw data'!CE126)</f>
        <v>0.33333333333333331</v>
      </c>
      <c r="AR112" s="327">
        <f>IF(ISERROR('raw data'!CF126/'raw data'!CG126),0,'raw data'!CF126/'raw data'!CG126)</f>
        <v>0.66666666666666663</v>
      </c>
      <c r="AS112" s="327">
        <f>IF(ISERROR('raw data'!CH126/'raw data'!CI126),0,'raw data'!CH126/'raw data'!CI126)</f>
        <v>0.5</v>
      </c>
      <c r="AT112" s="327">
        <f>IF(ISERROR('raw data'!CJ126/'raw data'!CK126),0,'raw data'!CJ126/'raw data'!CK126)</f>
        <v>0</v>
      </c>
      <c r="AU112" s="327">
        <f>IF(ISERROR('raw data'!CL126/'raw data'!CM126),0,'raw data'!CL126/'raw data'!CM126)</f>
        <v>0</v>
      </c>
      <c r="AV112" s="327">
        <f>IF(ISERROR('raw data'!CN126/'raw data'!CO126),0,'raw data'!CN126/'raw data'!CO126)</f>
        <v>0.75</v>
      </c>
      <c r="AW112" s="327">
        <f>IF(ISERROR('raw data'!CP126/'raw data'!CQ126),0,'raw data'!CP126/'raw data'!CQ126)</f>
        <v>0.5</v>
      </c>
      <c r="AX112" s="327">
        <f>IF(ISERROR('raw data'!CR126/'raw data'!CS126),0,'raw data'!CR126/'raw data'!CS126)</f>
        <v>0.5</v>
      </c>
      <c r="AY112" s="327">
        <f>IF(ISERROR('raw data'!CT126/'raw data'!CU126),0,'raw data'!CT126/'raw data'!CU126)</f>
        <v>0</v>
      </c>
      <c r="AZ112" s="327">
        <f>IF(ISERROR('raw data'!CV126/'raw data'!CW126),0,'raw data'!CV126/'raw data'!CW126)</f>
        <v>0.66666666666666663</v>
      </c>
      <c r="BA112" s="327">
        <f>IF(ISERROR('raw data'!CX126/'raw data'!CY126),0,'raw data'!CX126/'raw data'!CY126)</f>
        <v>1</v>
      </c>
      <c r="BB112" s="327">
        <f>IF(ISERROR('raw data'!CZ126/'raw data'!DA126),0,'raw data'!CZ126/'raw data'!DA126)</f>
        <v>1</v>
      </c>
      <c r="BC112" s="327">
        <f>IF(ISERROR('raw data'!DB126/'raw data'!DC126),0,'raw data'!DB126/'raw data'!DC126)</f>
        <v>0</v>
      </c>
      <c r="BD112" s="327">
        <f>IF(ISERROR('raw data'!DD126/'raw data'!DE126),0,'raw data'!DD126/'raw data'!DE126)</f>
        <v>0.66666666666666663</v>
      </c>
      <c r="BE112" s="327">
        <f>IF(ISERROR('raw data'!DF126/'raw data'!DG126),0,'raw data'!DF126/'raw data'!DG126)</f>
        <v>1</v>
      </c>
      <c r="BF112" s="327">
        <f>IF(ISERROR('raw data'!DH126/'raw data'!DI126),0,'raw data'!DH126/'raw data'!DI126)</f>
        <v>0.5</v>
      </c>
      <c r="BG112" s="327">
        <f>IF(ISERROR('raw data'!DJ126/'raw data'!DK126),0,'raw data'!DJ126/'raw data'!DK126)</f>
        <v>0.33333333333333331</v>
      </c>
      <c r="BH112" s="327">
        <f>IF(ISERROR('raw data'!DL126/'raw data'!DM126),0,'raw data'!DL126/'raw data'!DM126)</f>
        <v>1</v>
      </c>
      <c r="BI112" s="327">
        <f>IF(ISERROR('raw data'!DN126/'raw data'!DO126),0,'raw data'!DN126/'raw data'!DO126)</f>
        <v>0.5</v>
      </c>
      <c r="BJ112" s="327">
        <f>IF(ISERROR('raw data'!DP126/'raw data'!DQ126),0,'raw data'!DP126/'raw data'!DQ126)</f>
        <v>0</v>
      </c>
      <c r="BK112" s="327">
        <f>IF(ISERROR('raw data'!DR126/'raw data'!DS126),0,'raw data'!DR126/'raw data'!DS126)</f>
        <v>1</v>
      </c>
      <c r="BL112" s="327">
        <f>IF(ISERROR('raw data'!DT126/'raw data'!DU126),0,'raw data'!DT126/'raw data'!DU126)</f>
        <v>0.66666666666666663</v>
      </c>
      <c r="BM112" s="327">
        <f>IF(ISERROR('raw data'!DV126/'raw data'!DW126),0,'raw data'!DV126/'raw data'!DW126)</f>
        <v>0</v>
      </c>
      <c r="BN112" s="327">
        <f>IF(ISERROR('raw data'!DX126/'raw data'!DY126),0,'raw data'!DX126/'raw data'!DY126)</f>
        <v>0.5</v>
      </c>
      <c r="BO112" s="327">
        <f>IF(ISERROR('raw data'!DZ126/'raw data'!EA126),0,'raw data'!DZ126/'raw data'!EA126)</f>
        <v>0</v>
      </c>
      <c r="BP112" s="327">
        <f>IF(ISERROR('raw data'!EB126/'raw data'!EC126),0,'raw data'!EB126/'raw data'!EC126)</f>
        <v>0</v>
      </c>
      <c r="BQ112" s="327">
        <f>IF(ISERROR('raw data'!ED126/'raw data'!EE126),0,'raw data'!ED126/'raw data'!EE126)</f>
        <v>0.5</v>
      </c>
      <c r="BR112" s="327">
        <f>IF(ISERROR('raw data'!EF126/'raw data'!EG126),0,'raw data'!EF126/'raw data'!EG126)</f>
        <v>0.33333333333333331</v>
      </c>
      <c r="BS112" s="327">
        <f>IF(ISERROR('raw data'!EH126/'raw data'!EI126),0,'raw data'!EH126/'raw data'!EI126)</f>
        <v>1</v>
      </c>
      <c r="BT112" s="327">
        <f>IF(ISERROR('raw data'!EJ126/'raw data'!EK126),0,'raw data'!EJ126/'raw data'!EK126)</f>
        <v>0</v>
      </c>
      <c r="BU112" s="327">
        <f>IF(ISERROR('raw data'!EL126/'raw data'!EM126),0,'raw data'!EL126/'raw data'!EM126)</f>
        <v>0</v>
      </c>
      <c r="BV112" s="327">
        <f>IF(ISERROR('raw data'!EN126/'raw data'!EO126),0,'raw data'!EN126/'raw data'!EO126)</f>
        <v>0</v>
      </c>
      <c r="BW112" s="327">
        <f>IF(ISERROR('raw data'!EP126/'raw data'!EQ126),0,'raw data'!EP126/'raw data'!EQ126)</f>
        <v>0</v>
      </c>
      <c r="BX112" s="327">
        <f>IF(ISERROR('raw data'!ER126/'raw data'!ES126),0,'raw data'!ER126/'raw data'!ES126)</f>
        <v>0</v>
      </c>
      <c r="BY112" s="327">
        <f>IF(ISERROR('raw data'!ET126/'raw data'!EU126),0,'raw data'!ET126/'raw data'!EU126)</f>
        <v>0</v>
      </c>
      <c r="BZ112" s="327">
        <f>IF(ISERROR('raw data'!EV126/'raw data'!EW126),0,'raw data'!EV126/'raw data'!EW126)</f>
        <v>0</v>
      </c>
      <c r="CA112" s="327">
        <f>IF(ISERROR('raw data'!EX126/'raw data'!EY126),0,'raw data'!EX126/'raw data'!EY126)</f>
        <v>0</v>
      </c>
      <c r="CB112" s="327">
        <f>IF(ISERROR('raw data'!EZ126/'raw data'!FA126),0,'raw data'!EZ126/'raw data'!FA126)</f>
        <v>1</v>
      </c>
      <c r="CC112" s="327">
        <f>IF(ISERROR('raw data'!FB126/'raw data'!FC126),0,'raw data'!FB126/'raw data'!FC126)</f>
        <v>0</v>
      </c>
      <c r="CD112" s="327">
        <f>IF(ISERROR('raw data'!FD126/'raw data'!FE126),0,'raw data'!FD126/'raw data'!FE126)</f>
        <v>0</v>
      </c>
      <c r="CE112" s="327">
        <f>IF(ISERROR('raw data'!FF126/'raw data'!FG126),0,'raw data'!FF126/'raw data'!FG126)</f>
        <v>0</v>
      </c>
      <c r="CF112" s="327">
        <f>IF(ISERROR('raw data'!FH126/'raw data'!FI126),0,'raw data'!FH126/'raw data'!FI126)</f>
        <v>0.5</v>
      </c>
      <c r="CG112" s="327">
        <f>IF(ISERROR('raw data'!FJ126/'raw data'!FM126),0,'raw data'!FJ126/'raw data'!FM126)</f>
        <v>0</v>
      </c>
      <c r="CH112" s="327">
        <f>IF(ISERROR('raw data'!FN126/'raw data'!FO126),0,'raw data'!FN126/'raw data'!FO126)</f>
        <v>1</v>
      </c>
      <c r="CI112" s="327">
        <f>IF(ISERROR('raw data'!FP126/'raw data'!FQ126),0,'raw data'!FP126/'raw data'!FQ126)</f>
        <v>7.6923076923076927E-2</v>
      </c>
      <c r="CJ112" s="327">
        <f>IF(ISERROR('raw data'!FR126/'raw data'!FS126),0,'raw data'!FR126/'raw data'!FS126)</f>
        <v>0</v>
      </c>
      <c r="CK112" s="327">
        <f>IF(ISERROR('raw data'!FT126/'raw data'!FU126),0,'raw data'!FT126/'raw data'!FU126)</f>
        <v>0</v>
      </c>
      <c r="CL112" s="327">
        <f>IF(ISERROR('raw data'!FV126/'raw data'!FW126),0,'raw data'!FV126/'raw data'!FW126)</f>
        <v>8.8888888888888892E-2</v>
      </c>
      <c r="CM112" s="327">
        <f>IF(ISERROR('raw data'!FX126/'raw data'!FY126),0,'raw data'!FX126/'raw data'!FY126)</f>
        <v>0.2</v>
      </c>
      <c r="CN112" s="327">
        <f>IF(ISERROR('raw data'!FZ126/'raw data'!GA126),0,'raw data'!FZ126/'raw data'!GA126)</f>
        <v>0.2</v>
      </c>
      <c r="CO112" s="232" t="s">
        <v>243</v>
      </c>
      <c r="CP112" s="232" t="s">
        <v>243</v>
      </c>
      <c r="CQ112" s="232" t="s">
        <v>243</v>
      </c>
      <c r="CR112" s="232" t="s">
        <v>243</v>
      </c>
      <c r="CS112" s="232" t="s">
        <v>243</v>
      </c>
      <c r="CT112" s="232" t="s">
        <v>243</v>
      </c>
      <c r="CU112" s="232" t="s">
        <v>243</v>
      </c>
      <c r="CV112" s="232" t="s">
        <v>243</v>
      </c>
      <c r="CW112" s="232" t="s">
        <v>243</v>
      </c>
      <c r="CX112" s="232" t="s">
        <v>243</v>
      </c>
      <c r="CY112" s="232" t="s">
        <v>243</v>
      </c>
      <c r="CZ112" s="232" t="s">
        <v>243</v>
      </c>
      <c r="DA112" s="232" t="s">
        <v>243</v>
      </c>
      <c r="DB112" s="232" t="s">
        <v>243</v>
      </c>
      <c r="DC112" s="232" t="s">
        <v>243</v>
      </c>
      <c r="DD112" s="232" t="s">
        <v>243</v>
      </c>
      <c r="DE112" s="232" t="s">
        <v>243</v>
      </c>
      <c r="DF112" s="232" t="s">
        <v>243</v>
      </c>
      <c r="DG112" s="232" t="s">
        <v>243</v>
      </c>
      <c r="DH112" s="232" t="s">
        <v>243</v>
      </c>
      <c r="DI112" s="232" t="s">
        <v>243</v>
      </c>
      <c r="DJ112" s="232" t="s">
        <v>243</v>
      </c>
      <c r="DK112" s="232" t="s">
        <v>243</v>
      </c>
      <c r="DL112" s="232" t="s">
        <v>243</v>
      </c>
      <c r="DM112" s="232" t="s">
        <v>243</v>
      </c>
      <c r="DN112" s="232" t="s">
        <v>243</v>
      </c>
      <c r="DO112" s="232" t="s">
        <v>243</v>
      </c>
      <c r="DP112" s="232" t="s">
        <v>243</v>
      </c>
      <c r="DQ112" s="232" t="s">
        <v>243</v>
      </c>
      <c r="DR112" s="232" t="s">
        <v>243</v>
      </c>
      <c r="DS112" s="232" t="s">
        <v>243</v>
      </c>
      <c r="DT112" s="232" t="s">
        <v>243</v>
      </c>
      <c r="DU112" s="232" t="s">
        <v>243</v>
      </c>
      <c r="DV112" s="232" t="s">
        <v>243</v>
      </c>
      <c r="DW112" s="232" t="s">
        <v>243</v>
      </c>
      <c r="DX112" s="232" t="s">
        <v>243</v>
      </c>
      <c r="DY112" s="232" t="s">
        <v>243</v>
      </c>
      <c r="DZ112" s="232" t="s">
        <v>243</v>
      </c>
      <c r="EA112" s="232" t="s">
        <v>243</v>
      </c>
      <c r="EB112" s="232" t="s">
        <v>243</v>
      </c>
      <c r="EC112" s="232" t="s">
        <v>243</v>
      </c>
      <c r="ED112" s="243"/>
      <c r="EE112" s="328">
        <v>0</v>
      </c>
      <c r="EF112" s="328">
        <v>0</v>
      </c>
      <c r="EG112" s="329">
        <f>IF(ISERROR(EE112/EF112),0,EE112/EF112)</f>
        <v>0</v>
      </c>
    </row>
    <row r="113" spans="1:137" ht="28" x14ac:dyDescent="0.15">
      <c r="A113" s="322" t="s">
        <v>204</v>
      </c>
      <c r="B113" s="323" t="str">
        <f>'raw data'!B127</f>
        <v xml:space="preserve">Multiple IS (&gt;=3 different NINOs) received over all customer's B&amp;S accounts. </v>
      </c>
      <c r="C113" s="324" t="s">
        <v>206</v>
      </c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7">
        <f>IF(ISERROR('raw data'!AX127/'raw data'!AY127),0,'raw data'!AX127/'raw data'!AY127)</f>
        <v>0.875</v>
      </c>
      <c r="AB113" s="327">
        <f>IF(ISERROR('raw data'!AZ127/'raw data'!BA127),0,'raw data'!AZ127/'raw data'!BA127)</f>
        <v>0.42857142857142855</v>
      </c>
      <c r="AC113" s="327">
        <f>IF(ISERROR('raw data'!BB127/'raw data'!BC127),0,'raw data'!BB127/'raw data'!BC127)</f>
        <v>0</v>
      </c>
      <c r="AD113" s="327">
        <f>IF(ISERROR('raw data'!BD127/'raw data'!BE127),0,'raw data'!BD127/'raw data'!BE127)</f>
        <v>0.5</v>
      </c>
      <c r="AE113" s="327">
        <f>IF(ISERROR('raw data'!BF127/'raw data'!BG127),0,'raw data'!BF127/'raw data'!BG127)</f>
        <v>1</v>
      </c>
      <c r="AF113" s="327">
        <f>IF(ISERROR('raw data'!BH127/'raw data'!BI127),0,'raw data'!BH127/'raw data'!BI127)</f>
        <v>0</v>
      </c>
      <c r="AG113" s="327">
        <f>IF(ISERROR('raw data'!BJ127/'raw data'!BK127),0,'raw data'!BJ127/'raw data'!BK127)</f>
        <v>0</v>
      </c>
      <c r="AH113" s="327">
        <f>IF(ISERROR('raw data'!BL127/'raw data'!BM127),0,'raw data'!BL127/'raw data'!BM127)</f>
        <v>1</v>
      </c>
      <c r="AI113" s="327">
        <f>IF(ISERROR('raw data'!BN127/'raw data'!BO127),0,'raw data'!BN127/'raw data'!BO127)</f>
        <v>1</v>
      </c>
      <c r="AJ113" s="327">
        <f>IF(ISERROR('raw data'!BP127/'raw data'!BQ127),0,'raw data'!BP127/'raw data'!BQ127)</f>
        <v>0</v>
      </c>
      <c r="AK113" s="327">
        <f>IF(ISERROR('raw data'!BR127/'raw data'!BS127),0,'raw data'!BR127/'raw data'!BS127)</f>
        <v>0</v>
      </c>
      <c r="AL113" s="327">
        <f>IF(ISERROR('raw data'!BT127/'raw data'!BU127),0,'raw data'!BT127/'raw data'!BU127)</f>
        <v>0</v>
      </c>
      <c r="AM113" s="327">
        <f>IF(ISERROR('raw data'!BV127/'raw data'!BW127),0,'raw data'!BV127/'raw data'!BW127)</f>
        <v>0</v>
      </c>
      <c r="AN113" s="327">
        <f>IF(ISERROR('raw data'!BX127/'raw data'!BY127),0,'raw data'!BX127/'raw data'!BY127)</f>
        <v>0.5</v>
      </c>
      <c r="AO113" s="327">
        <f>IF(ISERROR('raw data'!BZ127/'raw data'!CA127),0,'raw data'!BZ127/'raw data'!CA127)</f>
        <v>0</v>
      </c>
      <c r="AP113" s="327">
        <f>IF(ISERROR('raw data'!CB127/'raw data'!CC127),0,'raw data'!CB127/'raw data'!CC127)</f>
        <v>1</v>
      </c>
      <c r="AQ113" s="327">
        <f>IF(ISERROR('raw data'!CD127/'raw data'!CE127),0,'raw data'!CD127/'raw data'!CE127)</f>
        <v>0</v>
      </c>
      <c r="AR113" s="327">
        <f>IF(ISERROR('raw data'!CF127/'raw data'!CG127),0,'raw data'!CF127/'raw data'!CG127)</f>
        <v>1</v>
      </c>
      <c r="AS113" s="327">
        <f>IF(ISERROR('raw data'!CH127/'raw data'!CI127),0,'raw data'!CH127/'raw data'!CI127)</f>
        <v>1</v>
      </c>
      <c r="AT113" s="327">
        <f>IF(ISERROR('raw data'!CJ127/'raw data'!CK127),0,'raw data'!CJ127/'raw data'!CK127)</f>
        <v>0</v>
      </c>
      <c r="AU113" s="327">
        <f>IF(ISERROR('raw data'!CL127/'raw data'!CM127),0,'raw data'!CL127/'raw data'!CM127)</f>
        <v>0</v>
      </c>
      <c r="AV113" s="327">
        <f>IF(ISERROR('raw data'!CN127/'raw data'!CO127),0,'raw data'!CN127/'raw data'!CO127)</f>
        <v>0</v>
      </c>
      <c r="AW113" s="327">
        <f>IF(ISERROR('raw data'!CP127/'raw data'!CQ127),0,'raw data'!CP127/'raw data'!CQ127)</f>
        <v>0</v>
      </c>
      <c r="AX113" s="327">
        <f>IF(ISERROR('raw data'!CR127/'raw data'!CS127),0,'raw data'!CR127/'raw data'!CS127)</f>
        <v>0</v>
      </c>
      <c r="AY113" s="327">
        <f>IF(ISERROR('raw data'!CT127/'raw data'!CU127),0,'raw data'!CT127/'raw data'!CU127)</f>
        <v>0</v>
      </c>
      <c r="AZ113" s="327">
        <f>IF(ISERROR('raw data'!CV127/'raw data'!CW127),0,'raw data'!CV127/'raw data'!CW127)</f>
        <v>1</v>
      </c>
      <c r="BA113" s="327">
        <f>IF(ISERROR('raw data'!CX127/'raw data'!CY127),0,'raw data'!CX127/'raw data'!CY127)</f>
        <v>0</v>
      </c>
      <c r="BB113" s="327">
        <f>IF(ISERROR('raw data'!CZ127/'raw data'!DA127),0,'raw data'!CZ127/'raw data'!DA127)</f>
        <v>0</v>
      </c>
      <c r="BC113" s="327">
        <f>IF(ISERROR('raw data'!DB127/'raw data'!DC127),0,'raw data'!DB127/'raw data'!DC127)</f>
        <v>0</v>
      </c>
      <c r="BD113" s="327">
        <f>IF(ISERROR('raw data'!DD127/'raw data'!DE127),0,'raw data'!DD127/'raw data'!DE127)</f>
        <v>1</v>
      </c>
      <c r="BE113" s="327">
        <f>IF(ISERROR('raw data'!DF127/'raw data'!DG127),0,'raw data'!DF127/'raw data'!DG127)</f>
        <v>1</v>
      </c>
      <c r="BF113" s="327">
        <f>IF(ISERROR('raw data'!DH127/'raw data'!DI127),0,'raw data'!DH127/'raw data'!DI127)</f>
        <v>0</v>
      </c>
      <c r="BG113" s="327">
        <f>IF(ISERROR('raw data'!DJ127/'raw data'!DK127),0,'raw data'!DJ127/'raw data'!DK127)</f>
        <v>0</v>
      </c>
      <c r="BH113" s="327">
        <f>IF(ISERROR('raw data'!DL127/'raw data'!DM127),0,'raw data'!DL127/'raw data'!DM127)</f>
        <v>0</v>
      </c>
      <c r="BI113" s="327">
        <f>IF(ISERROR('raw data'!DN127/'raw data'!DO127),0,'raw data'!DN127/'raw data'!DO127)</f>
        <v>0</v>
      </c>
      <c r="BJ113" s="327">
        <f>IF(ISERROR('raw data'!DP127/'raw data'!DQ127),0,'raw data'!DP127/'raw data'!DQ127)</f>
        <v>0</v>
      </c>
      <c r="BK113" s="327">
        <f>IF(ISERROR('raw data'!DR127/'raw data'!DS127),0,'raw data'!DR127/'raw data'!DS127)</f>
        <v>0</v>
      </c>
      <c r="BL113" s="327">
        <f>IF(ISERROR('raw data'!DT127/'raw data'!DU127),0,'raw data'!DT127/'raw data'!DU127)</f>
        <v>0</v>
      </c>
      <c r="BM113" s="327">
        <f>IF(ISERROR('raw data'!DV127/'raw data'!DW127),0,'raw data'!DV127/'raw data'!DW127)</f>
        <v>0</v>
      </c>
      <c r="BN113" s="327">
        <f>IF(ISERROR('raw data'!DX127/'raw data'!DY127),0,'raw data'!DX127/'raw data'!DY127)</f>
        <v>0</v>
      </c>
      <c r="BO113" s="327">
        <f>IF(ISERROR('raw data'!DZ127/'raw data'!EA127),0,'raw data'!DZ127/'raw data'!EA127)</f>
        <v>0</v>
      </c>
      <c r="BP113" s="327">
        <f>IF(ISERROR('raw data'!EB127/'raw data'!EC127),0,'raw data'!EB127/'raw data'!EC127)</f>
        <v>0</v>
      </c>
      <c r="BQ113" s="327">
        <f>IF(ISERROR('raw data'!ED127/'raw data'!EE127),0,'raw data'!ED127/'raw data'!EE127)</f>
        <v>0</v>
      </c>
      <c r="BR113" s="327">
        <f>IF(ISERROR('raw data'!EF127/'raw data'!EG127),0,'raw data'!EF127/'raw data'!EG127)</f>
        <v>0</v>
      </c>
      <c r="BS113" s="327">
        <f>IF(ISERROR('raw data'!EH127/'raw data'!EI127),0,'raw data'!EH127/'raw data'!EI127)</f>
        <v>0</v>
      </c>
      <c r="BT113" s="327">
        <f>IF(ISERROR('raw data'!EJ127/'raw data'!EK127),0,'raw data'!EJ127/'raw data'!EK127)</f>
        <v>1</v>
      </c>
      <c r="BU113" s="327">
        <f>IF(ISERROR('raw data'!EL127/'raw data'!EM127),0,'raw data'!EL127/'raw data'!EM127)</f>
        <v>0</v>
      </c>
      <c r="BV113" s="327">
        <f>IF(ISERROR('raw data'!EN127/'raw data'!EO127),0,'raw data'!EN127/'raw data'!EO127)</f>
        <v>0</v>
      </c>
      <c r="BW113" s="327">
        <f>IF(ISERROR('raw data'!EP127/'raw data'!EQ127),0,'raw data'!EP127/'raw data'!EQ127)</f>
        <v>0</v>
      </c>
      <c r="BX113" s="327">
        <f>IF(ISERROR('raw data'!ER127/'raw data'!ES127),0,'raw data'!ER127/'raw data'!ES127)</f>
        <v>0</v>
      </c>
      <c r="BY113" s="327">
        <f>IF(ISERROR('raw data'!ET127/'raw data'!EU127),0,'raw data'!ET127/'raw data'!EU127)</f>
        <v>0</v>
      </c>
      <c r="BZ113" s="327">
        <f>IF(ISERROR('raw data'!EV127/'raw data'!EW127),0,'raw data'!EV127/'raw data'!EW127)</f>
        <v>0</v>
      </c>
      <c r="CA113" s="327">
        <f>IF(ISERROR('raw data'!EX127/'raw data'!EY127),0,'raw data'!EX127/'raw data'!EY127)</f>
        <v>0</v>
      </c>
      <c r="CB113" s="327">
        <f>IF(ISERROR('raw data'!EZ127/'raw data'!FA127),0,'raw data'!EZ127/'raw data'!FA127)</f>
        <v>1</v>
      </c>
      <c r="CC113" s="327">
        <f>IF(ISERROR('raw data'!FB127/'raw data'!FC127),0,'raw data'!FB127/'raw data'!FC127)</f>
        <v>0</v>
      </c>
      <c r="CD113" s="327">
        <f>IF(ISERROR('raw data'!FD127/'raw data'!FE127),0,'raw data'!FD127/'raw data'!FE127)</f>
        <v>0</v>
      </c>
      <c r="CE113" s="327">
        <f>IF(ISERROR('raw data'!FF127/'raw data'!FG127),0,'raw data'!FF127/'raw data'!FG127)</f>
        <v>0</v>
      </c>
      <c r="CF113" s="327">
        <f>IF(ISERROR('raw data'!FH127/'raw data'!FI127),0,'raw data'!FH127/'raw data'!FI127)</f>
        <v>0</v>
      </c>
      <c r="CG113" s="327">
        <f>IF(ISERROR('raw data'!FJ127/'raw data'!FM127),0,'raw data'!FJ127/'raw data'!FM127)</f>
        <v>0</v>
      </c>
      <c r="CH113" s="327">
        <f>IF(ISERROR('raw data'!FN127/'raw data'!FO127),0,'raw data'!FN127/'raw data'!FO127)</f>
        <v>0</v>
      </c>
      <c r="CI113" s="327">
        <f>IF(ISERROR('raw data'!FP127/'raw data'!FQ127),0,'raw data'!FP127/'raw data'!FQ127)</f>
        <v>0</v>
      </c>
      <c r="CJ113" s="327">
        <f>IF(ISERROR('raw data'!FR127/'raw data'!FS127),0,'raw data'!FR127/'raw data'!FS127)</f>
        <v>0</v>
      </c>
      <c r="CK113" s="327">
        <f>IF(ISERROR('raw data'!FT127/'raw data'!FU127),0,'raw data'!FT127/'raw data'!FU127)</f>
        <v>0</v>
      </c>
      <c r="CL113" s="327">
        <f>IF(ISERROR('raw data'!FV127/'raw data'!FW127),0,'raw data'!FV127/'raw data'!FW127)</f>
        <v>0</v>
      </c>
      <c r="CM113" s="327">
        <f>IF(ISERROR('raw data'!FX127/'raw data'!FY127),0,'raw data'!FX127/'raw data'!FY127)</f>
        <v>0</v>
      </c>
      <c r="CN113" s="327">
        <f>IF(ISERROR('raw data'!FZ127/'raw data'!GA127),0,'raw data'!FZ127/'raw data'!GA127)</f>
        <v>0</v>
      </c>
      <c r="CO113" s="232" t="s">
        <v>243</v>
      </c>
      <c r="CP113" s="232" t="s">
        <v>243</v>
      </c>
      <c r="CQ113" s="232" t="s">
        <v>243</v>
      </c>
      <c r="CR113" s="232" t="s">
        <v>243</v>
      </c>
      <c r="CS113" s="232" t="s">
        <v>243</v>
      </c>
      <c r="CT113" s="232" t="s">
        <v>243</v>
      </c>
      <c r="CU113" s="232" t="s">
        <v>243</v>
      </c>
      <c r="CV113" s="232" t="s">
        <v>243</v>
      </c>
      <c r="CW113" s="232" t="s">
        <v>243</v>
      </c>
      <c r="CX113" s="232" t="s">
        <v>243</v>
      </c>
      <c r="CY113" s="232" t="s">
        <v>243</v>
      </c>
      <c r="CZ113" s="232" t="s">
        <v>243</v>
      </c>
      <c r="DA113" s="232" t="s">
        <v>243</v>
      </c>
      <c r="DB113" s="232" t="s">
        <v>243</v>
      </c>
      <c r="DC113" s="232" t="s">
        <v>243</v>
      </c>
      <c r="DD113" s="232" t="s">
        <v>243</v>
      </c>
      <c r="DE113" s="232" t="s">
        <v>243</v>
      </c>
      <c r="DF113" s="232" t="s">
        <v>243</v>
      </c>
      <c r="DG113" s="232" t="s">
        <v>243</v>
      </c>
      <c r="DH113" s="232" t="s">
        <v>243</v>
      </c>
      <c r="DI113" s="232" t="s">
        <v>243</v>
      </c>
      <c r="DJ113" s="232" t="s">
        <v>243</v>
      </c>
      <c r="DK113" s="232" t="s">
        <v>243</v>
      </c>
      <c r="DL113" s="232" t="s">
        <v>243</v>
      </c>
      <c r="DM113" s="232" t="s">
        <v>243</v>
      </c>
      <c r="DN113" s="232" t="s">
        <v>243</v>
      </c>
      <c r="DO113" s="232" t="s">
        <v>243</v>
      </c>
      <c r="DP113" s="232" t="s">
        <v>243</v>
      </c>
      <c r="DQ113" s="232" t="s">
        <v>243</v>
      </c>
      <c r="DR113" s="232" t="s">
        <v>243</v>
      </c>
      <c r="DS113" s="232" t="s">
        <v>243</v>
      </c>
      <c r="DT113" s="232" t="s">
        <v>243</v>
      </c>
      <c r="DU113" s="232" t="s">
        <v>243</v>
      </c>
      <c r="DV113" s="232" t="s">
        <v>243</v>
      </c>
      <c r="DW113" s="232" t="s">
        <v>243</v>
      </c>
      <c r="DX113" s="232" t="s">
        <v>243</v>
      </c>
      <c r="DY113" s="232" t="s">
        <v>243</v>
      </c>
      <c r="DZ113" s="232" t="s">
        <v>243</v>
      </c>
      <c r="EA113" s="232" t="s">
        <v>243</v>
      </c>
      <c r="EB113" s="232" t="s">
        <v>243</v>
      </c>
      <c r="EC113" s="232" t="s">
        <v>243</v>
      </c>
      <c r="ED113" s="243"/>
      <c r="EE113" s="328">
        <v>0</v>
      </c>
      <c r="EF113" s="328">
        <v>0</v>
      </c>
      <c r="EG113" s="329">
        <f t="shared" ref="EG113:EG138" si="5">IF(ISERROR(EE113/EF113),0,EE113/EF113)</f>
        <v>0</v>
      </c>
    </row>
    <row r="114" spans="1:137" ht="25.5" customHeight="1" x14ac:dyDescent="0.15">
      <c r="A114" s="322" t="s">
        <v>207</v>
      </c>
      <c r="B114" s="323" t="str">
        <f>'raw data'!B128</f>
        <v>Receives IS and has B&amp;S account balances totalling £17k+.</v>
      </c>
      <c r="C114" s="324" t="s">
        <v>209</v>
      </c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7">
        <f>IF(ISERROR('raw data'!AX128/'raw data'!AY128),0,'raw data'!AX128/'raw data'!AY128)</f>
        <v>0.68831168831168832</v>
      </c>
      <c r="AB114" s="327">
        <f>IF(ISERROR('raw data'!AZ128/'raw data'!BA128),0,'raw data'!AZ128/'raw data'!BA128)</f>
        <v>0.77777777777777779</v>
      </c>
      <c r="AC114" s="327">
        <f>IF(ISERROR('raw data'!BB128/'raw data'!BC128),0,'raw data'!BB128/'raw data'!BC128)</f>
        <v>0</v>
      </c>
      <c r="AD114" s="327">
        <f>IF(ISERROR('raw data'!BD128/'raw data'!BE128),0,'raw data'!BD128/'raw data'!BE128)</f>
        <v>0.5</v>
      </c>
      <c r="AE114" s="327">
        <f>IF(ISERROR('raw data'!BF128/'raw data'!BG128),0,'raw data'!BF128/'raw data'!BG128)</f>
        <v>0.875</v>
      </c>
      <c r="AF114" s="327">
        <f>IF(ISERROR('raw data'!BH128/'raw data'!BI128),0,'raw data'!BH128/'raw data'!BI128)</f>
        <v>1</v>
      </c>
      <c r="AG114" s="327">
        <f>IF(ISERROR('raw data'!BJ128/'raw data'!BK128),0,'raw data'!BJ128/'raw data'!BK128)</f>
        <v>0</v>
      </c>
      <c r="AH114" s="327">
        <f>IF(ISERROR('raw data'!BL128/'raw data'!BM128),0,'raw data'!BL128/'raw data'!BM128)</f>
        <v>0.25</v>
      </c>
      <c r="AI114" s="327">
        <f>IF(ISERROR('raw data'!BN128/'raw data'!BO128),0,'raw data'!BN128/'raw data'!BO128)</f>
        <v>0.5</v>
      </c>
      <c r="AJ114" s="327">
        <f>IF(ISERROR('raw data'!BP128/'raw data'!BQ128),0,'raw data'!BP128/'raw data'!BQ128)</f>
        <v>0.4</v>
      </c>
      <c r="AK114" s="327">
        <f>IF(ISERROR('raw data'!BR128/'raw data'!BS128),0,'raw data'!BR128/'raw data'!BS128)</f>
        <v>0.36363636363636365</v>
      </c>
      <c r="AL114" s="327">
        <f>IF(ISERROR('raw data'!BT128/'raw data'!BU128),0,'raw data'!BT128/'raw data'!BU128)</f>
        <v>0.41666666666666669</v>
      </c>
      <c r="AM114" s="327">
        <f>IF(ISERROR('raw data'!BV128/'raw data'!BW128),0,'raw data'!BV128/'raw data'!BW128)</f>
        <v>0.5625</v>
      </c>
      <c r="AN114" s="327">
        <f>IF(ISERROR('raw data'!BX128/'raw data'!BY128),0,'raw data'!BX128/'raw data'!BY128)</f>
        <v>0.29411764705882354</v>
      </c>
      <c r="AO114" s="327">
        <f>IF(ISERROR('raw data'!BZ128/'raw data'!CA128),0,'raw data'!BZ128/'raw data'!CA128)</f>
        <v>0.53846153846153844</v>
      </c>
      <c r="AP114" s="327">
        <f>IF(ISERROR('raw data'!CB128/'raw data'!CC128),0,'raw data'!CB128/'raw data'!CC128)</f>
        <v>0.41666666666666669</v>
      </c>
      <c r="AQ114" s="327">
        <f>IF(ISERROR('raw data'!CD128/'raw data'!CE128),0,'raw data'!CD128/'raw data'!CE128)</f>
        <v>0.44444444444444442</v>
      </c>
      <c r="AR114" s="327">
        <f>IF(ISERROR('raw data'!CF128/'raw data'!CG128),0,'raw data'!CF128/'raw data'!CG128)</f>
        <v>0.84615384615384615</v>
      </c>
      <c r="AS114" s="327">
        <f>IF(ISERROR('raw data'!CH128/'raw data'!CI128),0,'raw data'!CH128/'raw data'!CI128)</f>
        <v>0.21428571428571427</v>
      </c>
      <c r="AT114" s="327">
        <f>IF(ISERROR('raw data'!CJ128/'raw data'!CK128),0,'raw data'!CJ128/'raw data'!CK128)</f>
        <v>0.2857142857142857</v>
      </c>
      <c r="AU114" s="327">
        <f>IF(ISERROR('raw data'!CL128/'raw data'!CM128),0,'raw data'!CL128/'raw data'!CM128)</f>
        <v>0.54545454545454541</v>
      </c>
      <c r="AV114" s="327">
        <f>IF(ISERROR('raw data'!CN128/'raw data'!CO128),0,'raw data'!CN128/'raw data'!CO128)</f>
        <v>0.38461538461538464</v>
      </c>
      <c r="AW114" s="327">
        <f>IF(ISERROR('raw data'!CP128/'raw data'!CQ128),0,'raw data'!CP128/'raw data'!CQ128)</f>
        <v>0.25</v>
      </c>
      <c r="AX114" s="327">
        <f>IF(ISERROR('raw data'!CR128/'raw data'!CS128),0,'raw data'!CR128/'raw data'!CS128)</f>
        <v>0.5</v>
      </c>
      <c r="AY114" s="327">
        <f>IF(ISERROR('raw data'!CT128/'raw data'!CU128),0,'raw data'!CT128/'raw data'!CU128)</f>
        <v>0.41176470588235292</v>
      </c>
      <c r="AZ114" s="327">
        <f>IF(ISERROR('raw data'!CV128/'raw data'!CW128),0,'raw data'!CV128/'raw data'!CW128)</f>
        <v>0.5</v>
      </c>
      <c r="BA114" s="327">
        <f>IF(ISERROR('raw data'!CX128/'raw data'!CY128),0,'raw data'!CX128/'raw data'!CY128)</f>
        <v>0.36842105263157893</v>
      </c>
      <c r="BB114" s="327">
        <f>IF(ISERROR('raw data'!CZ128/'raw data'!DA128),0,'raw data'!CZ128/'raw data'!DA128)</f>
        <v>0.5</v>
      </c>
      <c r="BC114" s="327">
        <f>IF(ISERROR('raw data'!DB128/'raw data'!DC128),0,'raw data'!DB128/'raw data'!DC128)</f>
        <v>0.25</v>
      </c>
      <c r="BD114" s="327">
        <f>IF(ISERROR('raw data'!DD128/'raw data'!DE128),0,'raw data'!DD128/'raw data'!DE128)</f>
        <v>0.40909090909090912</v>
      </c>
      <c r="BE114" s="327">
        <f>IF(ISERROR('raw data'!DF128/'raw data'!DG128),0,'raw data'!DF128/'raw data'!DG128)</f>
        <v>0.33333333333333331</v>
      </c>
      <c r="BF114" s="327">
        <f>IF(ISERROR('raw data'!DH128/'raw data'!DI128),0,'raw data'!DH128/'raw data'!DI128)</f>
        <v>0.44444444444444442</v>
      </c>
      <c r="BG114" s="327">
        <f>IF(ISERROR('raw data'!DJ128/'raw data'!DK128),0,'raw data'!DJ128/'raw data'!DK128)</f>
        <v>0.36842105263157893</v>
      </c>
      <c r="BH114" s="327">
        <f>IF(ISERROR('raw data'!DL128/'raw data'!DM128),0,'raw data'!DL128/'raw data'!DM128)</f>
        <v>0.41176470588235292</v>
      </c>
      <c r="BI114" s="327">
        <f>IF(ISERROR('raw data'!DN128/'raw data'!DO128),0,'raw data'!DN128/'raw data'!DO128)</f>
        <v>0.375</v>
      </c>
      <c r="BJ114" s="327">
        <f>IF(ISERROR('raw data'!DP128/'raw data'!DQ128),0,'raw data'!DP128/'raw data'!DQ128)</f>
        <v>0.44444444444444442</v>
      </c>
      <c r="BK114" s="327">
        <f>IF(ISERROR('raw data'!DR128/'raw data'!DS128),0,'raw data'!DR128/'raw data'!DS128)</f>
        <v>0.29411764705882354</v>
      </c>
      <c r="BL114" s="327">
        <f>IF(ISERROR('raw data'!DT128/'raw data'!DU128),0,'raw data'!DT128/'raw data'!DU128)</f>
        <v>0.38461538461538464</v>
      </c>
      <c r="BM114" s="327">
        <f>IF(ISERROR('raw data'!DV128/'raw data'!DW128),0,'raw data'!DV128/'raw data'!DW128)</f>
        <v>0.38461538461538464</v>
      </c>
      <c r="BN114" s="327">
        <f>IF(ISERROR('raw data'!DX128/'raw data'!DY128),0,'raw data'!DX128/'raw data'!DY128)</f>
        <v>0.42105263157894735</v>
      </c>
      <c r="BO114" s="327">
        <f>IF(ISERROR('raw data'!DZ128/'raw data'!EA128),0,'raw data'!DZ128/'raw data'!EA128)</f>
        <v>0.2608695652173913</v>
      </c>
      <c r="BP114" s="327">
        <f>IF(ISERROR('raw data'!EB128/'raw data'!EC128),0,'raw data'!EB128/'raw data'!EC128)</f>
        <v>0.31578947368421051</v>
      </c>
      <c r="BQ114" s="327">
        <f>IF(ISERROR('raw data'!ED128/'raw data'!EE128),0,'raw data'!ED128/'raw data'!EE128)</f>
        <v>0.375</v>
      </c>
      <c r="BR114" s="327">
        <f>IF(ISERROR('raw data'!EF128/'raw data'!EG128),0,'raw data'!EF128/'raw data'!EG128)</f>
        <v>6.6666666666666666E-2</v>
      </c>
      <c r="BS114" s="327">
        <f>IF(ISERROR('raw data'!EH128/'raw data'!EI128),0,'raw data'!EH128/'raw data'!EI128)</f>
        <v>0.23809523809523808</v>
      </c>
      <c r="BT114" s="327">
        <f>IF(ISERROR('raw data'!EJ128/'raw data'!EK128),0,'raw data'!EJ128/'raw data'!EK128)</f>
        <v>0.18181818181818182</v>
      </c>
      <c r="BU114" s="327">
        <f>IF(ISERROR('raw data'!EL128/'raw data'!EM128),0,'raw data'!EL128/'raw data'!EM128)</f>
        <v>0.17647058823529413</v>
      </c>
      <c r="BV114" s="327">
        <f>IF(ISERROR('raw data'!EN128/'raw data'!EO128),0,'raw data'!EN128/'raw data'!EO128)</f>
        <v>0.375</v>
      </c>
      <c r="BW114" s="327">
        <f>IF(ISERROR('raw data'!EP128/'raw data'!EQ128),0,'raw data'!EP128/'raw data'!EQ128)</f>
        <v>0.27777777777777779</v>
      </c>
      <c r="BX114" s="327">
        <f>IF(ISERROR('raw data'!ER128/'raw data'!ES128),0,'raw data'!ER128/'raw data'!ES128)</f>
        <v>0.29411764705882354</v>
      </c>
      <c r="BY114" s="327">
        <f>IF(ISERROR('raw data'!ET128/'raw data'!EU128),0,'raw data'!ET128/'raw data'!EU128)</f>
        <v>0.23529411764705882</v>
      </c>
      <c r="BZ114" s="327">
        <f>IF(ISERROR('raw data'!EV128/'raw data'!EW128),0,'raw data'!EV128/'raw data'!EW128)</f>
        <v>0.23529411764705882</v>
      </c>
      <c r="CA114" s="327">
        <f>IF(ISERROR('raw data'!EX128/'raw data'!EY128),0,'raw data'!EX128/'raw data'!EY128)</f>
        <v>0.38095238095238093</v>
      </c>
      <c r="CB114" s="327">
        <f>IF(ISERROR('raw data'!EZ128/'raw data'!FA128),0,'raw data'!EZ128/'raw data'!FA128)</f>
        <v>0.43478260869565216</v>
      </c>
      <c r="CC114" s="327">
        <f>IF(ISERROR('raw data'!FB128/'raw data'!FC128),0,'raw data'!FB128/'raw data'!FC128)</f>
        <v>0.33333333333333331</v>
      </c>
      <c r="CD114" s="327">
        <f>IF(ISERROR('raw data'!FD128/'raw data'!FE128),0,'raw data'!FD128/'raw data'!FE128)</f>
        <v>0.4</v>
      </c>
      <c r="CE114" s="327">
        <f>IF(ISERROR('raw data'!FF128/'raw data'!FG128),0,'raw data'!FF128/'raw data'!FG128)</f>
        <v>0.47058823529411764</v>
      </c>
      <c r="CF114" s="327">
        <f>IF(ISERROR('raw data'!FH128/'raw data'!FI128),0,'raw data'!FH128/'raw data'!FI128)</f>
        <v>0.33333333333333331</v>
      </c>
      <c r="CG114" s="327">
        <f>IF(ISERROR('raw data'!FJ128/'raw data'!FM128),0,'raw data'!FJ128/'raw data'!FM128)</f>
        <v>0.4375</v>
      </c>
      <c r="CH114" s="327">
        <f>IF(ISERROR('raw data'!FN128/'raw data'!FO128),0,'raw data'!FN128/'raw data'!FO128)</f>
        <v>0.42168674698795183</v>
      </c>
      <c r="CI114" s="327">
        <f>IF(ISERROR('raw data'!FP128/'raw data'!FQ128),0,'raw data'!FP128/'raw data'!FQ128)</f>
        <v>0.52941176470588236</v>
      </c>
      <c r="CJ114" s="327">
        <f>IF(ISERROR('raw data'!FR128/'raw data'!FS128),0,'raw data'!FR128/'raw data'!FS128)</f>
        <v>0.57692307692307687</v>
      </c>
      <c r="CK114" s="327">
        <f>IF(ISERROR('raw data'!FT128/'raw data'!FU128),0,'raw data'!FT128/'raw data'!FU128)</f>
        <v>0.46153846153846156</v>
      </c>
      <c r="CL114" s="327">
        <f>IF(ISERROR('raw data'!FV128/'raw data'!FW128),0,'raw data'!FV128/'raw data'!FW128)</f>
        <v>0.50649350649350644</v>
      </c>
      <c r="CM114" s="327">
        <f>IF(ISERROR('raw data'!FX128/'raw data'!FY128),0,'raw data'!FX128/'raw data'!FY128)</f>
        <v>0.70270270270270274</v>
      </c>
      <c r="CN114" s="327">
        <f>IF(ISERROR('raw data'!FZ128/'raw data'!GA128),0,'raw data'!FZ128/'raw data'!GA128)</f>
        <v>0.5</v>
      </c>
      <c r="CO114" s="327">
        <f>IF(ISERROR('raw data'!GB128/'raw data'!GC128),0,'raw data'!GB128/'raw data'!GC128)</f>
        <v>0.73913043478260865</v>
      </c>
      <c r="CP114" s="327">
        <f>IF(ISERROR('raw data'!GD128/'raw data'!GE128),0,'raw data'!GD128/'raw data'!GE128)</f>
        <v>9.5238095238095233E-2</v>
      </c>
      <c r="CQ114" s="327">
        <f>IF(ISERROR('raw data'!GF128/'raw data'!GG128),0,'raw data'!GF128/'raw data'!GG128)</f>
        <v>0.5</v>
      </c>
      <c r="CR114" s="327">
        <f>IF(ISERROR('raw data'!GH128/'raw data'!GI128),0,'raw data'!GH128/'raw data'!GI128)</f>
        <v>0.5</v>
      </c>
      <c r="CS114" s="327">
        <f>IF(ISERROR('raw data'!GJ128/'raw data'!GK128),0,'raw data'!GJ128/'raw data'!GK128)</f>
        <v>0.54545454545454541</v>
      </c>
      <c r="CT114" s="327">
        <f>IF(ISERROR('raw data'!GL128/'raw data'!GM128),0,'raw data'!GL128/'raw data'!GM128)</f>
        <v>0.42307692307692307</v>
      </c>
      <c r="CU114" s="327">
        <f>IF(ISERROR('raw data'!GN128/'raw data'!GO128),0,'raw data'!GN128/'raw data'!GO128)</f>
        <v>0</v>
      </c>
      <c r="CV114" s="327">
        <f>IF(ISERROR('raw data'!GP128/'raw data'!GQ128),0,'raw data'!GP128/'raw data'!GQ128)</f>
        <v>0.33333333333333331</v>
      </c>
      <c r="CW114" s="327">
        <f>IF(ISERROR('raw data'!GR128/'raw data'!GS128),0,'raw data'!GR128/'raw data'!GS128)</f>
        <v>0.6470588235294118</v>
      </c>
      <c r="CX114" s="327">
        <f>IF(ISERROR('raw data'!GT128/'raw data'!GU128),0,'raw data'!GT128/'raw data'!GU128)</f>
        <v>0.15384615384615385</v>
      </c>
      <c r="CY114" s="327">
        <f>IF(ISERROR('raw data'!GV128/'raw data'!GW128),0,'raw data'!GV128/'raw data'!GW128)</f>
        <v>0.8571428571428571</v>
      </c>
      <c r="CZ114" s="327">
        <f>IF(ISERROR('raw data'!GX128/'raw data'!GY128),0,'raw data'!GX128/'raw data'!GY128)</f>
        <v>0.38461538461538464</v>
      </c>
      <c r="DA114" s="238" t="s">
        <v>30</v>
      </c>
      <c r="DB114" s="327">
        <f>IF(ISERROR('raw data'!HB128/'raw data'!HC128),0,'raw data'!HB128/'raw data'!HC128)</f>
        <v>0.77777777777777779</v>
      </c>
      <c r="DC114" s="327">
        <f>IF(ISERROR('raw data'!HD128/'raw data'!HE128),0,'raw data'!HD128/'raw data'!HE128)</f>
        <v>1</v>
      </c>
      <c r="DD114" s="327">
        <f>IF(ISERROR('raw data'!HF128/'raw data'!HG128),0,'raw data'!HF128/'raw data'!HG128)</f>
        <v>0.44827586206896552</v>
      </c>
      <c r="DE114" s="327">
        <f>IF(ISERROR('raw data'!HH128/'raw data'!HI128),0,'raw data'!HH128/'raw data'!HI128)</f>
        <v>0.55140186915887845</v>
      </c>
      <c r="DF114" s="327">
        <f>IF(ISERROR('raw data'!HJ128/'raw data'!HK128),0,'raw data'!HJ128/'raw data'!HK128)</f>
        <v>0.32142857142857145</v>
      </c>
      <c r="DG114" s="327">
        <f>IF(ISERROR('raw data'!HL128/'raw data'!HM128),0,'raw data'!HL128/'raw data'!HM128)</f>
        <v>0.65</v>
      </c>
      <c r="DH114" s="327">
        <f>IF(ISERROR('raw data'!HN128/'raw data'!HO128),0,'raw data'!HN128/'raw data'!HO128)</f>
        <v>0.65625</v>
      </c>
      <c r="DI114" s="327">
        <f>IF(ISERROR('raw data'!HP128/'raw data'!HQ128),0,'raw data'!HP128/'raw data'!HQ128)</f>
        <v>0.35087719298245612</v>
      </c>
      <c r="DJ114" s="327">
        <f>IF(ISERROR('raw data'!HR128/'raw data'!HS128),0,'raw data'!HR128/'raw data'!HS128)</f>
        <v>0.375</v>
      </c>
      <c r="DK114" s="327">
        <f>IF(ISERROR('raw data'!HT128/'raw data'!HU128),0,'raw data'!HT128/'raw data'!HU128)</f>
        <v>0.79487179487179482</v>
      </c>
      <c r="DL114" s="327">
        <f>IF(ISERROR('raw data'!HV128/'raw data'!HW128),0,'raw data'!HV128/'raw data'!HW128)</f>
        <v>0.62857142857142856</v>
      </c>
      <c r="DM114" s="327">
        <f>IF(ISERROR('raw data'!HX128/'raw data'!HY128),0,'raw data'!HX128/'raw data'!HY128)</f>
        <v>0.31914893617021278</v>
      </c>
      <c r="DN114" s="327">
        <f>IF(ISERROR('raw data'!HZ128/'raw data'!IA128),0,'raw data'!HZ128/'raw data'!IA128)</f>
        <v>0.6785714285714286</v>
      </c>
      <c r="DO114" s="327">
        <f>IF(ISERROR('raw data'!IB128/'raw data'!IC128),0,'raw data'!IB128/'raw data'!IC128)</f>
        <v>0.35</v>
      </c>
      <c r="DP114" s="327">
        <f>IF(ISERROR('raw data'!ID128/'raw data'!IE128),0,'raw data'!ID128/'raw data'!IE128)</f>
        <v>0.60606060606060608</v>
      </c>
      <c r="DQ114" s="327">
        <f>IF(ISERROR('raw data'!IF128/'raw data'!IG128),0,'raw data'!IF128/'raw data'!IG128)</f>
        <v>0.546875</v>
      </c>
      <c r="DR114" s="327">
        <f>IF(ISERROR('raw data'!IH128/'raw data'!II128),0,'raw data'!IH128/'raw data'!II128)</f>
        <v>0.47826086956521741</v>
      </c>
      <c r="DS114" s="327">
        <f>IF(ISERROR('raw data'!IJ128/'raw data'!IK128),0,'raw data'!IJ128/'raw data'!IK128)</f>
        <v>0.56097560975609762</v>
      </c>
      <c r="DT114" s="327">
        <f>IF(ISERROR('raw data'!IL128/'raw data'!IM128),0,'raw data'!IL128/'raw data'!IM128)</f>
        <v>0.54411764705882348</v>
      </c>
      <c r="DU114" s="327">
        <f>IF(ISERROR('raw data'!IN128/'raw data'!IO128),0,'raw data'!IN128/'raw data'!IO128)</f>
        <v>0.4375</v>
      </c>
      <c r="DV114" s="327">
        <f>IF(ISERROR('raw data'!IP128/'raw data'!IQ128),0,'raw data'!IP128/'raw data'!IQ128)</f>
        <v>0.66666666666666663</v>
      </c>
      <c r="DW114" s="327">
        <f>IF(ISERROR('raw data'!IR128/'raw data'!IS128),0,'raw data'!IR128/'raw data'!IS128)</f>
        <v>0.59459459459459463</v>
      </c>
      <c r="DX114" s="327">
        <f>IF(ISERROR('raw data'!IT128/'raw data'!IU128),0,'raw data'!IT128/'raw data'!IU128)</f>
        <v>0.63076923076923075</v>
      </c>
      <c r="DY114" s="327">
        <f>IF(ISERROR('raw data'!IV128/'raw data'!IW128),0,'raw data'!IV128/'raw data'!IW128)</f>
        <v>0.35897435897435898</v>
      </c>
      <c r="DZ114" s="327">
        <f>IF(ISERROR('raw data'!IX128/'raw data'!IY128),0,'raw data'!IX128/'raw data'!IY128)</f>
        <v>0.51515151515151514</v>
      </c>
      <c r="EA114" s="327">
        <f>IF(ISERROR('raw data'!IZ128/'raw data'!JA128),0,'raw data'!IZ128/'raw data'!JA128)</f>
        <v>0.5</v>
      </c>
      <c r="EB114" s="327">
        <f>IF(ISERROR('raw data'!JB128/'raw data'!JC128),0,'raw data'!JB128/'raw data'!JC128)</f>
        <v>0.48648648648648651</v>
      </c>
      <c r="EC114" s="327">
        <f>IF(ISERROR('raw data'!JD128/'raw data'!JE128),0,'raw data'!JD128/'raw data'!JE128)</f>
        <v>0.41860465116279072</v>
      </c>
      <c r="ED114" s="243"/>
      <c r="EE114" s="328">
        <v>259</v>
      </c>
      <c r="EF114" s="328">
        <v>496</v>
      </c>
      <c r="EG114" s="329">
        <f t="shared" si="5"/>
        <v>0.52217741935483875</v>
      </c>
    </row>
    <row r="115" spans="1:137" ht="28" x14ac:dyDescent="0.15">
      <c r="A115" s="322" t="s">
        <v>210</v>
      </c>
      <c r="B115" s="323" t="str">
        <f>'raw data'!B129</f>
        <v>Foreign address recorded &gt;=6 months ago and account receiving CHB benefits</v>
      </c>
      <c r="C115" s="324" t="s">
        <v>212</v>
      </c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7">
        <f>IF(ISERROR('raw data'!AX129/'raw data'!AY129),0,'raw data'!AX129/'raw data'!AY129)</f>
        <v>0</v>
      </c>
      <c r="AB115" s="327">
        <f>IF(ISERROR('raw data'!AZ129/'raw data'!BA129),0,'raw data'!AZ129/'raw data'!BA129)</f>
        <v>0.4375</v>
      </c>
      <c r="AC115" s="327">
        <f>IF(ISERROR('raw data'!BB129/'raw data'!BC129),0,'raw data'!BB129/'raw data'!BC129)</f>
        <v>0</v>
      </c>
      <c r="AD115" s="327">
        <f>IF(ISERROR('raw data'!BD129/'raw data'!BE129),0,'raw data'!BD129/'raw data'!BE129)</f>
        <v>0.38461538461538464</v>
      </c>
      <c r="AE115" s="327">
        <f>IF(ISERROR('raw data'!BF129/'raw data'!BG129),0,'raw data'!BF129/'raw data'!BG129)</f>
        <v>0.45454545454545453</v>
      </c>
      <c r="AF115" s="327">
        <f>IF(ISERROR('raw data'!BH129/'raw data'!BI129),0,'raw data'!BH129/'raw data'!BI129)</f>
        <v>0.33333333333333331</v>
      </c>
      <c r="AG115" s="327">
        <f>IF(ISERROR('raw data'!BJ129/'raw data'!BK129),0,'raw data'!BJ129/'raw data'!BK129)</f>
        <v>0.3125</v>
      </c>
      <c r="AH115" s="327">
        <f>IF(ISERROR('raw data'!BL129/'raw data'!BM129),0,'raw data'!BL129/'raw data'!BM129)</f>
        <v>0.39393939393939392</v>
      </c>
      <c r="AI115" s="327">
        <f>IF(ISERROR('raw data'!BN129/'raw data'!BO129),0,'raw data'!BN129/'raw data'!BO129)</f>
        <v>0.45161290322580644</v>
      </c>
      <c r="AJ115" s="327">
        <f>IF(ISERROR('raw data'!BP129/'raw data'!BQ129),0,'raw data'!BP129/'raw data'!BQ129)</f>
        <v>0.48484848484848486</v>
      </c>
      <c r="AK115" s="327">
        <f>IF(ISERROR('raw data'!BR129/'raw data'!BS129),0,'raw data'!BR129/'raw data'!BS129)</f>
        <v>0.3783783783783784</v>
      </c>
      <c r="AL115" s="327">
        <f>IF(ISERROR('raw data'!BT129/'raw data'!BU129),0,'raw data'!BT129/'raw data'!BU129)</f>
        <v>0.30434782608695654</v>
      </c>
      <c r="AM115" s="327">
        <f>IF(ISERROR('raw data'!BV129/'raw data'!BW129),0,'raw data'!BV129/'raw data'!BW129)</f>
        <v>0.39285714285714285</v>
      </c>
      <c r="AN115" s="327">
        <f>IF(ISERROR('raw data'!BX129/'raw data'!BY129),0,'raw data'!BX129/'raw data'!BY129)</f>
        <v>0.46774193548387094</v>
      </c>
      <c r="AO115" s="327">
        <f>IF(ISERROR('raw data'!BZ129/'raw data'!CA129),0,'raw data'!BZ129/'raw data'!CA129)</f>
        <v>0.51282051282051277</v>
      </c>
      <c r="AP115" s="327">
        <f>IF(ISERROR('raw data'!CB129/'raw data'!CC129),0,'raw data'!CB129/'raw data'!CC129)</f>
        <v>0.31578947368421051</v>
      </c>
      <c r="AQ115" s="327">
        <f>IF(ISERROR('raw data'!CD129/'raw data'!CE129),0,'raw data'!CD129/'raw data'!CE129)</f>
        <v>0.4107142857142857</v>
      </c>
      <c r="AR115" s="327">
        <f>IF(ISERROR('raw data'!CF129/'raw data'!CG129),0,'raw data'!CF129/'raw data'!CG129)</f>
        <v>0.17045454545454544</v>
      </c>
      <c r="AS115" s="327">
        <f>IF(ISERROR('raw data'!CH129/'raw data'!CI129),0,'raw data'!CH129/'raw data'!CI129)</f>
        <v>0.32727272727272727</v>
      </c>
      <c r="AT115" s="327">
        <f>IF(ISERROR('raw data'!CJ129/'raw data'!CK129),0,'raw data'!CJ129/'raw data'!CK129)</f>
        <v>0.41860465116279072</v>
      </c>
      <c r="AU115" s="327">
        <f>IF(ISERROR('raw data'!CL129/'raw data'!CM129),0,'raw data'!CL129/'raw data'!CM129)</f>
        <v>0.35294117647058826</v>
      </c>
      <c r="AV115" s="327">
        <f>IF(ISERROR('raw data'!CN129/'raw data'!CO129),0,'raw data'!CN129/'raw data'!CO129)</f>
        <v>0.41304347826086957</v>
      </c>
      <c r="AW115" s="327">
        <f>IF(ISERROR('raw data'!CP129/'raw data'!CQ129),0,'raw data'!CP129/'raw data'!CQ129)</f>
        <v>0.42857142857142855</v>
      </c>
      <c r="AX115" s="327">
        <f>IF(ISERROR('raw data'!CR129/'raw data'!CS129),0,'raw data'!CR129/'raw data'!CS129)</f>
        <v>0.2807017543859649</v>
      </c>
      <c r="AY115" s="327">
        <f>IF(ISERROR('raw data'!CT129/'raw data'!CU129),0,'raw data'!CT129/'raw data'!CU129)</f>
        <v>0.30188679245283018</v>
      </c>
      <c r="AZ115" s="327">
        <f>IF(ISERROR('raw data'!CV129/'raw data'!CW129),0,'raw data'!CV129/'raw data'!CW129)</f>
        <v>0.32876712328767121</v>
      </c>
      <c r="BA115" s="327">
        <f>IF(ISERROR('raw data'!CX129/'raw data'!CY129),0,'raw data'!CX129/'raw data'!CY129)</f>
        <v>0.12280701754385964</v>
      </c>
      <c r="BB115" s="327">
        <f>IF(ISERROR('raw data'!CZ129/'raw data'!DA129),0,'raw data'!CZ129/'raw data'!DA129)</f>
        <v>0.25</v>
      </c>
      <c r="BC115" s="327">
        <f>IF(ISERROR('raw data'!DB129/'raw data'!DC129),0,'raw data'!DB129/'raw data'!DC129)</f>
        <v>0.38271604938271603</v>
      </c>
      <c r="BD115" s="327">
        <f>IF(ISERROR('raw data'!DD129/'raw data'!DE129),0,'raw data'!DD129/'raw data'!DE129)</f>
        <v>0.1111111111111111</v>
      </c>
      <c r="BE115" s="327">
        <f>IF(ISERROR('raw data'!DF129/'raw data'!DG129),0,'raw data'!DF129/'raw data'!DG129)</f>
        <v>0.30379746835443039</v>
      </c>
      <c r="BF115" s="327">
        <f>IF(ISERROR('raw data'!DH129/'raw data'!DI129),0,'raw data'!DH129/'raw data'!DI129)</f>
        <v>0.20192307692307693</v>
      </c>
      <c r="BG115" s="327">
        <f>IF(ISERROR('raw data'!DJ129/'raw data'!DK129),0,'raw data'!DJ129/'raw data'!DK129)</f>
        <v>0.39344262295081966</v>
      </c>
      <c r="BH115" s="327">
        <f>IF(ISERROR('raw data'!DL129/'raw data'!DM129),0,'raw data'!DL129/'raw data'!DM129)</f>
        <v>0.29411764705882354</v>
      </c>
      <c r="BI115" s="327">
        <f>IF(ISERROR('raw data'!DN129/'raw data'!DO129),0,'raw data'!DN129/'raw data'!DO129)</f>
        <v>0.29310344827586204</v>
      </c>
      <c r="BJ115" s="327">
        <f>IF(ISERROR('raw data'!DP129/'raw data'!DQ129),0,'raw data'!DP129/'raw data'!DQ129)</f>
        <v>0.2318840579710145</v>
      </c>
      <c r="BK115" s="327">
        <f>IF(ISERROR('raw data'!DR129/'raw data'!DS129),0,'raw data'!DR129/'raw data'!DS129)</f>
        <v>0.27659574468085107</v>
      </c>
      <c r="BL115" s="327">
        <f>IF(ISERROR('raw data'!DT129/'raw data'!DU129),0,'raw data'!DT129/'raw data'!DU129)</f>
        <v>0.2153846153846154</v>
      </c>
      <c r="BM115" s="327">
        <f>IF(ISERROR('raw data'!DV129/'raw data'!DW129),0,'raw data'!DV129/'raw data'!DW129)</f>
        <v>0.23728813559322035</v>
      </c>
      <c r="BN115" s="327">
        <f>IF(ISERROR('raw data'!DX129/'raw data'!DY129),0,'raw data'!DX129/'raw data'!DY129)</f>
        <v>9.5238095238095233E-2</v>
      </c>
      <c r="BO115" s="327">
        <f>IF(ISERROR('raw data'!DZ129/'raw data'!EA129),0,'raw data'!DZ129/'raw data'!EA129)</f>
        <v>0.41025641025641024</v>
      </c>
      <c r="BP115" s="327">
        <f>IF(ISERROR('raw data'!EB129/'raw data'!EC129),0,'raw data'!EB129/'raw data'!EC129)</f>
        <v>7.407407407407407E-2</v>
      </c>
      <c r="BQ115" s="327">
        <f>IF(ISERROR('raw data'!ED129/'raw data'!EE129),0,'raw data'!ED129/'raw data'!EE129)</f>
        <v>0.35483870967741937</v>
      </c>
      <c r="BR115" s="327">
        <f>IF(ISERROR('raw data'!EF129/'raw data'!EG129),0,'raw data'!EF129/'raw data'!EG129)</f>
        <v>0.27906976744186046</v>
      </c>
      <c r="BS115" s="327">
        <f>IF(ISERROR('raw data'!EH129/'raw data'!EI129),0,'raw data'!EH129/'raw data'!EI129)</f>
        <v>0.35135135135135137</v>
      </c>
      <c r="BT115" s="327">
        <f>IF(ISERROR('raw data'!EJ129/'raw data'!EK129),0,'raw data'!EJ129/'raw data'!EK129)</f>
        <v>0.11538461538461539</v>
      </c>
      <c r="BU115" s="327">
        <f>IF(ISERROR('raw data'!EL129/'raw data'!EM129),0,'raw data'!EL129/'raw data'!EM129)</f>
        <v>0.29729729729729731</v>
      </c>
      <c r="BV115" s="327">
        <f>IF(ISERROR('raw data'!EN129/'raw data'!EO129),0,'raw data'!EN129/'raw data'!EO129)</f>
        <v>0.38461538461538464</v>
      </c>
      <c r="BW115" s="327">
        <f>IF(ISERROR('raw data'!EP129/'raw data'!EQ129),0,'raw data'!EP129/'raw data'!EQ129)</f>
        <v>0.31428571428571428</v>
      </c>
      <c r="BX115" s="327">
        <f>IF(ISERROR('raw data'!ER129/'raw data'!ES129),0,'raw data'!ER129/'raw data'!ES129)</f>
        <v>0.15625</v>
      </c>
      <c r="BY115" s="327">
        <f>IF(ISERROR('raw data'!ET129/'raw data'!EU129),0,'raw data'!ET129/'raw data'!EU129)</f>
        <v>0.27083333333333331</v>
      </c>
      <c r="BZ115" s="327">
        <f>IF(ISERROR('raw data'!EV129/'raw data'!EW129),0,'raw data'!EV129/'raw data'!EW129)</f>
        <v>0.22222222222222221</v>
      </c>
      <c r="CA115" s="327">
        <f>IF(ISERROR('raw data'!EX129/'raw data'!EY129),0,'raw data'!EX129/'raw data'!EY129)</f>
        <v>0.84615384615384615</v>
      </c>
      <c r="CB115" s="327">
        <f>IF(ISERROR('raw data'!EZ129/'raw data'!FA129),0,'raw data'!EZ129/'raw data'!FA129)</f>
        <v>0</v>
      </c>
      <c r="CC115" s="327">
        <f>IF(ISERROR('raw data'!FB129/'raw data'!FC129),0,'raw data'!FB129/'raw data'!FC129)</f>
        <v>0.6</v>
      </c>
      <c r="CD115" s="327">
        <f>IF(ISERROR('raw data'!FD129/'raw data'!FE129),0,'raw data'!FD129/'raw data'!FE129)</f>
        <v>0.72727272727272729</v>
      </c>
      <c r="CE115" s="327">
        <f>IF(ISERROR('raw data'!FF129/'raw data'!FG129),0,'raw data'!FF129/'raw data'!FG129)</f>
        <v>0.75</v>
      </c>
      <c r="CF115" s="327">
        <f>IF(ISERROR('raw data'!FH129/'raw data'!FI129),0,'raw data'!FH129/'raw data'!FI129)</f>
        <v>0.83333333333333337</v>
      </c>
      <c r="CG115" s="327">
        <f>IF(ISERROR('raw data'!FJ129/'raw data'!FM129),0,'raw data'!FJ129/'raw data'!FM129)</f>
        <v>1</v>
      </c>
      <c r="CH115" s="327">
        <f>IF(ISERROR('raw data'!FN129/'raw data'!FO129),0,'raw data'!FN129/'raw data'!FO129)</f>
        <v>0.87671232876712324</v>
      </c>
      <c r="CI115" s="327">
        <f>IF(ISERROR('raw data'!FP129/'raw data'!FQ129),0,'raw data'!FP129/'raw data'!FQ129)</f>
        <v>0.9</v>
      </c>
      <c r="CJ115" s="327">
        <f>IF(ISERROR('raw data'!FR129/'raw data'!FS129),0,'raw data'!FR129/'raw data'!FS129)</f>
        <v>0.8</v>
      </c>
      <c r="CK115" s="327">
        <f>IF(ISERROR('raw data'!FT129/'raw data'!FU129),0,'raw data'!FT129/'raw data'!FU129)</f>
        <v>0.84210526315789469</v>
      </c>
      <c r="CL115" s="327">
        <f>IF(ISERROR('raw data'!FV129/'raw data'!FW129),0,'raw data'!FV129/'raw data'!FW129)</f>
        <v>0.91044776119402981</v>
      </c>
      <c r="CM115" s="327">
        <f>IF(ISERROR('raw data'!FX129/'raw data'!FY129),0,'raw data'!FX129/'raw data'!FY129)</f>
        <v>0.8125</v>
      </c>
      <c r="CN115" s="327">
        <f>IF(ISERROR('raw data'!FZ129/'raw data'!GA129),0,'raw data'!FZ129/'raw data'!GA129)</f>
        <v>0.94444444444444442</v>
      </c>
      <c r="CO115" s="327">
        <f>IF(ISERROR('raw data'!GB129/'raw data'!GC129),0,'raw data'!GB129/'raw data'!GC129)</f>
        <v>0.88888888888888884</v>
      </c>
      <c r="CP115" s="327">
        <f>IF(ISERROR('raw data'!GD129/'raw data'!GE129),0,'raw data'!GD129/'raw data'!GE129)</f>
        <v>1.6949152542372881E-2</v>
      </c>
      <c r="CQ115" s="327">
        <f>IF(ISERROR('raw data'!GF129/'raw data'!GG129),0,'raw data'!GF129/'raw data'!GG129)</f>
        <v>0.94444444444444442</v>
      </c>
      <c r="CR115" s="327">
        <f>IF(ISERROR('raw data'!GH129/'raw data'!GI129),0,'raw data'!GH129/'raw data'!GI129)</f>
        <v>0.83333333333333337</v>
      </c>
      <c r="CS115" s="327">
        <f>IF(ISERROR('raw data'!GJ129/'raw data'!GK129),0,'raw data'!GJ129/'raw data'!GK129)</f>
        <v>0.66666666666666663</v>
      </c>
      <c r="CT115" s="327">
        <f>IF(ISERROR('raw data'!GL129/'raw data'!GM129),0,'raw data'!GL129/'raw data'!GM129)</f>
        <v>0.5</v>
      </c>
      <c r="CU115" s="327">
        <f>IF(ISERROR('raw data'!GN129/'raw data'!GO129),0,'raw data'!GN129/'raw data'!GO129)</f>
        <v>0.66666666666666663</v>
      </c>
      <c r="CV115" s="327">
        <f>IF(ISERROR('raw data'!GP129/'raw data'!GQ129),0,'raw data'!GP129/'raw data'!GQ129)</f>
        <v>0.6</v>
      </c>
      <c r="CW115" s="327">
        <f>IF(ISERROR('raw data'!GR129/'raw data'!GS129),0,'raw data'!GR129/'raw data'!GS129)</f>
        <v>1</v>
      </c>
      <c r="CX115" s="327">
        <f>IF(ISERROR('raw data'!GT129/'raw data'!GU129),0,'raw data'!GT129/'raw data'!GU129)</f>
        <v>0.4</v>
      </c>
      <c r="CY115" s="327">
        <f>IF(ISERROR('raw data'!GV129/'raw data'!GW129),0,'raw data'!GV129/'raw data'!GW129)</f>
        <v>0.66666666666666663</v>
      </c>
      <c r="CZ115" s="327">
        <f>IF(ISERROR('raw data'!GX129/'raw data'!GY129),0,'raw data'!GX129/'raw data'!GY129)</f>
        <v>0.75</v>
      </c>
      <c r="DA115" s="238" t="s">
        <v>30</v>
      </c>
      <c r="DB115" s="327">
        <f>IF(ISERROR('raw data'!HB129/'raw data'!HC129),0,'raw data'!HB129/'raw data'!HC129)</f>
        <v>0.66666666666666663</v>
      </c>
      <c r="DC115" s="327">
        <f>IF(ISERROR('raw data'!HD129/'raw data'!HE129),0,'raw data'!HD129/'raw data'!HE129)</f>
        <v>1</v>
      </c>
      <c r="DD115" s="327">
        <f>IF(ISERROR('raw data'!HF129/'raw data'!HG129),0,'raw data'!HF129/'raw data'!HG129)</f>
        <v>0.90476190476190477</v>
      </c>
      <c r="DE115" s="327">
        <f>IF(ISERROR('raw data'!HH129/'raw data'!HI129),0,'raw data'!HH129/'raw data'!HI129)</f>
        <v>0.88</v>
      </c>
      <c r="DF115" s="327">
        <f>IF(ISERROR('raw data'!HJ129/'raw data'!HK129),0,'raw data'!HJ129/'raw data'!HK129)</f>
        <v>0.72222222222222221</v>
      </c>
      <c r="DG115" s="327">
        <f>IF(ISERROR('raw data'!HL129/'raw data'!HM129),0,'raw data'!HL129/'raw data'!HM129)</f>
        <v>1</v>
      </c>
      <c r="DH115" s="327">
        <f>IF(ISERROR('raw data'!HN129/'raw data'!HO129),0,'raw data'!HN129/'raw data'!HO129)</f>
        <v>0.8</v>
      </c>
      <c r="DI115" s="327">
        <f>IF(ISERROR('raw data'!HP129/'raw data'!HQ129),0,'raw data'!HP129/'raw data'!HQ129)</f>
        <v>0.88888888888888884</v>
      </c>
      <c r="DJ115" s="327">
        <f>IF(ISERROR('raw data'!HR129/'raw data'!HS129),0,'raw data'!HR129/'raw data'!HS129)</f>
        <v>0.66666666666666663</v>
      </c>
      <c r="DK115" s="327">
        <f>IF(ISERROR('raw data'!HT129/'raw data'!HU129),0,'raw data'!HT129/'raw data'!HU129)</f>
        <v>0.8571428571428571</v>
      </c>
      <c r="DL115" s="327">
        <f>IF(ISERROR('raw data'!HV129/'raw data'!HW129),0,'raw data'!HV129/'raw data'!HW129)</f>
        <v>1</v>
      </c>
      <c r="DM115" s="327">
        <f>IF(ISERROR('raw data'!HX129/'raw data'!HY129),0,'raw data'!HX129/'raw data'!HY129)</f>
        <v>0.6</v>
      </c>
      <c r="DN115" s="327">
        <f>IF(ISERROR('raw data'!HZ129/'raw data'!IA129),0,'raw data'!HZ129/'raw data'!IA129)</f>
        <v>0.66666666666666663</v>
      </c>
      <c r="DO115" s="327">
        <f>IF(ISERROR('raw data'!IB129/'raw data'!IC129),0,'raw data'!IB129/'raw data'!IC129)</f>
        <v>1</v>
      </c>
      <c r="DP115" s="327">
        <f>IF(ISERROR('raw data'!ID129/'raw data'!IE129),0,'raw data'!ID129/'raw data'!IE129)</f>
        <v>1</v>
      </c>
      <c r="DQ115" s="327">
        <f>IF(ISERROR('raw data'!IF129/'raw data'!IG129),0,'raw data'!IF129/'raw data'!IG129)</f>
        <v>0.7142857142857143</v>
      </c>
      <c r="DR115" s="327">
        <f>IF(ISERROR('raw data'!IH129/'raw data'!II129),0,'raw data'!IH129/'raw data'!II129)</f>
        <v>0.77777777777777779</v>
      </c>
      <c r="DS115" s="327">
        <f>IF(ISERROR('raw data'!IJ129/'raw data'!IK129),0,'raw data'!IJ129/'raw data'!IK129)</f>
        <v>1</v>
      </c>
      <c r="DT115" s="327">
        <f>IF(ISERROR('raw data'!IL129/'raw data'!IM129),0,'raw data'!IL129/'raw data'!IM129)</f>
        <v>0.875</v>
      </c>
      <c r="DU115" s="327">
        <f>IF(ISERROR('raw data'!IN129/'raw data'!IO129),0,'raw data'!IN129/'raw data'!IO129)</f>
        <v>0.9</v>
      </c>
      <c r="DV115" s="327">
        <f>IF(ISERROR('raw data'!IP129/'raw data'!IQ129),0,'raw data'!IP129/'raw data'!IQ129)</f>
        <v>0.75</v>
      </c>
      <c r="DW115" s="327">
        <f>IF(ISERROR('raw data'!IR129/'raw data'!IS129),0,'raw data'!IR129/'raw data'!IS129)</f>
        <v>1</v>
      </c>
      <c r="DX115" s="327">
        <f>IF(ISERROR('raw data'!IT129/'raw data'!IU129),0,'raw data'!IT129/'raw data'!IU129)</f>
        <v>0</v>
      </c>
      <c r="DY115" s="327">
        <f>IF(ISERROR('raw data'!IV129/'raw data'!IW129),0,'raw data'!IV129/'raw data'!IW129)</f>
        <v>0</v>
      </c>
      <c r="DZ115" s="327">
        <f>IF(ISERROR('raw data'!IX129/'raw data'!IY129),0,'raw data'!IX129/'raw data'!IY129)</f>
        <v>0</v>
      </c>
      <c r="EA115" s="327">
        <f>IF(ISERROR('raw data'!IZ129/'raw data'!JA129),0,'raw data'!IZ129/'raw data'!JA129)</f>
        <v>0</v>
      </c>
      <c r="EB115" s="327">
        <f>IF(ISERROR('raw data'!JB129/'raw data'!JC129),0,'raw data'!JB129/'raw data'!JC129)</f>
        <v>0</v>
      </c>
      <c r="EC115" s="327">
        <f>IF(ISERROR('raw data'!JD129/'raw data'!JE129),0,'raw data'!JD129/'raw data'!JE129)</f>
        <v>0</v>
      </c>
      <c r="ED115" s="243"/>
      <c r="EE115" s="328">
        <v>50</v>
      </c>
      <c r="EF115" s="328">
        <v>56</v>
      </c>
      <c r="EG115" s="329">
        <f t="shared" si="5"/>
        <v>0.8928571428571429</v>
      </c>
    </row>
    <row r="116" spans="1:137" ht="28" x14ac:dyDescent="0.15">
      <c r="A116" s="322" t="s">
        <v>213</v>
      </c>
      <c r="B116" s="323" t="str">
        <f>'raw data'!B130</f>
        <v>Customer in receipt of JSA for &gt;=7 months and has B&amp;S account balances totalling £17k+.</v>
      </c>
      <c r="C116" s="324" t="s">
        <v>215</v>
      </c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7">
        <f>IF(ISERROR('raw data'!AX130/'raw data'!AY130),0,'raw data'!AX130/'raw data'!AY130)</f>
        <v>0</v>
      </c>
      <c r="AB116" s="327">
        <f>IF(ISERROR('raw data'!AZ130/'raw data'!BA130),0,'raw data'!AZ130/'raw data'!BA130)</f>
        <v>0</v>
      </c>
      <c r="AC116" s="327">
        <f>IF(ISERROR('raw data'!BB130/'raw data'!BC130),0,'raw data'!BB130/'raw data'!BC130)</f>
        <v>0.88235294117647056</v>
      </c>
      <c r="AD116" s="327">
        <f>IF(ISERROR('raw data'!BD130/'raw data'!BE130),0,'raw data'!BD130/'raw data'!BE130)</f>
        <v>0.54166666666666663</v>
      </c>
      <c r="AE116" s="327">
        <f>IF(ISERROR('raw data'!BF130/'raw data'!BG130),0,'raw data'!BF130/'raw data'!BG130)</f>
        <v>0.73333333333333328</v>
      </c>
      <c r="AF116" s="327">
        <f>IF(ISERROR('raw data'!BH130/'raw data'!BI130),0,'raw data'!BH130/'raw data'!BI130)</f>
        <v>0.69230769230769229</v>
      </c>
      <c r="AG116" s="327">
        <f>IF(ISERROR('raw data'!BJ130/'raw data'!BK130),0,'raw data'!BJ130/'raw data'!BK130)</f>
        <v>0.65384615384615385</v>
      </c>
      <c r="AH116" s="327">
        <f>IF(ISERROR('raw data'!BL130/'raw data'!BM130),0,'raw data'!BL130/'raw data'!BM130)</f>
        <v>0.35294117647058826</v>
      </c>
      <c r="AI116" s="327">
        <f>IF(ISERROR('raw data'!BN130/'raw data'!BO130),0,'raw data'!BN130/'raw data'!BO130)</f>
        <v>0.59459459459459463</v>
      </c>
      <c r="AJ116" s="327">
        <f>IF(ISERROR('raw data'!BP130/'raw data'!BQ130),0,'raw data'!BP130/'raw data'!BQ130)</f>
        <v>0.58064516129032262</v>
      </c>
      <c r="AK116" s="327">
        <f>IF(ISERROR('raw data'!BR130/'raw data'!BS130),0,'raw data'!BR130/'raw data'!BS130)</f>
        <v>0.4375</v>
      </c>
      <c r="AL116" s="327">
        <f>IF(ISERROR('raw data'!BT130/'raw data'!BU130),0,'raw data'!BT130/'raw data'!BU130)</f>
        <v>0.52380952380952384</v>
      </c>
      <c r="AM116" s="327">
        <f>IF(ISERROR('raw data'!BV130/'raw data'!BW130),0,'raw data'!BV130/'raw data'!BW130)</f>
        <v>0.55000000000000004</v>
      </c>
      <c r="AN116" s="327">
        <f>IF(ISERROR('raw data'!BX130/'raw data'!BY130),0,'raw data'!BX130/'raw data'!BY130)</f>
        <v>0.44827586206896552</v>
      </c>
      <c r="AO116" s="327">
        <f>IF(ISERROR('raw data'!BZ130/'raw data'!CA130),0,'raw data'!BZ130/'raw data'!CA130)</f>
        <v>0.4838709677419355</v>
      </c>
      <c r="AP116" s="327">
        <f>IF(ISERROR('raw data'!CB130/'raw data'!CC130),0,'raw data'!CB130/'raw data'!CC130)</f>
        <v>0.51851851851851849</v>
      </c>
      <c r="AQ116" s="327">
        <f>IF(ISERROR('raw data'!CD130/'raw data'!CE130),0,'raw data'!CD130/'raw data'!CE130)</f>
        <v>0.52777777777777779</v>
      </c>
      <c r="AR116" s="327">
        <f>IF(ISERROR('raw data'!CF130/'raw data'!CG130),0,'raw data'!CF130/'raw data'!CG130)</f>
        <v>0.66666666666666663</v>
      </c>
      <c r="AS116" s="327">
        <f>IF(ISERROR('raw data'!CH130/'raw data'!CI130),0,'raw data'!CH130/'raw data'!CI130)</f>
        <v>0.53333333333333333</v>
      </c>
      <c r="AT116" s="327">
        <f>IF(ISERROR('raw data'!CJ130/'raw data'!CK130),0,'raw data'!CJ130/'raw data'!CK130)</f>
        <v>0.5714285714285714</v>
      </c>
      <c r="AU116" s="327">
        <f>IF(ISERROR('raw data'!CL130/'raw data'!CM130),0,'raw data'!CL130/'raw data'!CM130)</f>
        <v>0.57499999999999996</v>
      </c>
      <c r="AV116" s="327">
        <f>IF(ISERROR('raw data'!CN130/'raw data'!CO130),0,'raw data'!CN130/'raw data'!CO130)</f>
        <v>0.6</v>
      </c>
      <c r="AW116" s="327">
        <f>IF(ISERROR('raw data'!CP130/'raw data'!CQ130),0,'raw data'!CP130/'raw data'!CQ130)</f>
        <v>0.44444444444444442</v>
      </c>
      <c r="AX116" s="327">
        <f>IF(ISERROR('raw data'!CR130/'raw data'!CS130),0,'raw data'!CR130/'raw data'!CS130)</f>
        <v>0.51351351351351349</v>
      </c>
      <c r="AY116" s="327">
        <f>IF(ISERROR('raw data'!CT130/'raw data'!CU130),0,'raw data'!CT130/'raw data'!CU130)</f>
        <v>0.4</v>
      </c>
      <c r="AZ116" s="327">
        <f>IF(ISERROR('raw data'!CV130/'raw data'!CW130),0,'raw data'!CV130/'raw data'!CW130)</f>
        <v>0.55172413793103448</v>
      </c>
      <c r="BA116" s="327">
        <f>IF(ISERROR('raw data'!CX130/'raw data'!CY130),0,'raw data'!CX130/'raw data'!CY130)</f>
        <v>0.5</v>
      </c>
      <c r="BB116" s="327">
        <f>IF(ISERROR('raw data'!CZ130/'raw data'!DA130),0,'raw data'!CZ130/'raw data'!DA130)</f>
        <v>0.5</v>
      </c>
      <c r="BC116" s="327">
        <f>IF(ISERROR('raw data'!DB130/'raw data'!DC130),0,'raw data'!DB130/'raw data'!DC130)</f>
        <v>0.57499999999999996</v>
      </c>
      <c r="BD116" s="327">
        <f>IF(ISERROR('raw data'!DD130/'raw data'!DE130),0,'raw data'!DD130/'raw data'!DE130)</f>
        <v>0.52631578947368418</v>
      </c>
      <c r="BE116" s="327">
        <f>IF(ISERROR('raw data'!DF130/'raw data'!DG130),0,'raw data'!DF130/'raw data'!DG130)</f>
        <v>0.4375</v>
      </c>
      <c r="BF116" s="327">
        <f>IF(ISERROR('raw data'!DH130/'raw data'!DI130),0,'raw data'!DH130/'raw data'!DI130)</f>
        <v>0.6</v>
      </c>
      <c r="BG116" s="327">
        <f>IF(ISERROR('raw data'!DJ130/'raw data'!DK130),0,'raw data'!DJ130/'raw data'!DK130)</f>
        <v>0.6</v>
      </c>
      <c r="BH116" s="327">
        <f>IF(ISERROR('raw data'!DL130/'raw data'!DM130),0,'raw data'!DL130/'raw data'!DM130)</f>
        <v>0.36842105263157893</v>
      </c>
      <c r="BI116" s="327">
        <f>IF(ISERROR('raw data'!DN130/'raw data'!DO130),0,'raw data'!DN130/'raw data'!DO130)</f>
        <v>0.72</v>
      </c>
      <c r="BJ116" s="327">
        <f>IF(ISERROR('raw data'!DP130/'raw data'!DQ130),0,'raw data'!DP130/'raw data'!DQ130)</f>
        <v>0.6428571428571429</v>
      </c>
      <c r="BK116" s="327">
        <f>IF(ISERROR('raw data'!DR130/'raw data'!DS130),0,'raw data'!DR130/'raw data'!DS130)</f>
        <v>0.75</v>
      </c>
      <c r="BL116" s="327">
        <f>IF(ISERROR('raw data'!DT130/'raw data'!DU130),0,'raw data'!DT130/'raw data'!DU130)</f>
        <v>0.69565217391304346</v>
      </c>
      <c r="BM116" s="327">
        <f>IF(ISERROR('raw data'!DV130/'raw data'!DW130),0,'raw data'!DV130/'raw data'!DW130)</f>
        <v>0.38095238095238093</v>
      </c>
      <c r="BN116" s="327">
        <f>IF(ISERROR('raw data'!DX130/'raw data'!DY130),0,'raw data'!DX130/'raw data'!DY130)</f>
        <v>0.37931034482758619</v>
      </c>
      <c r="BO116" s="327">
        <f>IF(ISERROR('raw data'!DZ130/'raw data'!EA130),0,'raw data'!DZ130/'raw data'!EA130)</f>
        <v>0.5</v>
      </c>
      <c r="BP116" s="327">
        <f>IF(ISERROR('raw data'!EB130/'raw data'!EC130),0,'raw data'!EB130/'raw data'!EC130)</f>
        <v>0.29032258064516131</v>
      </c>
      <c r="BQ116" s="327">
        <f>IF(ISERROR('raw data'!ED130/'raw data'!EE130),0,'raw data'!ED130/'raw data'!EE130)</f>
        <v>0.25806451612903225</v>
      </c>
      <c r="BR116" s="327">
        <f>IF(ISERROR('raw data'!EF130/'raw data'!EG130),0,'raw data'!EF130/'raw data'!EG130)</f>
        <v>0.3</v>
      </c>
      <c r="BS116" s="327">
        <f>IF(ISERROR('raw data'!EH130/'raw data'!EI130),0,'raw data'!EH130/'raw data'!EI130)</f>
        <v>0.21428571428571427</v>
      </c>
      <c r="BT116" s="327">
        <f>IF(ISERROR('raw data'!EJ130/'raw data'!EK130),0,'raw data'!EJ130/'raw data'!EK130)</f>
        <v>0.25</v>
      </c>
      <c r="BU116" s="327">
        <f>IF(ISERROR('raw data'!EL130/'raw data'!EM130),0,'raw data'!EL130/'raw data'!EM130)</f>
        <v>0.38709677419354838</v>
      </c>
      <c r="BV116" s="327">
        <f>IF(ISERROR('raw data'!EN130/'raw data'!EO130),0,'raw data'!EN130/'raw data'!EO130)</f>
        <v>0.29166666666666669</v>
      </c>
      <c r="BW116" s="327">
        <f>IF(ISERROR('raw data'!EP130/'raw data'!EQ130),0,'raw data'!EP130/'raw data'!EQ130)</f>
        <v>0.15151515151515152</v>
      </c>
      <c r="BX116" s="327">
        <f>IF(ISERROR('raw data'!ER130/'raw data'!ES130),0,'raw data'!ER130/'raw data'!ES130)</f>
        <v>0.13043478260869565</v>
      </c>
      <c r="BY116" s="327">
        <f>IF(ISERROR('raw data'!ET130/'raw data'!EU130),0,'raw data'!ET130/'raw data'!EU130)</f>
        <v>7.1428571428571425E-2</v>
      </c>
      <c r="BZ116" s="327">
        <f>IF(ISERROR('raw data'!EV130/'raw data'!EW130),0,'raw data'!EV130/'raw data'!EW130)</f>
        <v>0.14285714285714285</v>
      </c>
      <c r="CA116" s="327">
        <f>IF(ISERROR('raw data'!EX130/'raw data'!EY130),0,'raw data'!EX130/'raw data'!EY130)</f>
        <v>0.22727272727272727</v>
      </c>
      <c r="CB116" s="327">
        <f>IF(ISERROR('raw data'!EZ130/'raw data'!FA130),0,'raw data'!EZ130/'raw data'!FA130)</f>
        <v>0.19230769230769232</v>
      </c>
      <c r="CC116" s="327">
        <f>IF(ISERROR('raw data'!FB130/'raw data'!FC130),0,'raw data'!FB130/'raw data'!FC130)</f>
        <v>0.05</v>
      </c>
      <c r="CD116" s="327">
        <f>IF(ISERROR('raw data'!FD130/'raw data'!FE130),0,'raw data'!FD130/'raw data'!FE130)</f>
        <v>0.16666666666666666</v>
      </c>
      <c r="CE116" s="327">
        <f>IF(ISERROR('raw data'!FF130/'raw data'!FG130),0,'raw data'!FF130/'raw data'!FG130)</f>
        <v>0.31578947368421051</v>
      </c>
      <c r="CF116" s="327">
        <f>IF(ISERROR('raw data'!FH130/'raw data'!FI130),0,'raw data'!FH130/'raw data'!FI130)</f>
        <v>0.125</v>
      </c>
      <c r="CG116" s="327">
        <f>IF(ISERROR('raw data'!FJ130/'raw data'!FM130),0,'raw data'!FJ130/'raw data'!FM130)</f>
        <v>0.15384615384615385</v>
      </c>
      <c r="CH116" s="327">
        <f>IF(ISERROR('raw data'!FN130/'raw data'!FO130),0,'raw data'!FN130/'raw data'!FO130)</f>
        <v>0.45238095238095238</v>
      </c>
      <c r="CI116" s="327">
        <f>IF(ISERROR('raw data'!FP130/'raw data'!FQ130),0,'raw data'!FP130/'raw data'!FQ130)</f>
        <v>0.2</v>
      </c>
      <c r="CJ116" s="327">
        <f>IF(ISERROR('raw data'!FR130/'raw data'!FS130),0,'raw data'!FR130/'raw data'!FS130)</f>
        <v>0.18518518518518517</v>
      </c>
      <c r="CK116" s="327">
        <f>IF(ISERROR('raw data'!FT130/'raw data'!FU130),0,'raw data'!FT130/'raw data'!FU130)</f>
        <v>0.3888888888888889</v>
      </c>
      <c r="CL116" s="327">
        <f>IF(ISERROR('raw data'!FV130/'raw data'!FW130),0,'raw data'!FV130/'raw data'!FW130)</f>
        <v>0.42857142857142855</v>
      </c>
      <c r="CM116" s="327">
        <f>IF(ISERROR('raw data'!FX130/'raw data'!FY130),0,'raw data'!FX130/'raw data'!FY130)</f>
        <v>0.2857142857142857</v>
      </c>
      <c r="CN116" s="327">
        <f>IF(ISERROR('raw data'!FZ130/'raw data'!GA130),0,'raw data'!FZ130/'raw data'!GA130)</f>
        <v>0.44736842105263158</v>
      </c>
      <c r="CO116" s="327">
        <f>IF(ISERROR('raw data'!GB130/'raw data'!GC130),0,'raw data'!GB130/'raw data'!GC130)</f>
        <v>0.5</v>
      </c>
      <c r="CP116" s="327">
        <f>IF(ISERROR('raw data'!GD130/'raw data'!GE130),0,'raw data'!GD130/'raw data'!GE130)</f>
        <v>4.5454545454545456E-2</v>
      </c>
      <c r="CQ116" s="327">
        <f>IF(ISERROR('raw data'!GF130/'raw data'!GG130),0,'raw data'!GF130/'raw data'!GG130)</f>
        <v>0.4</v>
      </c>
      <c r="CR116" s="327">
        <f>IF(ISERROR('raw data'!GH130/'raw data'!GI130),0,'raw data'!GH130/'raw data'!GI130)</f>
        <v>0.64406779661016944</v>
      </c>
      <c r="CS116" s="327">
        <f>IF(ISERROR('raw data'!GJ130/'raw data'!GK130),0,'raw data'!GJ130/'raw data'!GK130)</f>
        <v>0.45161290322580644</v>
      </c>
      <c r="CT116" s="327">
        <f>IF(ISERROR('raw data'!GL130/'raw data'!GM130),0,'raw data'!GL130/'raw data'!GM130)</f>
        <v>0.42499999999999999</v>
      </c>
      <c r="CU116" s="327">
        <f>IF(ISERROR('raw data'!GN130/'raw data'!GO130),0,'raw data'!GN130/'raw data'!GO130)</f>
        <v>0.1875</v>
      </c>
      <c r="CV116" s="327">
        <f>IF(ISERROR('raw data'!GP130/'raw data'!GQ130),0,'raw data'!GP130/'raw data'!GQ130)</f>
        <v>0.31818181818181818</v>
      </c>
      <c r="CW116" s="327">
        <f>IF(ISERROR('raw data'!GR130/'raw data'!GS130),0,'raw data'!GR130/'raw data'!GS130)</f>
        <v>0.27272727272727271</v>
      </c>
      <c r="CX116" s="327">
        <f>IF(ISERROR('raw data'!GT130/'raw data'!GU130),0,'raw data'!GT130/'raw data'!GU130)</f>
        <v>0.30555555555555558</v>
      </c>
      <c r="CY116" s="327">
        <f>IF(ISERROR('raw data'!GV130/'raw data'!GW130),0,'raw data'!GV130/'raw data'!GW130)</f>
        <v>0.63636363636363635</v>
      </c>
      <c r="CZ116" s="327">
        <f>IF(ISERROR('raw data'!GX130/'raw data'!GY130),0,'raw data'!GX130/'raw data'!GY130)</f>
        <v>0.66666666666666663</v>
      </c>
      <c r="DA116" s="238" t="s">
        <v>30</v>
      </c>
      <c r="DB116" s="327">
        <f>IF(ISERROR('raw data'!HB130/'raw data'!HC130),0,'raw data'!HB130/'raw data'!HC130)</f>
        <v>0.37142857142857144</v>
      </c>
      <c r="DC116" s="327">
        <f>IF(ISERROR('raw data'!HD130/'raw data'!HE130),0,'raw data'!HD130/'raw data'!HE130)</f>
        <v>0.2</v>
      </c>
      <c r="DD116" s="327">
        <f>IF(ISERROR('raw data'!HF130/'raw data'!HG130),0,'raw data'!HF130/'raw data'!HG130)</f>
        <v>0.22222222222222221</v>
      </c>
      <c r="DE116" s="327">
        <f>IF(ISERROR('raw data'!HH130/'raw data'!HI130),0,'raw data'!HH130/'raw data'!HI130)</f>
        <v>0.37037037037037035</v>
      </c>
      <c r="DF116" s="327">
        <f>IF(ISERROR('raw data'!HJ130/'raw data'!HK130),0,'raw data'!HJ130/'raw data'!HK130)</f>
        <v>0.46666666666666667</v>
      </c>
      <c r="DG116" s="327">
        <f>IF(ISERROR('raw data'!HL130/'raw data'!HM130),0,'raw data'!HL130/'raw data'!HM130)</f>
        <v>0.5625</v>
      </c>
      <c r="DH116" s="327">
        <f>IF(ISERROR('raw data'!HN130/'raw data'!HO130),0,'raw data'!HN130/'raw data'!HO130)</f>
        <v>0.75</v>
      </c>
      <c r="DI116" s="327">
        <f>IF(ISERROR('raw data'!HP130/'raw data'!HQ130),0,'raw data'!HP130/'raw data'!HQ130)</f>
        <v>0.65217391304347827</v>
      </c>
      <c r="DJ116" s="327">
        <f>IF(ISERROR('raw data'!HR130/'raw data'!HS130),0,'raw data'!HR130/'raw data'!HS130)</f>
        <v>0.61111111111111116</v>
      </c>
      <c r="DK116" s="327">
        <f>IF(ISERROR('raw data'!HT130/'raw data'!HU130),0,'raw data'!HT130/'raw data'!HU130)</f>
        <v>0.63636363636363635</v>
      </c>
      <c r="DL116" s="327">
        <f>IF(ISERROR('raw data'!HV130/'raw data'!HW130),0,'raw data'!HV130/'raw data'!HW130)</f>
        <v>0.83333333333333337</v>
      </c>
      <c r="DM116" s="327">
        <f>IF(ISERROR('raw data'!HX130/'raw data'!HY130),0,'raw data'!HX130/'raw data'!HY130)</f>
        <v>0.80769230769230771</v>
      </c>
      <c r="DN116" s="327">
        <f>IF(ISERROR('raw data'!HZ130/'raw data'!IA130),0,'raw data'!HZ130/'raw data'!IA130)</f>
        <v>0.75</v>
      </c>
      <c r="DO116" s="327">
        <f>IF(ISERROR('raw data'!IB130/'raw data'!IC130),0,'raw data'!IB130/'raw data'!IC130)</f>
        <v>0.73684210526315785</v>
      </c>
      <c r="DP116" s="327">
        <f>IF(ISERROR('raw data'!ID130/'raw data'!IE130),0,'raw data'!ID130/'raw data'!IE130)</f>
        <v>0.5</v>
      </c>
      <c r="DQ116" s="327">
        <f>IF(ISERROR('raw data'!IF130/'raw data'!IG130),0,'raw data'!IF130/'raw data'!IG130)</f>
        <v>0.63636363636363635</v>
      </c>
      <c r="DR116" s="327">
        <f>IF(ISERROR('raw data'!IH130/'raw data'!II130),0,'raw data'!IH130/'raw data'!II130)</f>
        <v>0.625</v>
      </c>
      <c r="DS116" s="327">
        <f>IF(ISERROR('raw data'!IJ130/'raw data'!IK130),0,'raw data'!IJ130/'raw data'!IK130)</f>
        <v>0.375</v>
      </c>
      <c r="DT116" s="327">
        <f>IF(ISERROR('raw data'!IL130/'raw data'!IM130),0,'raw data'!IL130/'raw data'!IM130)</f>
        <v>0.47368421052631576</v>
      </c>
      <c r="DU116" s="327">
        <f>IF(ISERROR('raw data'!IN130/'raw data'!IO130),0,'raw data'!IN130/'raw data'!IO130)</f>
        <v>0.66666666666666663</v>
      </c>
      <c r="DV116" s="327">
        <f>IF(ISERROR('raw data'!IP130/'raw data'!IQ130),0,'raw data'!IP130/'raw data'!IQ130)</f>
        <v>0.73809523809523814</v>
      </c>
      <c r="DW116" s="327">
        <f>IF(ISERROR('raw data'!IR130/'raw data'!IS130),0,'raw data'!IR130/'raw data'!IS130)</f>
        <v>0.68292682926829273</v>
      </c>
      <c r="DX116" s="327">
        <f>IF(ISERROR('raw data'!IT130/'raw data'!IU130),0,'raw data'!IT130/'raw data'!IU130)</f>
        <v>0.65116279069767447</v>
      </c>
      <c r="DY116" s="327">
        <f>IF(ISERROR('raw data'!IV130/'raw data'!IW130),0,'raw data'!IV130/'raw data'!IW130)</f>
        <v>0.80555555555555558</v>
      </c>
      <c r="DZ116" s="327">
        <f>IF(ISERROR('raw data'!IX130/'raw data'!IY130),0,'raw data'!IX130/'raw data'!IY130)</f>
        <v>0.64102564102564108</v>
      </c>
      <c r="EA116" s="327">
        <f>IF(ISERROR('raw data'!IZ130/'raw data'!JA130),0,'raw data'!IZ130/'raw data'!JA130)</f>
        <v>0.73076923076923073</v>
      </c>
      <c r="EB116" s="327">
        <f>IF(ISERROR('raw data'!JB130/'raw data'!JC130),0,'raw data'!JB130/'raw data'!JC130)</f>
        <v>0.78378378378378377</v>
      </c>
      <c r="EC116" s="327">
        <f>IF(ISERROR('raw data'!JD130/'raw data'!JE130),0,'raw data'!JD130/'raw data'!JE130)</f>
        <v>0.6</v>
      </c>
      <c r="ED116" s="243"/>
      <c r="EE116" s="328">
        <v>259</v>
      </c>
      <c r="EF116" s="328">
        <v>392</v>
      </c>
      <c r="EG116" s="329">
        <f t="shared" si="5"/>
        <v>0.6607142857142857</v>
      </c>
    </row>
    <row r="117" spans="1:137" ht="28" x14ac:dyDescent="0.15">
      <c r="A117" s="322" t="s">
        <v>216</v>
      </c>
      <c r="B117" s="323" t="str">
        <f>'raw data'!B131</f>
        <v>ISA/JSA/DWP UC received for &gt;=6 months and £3k+ cash received last month.</v>
      </c>
      <c r="C117" s="324" t="s">
        <v>218</v>
      </c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7">
        <f>IF(ISERROR('raw data'!AX131/'raw data'!AY131),0,'raw data'!AX131/'raw data'!AY131)</f>
        <v>0</v>
      </c>
      <c r="AB117" s="327">
        <f>IF(ISERROR('raw data'!AZ131/'raw data'!BA131),0,'raw data'!AZ131/'raw data'!BA131)</f>
        <v>0</v>
      </c>
      <c r="AC117" s="327">
        <f>IF(ISERROR('raw data'!BB131/'raw data'!BC131),0,'raw data'!BB131/'raw data'!BC131)</f>
        <v>0.45161290322580644</v>
      </c>
      <c r="AD117" s="327">
        <f>IF(ISERROR('raw data'!BD131/'raw data'!BE131),0,'raw data'!BD131/'raw data'!BE131)</f>
        <v>0.45454545454545453</v>
      </c>
      <c r="AE117" s="327">
        <f>IF(ISERROR('raw data'!BF131/'raw data'!BG131),0,'raw data'!BF131/'raw data'!BG131)</f>
        <v>0.33870967741935482</v>
      </c>
      <c r="AF117" s="327">
        <f>IF(ISERROR('raw data'!BH131/'raw data'!BI131),0,'raw data'!BH131/'raw data'!BI131)</f>
        <v>0.24074074074074073</v>
      </c>
      <c r="AG117" s="327">
        <f>IF(ISERROR('raw data'!BJ131/'raw data'!BK131),0,'raw data'!BJ131/'raw data'!BK131)</f>
        <v>0.29310344827586204</v>
      </c>
      <c r="AH117" s="327">
        <f>IF(ISERROR('raw data'!BL131/'raw data'!BM131),0,'raw data'!BL131/'raw data'!BM131)</f>
        <v>0.20634920634920634</v>
      </c>
      <c r="AI117" s="327">
        <f>IF(ISERROR('raw data'!BN131/'raw data'!BO131),0,'raw data'!BN131/'raw data'!BO131)</f>
        <v>0.4838709677419355</v>
      </c>
      <c r="AJ117" s="327">
        <f>IF(ISERROR('raw data'!BP131/'raw data'!BQ131),0,'raw data'!BP131/'raw data'!BQ131)</f>
        <v>0.39655172413793105</v>
      </c>
      <c r="AK117" s="327">
        <f>IF(ISERROR('raw data'!BR131/'raw data'!BS131),0,'raw data'!BR131/'raw data'!BS131)</f>
        <v>0.27272727272727271</v>
      </c>
      <c r="AL117" s="327">
        <f>IF(ISERROR('raw data'!BT131/'raw data'!BU131),0,'raw data'!BT131/'raw data'!BU131)</f>
        <v>0.22</v>
      </c>
      <c r="AM117" s="327">
        <f>IF(ISERROR('raw data'!BV131/'raw data'!BW131),0,'raw data'!BV131/'raw data'!BW131)</f>
        <v>0.4358974358974359</v>
      </c>
      <c r="AN117" s="327">
        <f>IF(ISERROR('raw data'!BX131/'raw data'!BY131),0,'raw data'!BX131/'raw data'!BY131)</f>
        <v>0.30232558139534882</v>
      </c>
      <c r="AO117" s="327">
        <f>IF(ISERROR('raw data'!BZ131/'raw data'!CA131),0,'raw data'!BZ131/'raw data'!CA131)</f>
        <v>0.32142857142857145</v>
      </c>
      <c r="AP117" s="327">
        <f>IF(ISERROR('raw data'!CB131/'raw data'!CC131),0,'raw data'!CB131/'raw data'!CC131)</f>
        <v>0.45833333333333331</v>
      </c>
      <c r="AQ117" s="327">
        <f>IF(ISERROR('raw data'!CD131/'raw data'!CE131),0,'raw data'!CD131/'raw data'!CE131)</f>
        <v>0.39189189189189189</v>
      </c>
      <c r="AR117" s="327">
        <f>IF(ISERROR('raw data'!CF131/'raw data'!CG131),0,'raw data'!CF131/'raw data'!CG131)</f>
        <v>0.37704918032786883</v>
      </c>
      <c r="AS117" s="327">
        <f>IF(ISERROR('raw data'!CH131/'raw data'!CI131),0,'raw data'!CH131/'raw data'!CI131)</f>
        <v>0.41095890410958902</v>
      </c>
      <c r="AT117" s="327">
        <f>IF(ISERROR('raw data'!CJ131/'raw data'!CK131),0,'raw data'!CJ131/'raw data'!CK131)</f>
        <v>0.48837209302325579</v>
      </c>
      <c r="AU117" s="327">
        <f>IF(ISERROR('raw data'!CL131/'raw data'!CM131),0,'raw data'!CL131/'raw data'!CM131)</f>
        <v>0.36206896551724138</v>
      </c>
      <c r="AV117" s="327">
        <f>IF(ISERROR('raw data'!CN131/'raw data'!CO131),0,'raw data'!CN131/'raw data'!CO131)</f>
        <v>0.28888888888888886</v>
      </c>
      <c r="AW117" s="327">
        <f>IF(ISERROR('raw data'!CP131/'raw data'!CQ131),0,'raw data'!CP131/'raw data'!CQ131)</f>
        <v>0.38461538461538464</v>
      </c>
      <c r="AX117" s="327">
        <f>IF(ISERROR('raw data'!CR131/'raw data'!CS131),0,'raw data'!CR131/'raw data'!CS131)</f>
        <v>0.40350877192982454</v>
      </c>
      <c r="AY117" s="327">
        <f>IF(ISERROR('raw data'!CT131/'raw data'!CU131),0,'raw data'!CT131/'raw data'!CU131)</f>
        <v>0.41304347826086957</v>
      </c>
      <c r="AZ117" s="327">
        <f>IF(ISERROR('raw data'!CV131/'raw data'!CW131),0,'raw data'!CV131/'raw data'!CW131)</f>
        <v>0.3</v>
      </c>
      <c r="BA117" s="327">
        <f>IF(ISERROR('raw data'!CX131/'raw data'!CY131),0,'raw data'!CX131/'raw data'!CY131)</f>
        <v>0.4</v>
      </c>
      <c r="BB117" s="327">
        <f>IF(ISERROR('raw data'!CZ131/'raw data'!DA131),0,'raw data'!CZ131/'raw data'!DA131)</f>
        <v>0.35</v>
      </c>
      <c r="BC117" s="327">
        <f>IF(ISERROR('raw data'!DB131/'raw data'!DC131),0,'raw data'!DB131/'raw data'!DC131)</f>
        <v>0.64150943396226412</v>
      </c>
      <c r="BD117" s="327">
        <f>IF(ISERROR('raw data'!DD131/'raw data'!DE131),0,'raw data'!DD131/'raw data'!DE131)</f>
        <v>0.32500000000000001</v>
      </c>
      <c r="BE117" s="327">
        <f>IF(ISERROR('raw data'!DF131/'raw data'!DG131),0,'raw data'!DF131/'raw data'!DG131)</f>
        <v>0.1875</v>
      </c>
      <c r="BF117" s="327">
        <f>IF(ISERROR('raw data'!DH131/'raw data'!DI131),0,'raw data'!DH131/'raw data'!DI131)</f>
        <v>0.39655172413793105</v>
      </c>
      <c r="BG117" s="327">
        <f>IF(ISERROR('raw data'!DJ131/'raw data'!DK131),0,'raw data'!DJ131/'raw data'!DK131)</f>
        <v>0.41304347826086957</v>
      </c>
      <c r="BH117" s="327">
        <f>IF(ISERROR('raw data'!DL131/'raw data'!DM131),0,'raw data'!DL131/'raw data'!DM131)</f>
        <v>0.37777777777777777</v>
      </c>
      <c r="BI117" s="327">
        <f>IF(ISERROR('raw data'!DN131/'raw data'!DO131),0,'raw data'!DN131/'raw data'!DO131)</f>
        <v>0.45</v>
      </c>
      <c r="BJ117" s="327">
        <f>IF(ISERROR('raw data'!DP131/'raw data'!DQ131),0,'raw data'!DP131/'raw data'!DQ131)</f>
        <v>0.35294117647058826</v>
      </c>
      <c r="BK117" s="327">
        <f>IF(ISERROR('raw data'!DR131/'raw data'!DS131),0,'raw data'!DR131/'raw data'!DS131)</f>
        <v>0.35897435897435898</v>
      </c>
      <c r="BL117" s="327">
        <f>IF(ISERROR('raw data'!DT131/'raw data'!DU131),0,'raw data'!DT131/'raw data'!DU131)</f>
        <v>0.36734693877551022</v>
      </c>
      <c r="BM117" s="327">
        <f>IF(ISERROR('raw data'!DV131/'raw data'!DW131),0,'raw data'!DV131/'raw data'!DW131)</f>
        <v>0.22727272727272727</v>
      </c>
      <c r="BN117" s="327">
        <f>IF(ISERROR('raw data'!DX131/'raw data'!DY131),0,'raw data'!DX131/'raw data'!DY131)</f>
        <v>0.10810810810810811</v>
      </c>
      <c r="BO117" s="327">
        <f>IF(ISERROR('raw data'!DZ131/'raw data'!EA131),0,'raw data'!DZ131/'raw data'!EA131)</f>
        <v>5.2631578947368418E-2</v>
      </c>
      <c r="BP117" s="327">
        <f>IF(ISERROR('raw data'!EB131/'raw data'!EC131),0,'raw data'!EB131/'raw data'!EC131)</f>
        <v>0.14583333333333334</v>
      </c>
      <c r="BQ117" s="327">
        <f>IF(ISERROR('raw data'!ED131/'raw data'!EE131),0,'raw data'!ED131/'raw data'!EE131)</f>
        <v>0.33333333333333331</v>
      </c>
      <c r="BR117" s="327">
        <f>IF(ISERROR('raw data'!EF131/'raw data'!EG131),0,'raw data'!EF131/'raw data'!EG131)</f>
        <v>0.16666666666666666</v>
      </c>
      <c r="BS117" s="327">
        <f>IF(ISERROR('raw data'!EH131/'raw data'!EI131),0,'raw data'!EH131/'raw data'!EI131)</f>
        <v>0.28205128205128205</v>
      </c>
      <c r="BT117" s="327">
        <f>IF(ISERROR('raw data'!EJ131/'raw data'!EK131),0,'raw data'!EJ131/'raw data'!EK131)</f>
        <v>0.24489795918367346</v>
      </c>
      <c r="BU117" s="327">
        <f>IF(ISERROR('raw data'!EL131/'raw data'!EM131),0,'raw data'!EL131/'raw data'!EM131)</f>
        <v>0.2391304347826087</v>
      </c>
      <c r="BV117" s="327">
        <f>IF(ISERROR('raw data'!EN131/'raw data'!EO131),0,'raw data'!EN131/'raw data'!EO131)</f>
        <v>0.15909090909090909</v>
      </c>
      <c r="BW117" s="327">
        <f>IF(ISERROR('raw data'!EP131/'raw data'!EQ131),0,'raw data'!EP131/'raw data'!EQ131)</f>
        <v>0.14634146341463414</v>
      </c>
      <c r="BX117" s="327">
        <f>IF(ISERROR('raw data'!ER131/'raw data'!ES131),0,'raw data'!ER131/'raw data'!ES131)</f>
        <v>0.23333333333333334</v>
      </c>
      <c r="BY117" s="327">
        <f>IF(ISERROR('raw data'!ET131/'raw data'!EU131),0,'raw data'!ET131/'raw data'!EU131)</f>
        <v>0.24242424242424243</v>
      </c>
      <c r="BZ117" s="327">
        <f>IF(ISERROR('raw data'!EV131/'raw data'!EW131),0,'raw data'!EV131/'raw data'!EW131)</f>
        <v>0.12121212121212122</v>
      </c>
      <c r="CA117" s="327">
        <f>IF(ISERROR('raw data'!EX131/'raw data'!EY131),0,'raw data'!EX131/'raw data'!EY131)</f>
        <v>0.1702127659574468</v>
      </c>
      <c r="CB117" s="327">
        <f>IF(ISERROR('raw data'!EZ131/'raw data'!FA131),0,'raw data'!EZ131/'raw data'!FA131)</f>
        <v>0.29729729729729731</v>
      </c>
      <c r="CC117" s="327">
        <f>IF(ISERROR('raw data'!FB131/'raw data'!FC131),0,'raw data'!FB131/'raw data'!FC131)</f>
        <v>0.34615384615384615</v>
      </c>
      <c r="CD117" s="327">
        <f>IF(ISERROR('raw data'!FD131/'raw data'!FE131),0,'raw data'!FD131/'raw data'!FE131)</f>
        <v>0.1111111111111111</v>
      </c>
      <c r="CE117" s="327">
        <f>IF(ISERROR('raw data'!FF131/'raw data'!FG131),0,'raw data'!FF131/'raw data'!FG131)</f>
        <v>0.29268292682926828</v>
      </c>
      <c r="CF117" s="327">
        <f>IF(ISERROR('raw data'!FH131/'raw data'!FI131),0,'raw data'!FH131/'raw data'!FI131)</f>
        <v>0.29545454545454547</v>
      </c>
      <c r="CG117" s="327">
        <f>IF(ISERROR('raw data'!FJ131/'raw data'!FM131),0,'raw data'!FJ131/'raw data'!FM131)</f>
        <v>0.26315789473684209</v>
      </c>
      <c r="CH117" s="327">
        <f>IF(ISERROR('raw data'!FN131/'raw data'!FO131),0,'raw data'!FN131/'raw data'!FO131)</f>
        <v>0.32203389830508472</v>
      </c>
      <c r="CI117" s="327">
        <f>IF(ISERROR('raw data'!FP131/'raw data'!FQ131),0,'raw data'!FP131/'raw data'!FQ131)</f>
        <v>0.21951219512195122</v>
      </c>
      <c r="CJ117" s="327">
        <f>IF(ISERROR('raw data'!FR131/'raw data'!FS131),0,'raw data'!FR131/'raw data'!FS131)</f>
        <v>0.38461538461538464</v>
      </c>
      <c r="CK117" s="327">
        <f>IF(ISERROR('raw data'!FT131/'raw data'!FU131),0,'raw data'!FT131/'raw data'!FU131)</f>
        <v>0.26666666666666666</v>
      </c>
      <c r="CL117" s="327">
        <f>IF(ISERROR('raw data'!FV131/'raw data'!FW131),0,'raw data'!FV131/'raw data'!FW131)</f>
        <v>0.34426229508196721</v>
      </c>
      <c r="CM117" s="327">
        <f>IF(ISERROR('raw data'!FX131/'raw data'!FY131),0,'raw data'!FX131/'raw data'!FY131)</f>
        <v>0.13953488372093023</v>
      </c>
      <c r="CN117" s="327">
        <f>IF(ISERROR('raw data'!FZ131/'raw data'!GA131),0,'raw data'!FZ131/'raw data'!GA131)</f>
        <v>0.14634146341463414</v>
      </c>
      <c r="CO117" s="232" t="s">
        <v>243</v>
      </c>
      <c r="CP117" s="232" t="s">
        <v>243</v>
      </c>
      <c r="CQ117" s="232" t="s">
        <v>243</v>
      </c>
      <c r="CR117" s="232" t="s">
        <v>243</v>
      </c>
      <c r="CS117" s="232" t="s">
        <v>243</v>
      </c>
      <c r="CT117" s="232" t="s">
        <v>243</v>
      </c>
      <c r="CU117" s="232" t="s">
        <v>243</v>
      </c>
      <c r="CV117" s="232" t="s">
        <v>243</v>
      </c>
      <c r="CW117" s="232" t="s">
        <v>243</v>
      </c>
      <c r="CX117" s="232" t="s">
        <v>243</v>
      </c>
      <c r="CY117" s="232" t="s">
        <v>243</v>
      </c>
      <c r="CZ117" s="232" t="s">
        <v>243</v>
      </c>
      <c r="DA117" s="232" t="s">
        <v>243</v>
      </c>
      <c r="DB117" s="232" t="s">
        <v>243</v>
      </c>
      <c r="DC117" s="232" t="s">
        <v>243</v>
      </c>
      <c r="DD117" s="232" t="s">
        <v>243</v>
      </c>
      <c r="DE117" s="232" t="s">
        <v>243</v>
      </c>
      <c r="DF117" s="232" t="s">
        <v>243</v>
      </c>
      <c r="DG117" s="232" t="s">
        <v>243</v>
      </c>
      <c r="DH117" s="232" t="s">
        <v>243</v>
      </c>
      <c r="DI117" s="232" t="s">
        <v>243</v>
      </c>
      <c r="DJ117" s="232" t="s">
        <v>243</v>
      </c>
      <c r="DK117" s="232" t="s">
        <v>243</v>
      </c>
      <c r="DL117" s="232" t="s">
        <v>243</v>
      </c>
      <c r="DM117" s="232" t="s">
        <v>243</v>
      </c>
      <c r="DN117" s="232" t="s">
        <v>243</v>
      </c>
      <c r="DO117" s="232" t="s">
        <v>243</v>
      </c>
      <c r="DP117" s="232" t="s">
        <v>243</v>
      </c>
      <c r="DQ117" s="232" t="s">
        <v>243</v>
      </c>
      <c r="DR117" s="232" t="s">
        <v>243</v>
      </c>
      <c r="DS117" s="232" t="s">
        <v>243</v>
      </c>
      <c r="DT117" s="232" t="s">
        <v>243</v>
      </c>
      <c r="DU117" s="232" t="s">
        <v>243</v>
      </c>
      <c r="DV117" s="232" t="s">
        <v>243</v>
      </c>
      <c r="DW117" s="232" t="s">
        <v>243</v>
      </c>
      <c r="DX117" s="232" t="s">
        <v>243</v>
      </c>
      <c r="DY117" s="232" t="s">
        <v>243</v>
      </c>
      <c r="DZ117" s="232" t="s">
        <v>243</v>
      </c>
      <c r="EA117" s="232" t="s">
        <v>243</v>
      </c>
      <c r="EB117" s="232" t="s">
        <v>243</v>
      </c>
      <c r="EC117" s="232" t="s">
        <v>243</v>
      </c>
      <c r="ED117" s="243"/>
      <c r="EE117" s="328">
        <v>0</v>
      </c>
      <c r="EF117" s="328">
        <v>0</v>
      </c>
      <c r="EG117" s="329">
        <f t="shared" si="5"/>
        <v>0</v>
      </c>
    </row>
    <row r="118" spans="1:137" ht="28" x14ac:dyDescent="0.15">
      <c r="A118" s="322" t="s">
        <v>219</v>
      </c>
      <c r="B118" s="323" t="str">
        <f>'raw data'!B132</f>
        <v>IS/JSA received and salary of (LFs) £1800+ received for past 2 months.</v>
      </c>
      <c r="C118" s="324" t="s">
        <v>221</v>
      </c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7">
        <f>IF(ISERROR('raw data'!BH132/'raw data'!BI132),0,'raw data'!BH132/'raw data'!BI132)</f>
        <v>0.3471698113207547</v>
      </c>
      <c r="AG118" s="327">
        <f>IF(ISERROR('raw data'!BJ132/'raw data'!BK132),0,'raw data'!BJ132/'raw data'!BK132)</f>
        <v>0</v>
      </c>
      <c r="AH118" s="327">
        <f>IF(ISERROR('raw data'!BL132/'raw data'!BM132),0,'raw data'!BL132/'raw data'!BM132)</f>
        <v>0.33333333333333331</v>
      </c>
      <c r="AI118" s="327">
        <f>IF(ISERROR('raw data'!BN132/'raw data'!BO132),0,'raw data'!BN132/'raw data'!BO132)</f>
        <v>0.25</v>
      </c>
      <c r="AJ118" s="327">
        <f>IF(ISERROR('raw data'!BP132/'raw data'!BQ132),0,'raw data'!BP132/'raw data'!BQ132)</f>
        <v>0.24657534246575341</v>
      </c>
      <c r="AK118" s="327">
        <f>IF(ISERROR('raw data'!BR132/'raw data'!BS132),0,'raw data'!BR132/'raw data'!BS132)</f>
        <v>0.2878787878787879</v>
      </c>
      <c r="AL118" s="327">
        <f>IF(ISERROR('raw data'!BT132/'raw data'!BU132),0,'raw data'!BT132/'raw data'!BU132)</f>
        <v>0.31506849315068491</v>
      </c>
      <c r="AM118" s="327">
        <f>IF(ISERROR('raw data'!BV132/'raw data'!BW132),0,'raw data'!BV132/'raw data'!BW132)</f>
        <v>0.32926829268292684</v>
      </c>
      <c r="AN118" s="327">
        <f>IF(ISERROR('raw data'!BX132/'raw data'!BY132),0,'raw data'!BX132/'raw data'!BY132)</f>
        <v>0.21153846153846154</v>
      </c>
      <c r="AO118" s="327">
        <f>IF(ISERROR('raw data'!BZ132/'raw data'!CA132),0,'raw data'!BZ132/'raw data'!CA132)</f>
        <v>0.2</v>
      </c>
      <c r="AP118" s="327">
        <f>IF(ISERROR('raw data'!CB132/'raw data'!CC132),0,'raw data'!CB132/'raw data'!CC132)</f>
        <v>0.22727272727272727</v>
      </c>
      <c r="AQ118" s="327">
        <f>IF(ISERROR('raw data'!CD132/'raw data'!CE132),0,'raw data'!CD132/'raw data'!CE132)</f>
        <v>0</v>
      </c>
      <c r="AR118" s="327">
        <f>IF(ISERROR('raw data'!CF132/'raw data'!CG132),0,'raw data'!CF132/'raw data'!CG132)</f>
        <v>0</v>
      </c>
      <c r="AS118" s="327">
        <f>IF(ISERROR('raw data'!CH132/'raw data'!CI132),0,'raw data'!CH132/'raw data'!CI132)</f>
        <v>0</v>
      </c>
      <c r="AT118" s="327">
        <f>IF(ISERROR('raw data'!CJ132/'raw data'!CK132),0,'raw data'!CJ132/'raw data'!CK132)</f>
        <v>0</v>
      </c>
      <c r="AU118" s="327">
        <f>IF(ISERROR('raw data'!CL132/'raw data'!CM132),0,'raw data'!CL132/'raw data'!CM132)</f>
        <v>0</v>
      </c>
      <c r="AV118" s="327">
        <f>IF(ISERROR('raw data'!CN132/'raw data'!CO132),0,'raw data'!CN132/'raw data'!CO132)</f>
        <v>0</v>
      </c>
      <c r="AW118" s="327">
        <f>IF(ISERROR('raw data'!CP132/'raw data'!CQ132),0,'raw data'!CP132/'raw data'!CQ132)</f>
        <v>0</v>
      </c>
      <c r="AX118" s="327">
        <f>IF(ISERROR('raw data'!CR132/'raw data'!CS132),0,'raw data'!CR132/'raw data'!CS132)</f>
        <v>0</v>
      </c>
      <c r="AY118" s="327">
        <f>IF(ISERROR('raw data'!CT132/'raw data'!CU132),0,'raw data'!CT132/'raw data'!CU132)</f>
        <v>0</v>
      </c>
      <c r="AZ118" s="327">
        <f>IF(ISERROR('raw data'!CV132/'raw data'!CW132),0,'raw data'!CV132/'raw data'!CW132)</f>
        <v>0</v>
      </c>
      <c r="BA118" s="327">
        <f>IF(ISERROR('raw data'!CX132/'raw data'!CY132),0,'raw data'!CX132/'raw data'!CY132)</f>
        <v>0</v>
      </c>
      <c r="BB118" s="327">
        <f>IF(ISERROR('raw data'!CZ132/'raw data'!DA132),0,'raw data'!CZ132/'raw data'!DA132)</f>
        <v>0</v>
      </c>
      <c r="BC118" s="327">
        <f>IF(ISERROR('raw data'!DB132/'raw data'!DC132),0,'raw data'!DB132/'raw data'!DC132)</f>
        <v>0</v>
      </c>
      <c r="BD118" s="327">
        <f>IF(ISERROR('raw data'!DD132/'raw data'!DE132),0,'raw data'!DD132/'raw data'!DE132)</f>
        <v>0</v>
      </c>
      <c r="BE118" s="327">
        <f>IF(ISERROR('raw data'!DF132/'raw data'!DG132),0,'raw data'!DF132/'raw data'!DG132)</f>
        <v>0</v>
      </c>
      <c r="BF118" s="327">
        <f>IF(ISERROR('raw data'!DH132/'raw data'!DI132),0,'raw data'!DH132/'raw data'!DI132)</f>
        <v>0</v>
      </c>
      <c r="BG118" s="327">
        <f>IF(ISERROR('raw data'!DJ132/'raw data'!DK132),0,'raw data'!DJ132/'raw data'!DK132)</f>
        <v>0</v>
      </c>
      <c r="BH118" s="327">
        <f>IF(ISERROR('raw data'!DL132/'raw data'!DM132),0,'raw data'!DL132/'raw data'!DM132)</f>
        <v>0</v>
      </c>
      <c r="BI118" s="327">
        <f>IF(ISERROR('raw data'!DN132/'raw data'!DO132),0,'raw data'!DN132/'raw data'!DO132)</f>
        <v>0</v>
      </c>
      <c r="BJ118" s="327">
        <f>IF(ISERROR('raw data'!DP132/'raw data'!DQ132),0,'raw data'!DP132/'raw data'!DQ132)</f>
        <v>0</v>
      </c>
      <c r="BK118" s="327">
        <f>IF(ISERROR('raw data'!DR132/'raw data'!DS132),0,'raw data'!DR132/'raw data'!DS132)</f>
        <v>0</v>
      </c>
      <c r="BL118" s="327">
        <f>IF(ISERROR('raw data'!DT132/'raw data'!DU132),0,'raw data'!DT132/'raw data'!DU132)</f>
        <v>0</v>
      </c>
      <c r="BM118" s="327">
        <f>IF(ISERROR('raw data'!DV132/'raw data'!DW132),0,'raw data'!DV132/'raw data'!DW132)</f>
        <v>0</v>
      </c>
      <c r="BN118" s="327">
        <f>IF(ISERROR('raw data'!DX132/'raw data'!DY132),0,'raw data'!DX132/'raw data'!DY132)</f>
        <v>0</v>
      </c>
      <c r="BO118" s="327">
        <f>IF(ISERROR('raw data'!DZ132/'raw data'!EA132),0,'raw data'!DZ132/'raw data'!EA132)</f>
        <v>0</v>
      </c>
      <c r="BP118" s="327">
        <f>IF(ISERROR('raw data'!EB132/'raw data'!EC132),0,'raw data'!EB132/'raw data'!EC132)</f>
        <v>0</v>
      </c>
      <c r="BQ118" s="327">
        <f>IF(ISERROR('raw data'!ED132/'raw data'!EE132),0,'raw data'!ED132/'raw data'!EE132)</f>
        <v>0</v>
      </c>
      <c r="BR118" s="327">
        <f>IF(ISERROR('raw data'!EF132/'raw data'!EG132),0,'raw data'!EF132/'raw data'!EG132)</f>
        <v>0</v>
      </c>
      <c r="BS118" s="327">
        <f>IF(ISERROR('raw data'!EH132/'raw data'!EI132),0,'raw data'!EH132/'raw data'!EI132)</f>
        <v>0</v>
      </c>
      <c r="BT118" s="327">
        <f>IF(ISERROR('raw data'!EJ132/'raw data'!EK132),0,'raw data'!EJ132/'raw data'!EK132)</f>
        <v>0</v>
      </c>
      <c r="BU118" s="327">
        <f>IF(ISERROR('raw data'!EL132/'raw data'!EM132),0,'raw data'!EL132/'raw data'!EM132)</f>
        <v>0</v>
      </c>
      <c r="BV118" s="327">
        <f>IF(ISERROR('raw data'!EN132/'raw data'!EO132),0,'raw data'!EN132/'raw data'!EO132)</f>
        <v>0</v>
      </c>
      <c r="BW118" s="327">
        <f>IF(ISERROR('raw data'!EP132/'raw data'!EQ132),0,'raw data'!EP132/'raw data'!EQ132)</f>
        <v>0</v>
      </c>
      <c r="BX118" s="327">
        <f>IF(ISERROR('raw data'!ER132/'raw data'!ES132),0,'raw data'!ER132/'raw data'!ES132)</f>
        <v>0</v>
      </c>
      <c r="BY118" s="327">
        <f>IF(ISERROR('raw data'!ET132/'raw data'!EU132),0,'raw data'!ET132/'raw data'!EU132)</f>
        <v>0</v>
      </c>
      <c r="BZ118" s="232" t="s">
        <v>243</v>
      </c>
      <c r="CA118" s="232" t="s">
        <v>243</v>
      </c>
      <c r="CB118" s="232" t="s">
        <v>243</v>
      </c>
      <c r="CC118" s="232" t="s">
        <v>243</v>
      </c>
      <c r="CD118" s="232" t="s">
        <v>243</v>
      </c>
      <c r="CE118" s="232" t="s">
        <v>243</v>
      </c>
      <c r="CF118" s="232" t="s">
        <v>243</v>
      </c>
      <c r="CG118" s="232" t="s">
        <v>243</v>
      </c>
      <c r="CH118" s="232" t="s">
        <v>243</v>
      </c>
      <c r="CI118" s="232" t="s">
        <v>243</v>
      </c>
      <c r="CJ118" s="232" t="s">
        <v>243</v>
      </c>
      <c r="CK118" s="232" t="s">
        <v>243</v>
      </c>
      <c r="CL118" s="232" t="s">
        <v>243</v>
      </c>
      <c r="CM118" s="232" t="s">
        <v>243</v>
      </c>
      <c r="CN118" s="232" t="s">
        <v>243</v>
      </c>
      <c r="CO118" s="232" t="s">
        <v>243</v>
      </c>
      <c r="CP118" s="232" t="s">
        <v>243</v>
      </c>
      <c r="CQ118" s="232" t="s">
        <v>243</v>
      </c>
      <c r="CR118" s="232" t="s">
        <v>243</v>
      </c>
      <c r="CS118" s="232" t="s">
        <v>243</v>
      </c>
      <c r="CT118" s="232" t="s">
        <v>243</v>
      </c>
      <c r="CU118" s="232" t="s">
        <v>243</v>
      </c>
      <c r="CV118" s="232" t="s">
        <v>243</v>
      </c>
      <c r="CW118" s="232" t="s">
        <v>243</v>
      </c>
      <c r="CX118" s="232" t="s">
        <v>243</v>
      </c>
      <c r="CY118" s="232" t="s">
        <v>243</v>
      </c>
      <c r="CZ118" s="232" t="s">
        <v>243</v>
      </c>
      <c r="DA118" s="232" t="s">
        <v>243</v>
      </c>
      <c r="DB118" s="232" t="s">
        <v>243</v>
      </c>
      <c r="DC118" s="232" t="s">
        <v>243</v>
      </c>
      <c r="DD118" s="232" t="s">
        <v>243</v>
      </c>
      <c r="DE118" s="232" t="s">
        <v>243</v>
      </c>
      <c r="DF118" s="232" t="s">
        <v>243</v>
      </c>
      <c r="DG118" s="232" t="s">
        <v>243</v>
      </c>
      <c r="DH118" s="232" t="s">
        <v>243</v>
      </c>
      <c r="DI118" s="232" t="s">
        <v>243</v>
      </c>
      <c r="DJ118" s="232" t="s">
        <v>243</v>
      </c>
      <c r="DK118" s="232" t="s">
        <v>243</v>
      </c>
      <c r="DL118" s="232" t="s">
        <v>243</v>
      </c>
      <c r="DM118" s="232" t="s">
        <v>243</v>
      </c>
      <c r="DN118" s="232" t="s">
        <v>243</v>
      </c>
      <c r="DO118" s="232" t="s">
        <v>243</v>
      </c>
      <c r="DP118" s="232" t="s">
        <v>243</v>
      </c>
      <c r="DQ118" s="232" t="s">
        <v>243</v>
      </c>
      <c r="DR118" s="232" t="s">
        <v>243</v>
      </c>
      <c r="DS118" s="232" t="s">
        <v>243</v>
      </c>
      <c r="DT118" s="232" t="s">
        <v>243</v>
      </c>
      <c r="DU118" s="232" t="s">
        <v>243</v>
      </c>
      <c r="DV118" s="232" t="s">
        <v>243</v>
      </c>
      <c r="DW118" s="232" t="s">
        <v>243</v>
      </c>
      <c r="DX118" s="232" t="s">
        <v>243</v>
      </c>
      <c r="DY118" s="232" t="s">
        <v>243</v>
      </c>
      <c r="DZ118" s="232" t="s">
        <v>243</v>
      </c>
      <c r="EA118" s="232" t="s">
        <v>243</v>
      </c>
      <c r="EB118" s="232" t="s">
        <v>243</v>
      </c>
      <c r="EC118" s="232" t="s">
        <v>243</v>
      </c>
      <c r="ED118" s="243"/>
      <c r="EE118" s="328">
        <v>0</v>
      </c>
      <c r="EF118" s="328">
        <v>0</v>
      </c>
      <c r="EG118" s="329">
        <f t="shared" si="5"/>
        <v>0</v>
      </c>
    </row>
    <row r="119" spans="1:137" ht="42" x14ac:dyDescent="0.15">
      <c r="A119" s="322" t="s">
        <v>224</v>
      </c>
      <c r="B119" s="323" t="str">
        <f>'raw data'!B134</f>
        <v>Flex accounts of Eastern Europeans, possibly benefits paid (Child Benefit, JSA etc) and may live abroad (2 or more VW in last 3 months).</v>
      </c>
      <c r="C119" s="323" t="s">
        <v>19</v>
      </c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  <c r="AO119" s="326"/>
      <c r="AP119" s="326"/>
      <c r="AQ119" s="326"/>
      <c r="AR119" s="326"/>
      <c r="AS119" s="326"/>
      <c r="AT119" s="326"/>
      <c r="AU119" s="326"/>
      <c r="AV119" s="326"/>
      <c r="AW119" s="326"/>
      <c r="AX119" s="326"/>
      <c r="AY119" s="326"/>
      <c r="AZ119" s="326"/>
      <c r="BA119" s="326"/>
      <c r="BB119" s="326"/>
      <c r="BC119" s="326"/>
      <c r="BD119" s="326"/>
      <c r="BE119" s="326"/>
      <c r="BF119" s="326"/>
      <c r="BG119" s="326"/>
      <c r="BH119" s="326"/>
      <c r="BI119" s="326"/>
      <c r="BJ119" s="326"/>
      <c r="BK119" s="326"/>
      <c r="BL119" s="326"/>
      <c r="BM119" s="326"/>
      <c r="BN119" s="326"/>
      <c r="BO119" s="326"/>
      <c r="BP119" s="326"/>
      <c r="BQ119" s="326"/>
      <c r="BR119" s="326"/>
      <c r="BS119" s="326"/>
      <c r="BT119" s="326"/>
      <c r="BU119" s="326"/>
      <c r="BV119" s="326"/>
      <c r="BW119" s="326"/>
      <c r="BX119" s="326"/>
      <c r="BY119" s="326"/>
      <c r="BZ119" s="327">
        <f>IF(ISERROR('raw data'!EV134/'raw data'!EW134),0,'raw data'!EV134/'raw data'!EW134)</f>
        <v>3.6363636363636362E-2</v>
      </c>
      <c r="CA119" s="327">
        <f>IF(ISERROR('raw data'!EX134/'raw data'!EY134),0,'raw data'!EX134/'raw data'!EY134)</f>
        <v>9.0909090909090912E-2</v>
      </c>
      <c r="CB119" s="327">
        <f>IF(ISERROR('raw data'!EZ134/'raw data'!FA134),0,'raw data'!EZ134/'raw data'!FA134)</f>
        <v>0</v>
      </c>
      <c r="CC119" s="327">
        <f>IF(ISERROR('raw data'!FB134/'raw data'!FC134),0,'raw data'!FB134/'raw data'!FC134)</f>
        <v>0.14285714285714285</v>
      </c>
      <c r="CD119" s="327">
        <f>IF(ISERROR('raw data'!FD134/'raw data'!FE134),0,'raw data'!FD134/'raw data'!FE134)</f>
        <v>7.1428571428571425E-2</v>
      </c>
      <c r="CE119" s="327">
        <f>IF(ISERROR('raw data'!FF134/'raw data'!FG134),0,'raw data'!FF134/'raw data'!FG134)</f>
        <v>6.25E-2</v>
      </c>
      <c r="CF119" s="327">
        <f>IF(ISERROR('raw data'!FH134/'raw data'!FI134),0,'raw data'!FH134/'raw data'!FI134)</f>
        <v>4.7619047619047616E-2</v>
      </c>
      <c r="CG119" s="327">
        <f>IF(ISERROR('raw data'!FJ134/'raw data'!FM134),0,'raw data'!FJ134/'raw data'!FM134)</f>
        <v>0</v>
      </c>
      <c r="CH119" s="238" t="s">
        <v>30</v>
      </c>
      <c r="CI119" s="238" t="s">
        <v>30</v>
      </c>
      <c r="CJ119" s="238" t="s">
        <v>30</v>
      </c>
      <c r="CK119" s="238" t="s">
        <v>30</v>
      </c>
      <c r="CL119" s="238" t="s">
        <v>30</v>
      </c>
      <c r="CM119" s="238" t="s">
        <v>30</v>
      </c>
      <c r="CN119" s="238" t="s">
        <v>30</v>
      </c>
      <c r="CO119" s="238" t="s">
        <v>30</v>
      </c>
      <c r="CP119" s="238" t="s">
        <v>30</v>
      </c>
      <c r="CQ119" s="238" t="s">
        <v>30</v>
      </c>
      <c r="CR119" s="238" t="s">
        <v>30</v>
      </c>
      <c r="CS119" s="238" t="s">
        <v>30</v>
      </c>
      <c r="CT119" s="238" t="s">
        <v>30</v>
      </c>
      <c r="CU119" s="238" t="s">
        <v>30</v>
      </c>
      <c r="CV119" s="238" t="s">
        <v>30</v>
      </c>
      <c r="CW119" s="238" t="s">
        <v>30</v>
      </c>
      <c r="CX119" s="238" t="s">
        <v>30</v>
      </c>
      <c r="CY119" s="238" t="s">
        <v>30</v>
      </c>
      <c r="CZ119" s="238" t="s">
        <v>30</v>
      </c>
      <c r="DA119" s="238" t="s">
        <v>30</v>
      </c>
      <c r="DB119" s="238" t="s">
        <v>30</v>
      </c>
      <c r="DC119" s="238" t="s">
        <v>30</v>
      </c>
      <c r="DD119" s="238" t="s">
        <v>30</v>
      </c>
      <c r="DE119" s="238" t="s">
        <v>30</v>
      </c>
      <c r="DF119" s="238" t="s">
        <v>30</v>
      </c>
      <c r="DG119" s="238" t="s">
        <v>30</v>
      </c>
      <c r="DH119" s="238" t="s">
        <v>30</v>
      </c>
      <c r="DI119" s="238" t="s">
        <v>30</v>
      </c>
      <c r="DJ119" s="238" t="s">
        <v>30</v>
      </c>
      <c r="DK119" s="238" t="s">
        <v>30</v>
      </c>
      <c r="DL119" s="238" t="s">
        <v>30</v>
      </c>
      <c r="DM119" s="238" t="s">
        <v>30</v>
      </c>
      <c r="DN119" s="238" t="s">
        <v>30</v>
      </c>
      <c r="DO119" s="238" t="s">
        <v>30</v>
      </c>
      <c r="DP119" s="238" t="s">
        <v>30</v>
      </c>
      <c r="DQ119" s="238" t="s">
        <v>30</v>
      </c>
      <c r="DR119" s="238" t="s">
        <v>30</v>
      </c>
      <c r="DS119" s="238" t="s">
        <v>30</v>
      </c>
      <c r="DT119" s="238" t="s">
        <v>30</v>
      </c>
      <c r="DU119" s="238" t="s">
        <v>30</v>
      </c>
      <c r="DV119" s="238" t="s">
        <v>30</v>
      </c>
      <c r="DW119" s="238" t="s">
        <v>30</v>
      </c>
      <c r="DX119" s="238" t="s">
        <v>30</v>
      </c>
      <c r="DY119" s="238" t="s">
        <v>30</v>
      </c>
      <c r="DZ119" s="238" t="s">
        <v>30</v>
      </c>
      <c r="EA119" s="238" t="s">
        <v>30</v>
      </c>
      <c r="EB119" s="238" t="s">
        <v>30</v>
      </c>
      <c r="EC119" s="238" t="s">
        <v>30</v>
      </c>
      <c r="ED119" s="243"/>
      <c r="EE119" s="328">
        <v>0</v>
      </c>
      <c r="EF119" s="328">
        <v>0</v>
      </c>
      <c r="EG119" s="329">
        <f t="shared" si="5"/>
        <v>0</v>
      </c>
    </row>
    <row r="120" spans="1:137" ht="14" x14ac:dyDescent="0.15">
      <c r="A120" s="241"/>
      <c r="B120" s="321" t="s">
        <v>225</v>
      </c>
      <c r="C120" s="321" t="s">
        <v>225</v>
      </c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330">
        <f>IF(ISERROR('raw data'!AX135/'raw data'!AY135),0,'raw data'!AX135/'raw data'!AY135)</f>
        <v>0.75247524752475248</v>
      </c>
      <c r="AB120" s="330">
        <f>IF(ISERROR('raw data'!AZ135/'raw data'!BA135),0,'raw data'!AZ135/'raw data'!BA135)</f>
        <v>0.46666666666666667</v>
      </c>
      <c r="AC120" s="330">
        <f>IF(ISERROR('raw data'!BB135/'raw data'!BC135),0,'raw data'!BB135/'raw data'!BC135)</f>
        <v>0.5572519083969466</v>
      </c>
      <c r="AD120" s="330">
        <f>IF(ISERROR('raw data'!BD135/'raw data'!BE135),0,'raw data'!BD135/'raw data'!BE135)</f>
        <v>0.46099290780141844</v>
      </c>
      <c r="AE120" s="330">
        <f>IF(ISERROR('raw data'!BF135/'raw data'!BG135),0,'raw data'!BF135/'raw data'!BG135)</f>
        <v>0.49275362318840582</v>
      </c>
      <c r="AF120" s="330">
        <f>IF(ISERROR('raw data'!BH135/'raw data'!BI135),0,'raw data'!BH135/'raw data'!BI135)</f>
        <v>0.36814621409921672</v>
      </c>
      <c r="AG120" s="330">
        <f>IF(ISERROR('raw data'!BJ135/'raw data'!BK135),0,'raw data'!BJ135/'raw data'!BK135)</f>
        <v>0.37931034482758619</v>
      </c>
      <c r="AH120" s="330">
        <f>IF(ISERROR('raw data'!BL135/'raw data'!BM135),0,'raw data'!BL135/'raw data'!BM135)</f>
        <v>0.30851063829787234</v>
      </c>
      <c r="AI120" s="330">
        <f>IF(ISERROR('raw data'!BN135/'raw data'!BO135),0,'raw data'!BN135/'raw data'!BO135)</f>
        <v>0.43055555555555558</v>
      </c>
      <c r="AJ120" s="330">
        <f>IF(ISERROR('raw data'!BP135/'raw data'!BQ135),0,'raw data'!BP135/'raw data'!BQ135)</f>
        <v>0.3891625615763547</v>
      </c>
      <c r="AK120" s="330">
        <f>IF(ISERROR('raw data'!BR135/'raw data'!BS135),0,'raw data'!BR135/'raw data'!BS135)</f>
        <v>0.33734939759036142</v>
      </c>
      <c r="AL120" s="330">
        <f>IF(ISERROR('raw data'!BT135/'raw data'!BU135),0,'raw data'!BT135/'raw data'!BU135)</f>
        <v>0.32692307692307693</v>
      </c>
      <c r="AM120" s="330">
        <f>IF(ISERROR('raw data'!BV135/'raw data'!BW135),0,'raw data'!BV135/'raw data'!BW135)</f>
        <v>0.41968911917098445</v>
      </c>
      <c r="AN120" s="330">
        <f>IF(ISERROR('raw data'!BX135/'raw data'!BY135),0,'raw data'!BX135/'raw data'!BY135)</f>
        <v>0.35406698564593303</v>
      </c>
      <c r="AO120" s="330">
        <f>IF(ISERROR('raw data'!BZ135/'raw data'!CA135),0,'raw data'!BZ135/'raw data'!CA135)</f>
        <v>0.37333333333333335</v>
      </c>
      <c r="AP120" s="330">
        <f>IF(ISERROR('raw data'!CB135/'raw data'!CC135),0,'raw data'!CB135/'raw data'!CC135)</f>
        <v>0.37931034482758619</v>
      </c>
      <c r="AQ120" s="330">
        <f>IF(ISERROR('raw data'!CD135/'raw data'!CE135),0,'raw data'!CD135/'raw data'!CE135)</f>
        <v>0.41621621621621624</v>
      </c>
      <c r="AR120" s="330">
        <f>IF(ISERROR('raw data'!CF135/'raw data'!CG135),0,'raw data'!CF135/'raw data'!CG135)</f>
        <v>0.36269430051813473</v>
      </c>
      <c r="AS120" s="330">
        <f>IF(ISERROR('raw data'!CH135/'raw data'!CI135),0,'raw data'!CH135/'raw data'!CI135)</f>
        <v>0.39428571428571429</v>
      </c>
      <c r="AT120" s="330">
        <f>IF(ISERROR('raw data'!CJ135/'raw data'!CK135),0,'raw data'!CJ135/'raw data'!CK135)</f>
        <v>0.44696969696969696</v>
      </c>
      <c r="AU120" s="330">
        <f>IF(ISERROR('raw data'!CL135/'raw data'!CM135),0,'raw data'!CL135/'raw data'!CM135)</f>
        <v>0.41463414634146339</v>
      </c>
      <c r="AV120" s="330">
        <f>IF(ISERROR('raw data'!CN135/'raw data'!CO135),0,'raw data'!CN135/'raw data'!CO135)</f>
        <v>0.41353383458646614</v>
      </c>
      <c r="AW120" s="330">
        <f>IF(ISERROR('raw data'!CP135/'raw data'!CQ135),0,'raw data'!CP135/'raw data'!CQ135)</f>
        <v>0.4041095890410959</v>
      </c>
      <c r="AX120" s="330">
        <f>IF(ISERROR('raw data'!CR135/'raw data'!CS135),0,'raw data'!CR135/'raw data'!CS135)</f>
        <v>0.39779005524861877</v>
      </c>
      <c r="AY120" s="330">
        <f>IF(ISERROR('raw data'!CT135/'raw data'!CU135),0,'raw data'!CT135/'raw data'!CU135)</f>
        <v>0.36842105263157893</v>
      </c>
      <c r="AZ120" s="330">
        <f>IF(ISERROR('raw data'!CV135/'raw data'!CW135),0,'raw data'!CV135/'raw data'!CW135)</f>
        <v>0.38043478260869568</v>
      </c>
      <c r="BA120" s="330">
        <f>IF(ISERROR('raw data'!CX135/'raw data'!CY135),0,'raw data'!CX135/'raw data'!CY135)</f>
        <v>0.31446540880503143</v>
      </c>
      <c r="BB120" s="330">
        <f>IF(ISERROR('raw data'!CZ135/'raw data'!DA135),0,'raw data'!CZ135/'raw data'!DA135)</f>
        <v>0.35507246376811596</v>
      </c>
      <c r="BC120" s="330">
        <f>IF(ISERROR('raw data'!DB135/'raw data'!DC135),0,'raw data'!DB135/'raw data'!DC135)</f>
        <v>0.47474747474747475</v>
      </c>
      <c r="BD120" s="330">
        <f>IF(ISERROR('raw data'!DD135/'raw data'!DE135),0,'raw data'!DD135/'raw data'!DE135)</f>
        <v>0.25714285714285712</v>
      </c>
      <c r="BE120" s="330">
        <f>IF(ISERROR('raw data'!DF135/'raw data'!DG135),0,'raw data'!DF135/'raw data'!DG135)</f>
        <v>0.30612244897959184</v>
      </c>
      <c r="BF120" s="330">
        <f>IF(ISERROR('raw data'!DH135/'raw data'!DI135),0,'raw data'!DH135/'raw data'!DI135)</f>
        <v>0.315</v>
      </c>
      <c r="BG120" s="330">
        <f>IF(ISERROR('raw data'!DJ135/'raw data'!DK135),0,'raw data'!DJ135/'raw data'!DK135)</f>
        <v>0.41666666666666669</v>
      </c>
      <c r="BH120" s="330">
        <f>IF(ISERROR('raw data'!DL135/'raw data'!DM135),0,'raw data'!DL135/'raw data'!DM135)</f>
        <v>0.35820895522388058</v>
      </c>
      <c r="BI120" s="330">
        <f>IF(ISERROR('raw data'!DN135/'raw data'!DO135),0,'raw data'!DN135/'raw data'!DO135)</f>
        <v>0.42553191489361702</v>
      </c>
      <c r="BJ120" s="330">
        <f>IF(ISERROR('raw data'!DP135/'raw data'!DQ135),0,'raw data'!DP135/'raw data'!DQ135)</f>
        <v>0.36</v>
      </c>
      <c r="BK120" s="330">
        <f>IF(ISERROR('raw data'!DR135/'raw data'!DS135),0,'raw data'!DR135/'raw data'!DS135)</f>
        <v>0.39200000000000002</v>
      </c>
      <c r="BL120" s="330">
        <f>IF(ISERROR('raw data'!DT135/'raw data'!DU135),0,'raw data'!DT135/'raw data'!DU135)</f>
        <v>0.35947712418300654</v>
      </c>
      <c r="BM120" s="330">
        <f>IF(ISERROR('raw data'!DV135/'raw data'!DW135),0,'raw data'!DV135/'raw data'!DW135)</f>
        <v>0.29239766081871343</v>
      </c>
      <c r="BN120" s="330">
        <f>IF(ISERROR('raw data'!DX135/'raw data'!DY135),0,'raw data'!DX135/'raw data'!DY135)</f>
        <v>0.23853211009174313</v>
      </c>
      <c r="BO120" s="330">
        <f>IF(ISERROR('raw data'!DZ135/'raw data'!EA135),0,'raw data'!DZ135/'raw data'!EA135)</f>
        <v>0.29230769230769232</v>
      </c>
      <c r="BP120" s="330">
        <f>IF(ISERROR('raw data'!EB135/'raw data'!EC135),0,'raw data'!EB135/'raw data'!EC135)</f>
        <v>0.19047619047619047</v>
      </c>
      <c r="BQ120" s="330">
        <f>IF(ISERROR('raw data'!ED135/'raw data'!EE135),0,'raw data'!ED135/'raw data'!EE135)</f>
        <v>0.32800000000000001</v>
      </c>
      <c r="BR120" s="330">
        <f>IF(ISERROR('raw data'!EF135/'raw data'!EG135),0,'raw data'!EF135/'raw data'!EG135)</f>
        <v>0.21774193548387097</v>
      </c>
      <c r="BS120" s="330">
        <f>IF(ISERROR('raw data'!EH135/'raw data'!EI135),0,'raw data'!EH135/'raw data'!EI135)</f>
        <v>0.2857142857142857</v>
      </c>
      <c r="BT120" s="330">
        <f>IF(ISERROR('raw data'!EJ135/'raw data'!EK135),0,'raw data'!EJ135/'raw data'!EK135)</f>
        <v>0.21739130434782608</v>
      </c>
      <c r="BU120" s="330">
        <f>IF(ISERROR('raw data'!EL135/'raw data'!EM135),0,'raw data'!EL135/'raw data'!EM135)</f>
        <v>0.28244274809160308</v>
      </c>
      <c r="BV120" s="330">
        <f>IF(ISERROR('raw data'!EN135/'raw data'!EO135),0,'raw data'!EN135/'raw data'!EO135)</f>
        <v>0.27731092436974791</v>
      </c>
      <c r="BW120" s="330">
        <f>IF(ISERROR('raw data'!EP135/'raw data'!EQ135),0,'raw data'!EP135/'raw data'!EQ135)</f>
        <v>0.2125984251968504</v>
      </c>
      <c r="BX120" s="330">
        <f>IF(ISERROR('raw data'!ER135/'raw data'!ES135),0,'raw data'!ER135/'raw data'!ES135)</f>
        <v>0.19607843137254902</v>
      </c>
      <c r="BY120" s="330">
        <f>IF(ISERROR('raw data'!ET135/'raw data'!EU135),0,'raw data'!ET135/'raw data'!EU135)</f>
        <v>0.21428571428571427</v>
      </c>
      <c r="BZ120" s="330">
        <f>IF(ISERROR('raw data'!EV135/'raw data'!EW135),0,'raw data'!EV135/'raw data'!EW135)</f>
        <v>0.11920529801324503</v>
      </c>
      <c r="CA120" s="330">
        <f>IF(ISERROR('raw data'!EX135/'raw data'!EY135),0,'raw data'!EX135/'raw data'!EY135)</f>
        <v>0.26771653543307089</v>
      </c>
      <c r="CB120" s="330">
        <f>IF(ISERROR('raw data'!EZ135/'raw data'!FA135),0,'raw data'!EZ135/'raw data'!FA135)</f>
        <v>0.26666666666666666</v>
      </c>
      <c r="CC120" s="330">
        <f>IF(ISERROR('raw data'!FB135/'raw data'!FC135),0,'raw data'!FB135/'raw data'!FC135)</f>
        <v>0.28048780487804881</v>
      </c>
      <c r="CD120" s="330">
        <f>IF(ISERROR('raw data'!FD135/'raw data'!FE135),0,'raw data'!FD135/'raw data'!FE135)</f>
        <v>0.2231404958677686</v>
      </c>
      <c r="CE120" s="330">
        <f>IF(ISERROR('raw data'!FF135/'raw data'!FG135),0,'raw data'!FF135/'raw data'!FG135)</f>
        <v>0.3364485981308411</v>
      </c>
      <c r="CF120" s="330">
        <f>IF(ISERROR('raw data'!FH135/'raw data'!FI135),0,'raw data'!FH135/'raw data'!FI135)</f>
        <v>0.25217391304347825</v>
      </c>
      <c r="CG120" s="330">
        <f>IF(ISERROR('raw data'!FJ135/'raw data'!FM135),0,'raw data'!FJ135/'raw data'!FM135)</f>
        <v>0.29197080291970801</v>
      </c>
      <c r="CH120" s="330">
        <f>IF(ISERROR('raw data'!FN135/'raw data'!FO135),0,'raw data'!FN135/'raw data'!FO135)</f>
        <v>0.53281853281853286</v>
      </c>
      <c r="CI120" s="330">
        <f>IF(ISERROR('raw data'!FP135/'raw data'!FQ135),0,'raw data'!FP135/'raw data'!FQ135)</f>
        <v>0.35</v>
      </c>
      <c r="CJ120" s="330">
        <f>IF(ISERROR('raw data'!FR135/'raw data'!FS135),0,'raw data'!FR135/'raw data'!FS135)</f>
        <v>0.32867132867132864</v>
      </c>
      <c r="CK120" s="330">
        <f>IF(ISERROR('raw data'!FT135/'raw data'!FU135),0,'raw data'!FT135/'raw data'!FU135)</f>
        <v>0.2982456140350877</v>
      </c>
      <c r="CL120" s="330">
        <f>IF(ISERROR('raw data'!FV135/'raw data'!FW135),0,'raw data'!FV135/'raw data'!FW135)</f>
        <v>0.49103942652329752</v>
      </c>
      <c r="CM120" s="330">
        <f>IF(ISERROR('raw data'!FX135/'raw data'!FY135),0,'raw data'!FX135/'raw data'!FY135)</f>
        <v>0.46629213483146065</v>
      </c>
      <c r="CN120" s="330">
        <f>IF(ISERROR('raw data'!FZ135/'raw data'!GA135),0,'raw data'!FZ135/'raw data'!GA135)</f>
        <v>0.421875</v>
      </c>
      <c r="CO120" s="330">
        <f>IF(ISERROR('raw data'!GB135/'raw data'!GC135),0,'raw data'!GB135/'raw data'!GC135)</f>
        <v>0.73529411764705888</v>
      </c>
      <c r="CP120" s="330">
        <f>IF(ISERROR('raw data'!GD135/'raw data'!GE135),0,'raw data'!GD135/'raw data'!GE135)</f>
        <v>5.5555555555555552E-2</v>
      </c>
      <c r="CQ120" s="330">
        <f>IF(ISERROR('raw data'!GF135/'raw data'!GG135),0,'raw data'!GF135/'raw data'!GG135)</f>
        <v>0.6</v>
      </c>
      <c r="CR120" s="330">
        <f>IF(ISERROR('raw data'!GH135/'raw data'!GI135),0,'raw data'!GH135/'raw data'!GI135)</f>
        <v>0.61290322580645162</v>
      </c>
      <c r="CS120" s="330">
        <f>IF(ISERROR('raw data'!GJ135/'raw data'!GK135),0,'raw data'!GJ135/'raw data'!GK135)</f>
        <v>0.48888888888888887</v>
      </c>
      <c r="CT120" s="330">
        <f>IF(ISERROR('raw data'!GL135/'raw data'!GM135),0,'raw data'!GL135/'raw data'!GM135)</f>
        <v>0.43055555555555558</v>
      </c>
      <c r="CU120" s="330">
        <f>IF(ISERROR('raw data'!GN135/'raw data'!GO135),0,'raw data'!GN135/'raw data'!GO135)</f>
        <v>0.17777777777777778</v>
      </c>
      <c r="CV120" s="330">
        <f>IF(ISERROR('raw data'!GP135/'raw data'!GQ135),0,'raw data'!GP135/'raw data'!GQ135)</f>
        <v>0.35714285714285715</v>
      </c>
      <c r="CW120" s="330">
        <f>IF(ISERROR('raw data'!GR135/'raw data'!GS135),0,'raw data'!GR135/'raw data'!GS135)</f>
        <v>0.43396226415094341</v>
      </c>
      <c r="CX120" s="330">
        <f>IF(ISERROR('raw data'!GT135/'raw data'!GU135),0,'raw data'!GT135/'raw data'!GU135)</f>
        <v>0.27777777777777779</v>
      </c>
      <c r="CY120" s="330">
        <f>IF(ISERROR('raw data'!GV135/'raw data'!GW135),0,'raw data'!GV135/'raw data'!GW135)</f>
        <v>0.67391304347826086</v>
      </c>
      <c r="CZ120" s="330">
        <f>IF(ISERROR('raw data'!GX135/'raw data'!GY135),0,'raw data'!GX135/'raw data'!GY135)</f>
        <v>0.5957446808510638</v>
      </c>
      <c r="DA120" s="330">
        <f>IF(ISERROR('raw data'!GZ135/'raw data'!HA135),0,'raw data'!GZ135/'raw data'!HA135)</f>
        <v>0</v>
      </c>
      <c r="DB120" s="330">
        <f>IF(ISERROR('raw data'!HB135/'raw data'!HC135),0,'raw data'!HB135/'raw data'!HC135)</f>
        <v>0.62616822429906538</v>
      </c>
      <c r="DC120" s="330">
        <f>IF(ISERROR('raw data'!HD135/'raw data'!HE135),0,'raw data'!HD135/'raw data'!HE135)</f>
        <v>0.55555555555555558</v>
      </c>
      <c r="DD120" s="330">
        <f>IF(ISERROR('raw data'!HF135/'raw data'!HG135),0,'raw data'!HF135/'raw data'!HG135)</f>
        <v>0.52941176470588236</v>
      </c>
      <c r="DE120" s="330">
        <f>IF(ISERROR('raw data'!HH135/'raw data'!HI135),0,'raw data'!HH135/'raw data'!HI135)</f>
        <v>0.57232704402515722</v>
      </c>
      <c r="DF120" s="330">
        <f>IF(ISERROR('raw data'!HJ135/'raw data'!HK135),0,'raw data'!HJ135/'raw data'!HK135)</f>
        <v>0.47540983606557374</v>
      </c>
      <c r="DG120" s="330">
        <f>IF(ISERROR('raw data'!HL135/'raw data'!HM135),0,'raw data'!HL135/'raw data'!HM135)</f>
        <v>0.66666666666666663</v>
      </c>
      <c r="DH120" s="330">
        <f>IF(ISERROR('raw data'!HN135/'raw data'!HO135),0,'raw data'!HN135/'raw data'!HO135)</f>
        <v>0.69387755102040816</v>
      </c>
      <c r="DI120" s="330">
        <f>IF(ISERROR('raw data'!HP135/'raw data'!HQ135),0,'raw data'!HP135/'raw data'!HQ135)</f>
        <v>0.48314606741573035</v>
      </c>
      <c r="DJ120" s="330">
        <f>IF(ISERROR('raw data'!HR135/'raw data'!HS135),0,'raw data'!HR135/'raw data'!HS135)</f>
        <v>0.52631578947368418</v>
      </c>
      <c r="DK120" s="330">
        <f>IF(ISERROR('raw data'!HT135/'raw data'!HU135),0,'raw data'!HT135/'raw data'!HU135)</f>
        <v>0.77192982456140347</v>
      </c>
      <c r="DL120" s="330">
        <f>IF(ISERROR('raw data'!HV135/'raw data'!HW135),0,'raw data'!HV135/'raw data'!HW135)</f>
        <v>0.72881355932203384</v>
      </c>
      <c r="DM120" s="330">
        <f>IF(ISERROR('raw data'!HX135/'raw data'!HY135),0,'raw data'!HX135/'raw data'!HY135)</f>
        <v>0.5</v>
      </c>
      <c r="DN120" s="330">
        <f>IF(ISERROR('raw data'!HZ135/'raw data'!IA135),0,'raw data'!HZ135/'raw data'!IA135)</f>
        <v>0.70588235294117652</v>
      </c>
      <c r="DO120" s="330">
        <f>IF(ISERROR('raw data'!IB135/'raw data'!IC135),0,'raw data'!IB135/'raw data'!IC135)</f>
        <v>0.625</v>
      </c>
      <c r="DP120" s="330">
        <f>IF(ISERROR('raw data'!ID135/'raw data'!IE135),0,'raw data'!ID135/'raw data'!IE135)</f>
        <v>0.58823529411764708</v>
      </c>
      <c r="DQ120" s="330">
        <f>IF(ISERROR('raw data'!IF135/'raw data'!IG135),0,'raw data'!IF135/'raw data'!IG135)</f>
        <v>0.58064516129032262</v>
      </c>
      <c r="DR120" s="330">
        <f>IF(ISERROR('raw data'!IH135/'raw data'!II135),0,'raw data'!IH135/'raw data'!II135)</f>
        <v>0.58333333333333337</v>
      </c>
      <c r="DS120" s="330">
        <f>IF(ISERROR('raw data'!IJ135/'raw data'!IK135),0,'raw data'!IJ135/'raw data'!IK135)</f>
        <v>0.55294117647058827</v>
      </c>
      <c r="DT120" s="330">
        <f>IF(ISERROR('raw data'!IL135/'raw data'!IM135),0,'raw data'!IL135/'raw data'!IM135)</f>
        <v>0.58252427184466016</v>
      </c>
      <c r="DU120" s="330">
        <f>IF(ISERROR('raw data'!IN135/'raw data'!IO135),0,'raw data'!IN135/'raw data'!IO135)</f>
        <v>0.57446808510638303</v>
      </c>
      <c r="DV120" s="330">
        <f>IF(ISERROR('raw data'!IP135/'raw data'!IQ135),0,'raw data'!IP135/'raw data'!IQ135)</f>
        <v>0.70731707317073167</v>
      </c>
      <c r="DW120" s="330">
        <f>IF(ISERROR('raw data'!IR135/'raw data'!IS135),0,'raw data'!IR135/'raw data'!IS135)</f>
        <v>0.66265060240963858</v>
      </c>
      <c r="DX120" s="330">
        <f>IF(ISERROR('raw data'!IT135/'raw data'!IU135),0,'raw data'!IT135/'raw data'!IU135)</f>
        <v>0.63888888888888884</v>
      </c>
      <c r="DY120" s="330">
        <f>IF(ISERROR('raw data'!IV135/'raw data'!IW135),0,'raw data'!IV135/'raw data'!IW135)</f>
        <v>0.57333333333333336</v>
      </c>
      <c r="DZ120" s="330">
        <f>IF(ISERROR('raw data'!IX135/'raw data'!IY135),0,'raw data'!IX135/'raw data'!IY135)</f>
        <v>0.58333333333333337</v>
      </c>
      <c r="EA120" s="330">
        <f>IF(ISERROR('raw data'!IZ135/'raw data'!JA135),0,'raw data'!IZ135/'raw data'!JA135)</f>
        <v>0.61538461538461542</v>
      </c>
      <c r="EB120" s="330">
        <f>IF(ISERROR('raw data'!JB135/'raw data'!JC135),0,'raw data'!JB135/'raw data'!JC135)</f>
        <v>0.63513513513513509</v>
      </c>
      <c r="EC120" s="330">
        <f>IF(ISERROR('raw data'!JD135/'raw data'!JE135),0,'raw data'!JD135/'raw data'!JE135)</f>
        <v>0.48529411764705882</v>
      </c>
      <c r="ED120" s="243"/>
      <c r="EE120" s="244">
        <f>SUM(EE112:EE119)</f>
        <v>568</v>
      </c>
      <c r="EF120" s="331">
        <f>SUM(EF112:EF119)</f>
        <v>944</v>
      </c>
      <c r="EG120" s="245">
        <f t="shared" si="5"/>
        <v>0.60169491525423724</v>
      </c>
    </row>
    <row r="121" spans="1:137" ht="20" customHeight="1" x14ac:dyDescent="0.15">
      <c r="A121" s="204" t="s">
        <v>226</v>
      </c>
      <c r="B121" s="204" t="s">
        <v>227</v>
      </c>
      <c r="C121" s="332" t="s">
        <v>227</v>
      </c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  <c r="AO121" s="326"/>
      <c r="AP121" s="326"/>
      <c r="AQ121" s="326"/>
      <c r="AR121" s="326"/>
      <c r="AS121" s="326"/>
      <c r="AT121" s="326"/>
      <c r="AU121" s="326"/>
      <c r="AV121" s="326"/>
      <c r="AW121" s="326"/>
      <c r="AX121" s="326"/>
      <c r="AY121" s="326"/>
      <c r="AZ121" s="326"/>
      <c r="BA121" s="326"/>
      <c r="BB121" s="326"/>
      <c r="BC121" s="326"/>
      <c r="BD121" s="326"/>
      <c r="BE121" s="326"/>
      <c r="BF121" s="326"/>
      <c r="BG121" s="326"/>
      <c r="BH121" s="326"/>
      <c r="BI121" s="326"/>
      <c r="BJ121" s="326"/>
      <c r="BK121" s="326"/>
      <c r="BL121" s="326"/>
      <c r="BM121" s="333">
        <f>IF(ISERROR('raw data'!DV143/'raw data'!DW143),0,'raw data'!DV143/'raw data'!DW143)</f>
        <v>0.125</v>
      </c>
      <c r="BN121" s="333">
        <f>IF(ISERROR('raw data'!DX143/'raw data'!DY143),0,'raw data'!DX143/'raw data'!DY143)</f>
        <v>8.3750000000000005E-2</v>
      </c>
      <c r="BO121" s="333">
        <f>IF(ISERROR('raw data'!DZ143/'raw data'!EA143),0,'raw data'!DZ143/'raw data'!EA143)</f>
        <v>9.7500000000000003E-2</v>
      </c>
      <c r="BP121" s="333">
        <f>IF(ISERROR('raw data'!EB143/'raw data'!EC143),0,'raw data'!EB143/'raw data'!EC143)</f>
        <v>6.3750000000000001E-2</v>
      </c>
      <c r="BQ121" s="333">
        <f>IF(ISERROR('raw data'!ED143/'raw data'!EE143),0,'raw data'!ED143/'raw data'!EE143)</f>
        <v>0.16142857142857142</v>
      </c>
      <c r="BR121" s="333">
        <f>IF(ISERROR('raw data'!EF143/'raw data'!EG143),0,'raw data'!EF143/'raw data'!EG143)</f>
        <v>8.2857142857142851E-2</v>
      </c>
      <c r="BS121" s="333">
        <f>IF(ISERROR('raw data'!EH143/'raw data'!EI143),0,'raw data'!EH143/'raw data'!EI143)</f>
        <v>7.7142857142857138E-2</v>
      </c>
      <c r="BT121" s="333">
        <f>IF(ISERROR('raw data'!EJ143/'raw data'!EK143),0,'raw data'!EJ143/'raw data'!EK143)</f>
        <v>7.6666666666666661E-2</v>
      </c>
      <c r="BU121" s="333">
        <f>IF(ISERROR('raw data'!EL143/'raw data'!EM143),0,'raw data'!EL143/'raw data'!EM143)</f>
        <v>0.17346938775510204</v>
      </c>
      <c r="BV121" s="333">
        <f>IF(ISERROR('raw data'!EN143/'raw data'!EO143),0,'raw data'!EN143/'raw data'!EO143)</f>
        <v>0.14666666666666667</v>
      </c>
      <c r="BW121" s="333">
        <f>IF(ISERROR('raw data'!EP143/'raw data'!EQ143),0,'raw data'!EP143/'raw data'!EQ143)</f>
        <v>8.5000000000000006E-2</v>
      </c>
      <c r="BX121" s="333">
        <f>IF(ISERROR('raw data'!ER143/'raw data'!ES143),0,'raw data'!ER143/'raw data'!ES143)</f>
        <v>8.666666666666667E-2</v>
      </c>
      <c r="BY121" s="333">
        <f>IF(ISERROR('raw data'!ET143/'raw data'!EU143),0,'raw data'!ET143/'raw data'!EU143)</f>
        <v>0.255</v>
      </c>
      <c r="BZ121" s="333">
        <f>IF(ISERROR('raw data'!EV143/'raw data'!EW143),0,'raw data'!EV143/'raw data'!EW143)</f>
        <v>0.2</v>
      </c>
      <c r="CA121" s="333">
        <f>IF(ISERROR('raw data'!EX143/'raw data'!EY143),0,'raw data'!EX143/'raw data'!EY143)</f>
        <v>0.22</v>
      </c>
      <c r="CB121" s="333">
        <f>IF(ISERROR('raw data'!EZ143/'raw data'!FA143),0,'raw data'!EZ143/'raw data'!FA143)</f>
        <v>0.18</v>
      </c>
      <c r="CC121" s="333">
        <f>IF(ISERROR('raw data'!FB143/'raw data'!FC143),0,'raw data'!FB143/'raw data'!FC143)</f>
        <v>0.16600000000000001</v>
      </c>
      <c r="CD121" s="333">
        <f>IF(ISERROR('raw data'!FD143/'raw data'!FE143),0,'raw data'!FD143/'raw data'!FE143)</f>
        <v>0.14799999999999999</v>
      </c>
      <c r="CE121" s="333">
        <f>IF(ISERROR('raw data'!FF143/'raw data'!FG143),0,'raw data'!FF143/'raw data'!FG143)</f>
        <v>0.17</v>
      </c>
      <c r="CF121" s="333">
        <f>IF(ISERROR('raw data'!FH143/'raw data'!FI143),0,'raw data'!FH143/'raw data'!FI143)</f>
        <v>0.21249999999999999</v>
      </c>
      <c r="CG121" s="333">
        <f>IF(ISERROR('raw data'!FJ143/'raw data'!FM143),0,'raw data'!FJ143/'raw data'!FM143)</f>
        <v>0.19500000000000001</v>
      </c>
      <c r="CH121" s="333">
        <f>IF(ISERROR('raw data'!FN143/'raw data'!FO143),0,'raw data'!FN143/'raw data'!FO143)</f>
        <v>0.16833333333333333</v>
      </c>
      <c r="CI121" s="333">
        <f>IF(ISERROR('raw data'!FP143/'raw data'!FQ143),0,'raw data'!FP143/'raw data'!FQ143)</f>
        <v>0.182</v>
      </c>
      <c r="CJ121" s="333">
        <f>IF(ISERROR('raw data'!FR143/'raw data'!FS143),0,'raw data'!FR143/'raw data'!FS143)</f>
        <v>0.11600000000000001</v>
      </c>
      <c r="CK121" s="333">
        <f>IF(ISERROR('raw data'!FT143/'raw data'!FU143),0,'raw data'!FT143/'raw data'!FU143)</f>
        <v>0.14333333333333334</v>
      </c>
      <c r="CL121" s="333">
        <f>IF(ISERROR('raw data'!FV143/'raw data'!FW143),0,'raw data'!FV143/'raw data'!FW143)</f>
        <v>0.15</v>
      </c>
      <c r="CM121" s="333">
        <f>IF(ISERROR('raw data'!FX143/'raw data'!FY143),0,'raw data'!FX143/'raw data'!FY143)</f>
        <v>7.0000000000000007E-2</v>
      </c>
      <c r="CN121" s="333">
        <f>IF(ISERROR('raw data'!FZ143/'raw data'!GA143),0,'raw data'!FZ143/'raw data'!GA143)</f>
        <v>0.10333333333333333</v>
      </c>
      <c r="CO121" s="333">
        <f>IF(ISERROR('raw data'!GB143/'raw data'!GC143),0,'raw data'!GB143/'raw data'!GC143)</f>
        <v>0.115</v>
      </c>
      <c r="CP121" s="333">
        <f>IF(ISERROR('raw data'!GD143/'raw data'!GE143),0,'raw data'!GD143/'raw data'!GE143)</f>
        <v>0.10666666666666667</v>
      </c>
      <c r="CQ121" s="333">
        <f>IF(ISERROR('raw data'!GF143/'raw data'!GG143),0,'raw data'!GF143/'raw data'!GG143)</f>
        <v>0.15666666666666668</v>
      </c>
      <c r="CR121" s="333">
        <f>IF(ISERROR('raw data'!GH143/'raw data'!GI143),0,'raw data'!GH143/'raw data'!GI143)</f>
        <v>0.19</v>
      </c>
      <c r="CS121" s="333">
        <f>IF(ISERROR('raw data'!GJ143/'raw data'!GK143),0,'raw data'!GJ143/'raw data'!GK143)</f>
        <v>0.125</v>
      </c>
      <c r="CT121" s="333">
        <f>IF(ISERROR('raw data'!GL143/'raw data'!GM143),0,'raw data'!GL143/'raw data'!GM143)</f>
        <v>0.155</v>
      </c>
      <c r="CU121" s="333">
        <f>IF(ISERROR('raw data'!GN143/'raw data'!GO143),0,'raw data'!GN143/'raw data'!GO143)</f>
        <v>0.23</v>
      </c>
      <c r="CV121" s="333">
        <f>IF(ISERROR('raw data'!GP143/'raw data'!GQ143),0,'raw data'!GP143/'raw data'!GQ143)</f>
        <v>0.1</v>
      </c>
      <c r="CW121" s="333">
        <f>IF(ISERROR('raw data'!GR143/'raw data'!GS143),0,'raw data'!GR143/'raw data'!GS143)</f>
        <v>0.125</v>
      </c>
      <c r="CX121" s="333">
        <f>IF(ISERROR('raw data'!GT143/'raw data'!GU143),0,'raw data'!GT143/'raw data'!GU143)</f>
        <v>0.125</v>
      </c>
      <c r="CY121" s="333">
        <f>IF(ISERROR('raw data'!GV143/'raw data'!GW143),0,'raw data'!GV143/'raw data'!GW143)</f>
        <v>0.15</v>
      </c>
      <c r="CZ121" s="333">
        <f>IF(ISERROR('raw data'!GX143/'raw data'!GY143),0,'raw data'!GX143/'raw data'!GY143)</f>
        <v>0.17499999999999999</v>
      </c>
      <c r="DA121" s="333">
        <f>IF(ISERROR('raw data'!GZ143/'raw data'!HA143),0,'raw data'!GZ143/'raw data'!HA143)</f>
        <v>0.255</v>
      </c>
      <c r="DB121" s="333">
        <f>IF(ISERROR('raw data'!HB143/'raw data'!HC143),0,'raw data'!HB143/'raw data'!HC143)</f>
        <v>0.22800000000000001</v>
      </c>
      <c r="DC121" s="333">
        <f>IF(ISERROR('raw data'!HD143/'raw data'!HE143),0,'raw data'!HD143/'raw data'!HE143)</f>
        <v>0.22500000000000001</v>
      </c>
      <c r="DD121" s="333">
        <f>IF(ISERROR('raw data'!HF143/'raw data'!HG143),0,'raw data'!HF143/'raw data'!HG143)</f>
        <v>0.15</v>
      </c>
      <c r="DE121" s="333">
        <f>IF(ISERROR('raw data'!HH143/'raw data'!HI143),0,'raw data'!HH143/'raw data'!HI143)</f>
        <v>0.10666666666666667</v>
      </c>
      <c r="DF121" s="333">
        <f>IF(ISERROR('raw data'!HJ143/'raw data'!HK143),0,'raw data'!HJ143/'raw data'!HK143)</f>
        <v>0.16</v>
      </c>
      <c r="DG121" s="333">
        <f>IF(ISERROR('raw data'!HL143/'raw data'!HM143),0,'raw data'!HL143/'raw data'!HM143)</f>
        <v>0.16</v>
      </c>
      <c r="DH121" s="333">
        <f>IF(ISERROR('raw data'!HN143/'raw data'!HO143),0,'raw data'!HN143/'raw data'!HO143)</f>
        <v>0.19333333333333333</v>
      </c>
      <c r="DI121" s="333">
        <f>IF(ISERROR('raw data'!HP143/'raw data'!HQ143),0,'raw data'!HP143/'raw data'!HQ143)</f>
        <v>0.23666666666666666</v>
      </c>
      <c r="DJ121" s="333">
        <f>IF(ISERROR('raw data'!HR143/'raw data'!HS143),0,'raw data'!HR143/'raw data'!HS143)</f>
        <v>0.105</v>
      </c>
      <c r="DK121" s="333">
        <f>IF(ISERROR('raw data'!HT143/'raw data'!HU143),0,'raw data'!HT143/'raw data'!HU143)</f>
        <v>0.13</v>
      </c>
      <c r="DL121" s="333">
        <f>IF(ISERROR('raw data'!HV143/'raw data'!HW143),0,'raw data'!HV143/'raw data'!HW143)</f>
        <v>0.14000000000000001</v>
      </c>
      <c r="DM121" s="333">
        <f>IF(ISERROR('raw data'!HX143/'raw data'!HY143),0,'raw data'!HX143/'raw data'!HY143)</f>
        <v>0</v>
      </c>
      <c r="DN121" s="333">
        <f>IF(ISERROR('raw data'!HZ143/'raw data'!IA143),0,'raw data'!HZ143/'raw data'!IA143)</f>
        <v>0</v>
      </c>
      <c r="DO121" s="333">
        <f>IF(ISERROR('raw data'!IB143/'raw data'!IC143),0,'raw data'!IB143/'raw data'!IC143)</f>
        <v>0.16</v>
      </c>
      <c r="DP121" s="238" t="s">
        <v>30</v>
      </c>
      <c r="DQ121" s="232" t="s">
        <v>243</v>
      </c>
      <c r="DR121" s="232" t="s">
        <v>243</v>
      </c>
      <c r="DS121" s="232" t="s">
        <v>243</v>
      </c>
      <c r="DT121" s="232" t="s">
        <v>243</v>
      </c>
      <c r="DU121" s="232" t="s">
        <v>243</v>
      </c>
      <c r="DV121" s="232" t="s">
        <v>243</v>
      </c>
      <c r="DW121" s="232" t="s">
        <v>243</v>
      </c>
      <c r="DX121" s="232" t="s">
        <v>243</v>
      </c>
      <c r="DY121" s="232" t="s">
        <v>243</v>
      </c>
      <c r="DZ121" s="232" t="s">
        <v>243</v>
      </c>
      <c r="EA121" s="232" t="s">
        <v>243</v>
      </c>
      <c r="EB121" s="232" t="s">
        <v>243</v>
      </c>
      <c r="EC121" s="232" t="s">
        <v>243</v>
      </c>
      <c r="ED121" s="334"/>
      <c r="EE121" s="335">
        <v>0</v>
      </c>
      <c r="EF121" s="335">
        <v>0</v>
      </c>
      <c r="EG121" s="336">
        <f>IF(ISERROR(EE121/EF121),0,EE121/EF121)</f>
        <v>0</v>
      </c>
    </row>
    <row r="122" spans="1:137" ht="20" customHeight="1" x14ac:dyDescent="0.15">
      <c r="A122" s="204" t="s">
        <v>228</v>
      </c>
      <c r="B122" s="204" t="s">
        <v>229</v>
      </c>
      <c r="C122" s="332" t="s">
        <v>229</v>
      </c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  <c r="AO122" s="326"/>
      <c r="AP122" s="326"/>
      <c r="AQ122" s="326"/>
      <c r="AR122" s="326"/>
      <c r="AS122" s="326"/>
      <c r="AT122" s="326"/>
      <c r="AU122" s="326"/>
      <c r="AV122" s="326"/>
      <c r="AW122" s="326"/>
      <c r="AX122" s="326"/>
      <c r="AY122" s="326"/>
      <c r="AZ122" s="326"/>
      <c r="BA122" s="326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  <c r="BM122" s="326"/>
      <c r="BN122" s="326"/>
      <c r="BO122" s="326"/>
      <c r="BP122" s="326"/>
      <c r="BQ122" s="326"/>
      <c r="BR122" s="326"/>
      <c r="BS122" s="326"/>
      <c r="BT122" s="326"/>
      <c r="BU122" s="326"/>
      <c r="BV122" s="326"/>
      <c r="BW122" s="333">
        <f>IF(ISERROR('raw data'!EP144/'raw data'!EQ144),0,'raw data'!EP144/'raw data'!EQ144)</f>
        <v>0.57043235704323569</v>
      </c>
      <c r="BX122" s="333">
        <f>IF(ISERROR('raw data'!ER144/'raw data'!ES144),0,'raw data'!ER144/'raw data'!ES144)</f>
        <v>0.61884669479606191</v>
      </c>
      <c r="BY122" s="333">
        <f>IF(ISERROR('raw data'!ET144/'raw data'!EU144),0,'raw data'!ET144/'raw data'!EU144)</f>
        <v>0.59590043923865299</v>
      </c>
      <c r="BZ122" s="333">
        <f>IF(ISERROR('raw data'!EV144/'raw data'!EW144),0,'raw data'!EV144/'raw data'!EW144)</f>
        <v>0.55176613885505477</v>
      </c>
      <c r="CA122" s="333">
        <f>IF(ISERROR('raw data'!EX144/'raw data'!EY144),0,'raw data'!EX144/'raw data'!EY144)</f>
        <v>0.51542649727767698</v>
      </c>
      <c r="CB122" s="333">
        <f>IF(ISERROR('raw data'!EZ144/'raw data'!FA144),0,'raw data'!EZ144/'raw data'!FA144)</f>
        <v>0.62730627306273068</v>
      </c>
      <c r="CC122" s="333">
        <f>IF(ISERROR('raw data'!FB144/'raw data'!FC144),0,'raw data'!FB144/'raw data'!FC144)</f>
        <v>0.66107382550335569</v>
      </c>
      <c r="CD122" s="333">
        <f>IF(ISERROR('raw data'!FD144/'raw data'!FE144),0,'raw data'!FD144/'raw data'!FE144)</f>
        <v>0.62462462462462465</v>
      </c>
      <c r="CE122" s="333">
        <f>IF(ISERROR('raw data'!FF144/'raw data'!FG144),0,'raw data'!FF144/'raw data'!FG144)</f>
        <v>0.72665148063781326</v>
      </c>
      <c r="CF122" s="333">
        <f>IF(ISERROR('raw data'!FH144/'raw data'!FI144),0,'raw data'!FH144/'raw data'!FI144)</f>
        <v>0.65245597775718256</v>
      </c>
      <c r="CG122" s="333">
        <f>IF(ISERROR('raw data'!FJ144/'raw data'!FM144),0,'raw data'!FJ144/'raw data'!FM144)</f>
        <v>0.67381974248927035</v>
      </c>
      <c r="CH122" s="333">
        <f>IF(ISERROR('raw data'!FN144/'raw data'!FO144),0,'raw data'!FN144/'raw data'!FO144)</f>
        <v>0.67846607669616521</v>
      </c>
      <c r="CI122" s="333">
        <f>IF(ISERROR('raw data'!FP144/'raw data'!FQ144),0,'raw data'!FP144/'raw data'!FQ144)</f>
        <v>0.69863013698630139</v>
      </c>
      <c r="CJ122" s="333">
        <f>IF(ISERROR('raw data'!FR144/'raw data'!FS144),0,'raw data'!FR144/'raw data'!FS144)</f>
        <v>0.64326160815402034</v>
      </c>
      <c r="CK122" s="333">
        <f>IF(ISERROR('raw data'!FT144/'raw data'!FU144),0,'raw data'!FT144/'raw data'!FU144)</f>
        <v>0.69015795868772778</v>
      </c>
      <c r="CL122" s="333">
        <f>IF(ISERROR('raw data'!FV144/'raw data'!FW144),0,'raw data'!FV144/'raw data'!FW144)</f>
        <v>0.67841011743450763</v>
      </c>
      <c r="CM122" s="333">
        <f>IF(ISERROR('raw data'!FX144/'raw data'!FY144),0,'raw data'!FX144/'raw data'!FY144)</f>
        <v>0.65329512893982811</v>
      </c>
      <c r="CN122" s="333">
        <f>IF(ISERROR('raw data'!FZ144/'raw data'!GA144),0,'raw data'!FZ144/'raw data'!GA144)</f>
        <v>0.67216294859359849</v>
      </c>
      <c r="CO122" s="333">
        <f>IF(ISERROR('raw data'!GB144/'raw data'!GC144),0,'raw data'!GB144/'raw data'!GC144)</f>
        <v>0.65390749601275922</v>
      </c>
      <c r="CP122" s="333">
        <f>IF(ISERROR('raw data'!GD144/'raw data'!GE144),0,'raw data'!GD144/'raw data'!GE144)</f>
        <v>0.65193798449612406</v>
      </c>
      <c r="CQ122" s="333">
        <f>IF(ISERROR('raw data'!GF144/'raw data'!GG144),0,'raw data'!GF144/'raw data'!GG144)</f>
        <v>0.60586617781851515</v>
      </c>
      <c r="CR122" s="333">
        <f>IF(ISERROR('raw data'!GH144/'raw data'!GI144),0,'raw data'!GH144/'raw data'!GI144)</f>
        <v>0.74006444683136408</v>
      </c>
      <c r="CS122" s="333">
        <f>IF(ISERROR('raw data'!GJ144/'raw data'!GK144),0,'raw data'!GJ144/'raw data'!GK144)</f>
        <v>0.41628684290489215</v>
      </c>
      <c r="CT122" s="333">
        <f>IF(ISERROR('raw data'!GL144/'raw data'!GM144),0,'raw data'!GL144/'raw data'!GM144)</f>
        <v>0.66014669926650371</v>
      </c>
      <c r="CU122" s="333">
        <f>IF(ISERROR('raw data'!GN144/'raw data'!GO144),0,'raw data'!GN144/'raw data'!GO144)</f>
        <v>0.6653574234092694</v>
      </c>
      <c r="CV122" s="333">
        <f>IF(ISERROR('raw data'!GP144/'raw data'!GQ144),0,'raw data'!GP144/'raw data'!GQ144)</f>
        <v>0.66608238387379493</v>
      </c>
      <c r="CW122" s="333">
        <f>IF(ISERROR('raw data'!GR144/'raw data'!GS144),0,'raw data'!GR144/'raw data'!GS144)</f>
        <v>0.70150922302962548</v>
      </c>
      <c r="CX122" s="333">
        <f>IF(ISERROR('raw data'!GT144/'raw data'!GU144),0,'raw data'!GT144/'raw data'!GU144)</f>
        <v>0.58352758352758349</v>
      </c>
      <c r="CY122" s="333">
        <f>IF(ISERROR('raw data'!GV144/'raw data'!GW144),0,'raw data'!GV144/'raw data'!GW144)</f>
        <v>0.8406998158379374</v>
      </c>
      <c r="CZ122" s="333">
        <f>IF(ISERROR('raw data'!GX144/'raw data'!GY144),0,'raw data'!GX144/'raw data'!GY144)</f>
        <v>0.76137339055793996</v>
      </c>
      <c r="DA122" s="333">
        <f>IF(ISERROR('raw data'!GZ144/'raw data'!HA144),0,'raw data'!GZ144/'raw data'!HA144)</f>
        <v>0.79510961214165266</v>
      </c>
      <c r="DB122" s="333">
        <f>IF(ISERROR('raw data'!HB144/'raw data'!HC144),0,'raw data'!HB144/'raw data'!HC144)</f>
        <v>0.88145454545454549</v>
      </c>
      <c r="DC122" s="333">
        <f>IF(ISERROR('raw data'!HD144/'raw data'!HE144),0,'raw data'!HD144/'raw data'!HE144)</f>
        <v>0.94640434192672995</v>
      </c>
      <c r="DD122" s="333">
        <f>IF(ISERROR('raw data'!HF144/'raw data'!HG144),0,'raw data'!HF144/'raw data'!HG144)</f>
        <v>1.0021598272138228</v>
      </c>
      <c r="DE122" s="333">
        <f>IF(ISERROR('raw data'!HH144/'raw data'!HI144),0,'raw data'!HH144/'raw data'!HI144)</f>
        <v>0.93672839506172845</v>
      </c>
      <c r="DF122" s="333">
        <f>IF(ISERROR('raw data'!HJ144/'raw data'!HK144),0,'raw data'!HJ144/'raw data'!HK144)</f>
        <v>0.93952254641909816</v>
      </c>
      <c r="DG122" s="333">
        <f>IF(ISERROR('raw data'!HL144/'raw data'!HM144),0,'raw data'!HL144/'raw data'!HM144)</f>
        <v>0.93958868894601544</v>
      </c>
      <c r="DH122" s="333">
        <f>IF(ISERROR('raw data'!HN144/'raw data'!HO144),0,'raw data'!HN144/'raw data'!HO144)</f>
        <v>0.96354992076069734</v>
      </c>
      <c r="DI122" s="333">
        <f>IF(ISERROR('raw data'!HP144/'raw data'!HQ144),0,'raw data'!HP144/'raw data'!HQ144)</f>
        <v>0.95916795069337446</v>
      </c>
      <c r="DJ122" s="333">
        <f>IF(ISERROR('raw data'!HR144/'raw data'!HS144),0,'raw data'!HR144/'raw data'!HS144)</f>
        <v>0.93211133740665308</v>
      </c>
      <c r="DK122" s="333">
        <f>IF(ISERROR('raw data'!HT144/'raw data'!HU144),0,'raw data'!HT144/'raw data'!HU144)</f>
        <v>0.94260267194458192</v>
      </c>
      <c r="DL122" s="333">
        <f>IF(ISERROR('raw data'!HV144/'raw data'!HW144),0,'raw data'!HV144/'raw data'!HW144)</f>
        <v>0.92429792429792434</v>
      </c>
      <c r="DM122" s="333">
        <f>IF(ISERROR('raw data'!HX144/'raw data'!HY144),0,'raw data'!HX144/'raw data'!HY144)</f>
        <v>0.94191742477256823</v>
      </c>
      <c r="DN122" s="333">
        <f>IF(ISERROR('raw data'!HZ144/'raw data'!IA144),0,'raw data'!HZ144/'raw data'!IA144)</f>
        <v>0.94886778670562455</v>
      </c>
      <c r="DO122" s="333">
        <f>IF(ISERROR('raw data'!IB144/'raw data'!IC144),0,'raw data'!IB144/'raw data'!IC144)</f>
        <v>0.88535031847133761</v>
      </c>
      <c r="DP122" s="333">
        <f>IF(ISERROR('raw data'!ID144/'raw data'!IE144),0,'raw data'!ID144/'raw data'!IE144)</f>
        <v>0.86990950226244346</v>
      </c>
      <c r="DQ122" s="333">
        <f>IF(ISERROR('raw data'!IF144/'raw data'!IG144),0,'raw data'!IF144/'raw data'!IG144)</f>
        <v>0.84362680683311431</v>
      </c>
      <c r="DR122" s="333">
        <f>IF(ISERROR('raw data'!IH144/'raw data'!II144),0,'raw data'!IH144/'raw data'!II144)</f>
        <v>0.77376760563380287</v>
      </c>
      <c r="DS122" s="333">
        <f>IF(ISERROR('raw data'!IJ144/'raw data'!IK144),0,'raw data'!IJ144/'raw data'!IK144)</f>
        <v>0.81834532374100721</v>
      </c>
      <c r="DT122" s="333">
        <f>IF(ISERROR('raw data'!IL144/'raw data'!IM144),0,'raw data'!IL144/'raw data'!IM144)</f>
        <v>0.87187039764359353</v>
      </c>
      <c r="DU122" s="333">
        <f>IF(ISERROR('raw data'!IN144/'raw data'!IO144),0,'raw data'!IN144/'raw data'!IO144)</f>
        <v>0.78764897074756235</v>
      </c>
      <c r="DV122" s="333">
        <f>IF(ISERROR('raw data'!IP144/'raw data'!IQ144),0,'raw data'!IP144/'raw data'!IQ144)</f>
        <v>0.74495560936238903</v>
      </c>
      <c r="DW122" s="333">
        <f>IF(ISERROR('raw data'!IR144/'raw data'!IS144),0,'raw data'!IR144/'raw data'!IS144)</f>
        <v>0.64901129943502822</v>
      </c>
      <c r="DX122" s="333">
        <f>IF(ISERROR('raw data'!IT144/'raw data'!IU144),0,'raw data'!IT144/'raw data'!IU144)</f>
        <v>0.62345679012345678</v>
      </c>
      <c r="DY122" s="333">
        <f>IF(ISERROR('raw data'!IV144/'raw data'!IW144),0,'raw data'!IV144/'raw data'!IW144)</f>
        <v>0.8229940564635958</v>
      </c>
      <c r="DZ122" s="333">
        <f>IF(ISERROR('raw data'!IX144/'raw data'!IY144),0,'raw data'!IX144/'raw data'!IY144)</f>
        <v>0.77863840195678757</v>
      </c>
      <c r="EA122" s="333">
        <f>IF(ISERROR('raw data'!IZ144/'raw data'!JA144),0,'raw data'!IZ144/'raw data'!JA144)</f>
        <v>0.75828571428571434</v>
      </c>
      <c r="EB122" s="333">
        <f>IF(ISERROR('raw data'!JB144/'raw data'!JC144),0,'raw data'!JB144/'raw data'!JC144)</f>
        <v>0.77482993197278915</v>
      </c>
      <c r="EC122" s="333">
        <f>IF(ISERROR('raw data'!JD144/'raw data'!JE144),0,'raw data'!JD144/'raw data'!JE144)</f>
        <v>0.76660787771898886</v>
      </c>
      <c r="ED122" s="334"/>
      <c r="EE122" s="335">
        <v>15414</v>
      </c>
      <c r="EF122" s="335">
        <v>20003</v>
      </c>
      <c r="EG122" s="336">
        <f t="shared" ref="EG122:EG127" si="6">IF(ISERROR(EE122/EF122),0,EE122/EF122)</f>
        <v>0.77058441233814923</v>
      </c>
    </row>
    <row r="123" spans="1:137" ht="20" customHeight="1" x14ac:dyDescent="0.15">
      <c r="A123" s="204" t="s">
        <v>230</v>
      </c>
      <c r="B123" s="204" t="s">
        <v>231</v>
      </c>
      <c r="C123" s="332" t="s">
        <v>231</v>
      </c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  <c r="AO123" s="326"/>
      <c r="AP123" s="326"/>
      <c r="AQ123" s="326"/>
      <c r="AR123" s="326"/>
      <c r="AS123" s="326"/>
      <c r="AT123" s="326"/>
      <c r="AU123" s="326"/>
      <c r="AV123" s="326"/>
      <c r="AW123" s="326"/>
      <c r="AX123" s="326"/>
      <c r="AY123" s="326"/>
      <c r="AZ123" s="326"/>
      <c r="BA123" s="326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  <c r="BM123" s="326"/>
      <c r="BN123" s="326"/>
      <c r="BO123" s="326"/>
      <c r="BP123" s="326"/>
      <c r="BQ123" s="326"/>
      <c r="BR123" s="326"/>
      <c r="BS123" s="326"/>
      <c r="BT123" s="326"/>
      <c r="BU123" s="326"/>
      <c r="BV123" s="326"/>
      <c r="BW123" s="326"/>
      <c r="BX123" s="326"/>
      <c r="BY123" s="326"/>
      <c r="BZ123" s="326"/>
      <c r="CA123" s="326"/>
      <c r="CB123" s="326"/>
      <c r="CC123" s="326"/>
      <c r="CD123" s="326"/>
      <c r="CE123" s="326"/>
      <c r="CF123" s="326"/>
      <c r="CG123" s="326"/>
      <c r="CH123" s="326"/>
      <c r="CI123" s="326"/>
      <c r="CJ123" s="326"/>
      <c r="CK123" s="326"/>
      <c r="CL123" s="326"/>
      <c r="CM123" s="326"/>
      <c r="CN123" s="326"/>
      <c r="CO123" s="326"/>
      <c r="CP123" s="326"/>
      <c r="CQ123" s="326"/>
      <c r="CR123" s="326"/>
      <c r="CS123" s="326"/>
      <c r="CT123" s="333">
        <f>IF(ISERROR('raw data'!GL145/'raw data'!GM145),0,'raw data'!GL145/'raw data'!GM145)</f>
        <v>0.10963455149501661</v>
      </c>
      <c r="CU123" s="333">
        <f>IF(ISERROR('raw data'!GN145/'raw data'!GO145),0,'raw data'!GN145/'raw data'!GO145)</f>
        <v>0.13030303030303031</v>
      </c>
      <c r="CV123" s="333">
        <f>IF(ISERROR('raw data'!GP145/'raw data'!GQ145),0,'raw data'!GP145/'raw data'!GQ145)</f>
        <v>7.1428571428571425E-2</v>
      </c>
      <c r="CW123" s="333">
        <f>IF(ISERROR('raw data'!GR145/'raw data'!GS145),0,'raw data'!GR145/'raw data'!GS145)</f>
        <v>0.12096774193548387</v>
      </c>
      <c r="CX123" s="333">
        <f>IF(ISERROR('raw data'!GT145/'raw data'!GU145),0,'raw data'!GT145/'raw data'!GU145)</f>
        <v>0.10431654676258993</v>
      </c>
      <c r="CY123" s="333">
        <f>IF(ISERROR('raw data'!GV145/'raw data'!GW145),0,'raw data'!GV145/'raw data'!GW145)</f>
        <v>7.5268817204301078E-2</v>
      </c>
      <c r="CZ123" s="333">
        <f>IF(ISERROR('raw data'!GX145/'raw data'!GY145),0,'raw data'!GX145/'raw data'!GY145)</f>
        <v>8.7786259541984726E-2</v>
      </c>
      <c r="DA123" s="333">
        <f>IF(ISERROR('raw data'!GZ145/'raw data'!HA145),0,'raw data'!GZ145/'raw data'!HA145)</f>
        <v>0.16560509554140126</v>
      </c>
      <c r="DB123" s="333">
        <f>IF(ISERROR('raw data'!HB145/'raw data'!HC145),0,'raw data'!HB145/'raw data'!HC145)</f>
        <v>0.12544802867383512</v>
      </c>
      <c r="DC123" s="333">
        <f>IF(ISERROR('raw data'!HD145/'raw data'!HE145),0,'raw data'!HD145/'raw data'!HE145)</f>
        <v>7.6433121019108277E-2</v>
      </c>
      <c r="DD123" s="333">
        <f>IF(ISERROR('raw data'!HF145/'raw data'!HG145),0,'raw data'!HF145/'raw data'!HG145)</f>
        <v>8.8983050847457626E-2</v>
      </c>
      <c r="DE123" s="333">
        <f>IF(ISERROR('raw data'!HH145/'raw data'!HI145),0,'raw data'!HH145/'raw data'!HI145)</f>
        <v>7.441860465116279E-2</v>
      </c>
      <c r="DF123" s="333">
        <f>IF(ISERROR('raw data'!HJ145/'raw data'!HK145),0,'raw data'!HJ145/'raw data'!HK145)</f>
        <v>0.12560386473429952</v>
      </c>
      <c r="DG123" s="333">
        <f>IF(ISERROR('raw data'!HL145/'raw data'!HM145),0,'raw data'!HL145/'raw data'!HM145)</f>
        <v>0.12154696132596685</v>
      </c>
      <c r="DH123" s="333">
        <f>IF(ISERROR('raw data'!HN145/'raw data'!HO145),0,'raw data'!HN145/'raw data'!HO145)</f>
        <v>0.15</v>
      </c>
      <c r="DI123" s="333">
        <f>IF(ISERROR('raw data'!HP145/'raw data'!HQ145),0,'raw data'!HP145/'raw data'!HQ145)</f>
        <v>0.14689265536723164</v>
      </c>
      <c r="DJ123" s="333">
        <f>IF(ISERROR('raw data'!HR145/'raw data'!HS145),0,'raw data'!HR145/'raw data'!HS145)</f>
        <v>0.1388888888888889</v>
      </c>
      <c r="DK123" s="333">
        <f>IF(ISERROR('raw data'!HT145/'raw data'!HU145),0,'raw data'!HT145/'raw data'!HU145)</f>
        <v>0.1</v>
      </c>
      <c r="DL123" s="333">
        <f>IF(ISERROR('raw data'!HV145/'raw data'!HW145),0,'raw data'!HV145/'raw data'!HW145)</f>
        <v>0.12037037037037036</v>
      </c>
      <c r="DM123" s="333">
        <f>IF(ISERROR('raw data'!HX145/'raw data'!HY145),0,'raw data'!HX145/'raw data'!HY145)</f>
        <v>0.20168067226890757</v>
      </c>
      <c r="DN123" s="333">
        <f>IF(ISERROR('raw data'!HZ145/'raw data'!IA145),0,'raw data'!HZ145/'raw data'!IA145)</f>
        <v>0.11363636363636363</v>
      </c>
      <c r="DO123" s="333">
        <f>IF(ISERROR('raw data'!IB145/'raw data'!IC145),0,'raw data'!IB145/'raw data'!IC145)</f>
        <v>0.19811320754716982</v>
      </c>
      <c r="DP123" s="333">
        <f>IF(ISERROR('raw data'!ID145/'raw data'!IE145),0,'raw data'!ID145/'raw data'!IE145)</f>
        <v>0.2</v>
      </c>
      <c r="DQ123" s="333">
        <f>IF(ISERROR('raw data'!IF145/'raw data'!IG145),0,'raw data'!IF145/'raw data'!IG145)</f>
        <v>0.13924050632911392</v>
      </c>
      <c r="DR123" s="333">
        <f>IF(ISERROR('raw data'!IH145/'raw data'!II145),0,'raw data'!IH145/'raw data'!II145)</f>
        <v>0.22127659574468084</v>
      </c>
      <c r="DS123" s="333">
        <f>IF(ISERROR('raw data'!IJ145/'raw data'!IK145),0,'raw data'!IJ145/'raw data'!IK145)</f>
        <v>0.18461538461538463</v>
      </c>
      <c r="DT123" s="333">
        <f>IF(ISERROR('raw data'!IL145/'raw data'!IM145),0,'raw data'!IL145/'raw data'!IM145)</f>
        <v>0.14814814814814814</v>
      </c>
      <c r="DU123" s="333">
        <f>IF(ISERROR('raw data'!IN145/'raw data'!IO145),0,'raw data'!IN145/'raw data'!IO145)</f>
        <v>0.2</v>
      </c>
      <c r="DV123" s="333">
        <f>IF(ISERROR('raw data'!IP145/'raw data'!IQ145),0,'raw data'!IP145/'raw data'!IQ145)</f>
        <v>0.27411167512690354</v>
      </c>
      <c r="DW123" s="333">
        <f>IF(ISERROR('raw data'!IR145/'raw data'!IS145),0,'raw data'!IR145/'raw data'!IS145)</f>
        <v>0.1981981981981982</v>
      </c>
      <c r="DX123" s="333">
        <f>IF(ISERROR('raw data'!IT145/'raw data'!IU145),0,'raw data'!IT145/'raw data'!IU145)</f>
        <v>0.17647058823529413</v>
      </c>
      <c r="DY123" s="333">
        <f>IF(ISERROR('raw data'!IV145/'raw data'!IW145),0,'raw data'!IV145/'raw data'!IW145)</f>
        <v>0.22448979591836735</v>
      </c>
      <c r="DZ123" s="333">
        <f>IF(ISERROR('raw data'!IX145/'raw data'!IY145),0,'raw data'!IX145/'raw data'!IY145)</f>
        <v>0.21153846153846154</v>
      </c>
      <c r="EA123" s="333">
        <f>IF(ISERROR('raw data'!IZ145/'raw data'!JA145),0,'raw data'!IZ145/'raw data'!JA145)</f>
        <v>0.16315789473684211</v>
      </c>
      <c r="EB123" s="333">
        <f>IF(ISERROR('raw data'!JB145/'raw data'!JC145),0,'raw data'!JB145/'raw data'!JC145)</f>
        <v>0.2361111111111111</v>
      </c>
      <c r="EC123" s="333">
        <f>IF(ISERROR('raw data'!JD145/'raw data'!JE145),0,'raw data'!JD145/'raw data'!JE145)</f>
        <v>0.20895522388059701</v>
      </c>
      <c r="ED123" s="334"/>
      <c r="EE123" s="335">
        <v>472</v>
      </c>
      <c r="EF123" s="335">
        <v>2293</v>
      </c>
      <c r="EG123" s="336">
        <f t="shared" si="6"/>
        <v>0.20584387265590928</v>
      </c>
    </row>
    <row r="124" spans="1:137" ht="20" customHeight="1" x14ac:dyDescent="0.15">
      <c r="A124" s="204" t="s">
        <v>232</v>
      </c>
      <c r="B124" s="204" t="s">
        <v>233</v>
      </c>
      <c r="C124" s="332" t="s">
        <v>233</v>
      </c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  <c r="AO124" s="326"/>
      <c r="AP124" s="326"/>
      <c r="AQ124" s="326"/>
      <c r="AR124" s="326"/>
      <c r="AS124" s="326"/>
      <c r="AT124" s="326"/>
      <c r="AU124" s="326"/>
      <c r="AV124" s="326"/>
      <c r="AW124" s="326"/>
      <c r="AX124" s="326"/>
      <c r="AY124" s="326"/>
      <c r="AZ124" s="326"/>
      <c r="BA124" s="326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  <c r="BM124" s="326"/>
      <c r="BN124" s="326"/>
      <c r="BO124" s="326"/>
      <c r="BP124" s="326"/>
      <c r="BQ124" s="326"/>
      <c r="BR124" s="326"/>
      <c r="BS124" s="326"/>
      <c r="BT124" s="326"/>
      <c r="BU124" s="326"/>
      <c r="BV124" s="326"/>
      <c r="BW124" s="326"/>
      <c r="BX124" s="326"/>
      <c r="BY124" s="326"/>
      <c r="BZ124" s="326"/>
      <c r="CA124" s="326"/>
      <c r="CB124" s="326"/>
      <c r="CC124" s="326"/>
      <c r="CD124" s="326"/>
      <c r="CE124" s="326"/>
      <c r="CF124" s="326"/>
      <c r="CG124" s="326"/>
      <c r="CH124" s="326"/>
      <c r="CI124" s="326"/>
      <c r="CJ124" s="326"/>
      <c r="CK124" s="326"/>
      <c r="CL124" s="326"/>
      <c r="CM124" s="326"/>
      <c r="CN124" s="326"/>
      <c r="CO124" s="333">
        <f>IF(ISERROR('raw data'!GB146/'raw data'!GC146),0,'raw data'!GB146/'raw data'!GC146)</f>
        <v>0.69333333333333336</v>
      </c>
      <c r="CP124" s="333">
        <f>IF(ISERROR('raw data'!GD146/'raw data'!GE146),0,'raw data'!GD146/'raw data'!GE146)</f>
        <v>0.5357142857142857</v>
      </c>
      <c r="CQ124" s="333">
        <f>IF(ISERROR('raw data'!GF146/'raw data'!GG146),0,'raw data'!GF146/'raw data'!GG146)</f>
        <v>0.40625</v>
      </c>
      <c r="CR124" s="333">
        <f>IF(ISERROR('raw data'!GH146/'raw data'!GI146),0,'raw data'!GH146/'raw data'!GI146)</f>
        <v>0.25</v>
      </c>
      <c r="CS124" s="333">
        <f>IF(ISERROR('raw data'!GJ146/'raw data'!GK146),0,'raw data'!GJ146/'raw data'!GK146)</f>
        <v>0.8</v>
      </c>
      <c r="CT124" s="333">
        <f>IF(ISERROR('raw data'!GL146/'raw data'!GM146),0,'raw data'!GL146/'raw data'!GM146)</f>
        <v>0.5</v>
      </c>
      <c r="CU124" s="333">
        <f>IF(ISERROR('raw data'!GN146/'raw data'!GO146),0,'raw data'!GN146/'raw data'!GO146)</f>
        <v>0</v>
      </c>
      <c r="CV124" s="333">
        <f>IF(ISERROR('raw data'!GP146/'raw data'!GQ146),0,'raw data'!GP146/'raw data'!GQ146)</f>
        <v>0.5</v>
      </c>
      <c r="CW124" s="333">
        <f>IF(ISERROR('raw data'!GR146/'raw data'!GS146),0,'raw data'!GR146/'raw data'!GS146)</f>
        <v>0</v>
      </c>
      <c r="CX124" s="333">
        <f>IF(ISERROR('raw data'!GT146/'raw data'!GU146),0,'raw data'!GT146/'raw data'!GU146)</f>
        <v>0</v>
      </c>
      <c r="CY124" s="333">
        <f>IF(ISERROR('raw data'!GV146/'raw data'!GW146),0,'raw data'!GV146/'raw data'!GW146)</f>
        <v>0</v>
      </c>
      <c r="CZ124" s="333">
        <f>IF(ISERROR('raw data'!GX146/'raw data'!GY146),0,'raw data'!GX146/'raw data'!GY146)</f>
        <v>0</v>
      </c>
      <c r="DA124" s="333">
        <f>IF(ISERROR('raw data'!GZ146/'raw data'!HA146),0,'raw data'!GZ146/'raw data'!HA146)</f>
        <v>0</v>
      </c>
      <c r="DB124" s="333">
        <f>IF(ISERROR('raw data'!HB146/'raw data'!HC146),0,'raw data'!HB146/'raw data'!HC146)</f>
        <v>0</v>
      </c>
      <c r="DC124" s="333">
        <f>IF(ISERROR('raw data'!HD146/'raw data'!HE146),0,'raw data'!HD146/'raw data'!HE146)</f>
        <v>0</v>
      </c>
      <c r="DD124" s="333">
        <f>IF(ISERROR('raw data'!HF146/'raw data'!HG146),0,'raw data'!HF146/'raw data'!HG146)</f>
        <v>0</v>
      </c>
      <c r="DE124" s="333">
        <f>IF(ISERROR('raw data'!HH146/'raw data'!HI146),0,'raw data'!HH146/'raw data'!HI146)</f>
        <v>0</v>
      </c>
      <c r="DF124" s="333">
        <f>IF(ISERROR('raw data'!HJ146/'raw data'!HK146),0,'raw data'!HJ146/'raw data'!HK146)</f>
        <v>0</v>
      </c>
      <c r="DG124" s="333">
        <f>IF(ISERROR('raw data'!HL146/'raw data'!HM146),0,'raw data'!HL146/'raw data'!HM146)</f>
        <v>0</v>
      </c>
      <c r="DH124" s="333">
        <f>IF(ISERROR('raw data'!HN146/'raw data'!HO146),0,'raw data'!HN146/'raw data'!HO146)</f>
        <v>0</v>
      </c>
      <c r="DI124" s="333">
        <f>IF(ISERROR('raw data'!HP146/'raw data'!HQ146),0,'raw data'!HP146/'raw data'!HQ146)</f>
        <v>0</v>
      </c>
      <c r="DJ124" s="333">
        <f>IF(ISERROR('raw data'!HR146/'raw data'!HS146),0,'raw data'!HR146/'raw data'!HS146)</f>
        <v>0</v>
      </c>
      <c r="DK124" s="333">
        <f>IF(ISERROR('raw data'!HT146/'raw data'!HU146),0,'raw data'!HT146/'raw data'!HU146)</f>
        <v>0</v>
      </c>
      <c r="DL124" s="333">
        <f>IF(ISERROR('raw data'!HV146/'raw data'!HW146),0,'raw data'!HV146/'raw data'!HW146)</f>
        <v>0</v>
      </c>
      <c r="DM124" s="333">
        <f>IF(ISERROR('raw data'!HX146/'raw data'!HY146),0,'raw data'!HX146/'raw data'!HY146)</f>
        <v>0</v>
      </c>
      <c r="DN124" s="333">
        <f>IF(ISERROR('raw data'!HZ146/'raw data'!IA146),0,'raw data'!HZ146/'raw data'!IA146)</f>
        <v>0</v>
      </c>
      <c r="DO124" s="333">
        <f>IF(ISERROR('raw data'!IB146/'raw data'!IC146),0,'raw data'!IB146/'raw data'!IC146)</f>
        <v>0</v>
      </c>
      <c r="DP124" s="333">
        <f>IF(ISERROR('raw data'!ID146/'raw data'!IE146),0,'raw data'!ID146/'raw data'!IE146)</f>
        <v>0</v>
      </c>
      <c r="DQ124" s="333">
        <f>IF(ISERROR('raw data'!IF146/'raw data'!IG146),0,'raw data'!IF146/'raw data'!IG146)</f>
        <v>0</v>
      </c>
      <c r="DR124" s="333">
        <f>IF(ISERROR('raw data'!IH146/'raw data'!II146),0,'raw data'!IH146/'raw data'!II146)</f>
        <v>0</v>
      </c>
      <c r="DS124" s="333">
        <f>IF(ISERROR('raw data'!IJ146/'raw data'!IK146),0,'raw data'!IJ146/'raw data'!IK146)</f>
        <v>0</v>
      </c>
      <c r="DT124" s="333">
        <f>IF(ISERROR('raw data'!IL146/'raw data'!IM146),0,'raw data'!IL146/'raw data'!IM146)</f>
        <v>0</v>
      </c>
      <c r="DU124" s="333">
        <f>IF(ISERROR('raw data'!IN146/'raw data'!IO146),0,'raw data'!IN146/'raw data'!IO146)</f>
        <v>0</v>
      </c>
      <c r="DV124" s="333">
        <f>IF(ISERROR('raw data'!IP146/'raw data'!IQ146),0,'raw data'!IP146/'raw data'!IQ146)</f>
        <v>0</v>
      </c>
      <c r="DW124" s="333">
        <f>IF(ISERROR('raw data'!IR146/'raw data'!IS146),0,'raw data'!IR146/'raw data'!IS146)</f>
        <v>0</v>
      </c>
      <c r="DX124" s="333">
        <f>IF(ISERROR('raw data'!IT146/'raw data'!IU146),0,'raw data'!IT146/'raw data'!IU146)</f>
        <v>0</v>
      </c>
      <c r="DY124" s="333">
        <f>IF(ISERROR('raw data'!IV146/'raw data'!IW146),0,'raw data'!IV146/'raw data'!IW146)</f>
        <v>0</v>
      </c>
      <c r="DZ124" s="333">
        <f>IF(ISERROR('raw data'!IX146/'raw data'!IY146),0,'raw data'!IX146/'raw data'!IY146)</f>
        <v>0</v>
      </c>
      <c r="EA124" s="333">
        <f>IF(ISERROR('raw data'!IZ146/'raw data'!JA146),0,'raw data'!IZ146/'raw data'!JA146)</f>
        <v>0</v>
      </c>
      <c r="EB124" s="333">
        <f>IF(ISERROR('raw data'!JB146/'raw data'!JC146),0,'raw data'!JB146/'raw data'!JC146)</f>
        <v>0</v>
      </c>
      <c r="EC124" s="333">
        <f>IF(ISERROR('raw data'!JD146/'raw data'!JE146),0,'raw data'!JD146/'raw data'!JE146)</f>
        <v>0</v>
      </c>
      <c r="ED124" s="334"/>
      <c r="EE124" s="335">
        <v>0</v>
      </c>
      <c r="EF124" s="335">
        <v>1</v>
      </c>
      <c r="EG124" s="336">
        <f t="shared" si="6"/>
        <v>0</v>
      </c>
    </row>
    <row r="125" spans="1:137" ht="20" customHeight="1" x14ac:dyDescent="0.15">
      <c r="A125" s="204" t="s">
        <v>234</v>
      </c>
      <c r="B125" s="204" t="s">
        <v>235</v>
      </c>
      <c r="C125" s="332" t="s">
        <v>235</v>
      </c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  <c r="AO125" s="326"/>
      <c r="AP125" s="326"/>
      <c r="AQ125" s="326"/>
      <c r="AR125" s="326"/>
      <c r="AS125" s="326"/>
      <c r="AT125" s="326"/>
      <c r="AU125" s="326"/>
      <c r="AV125" s="326"/>
      <c r="AW125" s="326"/>
      <c r="AX125" s="326"/>
      <c r="AY125" s="326"/>
      <c r="AZ125" s="326"/>
      <c r="BA125" s="326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  <c r="BM125" s="326"/>
      <c r="BN125" s="326"/>
      <c r="BO125" s="326"/>
      <c r="BP125" s="326"/>
      <c r="BQ125" s="326"/>
      <c r="BR125" s="326"/>
      <c r="BS125" s="326"/>
      <c r="BT125" s="326"/>
      <c r="BU125" s="326"/>
      <c r="BV125" s="326"/>
      <c r="BW125" s="326"/>
      <c r="BX125" s="326"/>
      <c r="BY125" s="326"/>
      <c r="BZ125" s="326"/>
      <c r="CA125" s="326"/>
      <c r="CB125" s="326"/>
      <c r="CC125" s="326"/>
      <c r="CD125" s="326"/>
      <c r="CE125" s="326"/>
      <c r="CF125" s="326"/>
      <c r="CG125" s="326"/>
      <c r="CH125" s="326"/>
      <c r="CI125" s="326"/>
      <c r="CJ125" s="326"/>
      <c r="CK125" s="326"/>
      <c r="CL125" s="326"/>
      <c r="CM125" s="326"/>
      <c r="CN125" s="326"/>
      <c r="CO125" s="326"/>
      <c r="CP125" s="326"/>
      <c r="CQ125" s="326"/>
      <c r="CR125" s="326"/>
      <c r="CS125" s="326"/>
      <c r="CT125" s="326"/>
      <c r="CU125" s="326"/>
      <c r="CV125" s="326"/>
      <c r="CW125" s="326"/>
      <c r="CX125" s="326"/>
      <c r="CY125" s="326"/>
      <c r="CZ125" s="326"/>
      <c r="DA125" s="326"/>
      <c r="DB125" s="326"/>
      <c r="DC125" s="326"/>
      <c r="DD125" s="326"/>
      <c r="DE125" s="333">
        <f>IF(ISERROR('raw data'!HH147/'raw data'!HI147),0,'raw data'!HH147/'raw data'!HI147)</f>
        <v>0.25</v>
      </c>
      <c r="DF125" s="333">
        <f>IF(ISERROR('raw data'!HJ147/'raw data'!HK147),0,'raw data'!HJ147/'raw data'!HK147)</f>
        <v>0.25</v>
      </c>
      <c r="DG125" s="333">
        <f>IF(ISERROR('raw data'!HL147/'raw data'!HM147),0,'raw data'!HL147/'raw data'!HM147)</f>
        <v>0.15384615384615385</v>
      </c>
      <c r="DH125" s="333">
        <f>IF(ISERROR('raw data'!HN147/'raw data'!HO147),0,'raw data'!HN147/'raw data'!HO147)</f>
        <v>0.25</v>
      </c>
      <c r="DI125" s="333">
        <f>IF(ISERROR('raw data'!HP147/'raw data'!HQ147),0,'raw data'!HP147/'raw data'!HQ147)</f>
        <v>0.26666666666666666</v>
      </c>
      <c r="DJ125" s="333">
        <f>IF(ISERROR('raw data'!HR147/'raw data'!HS147),0,'raw data'!HR147/'raw data'!HS147)</f>
        <v>7.1428571428571425E-2</v>
      </c>
      <c r="DK125" s="333">
        <f>IF(ISERROR('raw data'!HT147/'raw data'!HU147),0,'raw data'!HT147/'raw data'!HU147)</f>
        <v>0.42857142857142855</v>
      </c>
      <c r="DL125" s="333">
        <f>IF(ISERROR('raw data'!HV147/'raw data'!HW147),0,'raw data'!HV147/'raw data'!HW147)</f>
        <v>0</v>
      </c>
      <c r="DM125" s="333">
        <f>IF(ISERROR('raw data'!HX147/'raw data'!HY147),0,'raw data'!HX147/'raw data'!HY147)</f>
        <v>0.5</v>
      </c>
      <c r="DN125" s="333">
        <f>IF(ISERROR('raw data'!HZ147/'raw data'!IA147),0,'raw data'!HZ147/'raw data'!IA147)</f>
        <v>0.4</v>
      </c>
      <c r="DO125" s="333">
        <f>IF(ISERROR('raw data'!IB147/'raw data'!IC147),0,'raw data'!IB147/'raw data'!IC147)</f>
        <v>0.16666666666666666</v>
      </c>
      <c r="DP125" s="333">
        <f>IF(ISERROR('raw data'!ID147/'raw data'!IE147),0,'raw data'!ID147/'raw data'!IE147)</f>
        <v>0.14285714285714285</v>
      </c>
      <c r="DQ125" s="333">
        <f>IF(ISERROR('raw data'!IF147/'raw data'!IG147),0,'raw data'!IF147/'raw data'!IG147)</f>
        <v>0.375</v>
      </c>
      <c r="DR125" s="333">
        <f>IF(ISERROR('raw data'!IH147/'raw data'!II147),0,'raw data'!IH147/'raw data'!II147)</f>
        <v>0.3</v>
      </c>
      <c r="DS125" s="333">
        <f>IF(ISERROR('raw data'!IJ147/'raw data'!IK147),0,'raw data'!IJ147/'raw data'!IK147)</f>
        <v>0.5</v>
      </c>
      <c r="DT125" s="333">
        <f>IF(ISERROR('raw data'!IL147/'raw data'!IM147),0,'raw data'!IL147/'raw data'!IM147)</f>
        <v>0.75</v>
      </c>
      <c r="DU125" s="333">
        <f>IF(ISERROR('raw data'!IN147/'raw data'!IO147),0,'raw data'!IN147/'raw data'!IO147)</f>
        <v>0.33333333333333331</v>
      </c>
      <c r="DV125" s="333">
        <f>IF(ISERROR('raw data'!IP147/'raw data'!IQ147),0,'raw data'!IP147/'raw data'!IQ147)</f>
        <v>0.66666666666666663</v>
      </c>
      <c r="DW125" s="333">
        <f>IF(ISERROR('raw data'!IR147/'raw data'!IS147),0,'raw data'!IR147/'raw data'!IS147)</f>
        <v>1</v>
      </c>
      <c r="DX125" s="333">
        <f>IF(ISERROR('raw data'!IT147/'raw data'!IU147),0,'raw data'!IT147/'raw data'!IU147)</f>
        <v>0</v>
      </c>
      <c r="DY125" s="333">
        <f>IF(ISERROR('raw data'!IV147/'raw data'!IW147),0,'raw data'!IV147/'raw data'!IW147)</f>
        <v>0.44444444444444442</v>
      </c>
      <c r="DZ125" s="333">
        <f>IF(ISERROR('raw data'!IX147/'raw data'!IY147),0,'raw data'!IX147/'raw data'!IY147)</f>
        <v>0.13333333333333333</v>
      </c>
      <c r="EA125" s="333">
        <f>IF(ISERROR('raw data'!IZ147/'raw data'!JA147),0,'raw data'!IZ147/'raw data'!JA147)</f>
        <v>0.18181818181818182</v>
      </c>
      <c r="EB125" s="333">
        <f>IF(ISERROR('raw data'!JB147/'raw data'!JC147),0,'raw data'!JB147/'raw data'!JC147)</f>
        <v>9.0909090909090912E-2</v>
      </c>
      <c r="EC125" s="333">
        <f>IF(ISERROR('raw data'!JD147/'raw data'!JE147),0,'raw data'!JD147/'raw data'!JE147)</f>
        <v>0.33333333333333331</v>
      </c>
      <c r="ED125" s="334"/>
      <c r="EE125" s="335">
        <v>34</v>
      </c>
      <c r="EF125" s="335">
        <v>106</v>
      </c>
      <c r="EG125" s="336">
        <f t="shared" si="6"/>
        <v>0.32075471698113206</v>
      </c>
    </row>
    <row r="126" spans="1:137" ht="20" customHeight="1" x14ac:dyDescent="0.15">
      <c r="A126" s="204" t="s">
        <v>236</v>
      </c>
      <c r="B126" s="204" t="s">
        <v>237</v>
      </c>
      <c r="C126" s="332" t="s">
        <v>237</v>
      </c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  <c r="AE126" s="326"/>
      <c r="AF126" s="326"/>
      <c r="AG126" s="326"/>
      <c r="AH126" s="326"/>
      <c r="AI126" s="326"/>
      <c r="AJ126" s="326"/>
      <c r="AK126" s="326"/>
      <c r="AL126" s="326"/>
      <c r="AM126" s="326"/>
      <c r="AN126" s="326"/>
      <c r="AO126" s="326"/>
      <c r="AP126" s="326"/>
      <c r="AQ126" s="326"/>
      <c r="AR126" s="326"/>
      <c r="AS126" s="326"/>
      <c r="AT126" s="326"/>
      <c r="AU126" s="326"/>
      <c r="AV126" s="326"/>
      <c r="AW126" s="326"/>
      <c r="AX126" s="326"/>
      <c r="AY126" s="326"/>
      <c r="AZ126" s="326"/>
      <c r="BA126" s="326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  <c r="BM126" s="326"/>
      <c r="BN126" s="326"/>
      <c r="BO126" s="326"/>
      <c r="BP126" s="326"/>
      <c r="BQ126" s="326"/>
      <c r="BR126" s="326"/>
      <c r="BS126" s="326"/>
      <c r="BT126" s="326"/>
      <c r="BU126" s="326"/>
      <c r="BV126" s="326"/>
      <c r="BW126" s="326"/>
      <c r="BX126" s="326"/>
      <c r="BY126" s="326"/>
      <c r="BZ126" s="326"/>
      <c r="CA126" s="326"/>
      <c r="CB126" s="326"/>
      <c r="CC126" s="326"/>
      <c r="CD126" s="326"/>
      <c r="CE126" s="326"/>
      <c r="CF126" s="326"/>
      <c r="CG126" s="326"/>
      <c r="CH126" s="326"/>
      <c r="CI126" s="326"/>
      <c r="CJ126" s="326"/>
      <c r="CK126" s="326"/>
      <c r="CL126" s="326"/>
      <c r="CM126" s="326"/>
      <c r="CN126" s="326"/>
      <c r="CO126" s="326"/>
      <c r="CP126" s="326"/>
      <c r="CQ126" s="326"/>
      <c r="CR126" s="326"/>
      <c r="CS126" s="326"/>
      <c r="CT126" s="326"/>
      <c r="CU126" s="326"/>
      <c r="CV126" s="326"/>
      <c r="CW126" s="326"/>
      <c r="CX126" s="326"/>
      <c r="CY126" s="326"/>
      <c r="CZ126" s="326"/>
      <c r="DA126" s="326"/>
      <c r="DB126" s="326"/>
      <c r="DC126" s="326"/>
      <c r="DD126" s="326"/>
      <c r="DE126" s="326"/>
      <c r="DF126" s="326"/>
      <c r="DG126" s="326"/>
      <c r="DH126" s="326"/>
      <c r="DI126" s="326"/>
      <c r="DJ126" s="333">
        <f>IF(ISERROR('raw data'!HR148/'raw data'!HS148),0,'raw data'!HR148/'raw data'!HS148)</f>
        <v>0</v>
      </c>
      <c r="DK126" s="238" t="s">
        <v>30</v>
      </c>
      <c r="DL126" s="238" t="s">
        <v>30</v>
      </c>
      <c r="DM126" s="238" t="s">
        <v>30</v>
      </c>
      <c r="DN126" s="238" t="s">
        <v>30</v>
      </c>
      <c r="DO126" s="238" t="s">
        <v>30</v>
      </c>
      <c r="DP126" s="238" t="s">
        <v>30</v>
      </c>
      <c r="DQ126" s="238" t="s">
        <v>30</v>
      </c>
      <c r="DR126" s="238" t="s">
        <v>30</v>
      </c>
      <c r="DS126" s="238" t="s">
        <v>30</v>
      </c>
      <c r="DT126" s="238" t="s">
        <v>30</v>
      </c>
      <c r="DU126" s="238" t="s">
        <v>30</v>
      </c>
      <c r="DV126" s="238" t="s">
        <v>30</v>
      </c>
      <c r="DW126" s="238" t="s">
        <v>30</v>
      </c>
      <c r="DX126" s="238" t="s">
        <v>30</v>
      </c>
      <c r="DY126" s="238" t="s">
        <v>30</v>
      </c>
      <c r="DZ126" s="238" t="s">
        <v>30</v>
      </c>
      <c r="EA126" s="238" t="s">
        <v>30</v>
      </c>
      <c r="EB126" s="238" t="s">
        <v>30</v>
      </c>
      <c r="EC126" s="238" t="s">
        <v>30</v>
      </c>
      <c r="ED126" s="334"/>
      <c r="EE126" s="335">
        <v>0</v>
      </c>
      <c r="EF126" s="335">
        <v>0</v>
      </c>
      <c r="EG126" s="336">
        <f t="shared" si="6"/>
        <v>0</v>
      </c>
    </row>
    <row r="127" spans="1:137" ht="14" x14ac:dyDescent="0.15">
      <c r="A127" s="241"/>
      <c r="B127" s="337" t="s">
        <v>256</v>
      </c>
      <c r="C127" s="321" t="s">
        <v>256</v>
      </c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3"/>
      <c r="AT127" s="243"/>
      <c r="AU127" s="243"/>
      <c r="AV127" s="243"/>
      <c r="AW127" s="243"/>
      <c r="AX127" s="243"/>
      <c r="AY127" s="243"/>
      <c r="AZ127" s="243"/>
      <c r="BA127" s="243"/>
      <c r="BB127" s="243"/>
      <c r="BC127" s="243"/>
      <c r="BD127" s="243"/>
      <c r="BE127" s="243"/>
      <c r="BF127" s="243"/>
      <c r="BG127" s="243"/>
      <c r="BH127" s="243"/>
      <c r="BI127" s="243"/>
      <c r="BJ127" s="243"/>
      <c r="BK127" s="243"/>
      <c r="BL127" s="243"/>
      <c r="BM127" s="330">
        <f>IF(ISERROR('raw data'!DV149/'raw data'!DW149),0,'raw data'!DV149/'raw data'!DW149)</f>
        <v>0.125</v>
      </c>
      <c r="BN127" s="330">
        <f>IF(ISERROR('raw data'!DX149/'raw data'!DY149),0,'raw data'!DX149/'raw data'!DY149)</f>
        <v>8.3750000000000005E-2</v>
      </c>
      <c r="BO127" s="330">
        <f>IF(ISERROR('raw data'!DZ149/'raw data'!EA149),0,'raw data'!DZ149/'raw data'!EA149)</f>
        <v>9.7500000000000003E-2</v>
      </c>
      <c r="BP127" s="330">
        <f>IF(ISERROR('raw data'!EB149/'raw data'!EC149),0,'raw data'!EB149/'raw data'!EC149)</f>
        <v>6.3750000000000001E-2</v>
      </c>
      <c r="BQ127" s="330">
        <f>IF(ISERROR('raw data'!ED149/'raw data'!EE149),0,'raw data'!ED149/'raw data'!EE149)</f>
        <v>0.16142857142857142</v>
      </c>
      <c r="BR127" s="330">
        <f>IF(ISERROR('raw data'!EF149/'raw data'!EG149),0,'raw data'!EF149/'raw data'!EG149)</f>
        <v>8.2857142857142851E-2</v>
      </c>
      <c r="BS127" s="330">
        <f>IF(ISERROR('raw data'!EH149/'raw data'!EI149),0,'raw data'!EH149/'raw data'!EI149)</f>
        <v>7.7142857142857138E-2</v>
      </c>
      <c r="BT127" s="330">
        <f>IF(ISERROR('raw data'!EJ149/'raw data'!EK149),0,'raw data'!EJ149/'raw data'!EK149)</f>
        <v>7.6666666666666661E-2</v>
      </c>
      <c r="BU127" s="330">
        <f>IF(ISERROR('raw data'!EL149/'raw data'!EM149),0,'raw data'!EL149/'raw data'!EM149)</f>
        <v>0.17346938775510204</v>
      </c>
      <c r="BV127" s="330">
        <f>IF(ISERROR('raw data'!EN149/'raw data'!EO149),0,'raw data'!EN149/'raw data'!EO149)</f>
        <v>0.14666666666666667</v>
      </c>
      <c r="BW127" s="330">
        <f>IF(ISERROR('raw data'!EP149/'raw data'!EQ149),0,'raw data'!EP149/'raw data'!EQ149)</f>
        <v>0.46455834242093785</v>
      </c>
      <c r="BX127" s="330">
        <f>IF(ISERROR('raw data'!ER149/'raw data'!ES149),0,'raw data'!ER149/'raw data'!ES149)</f>
        <v>0.4609297725024728</v>
      </c>
      <c r="BY127" s="330">
        <f>IF(ISERROR('raw data'!ET149/'raw data'!EU149),0,'raw data'!ET149/'raw data'!EU149)</f>
        <v>0.51868629671574173</v>
      </c>
      <c r="BZ127" s="330">
        <f>IF(ISERROR('raw data'!EV149/'raw data'!EW149),0,'raw data'!EV149/'raw data'!EW149)</f>
        <v>0.51357220412595006</v>
      </c>
      <c r="CA127" s="330">
        <f>IF(ISERROR('raw data'!EX149/'raw data'!EY149),0,'raw data'!EX149/'raw data'!EY149)</f>
        <v>0.47004608294930877</v>
      </c>
      <c r="CB127" s="330">
        <f>IF(ISERROR('raw data'!EZ149/'raw data'!FA149),0,'raw data'!EZ149/'raw data'!FA149)</f>
        <v>0.50673854447439348</v>
      </c>
      <c r="CC127" s="330">
        <f>IF(ISERROR('raw data'!FB149/'raw data'!FC149),0,'raw data'!FB149/'raw data'!FC149)</f>
        <v>0.4835007173601148</v>
      </c>
      <c r="CD127" s="330">
        <f>IF(ISERROR('raw data'!FD149/'raw data'!FE149),0,'raw data'!FD149/'raw data'!FE149)</f>
        <v>0.46564376250833889</v>
      </c>
      <c r="CE127" s="330">
        <f>IF(ISERROR('raw data'!FF149/'raw data'!FG149),0,'raw data'!FF149/'raw data'!FG149)</f>
        <v>0.52467343976777936</v>
      </c>
      <c r="CF127" s="330">
        <f>IF(ISERROR('raw data'!FH149/'raw data'!FI149),0,'raw data'!FH149/'raw data'!FI149)</f>
        <v>0.53346855983772823</v>
      </c>
      <c r="CG127" s="330">
        <f>IF(ISERROR('raw data'!FJ149/'raw data'!FM149),0,'raw data'!FJ149/'raw data'!FM149)</f>
        <v>0.48629242819843344</v>
      </c>
      <c r="CH127" s="330">
        <f>IF(ISERROR('raw data'!FN149/'raw data'!FO149),0,'raw data'!FN149/'raw data'!FO149)</f>
        <v>0.48917748917748916</v>
      </c>
      <c r="CI127" s="330">
        <f>IF(ISERROR('raw data'!FP149/'raw data'!FQ149),0,'raw data'!FP149/'raw data'!FQ149)</f>
        <v>0.52890932982917216</v>
      </c>
      <c r="CJ127" s="330">
        <f>IF(ISERROR('raw data'!FR149/'raw data'!FS149),0,'raw data'!FR149/'raw data'!FS149)</f>
        <v>0.45263919016630516</v>
      </c>
      <c r="CK127" s="330">
        <f>IF(ISERROR('raw data'!FT149/'raw data'!FU149),0,'raw data'!FT149/'raw data'!FU149)</f>
        <v>0.54407836153161171</v>
      </c>
      <c r="CL127" s="330">
        <f>IF(ISERROR('raw data'!FV149/'raw data'!FW149),0,'raw data'!FV149/'raw data'!FW149)</f>
        <v>0.56574271499644635</v>
      </c>
      <c r="CM127" s="330">
        <f>IF(ISERROR('raw data'!FX149/'raw data'!FY149),0,'raw data'!FX149/'raw data'!FY149)</f>
        <v>0.52338530066815148</v>
      </c>
      <c r="CN127" s="330">
        <f>IF(ISERROR('raw data'!FZ149/'raw data'!GA149),0,'raw data'!FZ149/'raw data'!GA149)</f>
        <v>0.54395191585274227</v>
      </c>
      <c r="CO127" s="330">
        <f>IF(ISERROR('raw data'!GB149/'raw data'!GC149),0,'raw data'!GB149/'raw data'!GC149)</f>
        <v>0.58534990189666447</v>
      </c>
      <c r="CP127" s="330">
        <f>IF(ISERROR('raw data'!GD149/'raw data'!GE149),0,'raw data'!GD149/'raw data'!GE149)</f>
        <v>0.54882571075401732</v>
      </c>
      <c r="CQ127" s="330">
        <f>IF(ISERROR('raw data'!GF149/'raw data'!GG149),0,'raw data'!GF149/'raw data'!GG149)</f>
        <v>0.50667603654251581</v>
      </c>
      <c r="CR127" s="330">
        <f>IF(ISERROR('raw data'!GH149/'raw data'!GI149),0,'raw data'!GH149/'raw data'!GI149)</f>
        <v>0.64003511852502193</v>
      </c>
      <c r="CS127" s="330">
        <f>IF(ISERROR('raw data'!GJ149/'raw data'!GK149),0,'raw data'!GJ149/'raw data'!GK149)</f>
        <v>0.40017162471395878</v>
      </c>
      <c r="CT127" s="330">
        <f>IF(ISERROR('raw data'!GL149/'raw data'!GM149),0,'raw data'!GL149/'raw data'!GM149)</f>
        <v>0.46943005181347153</v>
      </c>
      <c r="CU127" s="330">
        <f>IF(ISERROR('raw data'!GN149/'raw data'!GO149),0,'raw data'!GN149/'raw data'!GO149)</f>
        <v>0.51884700665188466</v>
      </c>
      <c r="CV127" s="330">
        <f>IF(ISERROR('raw data'!GP149/'raw data'!GQ149),0,'raw data'!GP149/'raw data'!GQ149)</f>
        <v>0.48651887357699219</v>
      </c>
      <c r="CW127" s="330">
        <f>IF(ISERROR('raw data'!GR149/'raw data'!GS149),0,'raw data'!GR149/'raw data'!GS149)</f>
        <v>0.58534405719392313</v>
      </c>
      <c r="CX127" s="330">
        <f>IF(ISERROR('raw data'!GT149/'raw data'!GU149),0,'raw data'!GT149/'raw data'!GU149)</f>
        <v>0.45609065155807366</v>
      </c>
      <c r="CY127" s="330">
        <f>IF(ISERROR('raw data'!GV149/'raw data'!GW149),0,'raw data'!GV149/'raw data'!GW149)</f>
        <v>0.61597444089456865</v>
      </c>
      <c r="CZ127" s="330">
        <f>IF(ISERROR('raw data'!GX149/'raw data'!GY149),0,'raw data'!GX149/'raw data'!GY149)</f>
        <v>0.58046683046683045</v>
      </c>
      <c r="DA127" s="330">
        <f>IF(ISERROR('raw data'!GZ149/'raw data'!HA149),0,'raw data'!GZ149/'raw data'!HA149)</f>
        <v>0.61529411764705877</v>
      </c>
      <c r="DB127" s="330">
        <f>IF(ISERROR('raw data'!HB149/'raw data'!HC149),0,'raw data'!HB149/'raw data'!HC149)</f>
        <v>0.68487394957983194</v>
      </c>
      <c r="DC127" s="330">
        <f>IF(ISERROR('raw data'!HD149/'raw data'!HE149),0,'raw data'!HD149/'raw data'!HE149)</f>
        <v>0.73641851106639844</v>
      </c>
      <c r="DD127" s="330">
        <f>IF(ISERROR('raw data'!HF149/'raw data'!HG149),0,'raw data'!HF149/'raw data'!HG149)</f>
        <v>0.79025191675794082</v>
      </c>
      <c r="DE127" s="330">
        <f>IF(ISERROR('raw data'!HH149/'raw data'!HI149),0,'raw data'!HH149/'raw data'!HI149)</f>
        <v>0.69353070175438591</v>
      </c>
      <c r="DF127" s="330">
        <f>IF(ISERROR('raw data'!HJ149/'raw data'!HK149),0,'raw data'!HJ149/'raw data'!HK149)</f>
        <v>0.7678571428571429</v>
      </c>
      <c r="DG127" s="330">
        <f>IF(ISERROR('raw data'!HL149/'raw data'!HM149),0,'raw data'!HL149/'raw data'!HM149)</f>
        <v>0.74829268292682927</v>
      </c>
      <c r="DH127" s="330">
        <f>IF(ISERROR('raw data'!HN149/'raw data'!HO149),0,'raw data'!HN149/'raw data'!HO149)</f>
        <v>0.73675310033821872</v>
      </c>
      <c r="DI127" s="330">
        <f>IF(ISERROR('raw data'!HP149/'raw data'!HQ149),0,'raw data'!HP149/'raw data'!HQ149)</f>
        <v>0.75195530726256987</v>
      </c>
      <c r="DJ127" s="330">
        <f>IF(ISERROR('raw data'!HR149/'raw data'!HS149),0,'raw data'!HR149/'raw data'!HS149)</f>
        <v>0.7505285412262156</v>
      </c>
      <c r="DK127" s="330">
        <f>IF(ISERROR('raw data'!HT149/'raw data'!HU149),0,'raw data'!HT149/'raw data'!HU149)</f>
        <v>0.8135946622185154</v>
      </c>
      <c r="DL127" s="330">
        <f>IF(ISERROR('raw data'!HV149/'raw data'!HW149),0,'raw data'!HV149/'raw data'!HW149)</f>
        <v>0.86164229471316089</v>
      </c>
      <c r="DM127" s="330">
        <f>IF(ISERROR('raw data'!HX149/'raw data'!HY149),0,'raw data'!HX149/'raw data'!HY149)</f>
        <v>0.83050847457627119</v>
      </c>
      <c r="DN127" s="330">
        <f>IF(ISERROR('raw data'!HZ149/'raw data'!IA149),0,'raw data'!HZ149/'raw data'!IA149)</f>
        <v>0.81812538795779022</v>
      </c>
      <c r="DO127" s="330">
        <f>IF(ISERROR('raw data'!IB149/'raw data'!IC149),0,'raw data'!IB149/'raw data'!IC149)</f>
        <v>0.74396442185514611</v>
      </c>
      <c r="DP127" s="330">
        <f>IF(ISERROR('raw data'!ID149/'raw data'!IE149),0,'raw data'!ID149/'raw data'!IE149)</f>
        <v>0.73028673835125446</v>
      </c>
      <c r="DQ127" s="330">
        <f>IF(ISERROR('raw data'!IF149/'raw data'!IG149),0,'raw data'!IF149/'raw data'!IG149)</f>
        <v>0.67395626242544726</v>
      </c>
      <c r="DR127" s="330">
        <f>IF(ISERROR('raw data'!IH149/'raw data'!II149),0,'raw data'!IH149/'raw data'!II149)</f>
        <v>0.67632150615496023</v>
      </c>
      <c r="DS127" s="330">
        <f>IF(ISERROR('raw data'!IJ149/'raw data'!IK149),0,'raw data'!IJ149/'raw data'!IK149)</f>
        <v>0.6517739816031537</v>
      </c>
      <c r="DT127" s="330">
        <f>IF(ISERROR('raw data'!IL149/'raw data'!IM149),0,'raw data'!IL149/'raw data'!IM149)</f>
        <v>0.73254437869822486</v>
      </c>
      <c r="DU127" s="330">
        <f>IF(ISERROR('raw data'!IN149/'raw data'!IO149),0,'raw data'!IN149/'raw data'!IO149)</f>
        <v>0.69426751592356684</v>
      </c>
      <c r="DV127" s="330">
        <f>IF(ISERROR('raw data'!IP149/'raw data'!IQ149),0,'raw data'!IP149/'raw data'!IQ149)</f>
        <v>0.68030513176144247</v>
      </c>
      <c r="DW127" s="330">
        <f>IF(ISERROR('raw data'!IR149/'raw data'!IS149),0,'raw data'!IR149/'raw data'!IS149)</f>
        <v>0.58891595615103531</v>
      </c>
      <c r="DX127" s="330">
        <f>IF(ISERROR('raw data'!IT149/'raw data'!IU149),0,'raw data'!IT149/'raw data'!IU149)</f>
        <v>0.57309540150995197</v>
      </c>
      <c r="DY127" s="330">
        <f>IF(ISERROR('raw data'!IV149/'raw data'!IW149),0,'raw data'!IV149/'raw data'!IW149)</f>
        <v>0.80139559849704778</v>
      </c>
      <c r="DZ127" s="330">
        <f>IF(ISERROR('raw data'!IX149/'raw data'!IY149),0,'raw data'!IX149/'raw data'!IY149)</f>
        <v>0.74095238095238092</v>
      </c>
      <c r="EA127" s="330">
        <f>IF(ISERROR('raw data'!IZ149/'raw data'!JA149),0,'raw data'!IZ149/'raw data'!JA149)</f>
        <v>0.69707842132239872</v>
      </c>
      <c r="EB127" s="330">
        <f>IF(ISERROR('raw data'!JB149/'raw data'!JC149),0,'raw data'!JB149/'raw data'!JC149)</f>
        <v>0.7018267530936948</v>
      </c>
      <c r="EC127" s="330">
        <f>IF(ISERROR('raw data'!JD149/'raw data'!JE149),0,'raw data'!JD149/'raw data'!JE149)</f>
        <v>0.70532915360501569</v>
      </c>
      <c r="ED127" s="334"/>
      <c r="EE127" s="244">
        <f>SUM(EE121:EE126)</f>
        <v>15920</v>
      </c>
      <c r="EF127" s="331">
        <f>SUM(EF121:EF126)</f>
        <v>22403</v>
      </c>
      <c r="EG127" s="245">
        <f t="shared" si="6"/>
        <v>0.71061911351158324</v>
      </c>
    </row>
    <row r="128" spans="1:137" ht="12.75" hidden="1" customHeight="1" x14ac:dyDescent="0.15">
      <c r="A128" s="338" t="s">
        <v>186</v>
      </c>
      <c r="B128" s="338"/>
      <c r="C128" s="339" t="s">
        <v>187</v>
      </c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40">
        <f>IF(ISERROR('raw data'!BJ113/'raw data'!BK113),0,'raw data'!BJ113/'raw data'!BK113)</f>
        <v>0</v>
      </c>
      <c r="AH128" s="340">
        <f>IF(ISERROR('raw data'!BL113/'raw data'!BM113),0,'raw data'!BL113/'raw data'!BM113)</f>
        <v>0</v>
      </c>
      <c r="AI128" s="340">
        <f>IF(ISERROR('raw data'!BN113/'raw data'!BO113),0,'raw data'!BN113/'raw data'!BO113)</f>
        <v>0</v>
      </c>
      <c r="AJ128" s="340">
        <f>IF(ISERROR('raw data'!BP113/'raw data'!BQ113),0,'raw data'!BP113/'raw data'!BQ113)</f>
        <v>0</v>
      </c>
      <c r="AK128" s="340">
        <f>IF(ISERROR('raw data'!BR113/'raw data'!BS113),0,'raw data'!BR113/'raw data'!BS113)</f>
        <v>0</v>
      </c>
      <c r="AL128" s="340">
        <f>IF(ISERROR('raw data'!BT113/'raw data'!BU113),0,'raw data'!BT113/'raw data'!BU113)</f>
        <v>0</v>
      </c>
      <c r="AM128" s="340">
        <f>IF(ISERROR('raw data'!BV113/'raw data'!BW113),0,'raw data'!BV113/'raw data'!BW113)</f>
        <v>0</v>
      </c>
      <c r="AN128" s="340">
        <f>IF(ISERROR('raw data'!BX113/'raw data'!BY113),0,'raw data'!BX113/'raw data'!BY113)</f>
        <v>0</v>
      </c>
      <c r="AO128" s="340">
        <f>IF(ISERROR('raw data'!BZ113/'raw data'!CA113),0,'raw data'!BZ113/'raw data'!CA113)</f>
        <v>0</v>
      </c>
      <c r="AP128" s="340">
        <f>IF(ISERROR('raw data'!CB113/'raw data'!CC113),0,'raw data'!CB113/'raw data'!CC113)</f>
        <v>0</v>
      </c>
      <c r="AQ128" s="340">
        <f>IF(ISERROR('raw data'!CD113/'raw data'!CE113),0,'raw data'!CD113/'raw data'!CE113)</f>
        <v>0</v>
      </c>
      <c r="AR128" s="340">
        <f>IF(ISERROR('raw data'!CF113/'raw data'!CG113),0,'raw data'!CF113/'raw data'!CG113)</f>
        <v>0</v>
      </c>
      <c r="AS128" s="340">
        <f>IF(ISERROR('raw data'!CH113/'raw data'!CI113),0,'raw data'!CH113/'raw data'!CI113)</f>
        <v>0</v>
      </c>
      <c r="AT128" s="340">
        <f>IF(ISERROR('raw data'!CJ113/'raw data'!CK113),0,'raw data'!CJ113/'raw data'!CK113)</f>
        <v>0</v>
      </c>
      <c r="AU128" s="340">
        <f>IF(ISERROR('raw data'!CL113/'raw data'!CM113),0,'raw data'!CL113/'raw data'!CM113)</f>
        <v>0</v>
      </c>
      <c r="AV128" s="340">
        <f>IF(ISERROR('raw data'!CN113/'raw data'!CO113),0,'raw data'!CN113/'raw data'!CO113)</f>
        <v>0</v>
      </c>
      <c r="AW128" s="340">
        <f>IF(ISERROR('raw data'!CP113/'raw data'!CQ113),0,'raw data'!CP113/'raw data'!CQ113)</f>
        <v>0</v>
      </c>
      <c r="AX128" s="340">
        <f>IF(ISERROR('raw data'!CR113/'raw data'!CS113),0,'raw data'!CR113/'raw data'!CS113)</f>
        <v>0</v>
      </c>
      <c r="AY128" s="340">
        <f>IF(ISERROR('raw data'!CT113/'raw data'!CU113),0,'raw data'!CT113/'raw data'!CU113)</f>
        <v>0</v>
      </c>
      <c r="AZ128" s="340">
        <f>IF(ISERROR('raw data'!CV113/'raw data'!CW113),0,'raw data'!CV113/'raw data'!CW113)</f>
        <v>0</v>
      </c>
      <c r="BA128" s="340"/>
      <c r="BB128" s="340">
        <f>IF(ISERROR('raw data'!CZ113/'raw data'!DA113),0,'raw data'!CZ113/'raw data'!DA113)</f>
        <v>0</v>
      </c>
      <c r="BC128" s="340"/>
      <c r="BD128" s="340">
        <v>0</v>
      </c>
      <c r="BE128" s="340">
        <f>IF(ISERROR('raw data'!DF113/'raw data'!DG113),0,'raw data'!DF113/'raw data'!DG113)</f>
        <v>0</v>
      </c>
      <c r="BF128" s="340">
        <f>IF(ISERROR('raw data'!DH113/'raw data'!DI113),0,'raw data'!DH113/'raw data'!DI113)</f>
        <v>0</v>
      </c>
      <c r="BG128" s="340">
        <f>IF(ISERROR('raw data'!DJ113/'raw data'!DK113),0,'raw data'!DJ113/'raw data'!DK113)</f>
        <v>0</v>
      </c>
      <c r="BH128" s="340">
        <f>IF(ISERROR('raw data'!DL113/'raw data'!DM113),0,'raw data'!DL113/'raw data'!DM113)</f>
        <v>0</v>
      </c>
      <c r="BI128" s="340">
        <f>IF(ISERROR('raw data'!DM113/'raw data'!DN113),0,'raw data'!DM113/'raw data'!DN113)</f>
        <v>0</v>
      </c>
      <c r="BJ128" s="340">
        <f>IF(ISERROR('raw data'!DP113/'raw data'!DQ113),0,'raw data'!DP113/'raw data'!DQ113)</f>
        <v>0</v>
      </c>
      <c r="BK128" s="340">
        <f>IF(ISERROR('raw data'!DR113/'raw data'!DS113),0,'raw data'!DR113/'raw data'!DS113)</f>
        <v>0</v>
      </c>
      <c r="BL128" s="340">
        <f>IF(ISERROR('raw data'!DT113/'raw data'!DU113),0,'raw data'!DT113/'raw data'!DU113)</f>
        <v>0</v>
      </c>
      <c r="BM128" s="340">
        <f>IF(ISERROR('raw data'!DV113/'raw data'!DW113),0,'raw data'!DV113/'raw data'!DW113)</f>
        <v>0</v>
      </c>
      <c r="BN128" s="340">
        <f>IF(ISERROR('raw data'!DX113/'raw data'!DY113),0,'raw data'!DX113/'raw data'!DY113)</f>
        <v>0</v>
      </c>
      <c r="BO128" s="340">
        <f>IF(ISERROR('raw data'!DZ113/'raw data'!EA113),0,'raw data'!DZ113/'raw data'!EA113)</f>
        <v>0</v>
      </c>
      <c r="BP128" s="340">
        <f>IF(ISERROR('raw data'!EB113/'raw data'!EC113),0,'raw data'!EB113/'raw data'!EC113)</f>
        <v>0</v>
      </c>
      <c r="BQ128" s="340">
        <f>IF(ISERROR('raw data'!ED113/'raw data'!EE113),0,'raw data'!ED113/'raw data'!EE113)</f>
        <v>0</v>
      </c>
      <c r="BR128" s="340">
        <f>IF(ISERROR('raw data'!EF113/'raw data'!EG113),0,'raw data'!EF113/'raw data'!EG113)</f>
        <v>0</v>
      </c>
      <c r="BS128" s="340">
        <f>IF(ISERROR('raw data'!EH113/'raw data'!EI113),0,'raw data'!EH113/'raw data'!EI113)</f>
        <v>0</v>
      </c>
      <c r="BT128" s="340">
        <f>IF(ISERROR('raw data'!EJ113/'raw data'!EK113),0,'raw data'!EJ113/'raw data'!EK113)</f>
        <v>0</v>
      </c>
      <c r="BU128" s="340">
        <f>IF(ISERROR('raw data'!EL113/'raw data'!EM113),0,'raw data'!EL113/'raw data'!EM113)</f>
        <v>0</v>
      </c>
      <c r="BV128" s="340">
        <f>IF(ISERROR('raw data'!EN113/'raw data'!EO113),0,'raw data'!EN113/'raw data'!EO113)</f>
        <v>0</v>
      </c>
      <c r="BW128" s="340">
        <f>IF(ISERROR('raw data'!EP113/'raw data'!EQ113),0,'raw data'!EP113/'raw data'!EQ113)</f>
        <v>0</v>
      </c>
      <c r="BX128" s="340">
        <f>IF(ISERROR('raw data'!ER113/'raw data'!ES113),0,'raw data'!ER113/'raw data'!ES113)</f>
        <v>0</v>
      </c>
      <c r="BY128" s="340">
        <f>IF(ISERROR('raw data'!ET113/'raw data'!EU113),0,'raw data'!ET113/'raw data'!EU113)</f>
        <v>0</v>
      </c>
      <c r="BZ128" s="340">
        <f>IF(ISERROR('raw data'!EV113/'raw data'!EW113),0,'raw data'!EV113/'raw data'!EW113)</f>
        <v>0</v>
      </c>
      <c r="CA128" s="340">
        <f>IF(ISERROR('raw data'!EX113/'raw data'!EY113),0,'raw data'!EX113/'raw data'!EY113)</f>
        <v>0</v>
      </c>
      <c r="CB128" s="340">
        <f>IF(ISERROR('raw data'!EZ113/'raw data'!FA113),0,'raw data'!EZ113/'raw data'!FA113)</f>
        <v>0</v>
      </c>
      <c r="CC128" s="340">
        <f>IF(ISERROR('raw data'!FB113/'raw data'!FC113),0,'raw data'!FB113/'raw data'!FC113)</f>
        <v>0</v>
      </c>
      <c r="CD128" s="340">
        <f>IF(ISERROR('raw data'!FD113/'raw data'!FE113),0,'raw data'!FD113/'raw data'!FE113)</f>
        <v>0</v>
      </c>
      <c r="CE128" s="340">
        <f>IF(ISERROR('raw data'!FF113/'raw data'!FG113),0,'raw data'!FF113/'raw data'!FG113)</f>
        <v>0</v>
      </c>
      <c r="CF128" s="340">
        <f>IF(ISERROR('raw data'!GV135/'raw data'!GW135),0,'raw data'!GV135/'raw data'!GW135)</f>
        <v>0.67391304347826086</v>
      </c>
      <c r="CG128" s="340">
        <f>IF(ISERROR('raw data'!FJ113/'raw data'!FM113),0,'raw data'!FJ113/'raw data'!FM113)</f>
        <v>0</v>
      </c>
      <c r="CH128" s="340">
        <f>IF(ISERROR('raw data'!FN113/'raw data'!FO113),0,'raw data'!FN113/'raw data'!FO113)</f>
        <v>0</v>
      </c>
      <c r="CI128" s="340">
        <f>IF(ISERROR('raw data'!FP113/'raw data'!FQ113),0,'raw data'!FP113/'raw data'!FQ113)</f>
        <v>0</v>
      </c>
      <c r="CJ128" s="340">
        <f>IF(ISERROR('raw data'!FR113/'raw data'!FS113),0,'raw data'!FR113/'raw data'!FS113)</f>
        <v>0</v>
      </c>
      <c r="CK128" s="340">
        <f>IF(ISERROR('raw data'!FT113/'raw data'!FU113),0,'raw data'!FT113/'raw data'!FU113)</f>
        <v>0</v>
      </c>
      <c r="CL128" s="340">
        <f>IF(ISERROR('raw data'!FV113/'raw data'!FW113),0,'raw data'!FV113/'raw data'!FW113)</f>
        <v>0</v>
      </c>
      <c r="CM128" s="340">
        <f>IF(ISERROR('raw data'!FX113/'raw data'!FY113),0,'raw data'!FX113/'raw data'!FY113)</f>
        <v>0</v>
      </c>
      <c r="CN128" s="340">
        <f>IF(ISERROR('raw data'!FZ113/'raw data'!GA113),0,'raw data'!FZ113/'raw data'!GA113)</f>
        <v>0</v>
      </c>
      <c r="CO128" s="340">
        <f>IF(ISERROR('raw data'!GB113/'raw data'!GC113),0,'raw data'!GB113/'raw data'!GC113)</f>
        <v>0</v>
      </c>
      <c r="CP128" s="340">
        <f>IF(ISERROR('raw data'!GD113/'raw data'!GE113),0,'raw data'!GD113/'raw data'!GE113)</f>
        <v>0</v>
      </c>
      <c r="CQ128" s="340">
        <f>IF(ISERROR('raw data'!GF113/'raw data'!GG113),0,'raw data'!GF113/'raw data'!GG113)</f>
        <v>0</v>
      </c>
      <c r="CR128" s="340">
        <f>IF(ISERROR('raw data'!GH113/'raw data'!GI113),0,'raw data'!GH113/'raw data'!GI113)</f>
        <v>0</v>
      </c>
      <c r="CS128" s="340">
        <f>IF(ISERROR('raw data'!GJ113/'raw data'!GK113),0,'raw data'!GJ113/'raw data'!GK113)</f>
        <v>0</v>
      </c>
      <c r="CT128" s="340">
        <f>IF(ISERROR('raw data'!GL113/'raw data'!GM113),0,'raw data'!GL113/'raw data'!GM113)</f>
        <v>0</v>
      </c>
      <c r="CU128" s="340">
        <f>IF(ISERROR('raw data'!GN113/'raw data'!GO113),0,'raw data'!GN113/'raw data'!GO113)</f>
        <v>0</v>
      </c>
      <c r="CV128" s="340">
        <f>IF(ISERROR('raw data'!GP113/'raw data'!GQ113),0,'raw data'!GP113/'raw data'!GQ113)</f>
        <v>0</v>
      </c>
      <c r="CW128" s="340">
        <f>IF(ISERROR('raw data'!GR113/'raw data'!GS113),0,'raw data'!GR113/'raw data'!GS113)</f>
        <v>0</v>
      </c>
      <c r="CX128" s="340">
        <f>IF(ISERROR('raw data'!GT113/'raw data'!GU113),0,'raw data'!GT113/'raw data'!GU113)</f>
        <v>0</v>
      </c>
      <c r="CY128" s="340">
        <f>IF(ISERROR('raw data'!GV113/'raw data'!GW113),0,'raw data'!GV113/'raw data'!GW113)</f>
        <v>0</v>
      </c>
      <c r="CZ128" s="340">
        <f>IF(ISERROR('raw data'!GX113/'raw data'!GY113),0,'raw data'!GX113/'raw data'!GY113)</f>
        <v>0</v>
      </c>
      <c r="DA128" s="340">
        <f>IF(ISERROR('raw data'!GZ113/'raw data'!HA113),0,'raw data'!GZ113/'raw data'!HA113)</f>
        <v>0</v>
      </c>
      <c r="DB128" s="340">
        <f>IF(ISERROR('raw data'!HB113/'raw data'!HC113),0,'raw data'!HB113/'raw data'!HC113)</f>
        <v>0</v>
      </c>
      <c r="DC128" s="340">
        <f>IF(ISERROR('raw data'!HD113/'raw data'!HE113),0,'raw data'!HD113/'raw data'!HE113)</f>
        <v>0</v>
      </c>
      <c r="DD128" s="340">
        <f>IF(ISERROR('raw data'!HF113/'raw data'!HG113),0,'raw data'!HF113/'raw data'!HG113)</f>
        <v>0</v>
      </c>
      <c r="DE128" s="340">
        <f>IF(ISERROR('raw data'!HH113/'raw data'!HI113),0,'raw data'!HH113/'raw data'!HI113)</f>
        <v>0</v>
      </c>
      <c r="DF128" s="340">
        <f>IF(ISERROR('raw data'!HJ113/'raw data'!HK113),0,'raw data'!HJ113/'raw data'!HK113)</f>
        <v>0</v>
      </c>
      <c r="DG128" s="340">
        <f>IF(ISERROR('raw data'!HL113/'raw data'!HM113),0,'raw data'!HL113/'raw data'!HM113)</f>
        <v>0</v>
      </c>
      <c r="DH128" s="340">
        <f>IF(ISERROR('raw data'!HN113/'raw data'!HO113),0,'raw data'!HN113/'raw data'!HO113)</f>
        <v>0</v>
      </c>
      <c r="DI128" s="340">
        <f>IF(ISERROR('raw data'!HP113/'raw data'!HQ113),0,'raw data'!HP113/'raw data'!HQ113)</f>
        <v>0</v>
      </c>
      <c r="DJ128" s="340">
        <f>IF(ISERROR('raw data'!HR113/'raw data'!HS113),0,'raw data'!HR113/'raw data'!HS113)</f>
        <v>0</v>
      </c>
      <c r="DK128" s="340">
        <f>IF(ISERROR('raw data'!HT113/'raw data'!HU113),0,'raw data'!HT113/'raw data'!HU113)</f>
        <v>0</v>
      </c>
      <c r="DL128" s="340">
        <f>IF(ISERROR('raw data'!HV113/'raw data'!HW113),0,'raw data'!HV113/'raw data'!HW113)</f>
        <v>0</v>
      </c>
      <c r="DM128" s="340">
        <f>IF(ISERROR('raw data'!HX113/'raw data'!HY113),0,'raw data'!HX113/'raw data'!HY113)</f>
        <v>0</v>
      </c>
      <c r="DN128" s="340">
        <f>IF(ISERROR('raw data'!HZ113/'raw data'!IA113),0,'raw data'!HZ113/'raw data'!IA113)</f>
        <v>0</v>
      </c>
      <c r="DO128" s="340">
        <f>IF(ISERROR('raw data'!IB113/'raw data'!IC113),0,'raw data'!IB113/'raw data'!IC113)</f>
        <v>0</v>
      </c>
      <c r="DP128" s="340">
        <f>IF(ISERROR('raw data'!ID113/'raw data'!IE113),0,'raw data'!ID113/'raw data'!IE113)</f>
        <v>0</v>
      </c>
      <c r="DQ128" s="340">
        <f>IF(ISERROR('raw data'!IF113/'raw data'!IG113),0,'raw data'!IF113/'raw data'!IG113)</f>
        <v>0</v>
      </c>
      <c r="DR128" s="340">
        <f>IF(ISERROR('raw data'!IH113/'raw data'!II113),0,'raw data'!IH113/'raw data'!II113)</f>
        <v>0</v>
      </c>
      <c r="DS128" s="340">
        <f>IF(ISERROR('raw data'!IJ113/'raw data'!IK113),0,'raw data'!IJ113/'raw data'!IK113)</f>
        <v>0</v>
      </c>
      <c r="DT128" s="340">
        <f>IF(ISERROR('raw data'!IL113/'raw data'!IM113),0,'raw data'!IL113/'raw data'!IM113)</f>
        <v>0</v>
      </c>
      <c r="DU128" s="340">
        <f>IF(ISERROR('raw data'!IN113/'raw data'!IO113),0,'raw data'!IN113/'raw data'!IO113)</f>
        <v>0</v>
      </c>
      <c r="DV128" s="340">
        <f>IF(ISERROR('raw data'!IP113/'raw data'!IQ113),0,'raw data'!IP113/'raw data'!IQ113)</f>
        <v>0</v>
      </c>
      <c r="DW128" s="340">
        <f>IF(ISERROR('raw data'!IR113/'raw data'!IS113),0,'raw data'!IR113/'raw data'!IS113)</f>
        <v>0</v>
      </c>
      <c r="DX128" s="340">
        <f>IF(ISERROR('raw data'!IT113/'raw data'!IU113),0,'raw data'!IT113/'raw data'!IU113)</f>
        <v>0</v>
      </c>
      <c r="DY128" s="340">
        <f>IF(ISERROR('raw data'!IV113/'raw data'!IW113),0,'raw data'!IV113/'raw data'!IW113)</f>
        <v>0</v>
      </c>
      <c r="DZ128" s="340">
        <f>IF(ISERROR('raw data'!IX113/'raw data'!IY113),0,'raw data'!IX113/'raw data'!IY113)</f>
        <v>0</v>
      </c>
      <c r="EA128" s="340">
        <f>IF(ISERROR('raw data'!IZ113/'raw data'!JA113),0,'raw data'!IZ113/'raw data'!JA113)</f>
        <v>0</v>
      </c>
      <c r="EB128" s="340">
        <f>IF(ISERROR('raw data'!JB113/'raw data'!JC113),0,'raw data'!JB113/'raw data'!JC113)</f>
        <v>0</v>
      </c>
      <c r="EC128" s="340">
        <f>IF(ISERROR('raw data'!JD113/'raw data'!JE113),0,'raw data'!JD113/'raw data'!JE113)</f>
        <v>0</v>
      </c>
      <c r="ED128" s="334"/>
      <c r="EE128" s="341">
        <f>SUM('raw data'!CT113,'raw data'!CV113,'raw data'!CX113,'raw data'!CZ113,'raw data'!DB113,'raw data'!DD113,'raw data'!DF113,'raw data'!DH113,'raw data'!DJ113,'raw data'!DL113,'raw data'!DN113,'raw data'!DP113)</f>
        <v>0</v>
      </c>
      <c r="EF128" s="341">
        <f>SUM('raw data'!CU113,'raw data'!CW113,'raw data'!CY113,'raw data'!DA113,'raw data'!DC113,'raw data'!DE113,'raw data'!DG113,'raw data'!DI113,'raw data'!DK113,'raw data'!DM113,'raw data'!DO113,'raw data'!DQ113)</f>
        <v>0</v>
      </c>
      <c r="EG128" s="342">
        <f t="shared" si="5"/>
        <v>0</v>
      </c>
    </row>
    <row r="129" spans="1:137" ht="25.5" hidden="1" customHeight="1" x14ac:dyDescent="0.15">
      <c r="A129" s="338" t="s">
        <v>188</v>
      </c>
      <c r="B129" s="338"/>
      <c r="C129" s="339" t="s">
        <v>189</v>
      </c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306"/>
      <c r="R129" s="306"/>
      <c r="S129" s="306"/>
      <c r="T129" s="306"/>
      <c r="U129" s="306"/>
      <c r="V129" s="306"/>
      <c r="W129" s="306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40">
        <f>IF(ISERROR('raw data'!BJ114/'raw data'!BK114),0,'raw data'!BJ114/'raw data'!BK114)</f>
        <v>0</v>
      </c>
      <c r="AH129" s="340">
        <f>IF(ISERROR('raw data'!BL114/'raw data'!BM114),0,'raw data'!BL114/'raw data'!BM114)</f>
        <v>0</v>
      </c>
      <c r="AI129" s="340">
        <f>IF(ISERROR('raw data'!BN114/'raw data'!BO114),0,'raw data'!BN114/'raw data'!BO114)</f>
        <v>0</v>
      </c>
      <c r="AJ129" s="340">
        <f>IF(ISERROR('raw data'!BP114/'raw data'!BQ114),0,'raw data'!BP114/'raw data'!BQ114)</f>
        <v>0</v>
      </c>
      <c r="AK129" s="340">
        <f>IF(ISERROR('raw data'!BR114/'raw data'!BS114),0,'raw data'!BR114/'raw data'!BS114)</f>
        <v>0</v>
      </c>
      <c r="AL129" s="340">
        <f>IF(ISERROR('raw data'!BT114/'raw data'!BU114),0,'raw data'!BT114/'raw data'!BU114)</f>
        <v>0</v>
      </c>
      <c r="AM129" s="340">
        <f>IF(ISERROR('raw data'!BV114/'raw data'!BW114),0,'raw data'!BV114/'raw data'!BW114)</f>
        <v>0.33333333333333331</v>
      </c>
      <c r="AN129" s="340">
        <f>IF(ISERROR('raw data'!BX114/'raw data'!BY114),0,'raw data'!BX114/'raw data'!BY114)</f>
        <v>0</v>
      </c>
      <c r="AO129" s="340">
        <f>IF(ISERROR('raw data'!BZ114/'raw data'!CA114),0,'raw data'!BZ114/'raw data'!CA114)</f>
        <v>0</v>
      </c>
      <c r="AP129" s="340">
        <f>IF(ISERROR('raw data'!CB114/'raw data'!CC114),0,'raw data'!CB114/'raw data'!CC114)</f>
        <v>0</v>
      </c>
      <c r="AQ129" s="340">
        <f>IF(ISERROR('raw data'!CD114/'raw data'!CE114),0,'raw data'!CD114/'raw data'!CE114)</f>
        <v>0</v>
      </c>
      <c r="AR129" s="340">
        <f>IF(ISERROR('raw data'!CF114/'raw data'!CG114),0,'raw data'!CF114/'raw data'!CG114)</f>
        <v>0</v>
      </c>
      <c r="AS129" s="340">
        <f>IF(ISERROR('raw data'!CH114/'raw data'!CI114),0,'raw data'!CH114/'raw data'!CI114)</f>
        <v>0</v>
      </c>
      <c r="AT129" s="340">
        <f>IF(ISERROR('raw data'!CJ114/'raw data'!CK114),0,'raw data'!CJ114/'raw data'!CK114)</f>
        <v>0</v>
      </c>
      <c r="AU129" s="340">
        <f>IF(ISERROR('raw data'!CL114/'raw data'!CM114),0,'raw data'!CL114/'raw data'!CM114)</f>
        <v>0</v>
      </c>
      <c r="AV129" s="340">
        <f>IF(ISERROR('raw data'!CN114/'raw data'!CO114),0,'raw data'!CN114/'raw data'!CO114)</f>
        <v>0</v>
      </c>
      <c r="AW129" s="340">
        <f>IF(ISERROR('raw data'!CP114/'raw data'!CQ114),0,'raw data'!CP114/'raw data'!CQ114)</f>
        <v>0</v>
      </c>
      <c r="AX129" s="340">
        <f>IF(ISERROR('raw data'!CR114/'raw data'!CS114),0,'raw data'!CR114/'raw data'!CS114)</f>
        <v>0</v>
      </c>
      <c r="AY129" s="340">
        <f>IF(ISERROR('raw data'!CT114/'raw data'!CU114),0,'raw data'!CT114/'raw data'!CU114)</f>
        <v>0</v>
      </c>
      <c r="AZ129" s="340">
        <f>IF(ISERROR('raw data'!CV114/'raw data'!CW114),0,'raw data'!CV114/'raw data'!CW114)</f>
        <v>0</v>
      </c>
      <c r="BA129" s="340"/>
      <c r="BB129" s="340">
        <f>IF(ISERROR('raw data'!CZ114/'raw data'!DA114),0,'raw data'!CZ114/'raw data'!DA114)</f>
        <v>0</v>
      </c>
      <c r="BC129" s="340"/>
      <c r="BD129" s="340">
        <v>0</v>
      </c>
      <c r="BE129" s="340">
        <f>IF(ISERROR('raw data'!DF114/'raw data'!DG114),0,'raw data'!DF114/'raw data'!DG114)</f>
        <v>0</v>
      </c>
      <c r="BF129" s="340">
        <f>IF(ISERROR('raw data'!DH114/'raw data'!DI114),0,'raw data'!DH114/'raw data'!DI114)</f>
        <v>0</v>
      </c>
      <c r="BG129" s="340">
        <f>IF(ISERROR('raw data'!DJ114/'raw data'!DK114),0,'raw data'!DJ114/'raw data'!DK114)</f>
        <v>0</v>
      </c>
      <c r="BH129" s="340">
        <f>IF(ISERROR('raw data'!DL114/'raw data'!DM114),0,'raw data'!DL114/'raw data'!DM114)</f>
        <v>0</v>
      </c>
      <c r="BI129" s="340">
        <f>IF(ISERROR('raw data'!DM114/'raw data'!DN114),0,'raw data'!DM114/'raw data'!DN114)</f>
        <v>0</v>
      </c>
      <c r="BJ129" s="340">
        <f>IF(ISERROR('raw data'!DP114/'raw data'!DQ114),0,'raw data'!DP114/'raw data'!DQ114)</f>
        <v>0</v>
      </c>
      <c r="BK129" s="340">
        <f>IF(ISERROR('raw data'!DR114/'raw data'!DS114),0,'raw data'!DR114/'raw data'!DS114)</f>
        <v>0</v>
      </c>
      <c r="BL129" s="340">
        <f>IF(ISERROR('raw data'!DT114/'raw data'!DU114),0,'raw data'!DT114/'raw data'!DU114)</f>
        <v>0</v>
      </c>
      <c r="BM129" s="340">
        <f>IF(ISERROR('raw data'!DV114/'raw data'!DW114),0,'raw data'!DV114/'raw data'!DW114)</f>
        <v>0</v>
      </c>
      <c r="BN129" s="340">
        <f>IF(ISERROR('raw data'!DX114/'raw data'!DY114),0,'raw data'!DX114/'raw data'!DY114)</f>
        <v>0</v>
      </c>
      <c r="BO129" s="340">
        <f>IF(ISERROR('raw data'!DZ114/'raw data'!EA114),0,'raw data'!DZ114/'raw data'!EA114)</f>
        <v>0</v>
      </c>
      <c r="BP129" s="340">
        <f>IF(ISERROR('raw data'!EB114/'raw data'!EC114),0,'raw data'!EB114/'raw data'!EC114)</f>
        <v>0</v>
      </c>
      <c r="BQ129" s="340">
        <f>IF(ISERROR('raw data'!ED114/'raw data'!EE114),0,'raw data'!ED114/'raw data'!EE114)</f>
        <v>0</v>
      </c>
      <c r="BR129" s="340">
        <f>IF(ISERROR('raw data'!EF114/'raw data'!EG114),0,'raw data'!EF114/'raw data'!EG114)</f>
        <v>0</v>
      </c>
      <c r="BS129" s="340">
        <f>IF(ISERROR('raw data'!EH114/'raw data'!EI114),0,'raw data'!EH114/'raw data'!EI114)</f>
        <v>0</v>
      </c>
      <c r="BT129" s="340">
        <f>IF(ISERROR('raw data'!EJ114/'raw data'!EK114),0,'raw data'!EJ114/'raw data'!EK114)</f>
        <v>0</v>
      </c>
      <c r="BU129" s="340">
        <f>IF(ISERROR('raw data'!EL114/'raw data'!EM114),0,'raw data'!EL114/'raw data'!EM114)</f>
        <v>0</v>
      </c>
      <c r="BV129" s="340">
        <f>IF(ISERROR('raw data'!EN114/'raw data'!EO114),0,'raw data'!EN114/'raw data'!EO114)</f>
        <v>0</v>
      </c>
      <c r="BW129" s="340">
        <f>IF(ISERROR('raw data'!EP114/'raw data'!EQ114),0,'raw data'!EP114/'raw data'!EQ114)</f>
        <v>0</v>
      </c>
      <c r="BX129" s="340">
        <f>IF(ISERROR('raw data'!ER114/'raw data'!ES114),0,'raw data'!ER114/'raw data'!ES114)</f>
        <v>0</v>
      </c>
      <c r="BY129" s="340">
        <f>IF(ISERROR('raw data'!ET114/'raw data'!EU114),0,'raw data'!ET114/'raw data'!EU114)</f>
        <v>0</v>
      </c>
      <c r="BZ129" s="340">
        <f>IF(ISERROR('raw data'!EV114/'raw data'!EW114),0,'raw data'!EV114/'raw data'!EW114)</f>
        <v>0</v>
      </c>
      <c r="CA129" s="340">
        <f>IF(ISERROR('raw data'!EX114/'raw data'!EY114),0,'raw data'!EX114/'raw data'!EY114)</f>
        <v>0</v>
      </c>
      <c r="CB129" s="340">
        <f>IF(ISERROR('raw data'!EZ114/'raw data'!FA114),0,'raw data'!EZ114/'raw data'!FA114)</f>
        <v>0</v>
      </c>
      <c r="CC129" s="340">
        <f>IF(ISERROR('raw data'!FB114/'raw data'!FC114),0,'raw data'!FB114/'raw data'!FC114)</f>
        <v>0</v>
      </c>
      <c r="CD129" s="340">
        <f>IF(ISERROR('raw data'!FD114/'raw data'!FE114),0,'raw data'!FD114/'raw data'!FE114)</f>
        <v>0</v>
      </c>
      <c r="CE129" s="340">
        <f>IF(ISERROR('raw data'!FF114/'raw data'!FG114),0,'raw data'!FF114/'raw data'!FG114)</f>
        <v>0</v>
      </c>
      <c r="CF129" s="340">
        <f>IF(ISERROR('raw data'!FH114/'raw data'!FI114),0,'raw data'!FH114/'raw data'!FI114)</f>
        <v>0</v>
      </c>
      <c r="CG129" s="340">
        <f>IF(ISERROR('raw data'!FJ114/'raw data'!FM114),0,'raw data'!FJ114/'raw data'!FM114)</f>
        <v>0</v>
      </c>
      <c r="CH129" s="340">
        <f>IF(ISERROR('raw data'!FN114/'raw data'!FO114),0,'raw data'!FN114/'raw data'!FO114)</f>
        <v>0</v>
      </c>
      <c r="CI129" s="340">
        <f>IF(ISERROR('raw data'!FP114/'raw data'!FQ114),0,'raw data'!FP114/'raw data'!FQ114)</f>
        <v>0</v>
      </c>
      <c r="CJ129" s="340">
        <f>IF(ISERROR('raw data'!FR114/'raw data'!FS114),0,'raw data'!FR114/'raw data'!FS114)</f>
        <v>0</v>
      </c>
      <c r="CK129" s="340">
        <f>IF(ISERROR('raw data'!FT114/'raw data'!FU114),0,'raw data'!FT114/'raw data'!FU114)</f>
        <v>0</v>
      </c>
      <c r="CL129" s="340">
        <f>IF(ISERROR('raw data'!FV114/'raw data'!FW114),0,'raw data'!FV114/'raw data'!FW114)</f>
        <v>0</v>
      </c>
      <c r="CM129" s="340">
        <f>IF(ISERROR('raw data'!FX114/'raw data'!FY114),0,'raw data'!FX114/'raw data'!FY114)</f>
        <v>0</v>
      </c>
      <c r="CN129" s="340">
        <f>IF(ISERROR('raw data'!FZ114/'raw data'!GA114),0,'raw data'!FZ114/'raw data'!GA114)</f>
        <v>0</v>
      </c>
      <c r="CO129" s="340">
        <f>IF(ISERROR('raw data'!GB114/'raw data'!GC114),0,'raw data'!GB114/'raw data'!GC114)</f>
        <v>0</v>
      </c>
      <c r="CP129" s="340">
        <f>IF(ISERROR('raw data'!GD114/'raw data'!GE114),0,'raw data'!GD114/'raw data'!GE114)</f>
        <v>0</v>
      </c>
      <c r="CQ129" s="340">
        <f>IF(ISERROR('raw data'!GF114/'raw data'!GG114),0,'raw data'!GF114/'raw data'!GG114)</f>
        <v>0</v>
      </c>
      <c r="CR129" s="340">
        <f>IF(ISERROR('raw data'!GH114/'raw data'!GI114),0,'raw data'!GH114/'raw data'!GI114)</f>
        <v>0</v>
      </c>
      <c r="CS129" s="340">
        <f>IF(ISERROR('raw data'!GJ114/'raw data'!GK114),0,'raw data'!GJ114/'raw data'!GK114)</f>
        <v>0</v>
      </c>
      <c r="CT129" s="340">
        <f>IF(ISERROR('raw data'!GL114/'raw data'!GM114),0,'raw data'!GL114/'raw data'!GM114)</f>
        <v>0</v>
      </c>
      <c r="CU129" s="340">
        <f>IF(ISERROR('raw data'!GN114/'raw data'!GO114),0,'raw data'!GN114/'raw data'!GO114)</f>
        <v>0</v>
      </c>
      <c r="CV129" s="340">
        <f>IF(ISERROR('raw data'!GP114/'raw data'!GQ114),0,'raw data'!GP114/'raw data'!GQ114)</f>
        <v>0</v>
      </c>
      <c r="CW129" s="340">
        <f>IF(ISERROR('raw data'!GR114/'raw data'!GS114),0,'raw data'!GR114/'raw data'!GS114)</f>
        <v>0</v>
      </c>
      <c r="CX129" s="340">
        <f>IF(ISERROR('raw data'!GT114/'raw data'!GU114),0,'raw data'!GT114/'raw data'!GU114)</f>
        <v>0</v>
      </c>
      <c r="CY129" s="340">
        <f>IF(ISERROR('raw data'!GV114/'raw data'!GW114),0,'raw data'!GV114/'raw data'!GW114)</f>
        <v>0</v>
      </c>
      <c r="CZ129" s="340">
        <f>IF(ISERROR('raw data'!GX114/'raw data'!GY114),0,'raw data'!GX114/'raw data'!GY114)</f>
        <v>0</v>
      </c>
      <c r="DA129" s="340">
        <f>IF(ISERROR('raw data'!GZ114/'raw data'!HA114),0,'raw data'!GZ114/'raw data'!HA114)</f>
        <v>0</v>
      </c>
      <c r="DB129" s="340">
        <f>IF(ISERROR('raw data'!HB114/'raw data'!HC114),0,'raw data'!HB114/'raw data'!HC114)</f>
        <v>0</v>
      </c>
      <c r="DC129" s="340">
        <f>IF(ISERROR('raw data'!HD114/'raw data'!HE114),0,'raw data'!HD114/'raw data'!HE114)</f>
        <v>0</v>
      </c>
      <c r="DD129" s="340">
        <f>IF(ISERROR('raw data'!HF114/'raw data'!HG114),0,'raw data'!HF114/'raw data'!HG114)</f>
        <v>0</v>
      </c>
      <c r="DE129" s="340">
        <f>IF(ISERROR('raw data'!HH114/'raw data'!HI114),0,'raw data'!HH114/'raw data'!HI114)</f>
        <v>0</v>
      </c>
      <c r="DF129" s="340">
        <f>IF(ISERROR('raw data'!HJ114/'raw data'!HK114),0,'raw data'!HJ114/'raw data'!HK114)</f>
        <v>0</v>
      </c>
      <c r="DG129" s="340">
        <f>IF(ISERROR('raw data'!HL114/'raw data'!HM114),0,'raw data'!HL114/'raw data'!HM114)</f>
        <v>0</v>
      </c>
      <c r="DH129" s="340">
        <f>IF(ISERROR('raw data'!HN114/'raw data'!HO114),0,'raw data'!HN114/'raw data'!HO114)</f>
        <v>0</v>
      </c>
      <c r="DI129" s="340">
        <f>IF(ISERROR('raw data'!HP114/'raw data'!HQ114),0,'raw data'!HP114/'raw data'!HQ114)</f>
        <v>0</v>
      </c>
      <c r="DJ129" s="340">
        <f>IF(ISERROR('raw data'!HR114/'raw data'!HS114),0,'raw data'!HR114/'raw data'!HS114)</f>
        <v>0</v>
      </c>
      <c r="DK129" s="340">
        <f>IF(ISERROR('raw data'!HT114/'raw data'!HU114),0,'raw data'!HT114/'raw data'!HU114)</f>
        <v>0</v>
      </c>
      <c r="DL129" s="340">
        <f>IF(ISERROR('raw data'!HV114/'raw data'!HW114),0,'raw data'!HV114/'raw data'!HW114)</f>
        <v>0</v>
      </c>
      <c r="DM129" s="340">
        <f>IF(ISERROR('raw data'!HX114/'raw data'!HY114),0,'raw data'!HX114/'raw data'!HY114)</f>
        <v>0</v>
      </c>
      <c r="DN129" s="340">
        <f>IF(ISERROR('raw data'!HZ114/'raw data'!IA114),0,'raw data'!HZ114/'raw data'!IA114)</f>
        <v>0</v>
      </c>
      <c r="DO129" s="340">
        <f>IF(ISERROR('raw data'!IB114/'raw data'!IC114),0,'raw data'!IB114/'raw data'!IC114)</f>
        <v>0</v>
      </c>
      <c r="DP129" s="340">
        <f>IF(ISERROR('raw data'!ID114/'raw data'!IE114),0,'raw data'!ID114/'raw data'!IE114)</f>
        <v>0</v>
      </c>
      <c r="DQ129" s="340">
        <f>IF(ISERROR('raw data'!IF114/'raw data'!IG114),0,'raw data'!IF114/'raw data'!IG114)</f>
        <v>0</v>
      </c>
      <c r="DR129" s="340">
        <f>IF(ISERROR('raw data'!IH114/'raw data'!II114),0,'raw data'!IH114/'raw data'!II114)</f>
        <v>0</v>
      </c>
      <c r="DS129" s="340">
        <f>IF(ISERROR('raw data'!IJ114/'raw data'!IK114),0,'raw data'!IJ114/'raw data'!IK114)</f>
        <v>0</v>
      </c>
      <c r="DT129" s="340">
        <f>IF(ISERROR('raw data'!IL114/'raw data'!IM114),0,'raw data'!IL114/'raw data'!IM114)</f>
        <v>0</v>
      </c>
      <c r="DU129" s="340">
        <f>IF(ISERROR('raw data'!IN114/'raw data'!IO114),0,'raw data'!IN114/'raw data'!IO114)</f>
        <v>0</v>
      </c>
      <c r="DV129" s="340">
        <f>IF(ISERROR('raw data'!IP114/'raw data'!IQ114),0,'raw data'!IP114/'raw data'!IQ114)</f>
        <v>0</v>
      </c>
      <c r="DW129" s="340">
        <f>IF(ISERROR('raw data'!IR114/'raw data'!IS114),0,'raw data'!IR114/'raw data'!IS114)</f>
        <v>0</v>
      </c>
      <c r="DX129" s="340">
        <f>IF(ISERROR('raw data'!IT114/'raw data'!IU114),0,'raw data'!IT114/'raw data'!IU114)</f>
        <v>0</v>
      </c>
      <c r="DY129" s="340">
        <f>IF(ISERROR('raw data'!IV114/'raw data'!IW114),0,'raw data'!IV114/'raw data'!IW114)</f>
        <v>0</v>
      </c>
      <c r="DZ129" s="340">
        <f>IF(ISERROR('raw data'!IX114/'raw data'!IY114),0,'raw data'!IX114/'raw data'!IY114)</f>
        <v>0</v>
      </c>
      <c r="EA129" s="340">
        <f>IF(ISERROR('raw data'!IZ114/'raw data'!JA114),0,'raw data'!IZ114/'raw data'!JA114)</f>
        <v>0</v>
      </c>
      <c r="EB129" s="340">
        <f>IF(ISERROR('raw data'!JB114/'raw data'!JC114),0,'raw data'!JB114/'raw data'!JC114)</f>
        <v>0</v>
      </c>
      <c r="EC129" s="340">
        <f>IF(ISERROR('raw data'!JD114/'raw data'!JE114),0,'raw data'!JD114/'raw data'!JE114)</f>
        <v>0</v>
      </c>
      <c r="ED129" s="334"/>
      <c r="EE129" s="341">
        <f>SUM('raw data'!CT114,'raw data'!CV114,'raw data'!CX114,'raw data'!CZ114,'raw data'!DB114,'raw data'!DD114,'raw data'!DF114,'raw data'!DH114,'raw data'!DJ114,'raw data'!DL114,'raw data'!DN114,'raw data'!DP114)</f>
        <v>0</v>
      </c>
      <c r="EF129" s="341">
        <f>SUM('raw data'!CU114,'raw data'!CW114,'raw data'!CY114,'raw data'!DA114,'raw data'!DC114,'raw data'!DE114,'raw data'!DG114,'raw data'!DI114,'raw data'!DK114,'raw data'!DM114,'raw data'!DO114,'raw data'!DQ114)</f>
        <v>0</v>
      </c>
      <c r="EG129" s="342">
        <f t="shared" si="5"/>
        <v>0</v>
      </c>
    </row>
    <row r="130" spans="1:137" ht="12.75" hidden="1" customHeight="1" x14ac:dyDescent="0.15">
      <c r="A130" s="241"/>
      <c r="B130" s="241"/>
      <c r="C130" s="242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>
        <f>IF(ISERROR('raw data'!BJ115/'raw data'!BK115),0,'raw data'!BJ115/'raw data'!BK115)</f>
        <v>0</v>
      </c>
      <c r="AH130" s="243">
        <f>IF(ISERROR('raw data'!BL115/'raw data'!BM115),0,'raw data'!BL115/'raw data'!BM115)</f>
        <v>0</v>
      </c>
      <c r="AI130" s="243">
        <f>IF(ISERROR('raw data'!BN115/'raw data'!BO115),0,'raw data'!BN115/'raw data'!BO115)</f>
        <v>0</v>
      </c>
      <c r="AJ130" s="243">
        <f>IF(ISERROR('raw data'!BP115/'raw data'!BQ115),0,'raw data'!BP115/'raw data'!BQ115)</f>
        <v>0</v>
      </c>
      <c r="AK130" s="243">
        <f>IF(ISERROR('raw data'!BR115/'raw data'!BS115),0,'raw data'!BR115/'raw data'!BS115)</f>
        <v>0</v>
      </c>
      <c r="AL130" s="243">
        <f>IF(ISERROR('raw data'!BT115/'raw data'!BU115),0,'raw data'!BT115/'raw data'!BU115)</f>
        <v>0</v>
      </c>
      <c r="AM130" s="243">
        <f>IF(ISERROR('raw data'!BV115/'raw data'!BW115),0,'raw data'!BV115/'raw data'!BW115)</f>
        <v>0.33333333333333331</v>
      </c>
      <c r="AN130" s="243">
        <f>IF(ISERROR('raw data'!BX115/'raw data'!BY115),0,'raw data'!BX115/'raw data'!BY115)</f>
        <v>0</v>
      </c>
      <c r="AO130" s="243">
        <f>IF(ISERROR('raw data'!BZ115/'raw data'!CA115),0,'raw data'!BZ115/'raw data'!CA115)</f>
        <v>0</v>
      </c>
      <c r="AP130" s="243">
        <f>IF(ISERROR('raw data'!CB115/'raw data'!CC115),0,'raw data'!CB115/'raw data'!CC115)</f>
        <v>0</v>
      </c>
      <c r="AQ130" s="243">
        <f>IF(ISERROR('raw data'!CD115/'raw data'!CE115),0,'raw data'!CD115/'raw data'!CE115)</f>
        <v>0</v>
      </c>
      <c r="AR130" s="243">
        <f>IF(ISERROR('raw data'!CF115/'raw data'!CG115),0,'raw data'!CF115/'raw data'!CG115)</f>
        <v>0</v>
      </c>
      <c r="AS130" s="243">
        <f>IF(ISERROR('raw data'!CH115/'raw data'!CI115),0,'raw data'!CH115/'raw data'!CI115)</f>
        <v>0</v>
      </c>
      <c r="AT130" s="243">
        <f>IF(ISERROR('raw data'!CJ115/'raw data'!CK115),0,'raw data'!CJ115/'raw data'!CK115)</f>
        <v>0</v>
      </c>
      <c r="AU130" s="243">
        <f>IF(ISERROR('raw data'!CL115/'raw data'!CM115),0,'raw data'!CL115/'raw data'!CM115)</f>
        <v>0</v>
      </c>
      <c r="AV130" s="243">
        <f>IF(ISERROR('raw data'!CN115/'raw data'!CO115),0,'raw data'!CN115/'raw data'!CO115)</f>
        <v>0</v>
      </c>
      <c r="AW130" s="243">
        <f>IF(ISERROR('raw data'!CP115/'raw data'!CQ115),0,'raw data'!CP115/'raw data'!CQ115)</f>
        <v>0</v>
      </c>
      <c r="AX130" s="243">
        <f>IF(ISERROR('raw data'!CR115/'raw data'!CS115),0,'raw data'!CR115/'raw data'!CS115)</f>
        <v>0</v>
      </c>
      <c r="AY130" s="243">
        <f>IF(ISERROR('raw data'!CT115/'raw data'!CU115),0,'raw data'!CT115/'raw data'!CU115)</f>
        <v>0</v>
      </c>
      <c r="AZ130" s="243">
        <f>IF(ISERROR('raw data'!CV115/'raw data'!CW115),0,'raw data'!CV115/'raw data'!CW115)</f>
        <v>0</v>
      </c>
      <c r="BA130" s="243"/>
      <c r="BB130" s="243">
        <f>IF(ISERROR('raw data'!CZ115/'raw data'!DA115),0,'raw data'!CZ115/'raw data'!DA115)</f>
        <v>0</v>
      </c>
      <c r="BC130" s="243"/>
      <c r="BD130" s="243">
        <v>0</v>
      </c>
      <c r="BE130" s="243">
        <f>IF(ISERROR('raw data'!DF115/'raw data'!DG115),0,'raw data'!DF115/'raw data'!DG115)</f>
        <v>0</v>
      </c>
      <c r="BF130" s="243">
        <f>IF(ISERROR('raw data'!DH115/'raw data'!DI115),0,'raw data'!DH115/'raw data'!DI115)</f>
        <v>0</v>
      </c>
      <c r="BG130" s="243">
        <f>IF(ISERROR('raw data'!DJ115/'raw data'!DK115),0,'raw data'!DJ115/'raw data'!DK115)</f>
        <v>0</v>
      </c>
      <c r="BH130" s="243">
        <f>IF(ISERROR('raw data'!DL115/'raw data'!DM115),0,'raw data'!DL115/'raw data'!DM115)</f>
        <v>0</v>
      </c>
      <c r="BI130" s="243">
        <f>IF(ISERROR('raw data'!DM115/'raw data'!DN115),0,'raw data'!DM115/'raw data'!DN115)</f>
        <v>0</v>
      </c>
      <c r="BJ130" s="243">
        <f>IF(ISERROR('raw data'!DP115/'raw data'!DQ115),0,'raw data'!DP115/'raw data'!DQ115)</f>
        <v>0</v>
      </c>
      <c r="BK130" s="243">
        <f>IF(ISERROR('raw data'!DR115/'raw data'!DS115),0,'raw data'!DR115/'raw data'!DS115)</f>
        <v>0</v>
      </c>
      <c r="BL130" s="243">
        <f>IF(ISERROR('raw data'!DT115/'raw data'!DU115),0,'raw data'!DT115/'raw data'!DU115)</f>
        <v>0</v>
      </c>
      <c r="BM130" s="243">
        <f>IF(ISERROR('raw data'!DV115/'raw data'!DW115),0,'raw data'!DV115/'raw data'!DW115)</f>
        <v>0</v>
      </c>
      <c r="BN130" s="243">
        <f>IF(ISERROR('raw data'!DX115/'raw data'!DY115),0,'raw data'!DX115/'raw data'!DY115)</f>
        <v>0</v>
      </c>
      <c r="BO130" s="243">
        <f>IF(ISERROR('raw data'!DZ115/'raw data'!EA115),0,'raw data'!DZ115/'raw data'!EA115)</f>
        <v>0</v>
      </c>
      <c r="BP130" s="243">
        <f>IF(ISERROR('raw data'!EB115/'raw data'!EC115),0,'raw data'!EB115/'raw data'!EC115)</f>
        <v>0</v>
      </c>
      <c r="BQ130" s="243">
        <f>IF(ISERROR('raw data'!ED115/'raw data'!EE115),0,'raw data'!ED115/'raw data'!EE115)</f>
        <v>0</v>
      </c>
      <c r="BR130" s="243">
        <f>IF(ISERROR('raw data'!EF115/'raw data'!EG115),0,'raw data'!EF115/'raw data'!EG115)</f>
        <v>0</v>
      </c>
      <c r="BS130" s="243">
        <f>IF(ISERROR('raw data'!EH115/'raw data'!EI115),0,'raw data'!EH115/'raw data'!EI115)</f>
        <v>0</v>
      </c>
      <c r="BT130" s="243">
        <f>IF(ISERROR('raw data'!EJ115/'raw data'!EK115),0,'raw data'!EJ115/'raw data'!EK115)</f>
        <v>0</v>
      </c>
      <c r="BU130" s="243">
        <f>IF(ISERROR('raw data'!EL115/'raw data'!EM115),0,'raw data'!EL115/'raw data'!EM115)</f>
        <v>0</v>
      </c>
      <c r="BV130" s="243">
        <f>IF(ISERROR('raw data'!EN115/'raw data'!EO115),0,'raw data'!EN115/'raw data'!EO115)</f>
        <v>0</v>
      </c>
      <c r="BW130" s="243">
        <f>IF(ISERROR('raw data'!EP115/'raw data'!EQ115),0,'raw data'!EP115/'raw data'!EQ115)</f>
        <v>0</v>
      </c>
      <c r="BX130" s="243">
        <f>IF(ISERROR('raw data'!ER115/'raw data'!ES115),0,'raw data'!ER115/'raw data'!ES115)</f>
        <v>0</v>
      </c>
      <c r="BY130" s="243">
        <f>IF(ISERROR('raw data'!ET115/'raw data'!EU115),0,'raw data'!ET115/'raw data'!EU115)</f>
        <v>0</v>
      </c>
      <c r="BZ130" s="243">
        <f>IF(ISERROR('raw data'!EV115/'raw data'!EW115),0,'raw data'!EV115/'raw data'!EW115)</f>
        <v>0</v>
      </c>
      <c r="CA130" s="243">
        <f>IF(ISERROR('raw data'!EX115/'raw data'!EY115),0,'raw data'!EX115/'raw data'!EY115)</f>
        <v>0</v>
      </c>
      <c r="CB130" s="243">
        <f>IF(ISERROR('raw data'!EZ115/'raw data'!FA115),0,'raw data'!EZ115/'raw data'!FA115)</f>
        <v>0</v>
      </c>
      <c r="CC130" s="243">
        <f>IF(ISERROR('raw data'!FB115/'raw data'!FC115),0,'raw data'!FB115/'raw data'!FC115)</f>
        <v>0</v>
      </c>
      <c r="CD130" s="243">
        <f>IF(ISERROR('raw data'!FD115/'raw data'!FE115),0,'raw data'!FD115/'raw data'!FE115)</f>
        <v>0</v>
      </c>
      <c r="CE130" s="243">
        <f>IF(ISERROR('raw data'!FF115/'raw data'!FG115),0,'raw data'!FF115/'raw data'!FG115)</f>
        <v>0</v>
      </c>
      <c r="CF130" s="243">
        <f>IF(ISERROR('raw data'!FH115/'raw data'!FI115),0,'raw data'!FH115/'raw data'!FI115)</f>
        <v>0</v>
      </c>
      <c r="CG130" s="243">
        <f>IF(ISERROR('raw data'!FJ115/'raw data'!FM115),0,'raw data'!FJ115/'raw data'!FM115)</f>
        <v>0</v>
      </c>
      <c r="CH130" s="243">
        <f>IF(ISERROR('raw data'!FN115/'raw data'!FO115),0,'raw data'!FN115/'raw data'!FO115)</f>
        <v>0</v>
      </c>
      <c r="CI130" s="243">
        <f>IF(ISERROR('raw data'!FP115/'raw data'!FQ115),0,'raw data'!FP115/'raw data'!FQ115)</f>
        <v>0</v>
      </c>
      <c r="CJ130" s="243">
        <f>IF(ISERROR('raw data'!FR115/'raw data'!FS115),0,'raw data'!FR115/'raw data'!FS115)</f>
        <v>0</v>
      </c>
      <c r="CK130" s="243">
        <f>IF(ISERROR('raw data'!FT115/'raw data'!FU115),0,'raw data'!FT115/'raw data'!FU115)</f>
        <v>0</v>
      </c>
      <c r="CL130" s="243">
        <f>IF(ISERROR('raw data'!FV115/'raw data'!FW115),0,'raw data'!FV115/'raw data'!FW115)</f>
        <v>0</v>
      </c>
      <c r="CM130" s="243">
        <f>IF(ISERROR('raw data'!FX115/'raw data'!FY115),0,'raw data'!FX115/'raw data'!FY115)</f>
        <v>0</v>
      </c>
      <c r="CN130" s="243">
        <f>IF(ISERROR('raw data'!FZ115/'raw data'!GA115),0,'raw data'!FZ115/'raw data'!GA115)</f>
        <v>0</v>
      </c>
      <c r="CO130" s="243">
        <f>IF(ISERROR('raw data'!GB115/'raw data'!GC115),0,'raw data'!GB115/'raw data'!GC115)</f>
        <v>0</v>
      </c>
      <c r="CP130" s="243">
        <f>IF(ISERROR('raw data'!GD115/'raw data'!GE115),0,'raw data'!GD115/'raw data'!GE115)</f>
        <v>0</v>
      </c>
      <c r="CQ130" s="243">
        <f>IF(ISERROR('raw data'!GF115/'raw data'!GG115),0,'raw data'!GF115/'raw data'!GG115)</f>
        <v>0</v>
      </c>
      <c r="CR130" s="243">
        <f>IF(ISERROR('raw data'!GH115/'raw data'!GI115),0,'raw data'!GH115/'raw data'!GI115)</f>
        <v>0</v>
      </c>
      <c r="CS130" s="243">
        <f>IF(ISERROR('raw data'!GJ115/'raw data'!GK115),0,'raw data'!GJ115/'raw data'!GK115)</f>
        <v>0</v>
      </c>
      <c r="CT130" s="243">
        <f>IF(ISERROR('raw data'!GL115/'raw data'!GM115),0,'raw data'!GL115/'raw data'!GM115)</f>
        <v>0</v>
      </c>
      <c r="CU130" s="243">
        <f>IF(ISERROR('raw data'!GN115/'raw data'!GO115),0,'raw data'!GN115/'raw data'!GO115)</f>
        <v>0</v>
      </c>
      <c r="CV130" s="243">
        <f>IF(ISERROR('raw data'!GP115/'raw data'!GQ115),0,'raw data'!GP115/'raw data'!GQ115)</f>
        <v>0</v>
      </c>
      <c r="CW130" s="243">
        <f>IF(ISERROR('raw data'!GR115/'raw data'!GS115),0,'raw data'!GR115/'raw data'!GS115)</f>
        <v>0</v>
      </c>
      <c r="CX130" s="243">
        <f>IF(ISERROR('raw data'!GT115/'raw data'!GU115),0,'raw data'!GT115/'raw data'!GU115)</f>
        <v>0</v>
      </c>
      <c r="CY130" s="243">
        <f>IF(ISERROR('raw data'!GV115/'raw data'!GW115),0,'raw data'!GV115/'raw data'!GW115)</f>
        <v>0</v>
      </c>
      <c r="CZ130" s="243">
        <f>IF(ISERROR('raw data'!GX115/'raw data'!GY115),0,'raw data'!GX115/'raw data'!GY115)</f>
        <v>0</v>
      </c>
      <c r="DA130" s="243">
        <f>IF(ISERROR('raw data'!GZ115/'raw data'!HA115),0,'raw data'!GZ115/'raw data'!HA115)</f>
        <v>0</v>
      </c>
      <c r="DB130" s="243">
        <f>IF(ISERROR('raw data'!HB115/'raw data'!HC115),0,'raw data'!HB115/'raw data'!HC115)</f>
        <v>0</v>
      </c>
      <c r="DC130" s="243">
        <f>IF(ISERROR('raw data'!HD115/'raw data'!HE115),0,'raw data'!HD115/'raw data'!HE115)</f>
        <v>0</v>
      </c>
      <c r="DD130" s="243">
        <f>IF(ISERROR('raw data'!HF115/'raw data'!HG115),0,'raw data'!HF115/'raw data'!HG115)</f>
        <v>0</v>
      </c>
      <c r="DE130" s="243">
        <f>IF(ISERROR('raw data'!HH115/'raw data'!HI115),0,'raw data'!HH115/'raw data'!HI115)</f>
        <v>0</v>
      </c>
      <c r="DF130" s="243">
        <f>IF(ISERROR('raw data'!HJ115/'raw data'!HK115),0,'raw data'!HJ115/'raw data'!HK115)</f>
        <v>0</v>
      </c>
      <c r="DG130" s="243">
        <f>IF(ISERROR('raw data'!HL115/'raw data'!HM115),0,'raw data'!HL115/'raw data'!HM115)</f>
        <v>0</v>
      </c>
      <c r="DH130" s="243">
        <f>IF(ISERROR('raw data'!HN115/'raw data'!HO115),0,'raw data'!HN115/'raw data'!HO115)</f>
        <v>0</v>
      </c>
      <c r="DI130" s="243">
        <f>IF(ISERROR('raw data'!HP115/'raw data'!HQ115),0,'raw data'!HP115/'raw data'!HQ115)</f>
        <v>0</v>
      </c>
      <c r="DJ130" s="243">
        <f>IF(ISERROR('raw data'!HR115/'raw data'!HS115),0,'raw data'!HR115/'raw data'!HS115)</f>
        <v>0</v>
      </c>
      <c r="DK130" s="243">
        <f>IF(ISERROR('raw data'!HT115/'raw data'!HU115),0,'raw data'!HT115/'raw data'!HU115)</f>
        <v>0</v>
      </c>
      <c r="DL130" s="243">
        <f>IF(ISERROR('raw data'!HV115/'raw data'!HW115),0,'raw data'!HV115/'raw data'!HW115)</f>
        <v>0</v>
      </c>
      <c r="DM130" s="243">
        <f>IF(ISERROR('raw data'!HX115/'raw data'!HY115),0,'raw data'!HX115/'raw data'!HY115)</f>
        <v>0</v>
      </c>
      <c r="DN130" s="243">
        <f>IF(ISERROR('raw data'!HZ115/'raw data'!IA115),0,'raw data'!HZ115/'raw data'!IA115)</f>
        <v>0</v>
      </c>
      <c r="DO130" s="243">
        <f>IF(ISERROR('raw data'!IB115/'raw data'!IC115),0,'raw data'!IB115/'raw data'!IC115)</f>
        <v>0</v>
      </c>
      <c r="DP130" s="243">
        <f>IF(ISERROR('raw data'!ID115/'raw data'!IE115),0,'raw data'!ID115/'raw data'!IE115)</f>
        <v>0</v>
      </c>
      <c r="DQ130" s="243">
        <f>IF(ISERROR('raw data'!IF115/'raw data'!IG115),0,'raw data'!IF115/'raw data'!IG115)</f>
        <v>0</v>
      </c>
      <c r="DR130" s="243">
        <f>IF(ISERROR('raw data'!IH115/'raw data'!II115),0,'raw data'!IH115/'raw data'!II115)</f>
        <v>0</v>
      </c>
      <c r="DS130" s="243">
        <f>IF(ISERROR('raw data'!IJ115/'raw data'!IK115),0,'raw data'!IJ115/'raw data'!IK115)</f>
        <v>0</v>
      </c>
      <c r="DT130" s="243">
        <f>IF(ISERROR('raw data'!IL115/'raw data'!IM115),0,'raw data'!IL115/'raw data'!IM115)</f>
        <v>0</v>
      </c>
      <c r="DU130" s="243">
        <f>IF(ISERROR('raw data'!IN115/'raw data'!IO115),0,'raw data'!IN115/'raw data'!IO115)</f>
        <v>0</v>
      </c>
      <c r="DV130" s="243">
        <f>IF(ISERROR('raw data'!IP115/'raw data'!IQ115),0,'raw data'!IP115/'raw data'!IQ115)</f>
        <v>0</v>
      </c>
      <c r="DW130" s="243">
        <f>IF(ISERROR('raw data'!IR115/'raw data'!IS115),0,'raw data'!IR115/'raw data'!IS115)</f>
        <v>0</v>
      </c>
      <c r="DX130" s="243">
        <f>IF(ISERROR('raw data'!IT115/'raw data'!IU115),0,'raw data'!IT115/'raw data'!IU115)</f>
        <v>0</v>
      </c>
      <c r="DY130" s="243">
        <f>IF(ISERROR('raw data'!IV115/'raw data'!IW115),0,'raw data'!IV115/'raw data'!IW115)</f>
        <v>0</v>
      </c>
      <c r="DZ130" s="243">
        <f>IF(ISERROR('raw data'!IX115/'raw data'!IY115),0,'raw data'!IX115/'raw data'!IY115)</f>
        <v>0</v>
      </c>
      <c r="EA130" s="243">
        <f>IF(ISERROR('raw data'!IZ115/'raw data'!JA115),0,'raw data'!IZ115/'raw data'!JA115)</f>
        <v>0</v>
      </c>
      <c r="EB130" s="243">
        <f>IF(ISERROR('raw data'!JB115/'raw data'!JC115),0,'raw data'!JB115/'raw data'!JC115)</f>
        <v>0</v>
      </c>
      <c r="EC130" s="243">
        <f>IF(ISERROR('raw data'!JD115/'raw data'!JE115),0,'raw data'!JD115/'raw data'!JE115)</f>
        <v>0</v>
      </c>
      <c r="ED130" s="334"/>
      <c r="EE130" s="244">
        <f>SUM('raw data'!CT115,'raw data'!CV115,'raw data'!CX115,'raw data'!CZ115,'raw data'!DB115,'raw data'!DD115,'raw data'!DF115,'raw data'!DH115,'raw data'!DJ115,'raw data'!DL115,'raw data'!DN115,'raw data'!DP115)</f>
        <v>0</v>
      </c>
      <c r="EF130" s="244">
        <f>SUM('raw data'!CU115,'raw data'!CW115,'raw data'!CY115,'raw data'!DA115,'raw data'!DC115,'raw data'!DE115,'raw data'!DG115,'raw data'!DI115,'raw data'!DK115,'raw data'!DM115,'raw data'!DO115,'raw data'!DQ115)</f>
        <v>0</v>
      </c>
      <c r="EG130" s="245">
        <f t="shared" si="5"/>
        <v>0</v>
      </c>
    </row>
    <row r="131" spans="1:137" ht="14" x14ac:dyDescent="0.15">
      <c r="A131" s="343"/>
      <c r="B131" s="344" t="s">
        <v>257</v>
      </c>
      <c r="C131" s="344" t="s">
        <v>257</v>
      </c>
      <c r="D131" s="345">
        <f>+'raw data'!D116/'raw data'!E116</f>
        <v>0.21052631578947367</v>
      </c>
      <c r="E131" s="345">
        <f>+'raw data'!F116/'raw data'!G116</f>
        <v>0.11302211302211303</v>
      </c>
      <c r="F131" s="345">
        <f>'raw data'!H116/'raw data'!I116</f>
        <v>0.12225705329153605</v>
      </c>
      <c r="G131" s="345">
        <f>'raw data'!J116/'raw data'!K116</f>
        <v>0.12452107279693486</v>
      </c>
      <c r="H131" s="345">
        <f>'raw data'!L116/'raw data'!M116</f>
        <v>8.3955223880597021E-2</v>
      </c>
      <c r="I131" s="345">
        <f>'raw data'!N116/'raw data'!O116</f>
        <v>9.824046920821114E-2</v>
      </c>
      <c r="J131" s="345">
        <f>'raw data'!P116/'raw data'!Q116</f>
        <v>5.8823529411764705E-2</v>
      </c>
      <c r="K131" s="345">
        <f>'raw data'!R116/'raw data'!S116</f>
        <v>0.16066481994459833</v>
      </c>
      <c r="L131" s="345">
        <f>'raw data'!T116/'raw data'!U116</f>
        <v>7.8717201166180764E-2</v>
      </c>
      <c r="M131" s="345">
        <f>'raw data'!V116/'raw data'!W116</f>
        <v>9.9621689785624218E-2</v>
      </c>
      <c r="N131" s="345">
        <f>'raw data'!X116/'raw data'!Y116</f>
        <v>5.4616384915474644E-2</v>
      </c>
      <c r="O131" s="345">
        <f>IF(ISERROR('raw data'!Z116/'raw data'!AA116),0,'raw data'!Z116/'raw data'!AA116)</f>
        <v>8.8582677165354326E-2</v>
      </c>
      <c r="P131" s="345">
        <f>IF(ISERROR('raw data'!AB116/'raw data'!AC116),0,'raw data'!AB116/'raw data'!AC116)</f>
        <v>0.10563380281690141</v>
      </c>
      <c r="Q131" s="345">
        <f>IF(ISERROR('raw data'!AD116/'raw data'!AE116),0,'raw data'!AD116/'raw data'!AE116)</f>
        <v>9.9423631123919304E-2</v>
      </c>
      <c r="R131" s="345">
        <f>IF(ISERROR('raw data'!AF116/'raw data'!AG116),0,'raw data'!AF116/'raw data'!AG116)</f>
        <v>0.17302798982188294</v>
      </c>
      <c r="S131" s="345">
        <f>IF(ISERROR('raw data'!AH123/'raw data'!AI116),0,'raw data'!AH123/'raw data'!AI123)</f>
        <v>0.36758474576271188</v>
      </c>
      <c r="T131" s="345">
        <f>IF(ISERROR('raw data'!AJ123/'raw data'!AK123),0,'raw data'!AJ123/'raw data'!AK123)</f>
        <v>0.17694805194805194</v>
      </c>
      <c r="U131" s="345">
        <f>IF(ISERROR('raw data'!AL123/'raw data'!AM123),0,'raw data'!AL123/'raw data'!AM123)</f>
        <v>0.21166306695464362</v>
      </c>
      <c r="V131" s="345">
        <f>IF(ISERROR('raw data'!AN123/'raw data'!AO123),0,'raw data'!AN123/'raw data'!AO123)</f>
        <v>0.20758928571428573</v>
      </c>
      <c r="W131" s="345">
        <f>IF(ISERROR('raw data'!AP123/'raw data'!AQ123),0,'raw data'!AP123/'raw data'!AQ123)</f>
        <v>0.2733812949640288</v>
      </c>
      <c r="X131" s="345">
        <f>IF(ISERROR('raw data'!AR123/'raw data'!AS123),0,'raw data'!AR123/'raw data'!AS123)</f>
        <v>0.15934959349593497</v>
      </c>
      <c r="Y131" s="345">
        <f>IF(ISERROR('raw data'!AT123/'raw data'!AU123),0,'raw data'!AT123/'raw data'!AU123)</f>
        <v>0.23008849557522124</v>
      </c>
      <c r="Z131" s="345">
        <f>IF(ISERROR('raw data'!AV123/'raw data'!AW123),0,'raw data'!AV123/'raw data'!AW123)</f>
        <v>0.43097643097643096</v>
      </c>
      <c r="AA131" s="345">
        <f>IF(ISERROR('raw data'!AX140/'raw data'!AY140),0,'raw data'!AX140/'raw data'!AY140)</f>
        <v>0.3125</v>
      </c>
      <c r="AB131" s="345">
        <f>IF(ISERROR('raw data'!AZ140/'raw data'!BA140),0,'raw data'!AZ140/'raw data'!BA140)</f>
        <v>0.2527646129541864</v>
      </c>
      <c r="AC131" s="345">
        <f>IF(ISERROR('raw data'!BB140/'raw data'!BC140),0,'raw data'!BB140/'raw data'!BC140)</f>
        <v>0.29654255319148937</v>
      </c>
      <c r="AD131" s="345">
        <f>IF(ISERROR('raw data'!BD140/'raw data'!BE140),0,'raw data'!BD140/'raw data'!BE140)</f>
        <v>0.24748201438848921</v>
      </c>
      <c r="AE131" s="345">
        <f>IF(ISERROR('raw data'!BF140/'raw data'!BG140),0,'raw data'!BF140/'raw data'!BG140)</f>
        <v>0.20744081172491544</v>
      </c>
      <c r="AF131" s="345">
        <f>IF(ISERROR('raw data'!BH140/'raw data'!BI140),0,'raw data'!BH140/'raw data'!BI140)</f>
        <v>0.23712255772646537</v>
      </c>
      <c r="AG131" s="345">
        <f>IF(ISERROR('raw data'!BJ140/'raw data'!BK140),0,'raw data'!BJ140/'raw data'!BK140)</f>
        <v>0.15212981744421908</v>
      </c>
      <c r="AH131" s="345">
        <f>IF(ISERROR('raw data'!BL140/'raw data'!BM140),0,'raw data'!BL140/'raw data'!BM140)</f>
        <v>0.16914893617021276</v>
      </c>
      <c r="AI131" s="345">
        <f>IF(ISERROR('raw data'!BN140/'raw data'!BO140),0,'raw data'!BN140/'raw data'!BO140)</f>
        <v>0.19430051813471502</v>
      </c>
      <c r="AJ131" s="345">
        <f>IF(ISERROR('raw data'!BP140/'raw data'!BQ140),0,'raw data'!BP140/'raw data'!BQ140)</f>
        <v>0.16666666666666666</v>
      </c>
      <c r="AK131" s="345">
        <f>IF(ISERROR('raw data'!BR140/'raw data'!BS140),0,'raw data'!BR140/'raw data'!BS140)</f>
        <v>0.18674033149171271</v>
      </c>
      <c r="AL131" s="345">
        <f>IF(ISERROR('raw data'!BT140/'raw data'!BU140),0,'raw data'!BT140/'raw data'!BU140)</f>
        <v>0.16241496598639457</v>
      </c>
      <c r="AM131" s="345">
        <f>IF(ISERROR('raw data'!BV140/'raw data'!BW140),0,'raw data'!BV140/'raw data'!BW140)</f>
        <v>0.2348993288590604</v>
      </c>
      <c r="AN131" s="345">
        <f>IF(ISERROR('raw data'!BX140/'raw data'!BY140),0,'raw data'!BX140/'raw data'!BY140)</f>
        <v>0.23510638297872341</v>
      </c>
      <c r="AO131" s="345">
        <f>IF(ISERROR('raw data'!BZ140/'raw data'!CA140),0,'raw data'!BZ140/'raw data'!CA140)</f>
        <v>7.9397715618370598E-2</v>
      </c>
      <c r="AP131" s="345">
        <f>IF(ISERROR('raw data'!CB140/'raw data'!CC140),0,'raw data'!CB140/'raw data'!CC140)</f>
        <v>0.20307988450433109</v>
      </c>
      <c r="AQ131" s="345">
        <f>IF(ISERROR('raw data'!CD140/'raw data'!CE140),0,'raw data'!CD140/'raw data'!CE140)</f>
        <v>0.19814241486068113</v>
      </c>
      <c r="AR131" s="345">
        <f>IF(ISERROR('raw data'!CF140/'raw data'!CG140),0,'raw data'!CF140/'raw data'!CG140)</f>
        <v>0.17932564330079856</v>
      </c>
      <c r="AS131" s="345">
        <f>IF(ISERROR('raw data'!CH140/'raw data'!CI140),0,'raw data'!CH140/'raw data'!CI140)</f>
        <v>0.19325153374233128</v>
      </c>
      <c r="AT131" s="345">
        <f>IF(ISERROR('raw data'!CJ140/'raw data'!CK140),0,'raw data'!CJ140/'raw data'!CK140)</f>
        <v>0.18532818532818532</v>
      </c>
      <c r="AU131" s="345">
        <f>IF(ISERROR('raw data'!CL140/'raw data'!CM140),0,'raw data'!CL140/'raw data'!CM140)</f>
        <v>0.18623737373737373</v>
      </c>
      <c r="AV131" s="345">
        <f>IF(ISERROR('raw data'!CN140/'raw data'!CO140),0,'raw data'!CN140/'raw data'!CO140)</f>
        <v>0.18355945730247406</v>
      </c>
      <c r="AW131" s="345">
        <f>IF(ISERROR('raw data'!CP140/'raw data'!CQ140),0,'raw data'!CP140/'raw data'!CQ140)</f>
        <v>0.17466666666666666</v>
      </c>
      <c r="AX131" s="345">
        <f>IF(ISERROR('raw data'!CR140/'raw data'!CS140),0,'raw data'!CR140/'raw data'!CS140)</f>
        <v>0.17352537722908093</v>
      </c>
      <c r="AY131" s="345">
        <f>IF(ISERROR('raw data'!CT140/'raw data'!CU140),0,'raw data'!CT140/'raw data'!CU140)</f>
        <v>0.21650264950794854</v>
      </c>
      <c r="AZ131" s="345">
        <f>IF(ISERROR('raw data'!CV140/'raw data'!CW140),0,'raw data'!CV140/'raw data'!CW140)</f>
        <v>0.21753039027511195</v>
      </c>
      <c r="BA131" s="345">
        <f>IF(ISERROR('raw data'!CX140/'raw data'!CY140),0,'raw data'!CX140/'raw data'!CY140)</f>
        <v>0.17006802721088435</v>
      </c>
      <c r="BB131" s="345">
        <f>IF(ISERROR('raw data'!CZ140/'raw data'!DA140),0,'raw data'!CZ140/'raw data'!DA140)</f>
        <v>0.20668693009118541</v>
      </c>
      <c r="BC131" s="345">
        <f>IF(ISERROR('raw data'!DB140/'raw data'!DC140),0,'raw data'!DB140/'raw data'!DC140)</f>
        <v>0.23177366702937977</v>
      </c>
      <c r="BD131" s="345">
        <v>0.1852078239608802</v>
      </c>
      <c r="BE131" s="345">
        <f>IF(ISERROR('raw data'!DF140/'raw data'!DG140),0,'raw data'!DF140/'raw data'!DG140)</f>
        <v>0.22402358142962417</v>
      </c>
      <c r="BF131" s="345">
        <f>IF(ISERROR('raw data'!DH140/'raw data'!DI140),0,'raw data'!DH140/'raw data'!DI140)</f>
        <v>0.24608043626448534</v>
      </c>
      <c r="BG131" s="345">
        <f>IF(ISERROR('raw data'!DJ140/'raw data'!DK140),0,'raw data'!DJ140/'raw data'!DK140)</f>
        <v>0.23345367027677497</v>
      </c>
      <c r="BH131" s="345">
        <f>IF(ISERROR('raw data'!DL140/'raw data'!DM140),0,'raw data'!DL140/'raw data'!DM140)</f>
        <v>0.2097944377267231</v>
      </c>
      <c r="BI131" s="345">
        <f>IF(ISERROR('raw data'!DN140/'raw data'!DO140),0,'raw data'!DN140/'raw data'!DO140)</f>
        <v>0.23525513585155733</v>
      </c>
      <c r="BJ131" s="345">
        <f>IF(ISERROR('raw data'!DP140/'raw data'!DQ140),0,'raw data'!DP140/'raw data'!DQ140)</f>
        <v>0.24503311258278146</v>
      </c>
      <c r="BK131" s="345">
        <f>IF(ISERROR('raw data'!DR140/'raw data'!DS140),0,'raw data'!DR140/'raw data'!DS140)</f>
        <v>0.21658327376697642</v>
      </c>
      <c r="BL131" s="345">
        <f>IF(ISERROR('raw data'!DT140/'raw data'!DU140),0,'raw data'!DT140/'raw data'!DU140)</f>
        <v>0.21913043478260869</v>
      </c>
      <c r="BM131" s="345">
        <f>IF(ISERROR('raw data'!DV140/'raw data'!DW140),0,'raw data'!DV140/'raw data'!DW140)</f>
        <v>0.14703832752613241</v>
      </c>
      <c r="BN131" s="345">
        <f>IF(ISERROR('raw data'!DX140/'raw data'!DY140),0,'raw data'!DX140/'raw data'!DY140)</f>
        <v>0.13832658569500675</v>
      </c>
      <c r="BO131" s="345">
        <f>IF(ISERROR('raw data'!DZ140/'raw data'!EA140),0,'raw data'!DZ140/'raw data'!EA140)</f>
        <v>0.13618890719384955</v>
      </c>
      <c r="BP131" s="345">
        <f>IF(ISERROR('raw data'!EB140/'raw data'!EC140),0,'raw data'!EB140/'raw data'!EC140)</f>
        <v>0.19255381035485747</v>
      </c>
      <c r="BQ131" s="345">
        <f>IF(ISERROR('raw data'!ED140/'raw data'!EE140),0,'raw data'!ED140/'raw data'!EE140)</f>
        <v>0.171875</v>
      </c>
      <c r="BR131" s="345">
        <f>IF(ISERROR('raw data'!EF140/'raw data'!EG140),0,'raw data'!EF140/'raw data'!EG140)</f>
        <v>0.12557077625570776</v>
      </c>
      <c r="BS131" s="345">
        <f>IF(ISERROR('raw data'!EH140/'raw data'!EI140),0,'raw data'!EH140/'raw data'!EI140)</f>
        <v>0.14774889029803423</v>
      </c>
      <c r="BT131" s="345">
        <f>IF(ISERROR('raw data'!EJ140/'raw data'!EK140),0,'raw data'!EJ140/'raw data'!EK140)</f>
        <v>0.15572436245252305</v>
      </c>
      <c r="BU131" s="345">
        <f>IF(ISERROR('raw data'!EL140/'raw data'!EM140),0,'raw data'!EL140/'raw data'!EM140)</f>
        <v>0.15726290516206481</v>
      </c>
      <c r="BV131" s="345">
        <f>IF(ISERROR('raw data'!EN140/'raw data'!EO140),0,'raw data'!EN140/'raw data'!EO140)</f>
        <v>0.17440225035161744</v>
      </c>
      <c r="BW131" s="345">
        <f>IF(ISERROR('raw data'!EP140/'raw data'!EQ140),0,'raw data'!EP140/'raw data'!EQ140)</f>
        <v>0.19621026894865526</v>
      </c>
      <c r="BX131" s="345">
        <f>IF(ISERROR('raw data'!ER140/'raw data'!ES140),0,'raw data'!ER140/'raw data'!ES140)</f>
        <v>0.18154761904761904</v>
      </c>
      <c r="BY131" s="345">
        <f>IF(ISERROR('raw data'!ET140/'raw data'!EU140),0,'raw data'!ET140/'raw data'!EU140)</f>
        <v>0.1683521713265913</v>
      </c>
      <c r="BZ131" s="345">
        <f>IF(ISERROR('raw data'!EV140/'raw data'!EW140),0,'raw data'!EV140/'raw data'!EW140)</f>
        <v>0.15729585006693442</v>
      </c>
      <c r="CA131" s="345">
        <f>IF(ISERROR('raw data'!EX140/'raw data'!EY140),0,'raw data'!EX140/'raw data'!EY140)</f>
        <v>0.16527709661598822</v>
      </c>
      <c r="CB131" s="345">
        <f>IF(ISERROR('raw data'!EZ140/'raw data'!FA140),0,'raw data'!EZ140/'raw data'!FA140)</f>
        <v>0.17463617463617465</v>
      </c>
      <c r="CC131" s="345">
        <f>IF(ISERROR('raw data'!FB140/'raw data'!FC140),0,'raw data'!FB140/'raw data'!FC140)</f>
        <v>0.19450672645739911</v>
      </c>
      <c r="CD131" s="345">
        <f>IF(ISERROR('raw data'!FD140/'raw data'!FE140),0,'raw data'!FD140/'raw data'!FE140)</f>
        <v>0.1683765841882921</v>
      </c>
      <c r="CE131" s="345">
        <f>IF(ISERROR('raw data'!FF140/'raw data'!FG140),0,'raw data'!FF140/'raw data'!FG140)</f>
        <v>0.19524913093858634</v>
      </c>
      <c r="CF131" s="345">
        <f>IF(ISERROR('raw data'!FH140/'raw data'!FI140),0,'raw data'!FH140/'raw data'!FI140)</f>
        <v>0.17560175054704596</v>
      </c>
      <c r="CG131" s="345">
        <f>IF(ISERROR('raw data'!FJ140/'raw data'!FM140),0,'raw data'!FJ140/'raw data'!FM140)</f>
        <v>0.1563717306622148</v>
      </c>
      <c r="CH131" s="345">
        <f>IF(ISERROR('raw data'!FN140/'raw data'!FO140),0,'raw data'!FN140/'raw data'!FO140)</f>
        <v>0.26315789473684209</v>
      </c>
      <c r="CI131" s="345">
        <f>IF(ISERROR('raw data'!FP140/'raw data'!FQ140),0,'raw data'!FP140/'raw data'!FQ140)</f>
        <v>0.2104089219330855</v>
      </c>
      <c r="CJ131" s="345">
        <f>IF(ISERROR('raw data'!FR140/'raw data'!FS140),0,'raw data'!FR140/'raw data'!FS140)</f>
        <v>0.18436703483432457</v>
      </c>
      <c r="CK131" s="345">
        <f>IF(ISERROR('raw data'!FT140/'raw data'!FU140),0,'raw data'!FT140/'raw data'!FU140)</f>
        <v>0.20669291338582677</v>
      </c>
      <c r="CL131" s="345">
        <f>IF(ISERROR('raw data'!FV140/'raw data'!FW140),0,'raw data'!FV140/'raw data'!FW140)</f>
        <v>0.22368421052631579</v>
      </c>
      <c r="CM131" s="345">
        <f>IF(ISERROR('raw data'!FX140/'raw data'!FY140),0,'raw data'!FX140/'raw data'!FY140)</f>
        <v>0.21063829787234042</v>
      </c>
      <c r="CN131" s="345">
        <f>IF(ISERROR('raw data'!FZ140/'raw data'!GA140),0,'raw data'!FZ140/'raw data'!GA140)</f>
        <v>0.1821138211382114</v>
      </c>
      <c r="CO131" s="345">
        <f>IF(ISERROR('raw data'!GB140/'raw data'!GC140),0,'raw data'!GB140/'raw data'!GC140)</f>
        <v>0.18705035971223022</v>
      </c>
      <c r="CP131" s="345">
        <f>IF(ISERROR('raw data'!GD140/'raw data'!GE140),0,'raw data'!GD140/'raw data'!GE140)</f>
        <v>0.13691376701966718</v>
      </c>
      <c r="CQ131" s="345">
        <f>IF(ISERROR('raw data'!GF140/'raw data'!GG140),0,'raw data'!GF140/'raw data'!GG140)</f>
        <v>0.2148014440433213</v>
      </c>
      <c r="CR131" s="345">
        <f>IF(ISERROR('raw data'!GH140/'raw data'!GI140),0,'raw data'!GH140/'raw data'!GI140)</f>
        <v>0.19109311740890689</v>
      </c>
      <c r="CS131" s="345">
        <f>IF(ISERROR('raw data'!GJ140/'raw data'!GK140),0,'raw data'!GJ140/'raw data'!GK140)</f>
        <v>0.17536534446764093</v>
      </c>
      <c r="CT131" s="345">
        <f>IF(ISERROR('raw data'!GL140/'raw data'!GM140),0,'raw data'!GL140/'raw data'!GM140)</f>
        <v>0.17600574712643677</v>
      </c>
      <c r="CU131" s="345">
        <f>IF(ISERROR('raw data'!GN140/'raw data'!GO140),0,'raw data'!GN140/'raw data'!GO140)</f>
        <v>0.16858496953283683</v>
      </c>
      <c r="CV131" s="345">
        <f>IF(ISERROR('raw data'!GP140/'raw data'!GQ140),0,'raw data'!GP140/'raw data'!GQ140)</f>
        <v>0.16881150643451931</v>
      </c>
      <c r="CW131" s="345">
        <f>IF(ISERROR('raw data'!GR140/'raw data'!GS140),0,'raw data'!GR140/'raw data'!GS140)</f>
        <v>0.1875</v>
      </c>
      <c r="CX131" s="345">
        <f>IF(ISERROR('raw data'!GT140/'raw data'!GU140),0,'raw data'!GT140/'raw data'!GU140)</f>
        <v>0.18246687054026503</v>
      </c>
      <c r="CY131" s="345">
        <f>IF(ISERROR('raw data'!GV140/'raw data'!GW140),0,'raw data'!GV140/'raw data'!GW140)</f>
        <v>0.22844509948415623</v>
      </c>
      <c r="CZ131" s="345">
        <f>IF(ISERROR('raw data'!GX140/'raw data'!GY140),0,'raw data'!GX140/'raw data'!GY140)</f>
        <v>0.18640646029609689</v>
      </c>
      <c r="DA131" s="345">
        <f>IF(ISERROR('raw data'!GZ140/'raw data'!HA140),0,'raw data'!GZ140/'raw data'!HA140)</f>
        <v>0.20744259699129058</v>
      </c>
      <c r="DB131" s="345">
        <f>IF(ISERROR('raw data'!HB140/'raw data'!HC140),0,'raw data'!HB140/'raw data'!HC140)</f>
        <v>0.22947925860547219</v>
      </c>
      <c r="DC131" s="345">
        <f>IF(ISERROR('raw data'!HD140/'raw data'!HE140),0,'raw data'!HD140/'raw data'!HE140)</f>
        <v>0.24951830443159922</v>
      </c>
      <c r="DD131" s="345">
        <f>IF(ISERROR('raw data'!HF140/'raw data'!HG140),0,'raw data'!HF140/'raw data'!HG140)</f>
        <v>0.26769230769230767</v>
      </c>
      <c r="DE131" s="345">
        <f>IF(ISERROR('raw data'!HH140/'raw data'!HI140),0,'raw data'!HH140/'raw data'!HI140)</f>
        <v>0.26037344398340251</v>
      </c>
      <c r="DF131" s="345">
        <f>IF(ISERROR('raw data'!HJ140/'raw data'!HK140),0,'raw data'!HJ140/'raw data'!HK140)</f>
        <v>0.28174123337363965</v>
      </c>
      <c r="DG131" s="345">
        <f>IF(ISERROR('raw data'!HL140/'raw data'!HM140),0,'raw data'!HL140/'raw data'!HM140)</f>
        <v>0.20761245674740483</v>
      </c>
      <c r="DH131" s="345">
        <f>IF(ISERROR('raw data'!HN140/'raw data'!HO140),0,'raw data'!HN140/'raw data'!HO140)</f>
        <v>0.27574370709382151</v>
      </c>
      <c r="DI131" s="345">
        <f>IF(ISERROR('raw data'!HP140/'raw data'!HQ140),0,'raw data'!HP140/'raw data'!HQ140)</f>
        <v>0.19708737864077669</v>
      </c>
      <c r="DJ131" s="345">
        <f>IF(ISERROR('raw data'!HR140/'raw data'!HS140),0,'raw data'!HR140/'raw data'!HS140)</f>
        <v>0.25814863102998697</v>
      </c>
      <c r="DK131" s="345">
        <f>IF(ISERROR('raw data'!HT140/'raw data'!HU140),0,'raw data'!HT140/'raw data'!HU140)</f>
        <v>0.29534883720930233</v>
      </c>
      <c r="DL131" s="345">
        <f>IF(ISERROR('raw data'!HV140/'raw data'!HW140),0,'raw data'!HV140/'raw data'!HW140)</f>
        <v>0.30580137659783679</v>
      </c>
      <c r="DM131" s="345">
        <f>IF(ISERROR('raw data'!HX140/'raw data'!HY140),0,'raw data'!HX140/'raw data'!HY140)</f>
        <v>0.27279999999999999</v>
      </c>
      <c r="DN131" s="345">
        <f>IF(ISERROR('raw data'!HZ140/'raw data'!IA140),0,'raw data'!HZ140/'raw data'!IA140)</f>
        <v>0.29599999999999999</v>
      </c>
      <c r="DO131" s="345">
        <f>IF(ISERROR('raw data'!IB140/'raw data'!IC140),0,'raw data'!IB140/'raw data'!IC140)</f>
        <v>0.34055944055944054</v>
      </c>
      <c r="DP131" s="345">
        <f>IF(ISERROR('raw data'!ID140/'raw data'!IE140),0,'raw data'!ID140/'raw data'!IE140)</f>
        <v>0.34551495016611294</v>
      </c>
      <c r="DQ131" s="345">
        <f>IF(ISERROR('raw data'!IF140/'raw data'!IG140),0,'raw data'!IF140/'raw data'!IG140)</f>
        <v>0.30257186081694404</v>
      </c>
      <c r="DR131" s="345">
        <f>IF(ISERROR('raw data'!IH140/'raw data'!II140),0,'raw data'!IH140/'raw data'!II140)</f>
        <v>0.3602996254681648</v>
      </c>
      <c r="DS131" s="345">
        <f>IF(ISERROR('raw data'!IJ140/'raw data'!IK140),0,'raw data'!IJ140/'raw data'!IK140)</f>
        <v>0.4345070422535211</v>
      </c>
      <c r="DT131" s="345">
        <f>IF(ISERROR('raw data'!IL140/'raw data'!IM140),0,'raw data'!IL140/'raw data'!IM140)</f>
        <v>0.39494163424124512</v>
      </c>
      <c r="DU131" s="345">
        <f>IF(ISERROR('raw data'!IN140/'raw data'!IO140),0,'raw data'!IN140/'raw data'!IO140)</f>
        <v>0.43245469522240526</v>
      </c>
      <c r="DV131" s="345">
        <f>IF(ISERROR('raw data'!IP140/'raw data'!IQ140),0,'raw data'!IP140/'raw data'!IQ140)</f>
        <v>0.453125</v>
      </c>
      <c r="DW131" s="345">
        <f>IF(ISERROR('raw data'!IR140/'raw data'!IS140),0,'raw data'!IR140/'raw data'!IS140)</f>
        <v>0.40477121626906531</v>
      </c>
      <c r="DX131" s="345">
        <f>IF(ISERROR('raw data'!IT140/'raw data'!IU140),0,'raw data'!IT140/'raw data'!IU140)</f>
        <v>0.38406764574988872</v>
      </c>
      <c r="DY131" s="345">
        <f>IF(ISERROR('raw data'!IV140/'raw data'!IW140),0,'raw data'!IV140/'raw data'!IW140)</f>
        <v>0.41820076415422019</v>
      </c>
      <c r="DZ131" s="345">
        <f>IF(ISERROR('raw data'!IX140/'raw data'!IY140),0,'raw data'!IX140/'raw data'!IY140)</f>
        <v>0.31053550640279393</v>
      </c>
      <c r="EA131" s="345">
        <f>IF(ISERROR('raw data'!IZ140/'raw data'!JA140),0,'raw data'!IZ140/'raw data'!JA140)</f>
        <v>0.32598039215686275</v>
      </c>
      <c r="EB131" s="345">
        <f>IF(ISERROR('raw data'!JB140/'raw data'!JC140),0,'raw data'!JB140/'raw data'!JC140)</f>
        <v>0.30992885864522118</v>
      </c>
      <c r="EC131" s="345">
        <f>IF(ISERROR('raw data'!JD140/'raw data'!JE140),0,'raw data'!JD140/'raw data'!JE140)</f>
        <v>0.22717622080679406</v>
      </c>
      <c r="ED131" s="346"/>
      <c r="EE131" s="347">
        <f>SUM(EE30,EE57,EE66,EE73,EE82,EE88,EE94,EE99,EE104,EE111,EE120)</f>
        <v>6868</v>
      </c>
      <c r="EF131" s="347">
        <f>SUM(EF30,EF57,EF66,EF73,EF82,EF88,EF94,EF99,EF104,EF111,EF120)</f>
        <v>17866</v>
      </c>
      <c r="EG131" s="348">
        <f t="shared" si="5"/>
        <v>0.38441732900481362</v>
      </c>
    </row>
    <row r="132" spans="1:137" hidden="1" x14ac:dyDescent="0.15">
      <c r="A132" s="349"/>
      <c r="B132" s="349"/>
      <c r="C132" s="349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49"/>
      <c r="AB132" s="349"/>
      <c r="AC132" s="349"/>
      <c r="AD132" s="349"/>
      <c r="AE132" s="349"/>
      <c r="AF132" s="349"/>
      <c r="AG132" s="349"/>
      <c r="AH132" s="349"/>
      <c r="AI132" s="349"/>
      <c r="AJ132" s="349"/>
      <c r="AK132" s="349"/>
      <c r="AL132" s="349"/>
      <c r="AM132" s="349"/>
      <c r="AN132" s="349"/>
      <c r="AO132" s="349"/>
      <c r="AP132" s="349"/>
      <c r="AQ132" s="349"/>
      <c r="AR132" s="349"/>
      <c r="AS132" s="349"/>
      <c r="AT132" s="349"/>
      <c r="AU132" s="349"/>
      <c r="AV132" s="349"/>
      <c r="AW132" s="349"/>
      <c r="AX132" s="349"/>
      <c r="AY132" s="349"/>
      <c r="AZ132" s="349"/>
      <c r="BA132" s="349"/>
      <c r="BB132" s="349"/>
      <c r="BC132" s="349"/>
      <c r="BD132" s="349"/>
      <c r="BE132" s="349"/>
      <c r="BF132" s="349"/>
      <c r="BG132" s="349"/>
      <c r="BH132" s="349">
        <f>IF(ISERROR('raw data'!#REF!/'raw data'!#REF!),0,'raw data'!#REF!/'raw data'!#REF!)</f>
        <v>0</v>
      </c>
      <c r="BI132" s="349">
        <f>IF(ISERROR('raw data'!#REF!/'raw data'!#REF!),0,'raw data'!#REF!/'raw data'!#REF!)</f>
        <v>0</v>
      </c>
      <c r="BJ132" s="349">
        <f>IF(ISERROR('raw data'!#REF!/'raw data'!#REF!),0,'raw data'!#REF!/'raw data'!#REF!)</f>
        <v>0</v>
      </c>
      <c r="BK132" s="349">
        <f>IF(ISERROR('raw data'!#REF!/'raw data'!#REF!),0,'raw data'!#REF!/'raw data'!#REF!)</f>
        <v>0</v>
      </c>
      <c r="BL132" s="349">
        <f>IF(ISERROR('raw data'!#REF!/'raw data'!#REF!),0,'raw data'!#REF!/'raw data'!#REF!)</f>
        <v>0</v>
      </c>
      <c r="BM132" s="349">
        <f>IF(ISERROR('raw data'!#REF!/'raw data'!#REF!),0,'raw data'!#REF!/'raw data'!#REF!)</f>
        <v>0</v>
      </c>
      <c r="BN132" s="349">
        <f>IF(ISERROR('raw data'!#REF!/'raw data'!#REF!),0,'raw data'!#REF!/'raw data'!#REF!)</f>
        <v>0</v>
      </c>
      <c r="BO132" s="349">
        <f>IF(ISERROR('raw data'!#REF!/'raw data'!#REF!),0,'raw data'!#REF!/'raw data'!#REF!)</f>
        <v>0</v>
      </c>
      <c r="BP132" s="349">
        <f>IF(ISERROR('raw data'!#REF!/'raw data'!#REF!),0,'raw data'!#REF!/'raw data'!#REF!)</f>
        <v>0</v>
      </c>
      <c r="BQ132" s="349">
        <f>IF(ISERROR('raw data'!#REF!/'raw data'!#REF!),0,'raw data'!#REF!/'raw data'!#REF!)</f>
        <v>0</v>
      </c>
      <c r="BR132" s="349">
        <f>IF(ISERROR('raw data'!#REF!/'raw data'!#REF!),0,'raw data'!#REF!/'raw data'!#REF!)</f>
        <v>0</v>
      </c>
      <c r="BS132" s="349">
        <f>IF(ISERROR('raw data'!#REF!/'raw data'!#REF!),0,'raw data'!#REF!/'raw data'!#REF!)</f>
        <v>0</v>
      </c>
      <c r="BT132" s="349">
        <f>IF(ISERROR('raw data'!#REF!/'raw data'!#REF!),0,'raw data'!#REF!/'raw data'!#REF!)</f>
        <v>0</v>
      </c>
      <c r="BU132" s="350">
        <f>IF(ISERROR('raw data'!#REF!/'raw data'!#REF!),0,'raw data'!#REF!/'raw data'!#REF!)</f>
        <v>0</v>
      </c>
      <c r="BV132" s="350">
        <f>IF(ISERROR('raw data'!#REF!/'raw data'!#REF!),0,'raw data'!#REF!/'raw data'!#REF!)</f>
        <v>0</v>
      </c>
      <c r="BW132" s="350">
        <f>IF(ISERROR('raw data'!#REF!/'raw data'!#REF!),0,'raw data'!#REF!/'raw data'!#REF!)</f>
        <v>0</v>
      </c>
      <c r="BX132" s="350">
        <f>IF(ISERROR('raw data'!#REF!/'raw data'!#REF!),0,'raw data'!#REF!/'raw data'!#REF!)</f>
        <v>0</v>
      </c>
      <c r="BY132" s="350">
        <f>IF(ISERROR('raw data'!#REF!/'raw data'!#REF!),0,'raw data'!#REF!/'raw data'!#REF!)</f>
        <v>0</v>
      </c>
      <c r="BZ132" s="350">
        <f>IF(ISERROR('raw data'!#REF!/'raw data'!#REF!),0,'raw data'!#REF!/'raw data'!#REF!)</f>
        <v>0</v>
      </c>
      <c r="CA132" s="350">
        <f>IF(ISERROR('raw data'!#REF!/'raw data'!#REF!),0,'raw data'!#REF!/'raw data'!#REF!)</f>
        <v>0</v>
      </c>
      <c r="CB132" s="350">
        <f>IF(ISERROR('raw data'!#REF!/'raw data'!#REF!),0,'raw data'!#REF!/'raw data'!#REF!)</f>
        <v>0</v>
      </c>
      <c r="CC132" s="350">
        <f>IF(ISERROR('raw data'!#REF!/'raw data'!#REF!),0,'raw data'!#REF!/'raw data'!#REF!)</f>
        <v>0</v>
      </c>
      <c r="CD132" s="350">
        <f>IF(ISERROR('raw data'!#REF!/'raw data'!#REF!),0,'raw data'!#REF!/'raw data'!#REF!)</f>
        <v>0</v>
      </c>
      <c r="CE132" s="350">
        <f>IF(ISERROR('raw data'!#REF!/'raw data'!#REF!),0,'raw data'!#REF!/'raw data'!#REF!)</f>
        <v>0</v>
      </c>
      <c r="CF132" s="350">
        <f>IF(ISERROR('raw data'!#REF!/'raw data'!#REF!),0,'raw data'!#REF!/'raw data'!#REF!)</f>
        <v>0</v>
      </c>
      <c r="CG132" s="350">
        <f>IF(ISERROR('raw data'!#REF!/'raw data'!#REF!),0,'raw data'!#REF!/'raw data'!#REF!)</f>
        <v>0</v>
      </c>
      <c r="CH132" s="350">
        <f>IF(ISERROR('raw data'!#REF!/'raw data'!#REF!),0,'raw data'!#REF!/'raw data'!#REF!)</f>
        <v>0</v>
      </c>
      <c r="CI132" s="350">
        <f>IF(ISERROR('raw data'!#REF!/'raw data'!#REF!),0,'raw data'!#REF!/'raw data'!#REF!)</f>
        <v>0</v>
      </c>
      <c r="CJ132" s="350">
        <f>IF(ISERROR('raw data'!#REF!/'raw data'!#REF!),0,'raw data'!#REF!/'raw data'!#REF!)</f>
        <v>0</v>
      </c>
      <c r="CK132" s="350">
        <f>IF(ISERROR('raw data'!#REF!/'raw data'!#REF!),0,'raw data'!#REF!/'raw data'!#REF!)</f>
        <v>0</v>
      </c>
      <c r="CL132" s="350">
        <f>IF(ISERROR('raw data'!#REF!/'raw data'!#REF!),0,'raw data'!#REF!/'raw data'!#REF!)</f>
        <v>0</v>
      </c>
      <c r="CM132" s="350">
        <f>IF(ISERROR('raw data'!#REF!/'raw data'!#REF!),0,'raw data'!#REF!/'raw data'!#REF!)</f>
        <v>0</v>
      </c>
      <c r="CN132" s="350">
        <f>IF(ISERROR('raw data'!#REF!/'raw data'!#REF!),0,'raw data'!#REF!/'raw data'!#REF!)</f>
        <v>0</v>
      </c>
      <c r="CO132" s="350">
        <f>IF(ISERROR('raw data'!#REF!/'raw data'!#REF!),0,'raw data'!#REF!/'raw data'!#REF!)</f>
        <v>0</v>
      </c>
      <c r="CP132" s="350">
        <f>IF(ISERROR('raw data'!#REF!/'raw data'!#REF!),0,'raw data'!#REF!/'raw data'!#REF!)</f>
        <v>0</v>
      </c>
      <c r="CQ132" s="350">
        <f>IF(ISERROR('raw data'!#REF!/'raw data'!#REF!),0,'raw data'!#REF!/'raw data'!#REF!)</f>
        <v>0</v>
      </c>
      <c r="CR132" s="350">
        <f>IF(ISERROR('raw data'!#REF!/'raw data'!#REF!),0,'raw data'!#REF!/'raw data'!#REF!)</f>
        <v>0</v>
      </c>
      <c r="CS132" s="350">
        <f>IF(ISERROR('raw data'!#REF!/'raw data'!#REF!),0,'raw data'!#REF!/'raw data'!#REF!)</f>
        <v>0</v>
      </c>
      <c r="CT132" s="350">
        <f>IF(ISERROR('raw data'!#REF!/'raw data'!#REF!),0,'raw data'!#REF!/'raw data'!#REF!)</f>
        <v>0</v>
      </c>
      <c r="CU132" s="350">
        <f>IF(ISERROR('raw data'!#REF!/'raw data'!#REF!),0,'raw data'!#REF!/'raw data'!#REF!)</f>
        <v>0</v>
      </c>
      <c r="CV132" s="350">
        <f>IF(ISERROR('raw data'!#REF!/'raw data'!#REF!),0,'raw data'!#REF!/'raw data'!#REF!)</f>
        <v>0</v>
      </c>
      <c r="CW132" s="350">
        <f>IF(ISERROR('raw data'!#REF!/'raw data'!#REF!),0,'raw data'!#REF!/'raw data'!#REF!)</f>
        <v>0</v>
      </c>
      <c r="CX132" s="350">
        <f>IF(ISERROR('raw data'!#REF!/'raw data'!#REF!),0,'raw data'!#REF!/'raw data'!#REF!)</f>
        <v>0</v>
      </c>
      <c r="CY132" s="350">
        <f>IF(ISERROR('raw data'!#REF!/'raw data'!#REF!),0,'raw data'!#REF!/'raw data'!#REF!)</f>
        <v>0</v>
      </c>
      <c r="CZ132" s="350">
        <f>IF(ISERROR('raw data'!#REF!/'raw data'!#REF!),0,'raw data'!#REF!/'raw data'!#REF!)</f>
        <v>0</v>
      </c>
      <c r="DA132" s="350">
        <f>IF(ISERROR('raw data'!#REF!/'raw data'!#REF!),0,'raw data'!#REF!/'raw data'!#REF!)</f>
        <v>0</v>
      </c>
      <c r="DB132" s="350">
        <f>IF(ISERROR('raw data'!#REF!/'raw data'!#REF!),0,'raw data'!#REF!/'raw data'!#REF!)</f>
        <v>0</v>
      </c>
      <c r="DC132" s="350">
        <f>IF(ISERROR('raw data'!#REF!/'raw data'!#REF!),0,'raw data'!#REF!/'raw data'!#REF!)</f>
        <v>0</v>
      </c>
      <c r="DD132" s="350">
        <f>IF(ISERROR('raw data'!#REF!/'raw data'!#REF!),0,'raw data'!#REF!/'raw data'!#REF!)</f>
        <v>0</v>
      </c>
      <c r="DE132" s="350">
        <f>IF(ISERROR('raw data'!#REF!/'raw data'!#REF!),0,'raw data'!#REF!/'raw data'!#REF!)</f>
        <v>0</v>
      </c>
      <c r="DF132" s="350">
        <f>IF(ISERROR('raw data'!#REF!/'raw data'!#REF!),0,'raw data'!#REF!/'raw data'!#REF!)</f>
        <v>0</v>
      </c>
      <c r="DG132" s="350">
        <f>IF(ISERROR('raw data'!#REF!/'raw data'!#REF!),0,'raw data'!#REF!/'raw data'!#REF!)</f>
        <v>0</v>
      </c>
      <c r="DH132" s="350">
        <f>IF(ISERROR('raw data'!#REF!/'raw data'!#REF!),0,'raw data'!#REF!/'raw data'!#REF!)</f>
        <v>0</v>
      </c>
      <c r="DI132" s="350">
        <f>IF(ISERROR('raw data'!#REF!/'raw data'!#REF!),0,'raw data'!#REF!/'raw data'!#REF!)</f>
        <v>0</v>
      </c>
      <c r="DJ132" s="350">
        <f>IF(ISERROR('raw data'!#REF!/'raw data'!#REF!),0,'raw data'!#REF!/'raw data'!#REF!)</f>
        <v>0</v>
      </c>
      <c r="DK132" s="350">
        <f>IF(ISERROR('raw data'!#REF!/'raw data'!#REF!),0,'raw data'!#REF!/'raw data'!#REF!)</f>
        <v>0</v>
      </c>
      <c r="DL132" s="350">
        <f>IF(ISERROR('raw data'!#REF!/'raw data'!#REF!),0,'raw data'!#REF!/'raw data'!#REF!)</f>
        <v>0</v>
      </c>
      <c r="DM132" s="350">
        <f>IF(ISERROR('raw data'!#REF!/'raw data'!#REF!),0,'raw data'!#REF!/'raw data'!#REF!)</f>
        <v>0</v>
      </c>
      <c r="DN132" s="350">
        <f>IF(ISERROR('raw data'!#REF!/'raw data'!#REF!),0,'raw data'!#REF!/'raw data'!#REF!)</f>
        <v>0</v>
      </c>
      <c r="DO132" s="350">
        <f>IF(ISERROR('raw data'!#REF!/'raw data'!#REF!),0,'raw data'!#REF!/'raw data'!#REF!)</f>
        <v>0</v>
      </c>
      <c r="DP132" s="350">
        <f>IF(ISERROR('raw data'!#REF!/'raw data'!#REF!),0,'raw data'!#REF!/'raw data'!#REF!)</f>
        <v>0</v>
      </c>
      <c r="DQ132" s="350">
        <f>IF(ISERROR('raw data'!#REF!/'raw data'!#REF!),0,'raw data'!#REF!/'raw data'!#REF!)</f>
        <v>0</v>
      </c>
      <c r="DR132" s="350">
        <f>IF(ISERROR('raw data'!#REF!/'raw data'!#REF!),0,'raw data'!#REF!/'raw data'!#REF!)</f>
        <v>0</v>
      </c>
      <c r="DS132" s="350">
        <f>IF(ISERROR('raw data'!#REF!/'raw data'!#REF!),0,'raw data'!#REF!/'raw data'!#REF!)</f>
        <v>0</v>
      </c>
      <c r="DT132" s="350">
        <f>IF(ISERROR('raw data'!#REF!/'raw data'!#REF!),0,'raw data'!#REF!/'raw data'!#REF!)</f>
        <v>0</v>
      </c>
      <c r="DU132" s="350">
        <f>IF(ISERROR('raw data'!#REF!/'raw data'!#REF!),0,'raw data'!#REF!/'raw data'!#REF!)</f>
        <v>0</v>
      </c>
      <c r="DV132" s="350">
        <f>IF(ISERROR('raw data'!#REF!/'raw data'!#REF!),0,'raw data'!#REF!/'raw data'!#REF!)</f>
        <v>0</v>
      </c>
      <c r="DW132" s="350">
        <f>IF(ISERROR('raw data'!#REF!/'raw data'!#REF!),0,'raw data'!#REF!/'raw data'!#REF!)</f>
        <v>0</v>
      </c>
      <c r="DX132" s="350">
        <f>IF(ISERROR('raw data'!#REF!/'raw data'!#REF!),0,'raw data'!#REF!/'raw data'!#REF!)</f>
        <v>0</v>
      </c>
      <c r="DY132" s="350">
        <f>IF(ISERROR('raw data'!#REF!/'raw data'!#REF!),0,'raw data'!#REF!/'raw data'!#REF!)</f>
        <v>0</v>
      </c>
      <c r="DZ132" s="350">
        <f>IF(ISERROR('raw data'!#REF!/'raw data'!#REF!),0,'raw data'!#REF!/'raw data'!#REF!)</f>
        <v>0</v>
      </c>
      <c r="EA132" s="350">
        <f>IF(ISERROR('raw data'!#REF!/'raw data'!#REF!),0,'raw data'!#REF!/'raw data'!#REF!)</f>
        <v>0</v>
      </c>
      <c r="EB132" s="350">
        <f>IF(ISERROR('raw data'!#REF!/'raw data'!#REF!),0,'raw data'!#REF!/'raw data'!#REF!)</f>
        <v>0</v>
      </c>
      <c r="EC132" s="350">
        <f>IF(ISERROR('raw data'!#REF!/'raw data'!#REF!),0,'raw data'!#REF!/'raw data'!#REF!)</f>
        <v>0</v>
      </c>
      <c r="ED132" s="349"/>
      <c r="EE132" s="351" t="e">
        <f>SUM('raw data'!#REF!,'raw data'!#REF!,'raw data'!#REF!,'raw data'!#REF!,'raw data'!#REF!,'raw data'!#REF!,'raw data'!#REF!,'raw data'!#REF!,'raw data'!#REF!,'raw data'!#REF!,'raw data'!#REF!,'raw data'!#REF!)</f>
        <v>#REF!</v>
      </c>
      <c r="EF132" s="351" t="e">
        <f>SUM('raw data'!#REF!,'raw data'!#REF!,'raw data'!#REF!,'raw data'!#REF!,'raw data'!#REF!,'raw data'!#REF!,'raw data'!#REF!,'raw data'!#REF!,'raw data'!#REF!,'raw data'!#REF!,'raw data'!#REF!,'raw data'!#REF!)</f>
        <v>#REF!</v>
      </c>
      <c r="EG132" s="351">
        <f t="shared" si="5"/>
        <v>0</v>
      </c>
    </row>
    <row r="133" spans="1:137" ht="12.75" hidden="1" customHeight="1" x14ac:dyDescent="0.15">
      <c r="A133" s="352" t="s">
        <v>193</v>
      </c>
      <c r="B133" s="352" t="s">
        <v>194</v>
      </c>
      <c r="C133" s="352" t="s">
        <v>194</v>
      </c>
      <c r="D133" s="353"/>
      <c r="E133" s="353"/>
      <c r="F133" s="353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354">
        <f>+'raw data'!AH117/'raw data'!AI117</f>
        <v>0.86301369863013699</v>
      </c>
      <c r="T133" s="354">
        <f>IF(ISERROR('raw data'!AJ117/'raw data'!AK117),0,'raw data'!AJ117/'raw data'!AK117)</f>
        <v>0.63829787234042556</v>
      </c>
      <c r="U133" s="354">
        <f>IF(ISERROR('raw data'!AL117/'raw data'!AM117),0,'raw data'!AL117/'raw data'!AM117)</f>
        <v>0.80769230769230771</v>
      </c>
      <c r="V133" s="354">
        <f>IF(ISERROR('raw data'!AN117/'raw data'!AO117),0,'raw data'!AN117/'raw data'!AO117)</f>
        <v>0.6</v>
      </c>
      <c r="W133" s="354">
        <f>IF(ISERROR('raw data'!AP117/'raw data'!AQ117),0,'raw data'!AP117/'raw data'!AQ117)</f>
        <v>0.31578947368421051</v>
      </c>
      <c r="X133" s="354">
        <f>IF(ISERROR('raw data'!AR117/'raw data'!AS117),0,'raw data'!AR117/'raw data'!AS117)</f>
        <v>0.45454545454545453</v>
      </c>
      <c r="Y133" s="354">
        <f>IF(ISERROR('raw data'!AT117/'raw data'!AU117),0,'raw data'!AT117/'raw data'!AU117)</f>
        <v>0.42857142857142855</v>
      </c>
      <c r="Z133" s="354">
        <f>IF(ISERROR('raw data'!AV117/'raw data'!AW117),0,'raw data'!AV117/'raw data'!AW117)</f>
        <v>0.36</v>
      </c>
      <c r="AA133" s="354">
        <f>IF(ISERROR('raw data'!AX117/'raw data'!AY117),0,'raw data'!AX117/'raw data'!AY117)</f>
        <v>0.68831168831168832</v>
      </c>
      <c r="AB133" s="354">
        <f>IF(ISERROR('raw data'!AZ117/'raw data'!BA117),0,'raw data'!AZ117/'raw data'!BA117)</f>
        <v>0.77777777777777779</v>
      </c>
      <c r="AC133" s="235"/>
      <c r="AD133" s="235"/>
      <c r="AE133" s="235"/>
      <c r="AF133" s="235"/>
      <c r="AG133" s="235"/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235"/>
      <c r="AR133" s="235"/>
      <c r="AS133" s="235"/>
      <c r="AT133" s="235"/>
      <c r="AU133" s="235"/>
      <c r="AV133" s="235"/>
      <c r="AW133" s="235"/>
      <c r="AX133" s="235"/>
      <c r="AY133" s="235"/>
      <c r="AZ133" s="235"/>
      <c r="BA133" s="235"/>
      <c r="BB133" s="235"/>
      <c r="BC133" s="345">
        <f>IF(ISERROR('raw data'!DB117/'raw data'!DC117),0,'raw data'!DB117/'raw data'!DC117)</f>
        <v>0</v>
      </c>
      <c r="BD133" s="345">
        <v>0</v>
      </c>
      <c r="BE133" s="345">
        <v>0</v>
      </c>
      <c r="BF133" s="345">
        <v>0</v>
      </c>
      <c r="BG133" s="345"/>
      <c r="BH133" s="345">
        <f>IF(ISERROR('raw data'!DL117/'raw data'!DM117),0,'raw data'!DL117/'raw data'!DM117)</f>
        <v>0</v>
      </c>
      <c r="BI133" s="345">
        <f>IF(ISERROR('raw data'!DM117/'raw data'!DN117),0,'raw data'!DM117/'raw data'!DN117)</f>
        <v>0</v>
      </c>
      <c r="BJ133" s="345">
        <f>IF(ISERROR('raw data'!DP117/'raw data'!DQ117),0,'raw data'!DP117/'raw data'!DQ117)</f>
        <v>0</v>
      </c>
      <c r="BK133" s="345">
        <f>IF(ISERROR('raw data'!DR117/'raw data'!DS117),0,'raw data'!DR117/'raw data'!DS117)</f>
        <v>0</v>
      </c>
      <c r="BL133" s="345">
        <f>IF(ISERROR('raw data'!DT117/'raw data'!DU117),0,'raw data'!DT117/'raw data'!DU117)</f>
        <v>0</v>
      </c>
      <c r="BM133" s="345">
        <f>IF(ISERROR('raw data'!DV117/'raw data'!DW117),0,'raw data'!DV117/'raw data'!DW117)</f>
        <v>0</v>
      </c>
      <c r="BN133" s="345">
        <f>IF(ISERROR('raw data'!DX117/'raw data'!DY117),0,'raw data'!DX117/'raw data'!DY117)</f>
        <v>0</v>
      </c>
      <c r="BO133" s="345">
        <f>IF(ISERROR('raw data'!DZ117/'raw data'!EA117),0,'raw data'!DZ117/'raw data'!EA117)</f>
        <v>0</v>
      </c>
      <c r="BP133" s="345">
        <f>IF(ISERROR('raw data'!EA117/'raw data'!EB117),0,'raw data'!EA117/'raw data'!EB117)</f>
        <v>0</v>
      </c>
      <c r="BQ133" s="345">
        <f>IF(ISERROR('raw data'!EC117/'raw data'!ED117),0,'raw data'!EC117/'raw data'!ED117)</f>
        <v>0</v>
      </c>
      <c r="BR133" s="345">
        <f>IF(ISERROR('raw data'!EE117/'raw data'!EF117),0,'raw data'!EE117/'raw data'!EF117)</f>
        <v>0</v>
      </c>
      <c r="BS133" s="345">
        <f>IF(ISERROR('raw data'!EG117/'raw data'!EH117),0,'raw data'!EG117/'raw data'!EH117)</f>
        <v>0</v>
      </c>
      <c r="BT133" s="345">
        <f>IF(ISERROR('raw data'!EI117/'raw data'!EJ117),0,'raw data'!EI117/'raw data'!EJ117)</f>
        <v>0</v>
      </c>
      <c r="BU133" s="345">
        <f>IF(ISERROR('raw data'!EK117/'raw data'!EL117),0,'raw data'!EK117/'raw data'!EL117)</f>
        <v>0</v>
      </c>
      <c r="BV133" s="345">
        <f>IF(ISERROR('raw data'!EM117/'raw data'!EN117),0,'raw data'!EM117/'raw data'!EN117)</f>
        <v>0</v>
      </c>
      <c r="BW133" s="345">
        <f>IF(ISERROR('raw data'!EO117/'raw data'!EP117),0,'raw data'!EO117/'raw data'!EP117)</f>
        <v>0</v>
      </c>
      <c r="BX133" s="345">
        <f>IF(ISERROR('raw data'!EQ117/'raw data'!ER117),0,'raw data'!EQ117/'raw data'!ER117)</f>
        <v>0</v>
      </c>
      <c r="BY133" s="345">
        <f>IF(ISERROR('raw data'!ES117/'raw data'!ET117),0,'raw data'!ES117/'raw data'!ET117)</f>
        <v>0</v>
      </c>
      <c r="BZ133" s="345">
        <f>IF(ISERROR('raw data'!EU117/'raw data'!EV117),0,'raw data'!EU117/'raw data'!EV117)</f>
        <v>0</v>
      </c>
      <c r="CA133" s="345">
        <f>IF(ISERROR('raw data'!EW117/'raw data'!EX117),0,'raw data'!EW117/'raw data'!EX117)</f>
        <v>0</v>
      </c>
      <c r="CB133" s="345">
        <f>IF(ISERROR('raw data'!EY117/'raw data'!EZ117),0,'raw data'!EY117/'raw data'!EZ117)</f>
        <v>0</v>
      </c>
      <c r="CC133" s="345">
        <f>IF(ISERROR('raw data'!FA117/'raw data'!FB117),0,'raw data'!FA117/'raw data'!FB117)</f>
        <v>0</v>
      </c>
      <c r="CD133" s="345">
        <f>IF(ISERROR('raw data'!FC117/'raw data'!FD117),0,'raw data'!FC117/'raw data'!FD117)</f>
        <v>0</v>
      </c>
      <c r="CE133" s="345">
        <f>IF(ISERROR('raw data'!FE117/'raw data'!FF117),0,'raw data'!FE117/'raw data'!FF117)</f>
        <v>0</v>
      </c>
      <c r="CF133" s="345">
        <f>IF(ISERROR('raw data'!FG117/'raw data'!FH117),0,'raw data'!FG117/'raw data'!FH117)</f>
        <v>0</v>
      </c>
      <c r="CG133" s="345">
        <f>IF(ISERROR('raw data'!FI117/'raw data'!FJ117),0,'raw data'!FI117/'raw data'!FJ117)</f>
        <v>0</v>
      </c>
      <c r="CH133" s="345">
        <f>IF(ISERROR('raw data'!FK117/'raw data'!FN117),0,'raw data'!FK117/'raw data'!FN117)</f>
        <v>0</v>
      </c>
      <c r="CI133" s="345">
        <f>IF(ISERROR('raw data'!FM117/'raw data'!FP117),0,'raw data'!FM117/'raw data'!FP117)</f>
        <v>0</v>
      </c>
      <c r="CJ133" s="345">
        <f>IF(ISERROR('raw data'!FO117/'raw data'!FR117),0,'raw data'!FO117/'raw data'!FR117)</f>
        <v>0</v>
      </c>
      <c r="CK133" s="345">
        <f>IF(ISERROR('raw data'!FQ117/'raw data'!FT117),0,'raw data'!FQ117/'raw data'!FT117)</f>
        <v>0</v>
      </c>
      <c r="CL133" s="345">
        <f>IF(ISERROR('raw data'!FS117/'raw data'!FV117),0,'raw data'!FS117/'raw data'!FV117)</f>
        <v>0</v>
      </c>
      <c r="CM133" s="345">
        <f>IF(ISERROR('raw data'!FU117/'raw data'!FX117),0,'raw data'!FU117/'raw data'!FX117)</f>
        <v>0</v>
      </c>
      <c r="CN133" s="345">
        <f>IF(ISERROR('raw data'!FW117/'raw data'!FZ117),0,'raw data'!FW117/'raw data'!FZ117)</f>
        <v>0</v>
      </c>
      <c r="CO133" s="345">
        <f>IF(ISERROR('raw data'!FY117/'raw data'!GB117),0,'raw data'!FY117/'raw data'!GB117)</f>
        <v>0</v>
      </c>
      <c r="CP133" s="345">
        <f>IF(ISERROR('raw data'!GA117/'raw data'!GD117),0,'raw data'!GA117/'raw data'!GD117)</f>
        <v>0</v>
      </c>
      <c r="CQ133" s="345">
        <f>IF(ISERROR('raw data'!GC117/'raw data'!GF117),0,'raw data'!GC117/'raw data'!GF117)</f>
        <v>0</v>
      </c>
      <c r="CR133" s="345">
        <f>IF(ISERROR('raw data'!GE117/'raw data'!GH117),0,'raw data'!GE117/'raw data'!GH117)</f>
        <v>0</v>
      </c>
      <c r="CS133" s="345">
        <f>IF(ISERROR('raw data'!GG117/'raw data'!GJ117),0,'raw data'!GG117/'raw data'!GJ117)</f>
        <v>0</v>
      </c>
      <c r="CT133" s="345">
        <f>IF(ISERROR('raw data'!GI117/'raw data'!GL117),0,'raw data'!GI117/'raw data'!GL117)</f>
        <v>0</v>
      </c>
      <c r="CU133" s="345">
        <f>IF(ISERROR('raw data'!GK117/'raw data'!GN117),0,'raw data'!GK117/'raw data'!GN117)</f>
        <v>0</v>
      </c>
      <c r="CV133" s="345">
        <f>IF(ISERROR('raw data'!GM117/'raw data'!GP117),0,'raw data'!GM117/'raw data'!GP117)</f>
        <v>0</v>
      </c>
      <c r="CW133" s="345">
        <f>IF(ISERROR('raw data'!GO117/'raw data'!GR117),0,'raw data'!GO117/'raw data'!GR117)</f>
        <v>0</v>
      </c>
      <c r="CX133" s="345">
        <f>IF(ISERROR('raw data'!GQ117/'raw data'!GT117),0,'raw data'!GQ117/'raw data'!GT117)</f>
        <v>0</v>
      </c>
      <c r="CY133" s="345">
        <f>IF(ISERROR('raw data'!GS117/'raw data'!GV117),0,'raw data'!GS117/'raw data'!GV117)</f>
        <v>0</v>
      </c>
      <c r="CZ133" s="345">
        <f>IF(ISERROR('raw data'!GU117/'raw data'!GX117),0,'raw data'!GU117/'raw data'!GX117)</f>
        <v>0</v>
      </c>
      <c r="DA133" s="345">
        <f>IF(ISERROR('raw data'!GW117/'raw data'!GZ117),0,'raw data'!GW117/'raw data'!GZ117)</f>
        <v>0</v>
      </c>
      <c r="DB133" s="345">
        <f>IF(ISERROR('raw data'!GY117/'raw data'!HB117),0,'raw data'!GY117/'raw data'!HB117)</f>
        <v>0</v>
      </c>
      <c r="DC133" s="345">
        <f>IF(ISERROR('raw data'!HA117/'raw data'!HD117),0,'raw data'!HA117/'raw data'!HD117)</f>
        <v>0</v>
      </c>
      <c r="DD133" s="345">
        <f>IF(ISERROR('raw data'!HC117/'raw data'!HF117),0,'raw data'!HC117/'raw data'!HF117)</f>
        <v>0</v>
      </c>
      <c r="DE133" s="345">
        <f>IF(ISERROR('raw data'!HE117/'raw data'!HH117),0,'raw data'!HE117/'raw data'!HH117)</f>
        <v>0</v>
      </c>
      <c r="DF133" s="345">
        <f>IF(ISERROR('raw data'!HG117/'raw data'!HJ117),0,'raw data'!HG117/'raw data'!HJ117)</f>
        <v>0</v>
      </c>
      <c r="DG133" s="345">
        <f>IF(ISERROR('raw data'!HI117/'raw data'!HL117),0,'raw data'!HI117/'raw data'!HL117)</f>
        <v>0</v>
      </c>
      <c r="DH133" s="345">
        <f>IF(ISERROR('raw data'!HK117/'raw data'!HN117),0,'raw data'!HK117/'raw data'!HN117)</f>
        <v>0</v>
      </c>
      <c r="DI133" s="345">
        <f>IF(ISERROR('raw data'!HM117/'raw data'!HP117),0,'raw data'!HM117/'raw data'!HP117)</f>
        <v>0</v>
      </c>
      <c r="DJ133" s="345">
        <f>IF(ISERROR('raw data'!HO117/'raw data'!HR117),0,'raw data'!HO117/'raw data'!HR117)</f>
        <v>0</v>
      </c>
      <c r="DK133" s="345">
        <f>IF(ISERROR('raw data'!HQ117/'raw data'!HT117),0,'raw data'!HQ117/'raw data'!HT117)</f>
        <v>0</v>
      </c>
      <c r="DL133" s="345">
        <f>IF(ISERROR('raw data'!HS117/'raw data'!HV117),0,'raw data'!HS117/'raw data'!HV117)</f>
        <v>0</v>
      </c>
      <c r="DM133" s="345">
        <f>IF(ISERROR('raw data'!HU117/'raw data'!HX117),0,'raw data'!HU117/'raw data'!HX117)</f>
        <v>0</v>
      </c>
      <c r="DN133" s="345">
        <f>IF(ISERROR('raw data'!HW117/'raw data'!HZ117),0,'raw data'!HW117/'raw data'!HZ117)</f>
        <v>0</v>
      </c>
      <c r="DO133" s="345">
        <f>IF(ISERROR('raw data'!HY117/'raw data'!IB117),0,'raw data'!HY117/'raw data'!IB117)</f>
        <v>0</v>
      </c>
      <c r="DP133" s="345">
        <f>IF(ISERROR('raw data'!IA117/'raw data'!ID117),0,'raw data'!IA117/'raw data'!ID117)</f>
        <v>0</v>
      </c>
      <c r="DQ133" s="345">
        <f>IF(ISERROR('raw data'!IC117/'raw data'!IF117),0,'raw data'!IC117/'raw data'!IF117)</f>
        <v>0</v>
      </c>
      <c r="DR133" s="345">
        <f>IF(ISERROR('raw data'!IE117/'raw data'!IH117),0,'raw data'!IE117/'raw data'!IH117)</f>
        <v>0</v>
      </c>
      <c r="DS133" s="345">
        <f>IF(ISERROR('raw data'!IG117/'raw data'!IJ117),0,'raw data'!IG117/'raw data'!IJ117)</f>
        <v>0</v>
      </c>
      <c r="DT133" s="345">
        <f>IF(ISERROR('raw data'!II117/'raw data'!IL117),0,'raw data'!II117/'raw data'!IL117)</f>
        <v>0</v>
      </c>
      <c r="DU133" s="345">
        <f>IF(ISERROR('raw data'!IK117/'raw data'!IN117),0,'raw data'!IK117/'raw data'!IN117)</f>
        <v>0</v>
      </c>
      <c r="DV133" s="345">
        <f>IF(ISERROR('raw data'!IM117/'raw data'!IP117),0,'raw data'!IM117/'raw data'!IP117)</f>
        <v>0</v>
      </c>
      <c r="DW133" s="345">
        <f>IF(ISERROR('raw data'!IO117/'raw data'!IR117),0,'raw data'!IO117/'raw data'!IR117)</f>
        <v>0</v>
      </c>
      <c r="DX133" s="345">
        <f>IF(ISERROR('raw data'!IQ117/'raw data'!IT117),0,'raw data'!IQ117/'raw data'!IT117)</f>
        <v>0</v>
      </c>
      <c r="DY133" s="345">
        <f>IF(ISERROR('raw data'!IS117/'raw data'!IV117),0,'raw data'!IS117/'raw data'!IV117)</f>
        <v>0</v>
      </c>
      <c r="DZ133" s="345">
        <f>IF(ISERROR('raw data'!IU117/'raw data'!IX117),0,'raw data'!IU117/'raw data'!IX117)</f>
        <v>0</v>
      </c>
      <c r="EA133" s="345">
        <f>IF(ISERROR('raw data'!IW117/'raw data'!IZ117),0,'raw data'!IW117/'raw data'!IZ117)</f>
        <v>0</v>
      </c>
      <c r="EB133" s="345">
        <f>IF(ISERROR('raw data'!IY117/'raw data'!JB117),0,'raw data'!IY117/'raw data'!JB117)</f>
        <v>0</v>
      </c>
      <c r="EC133" s="345">
        <f>IF(ISERROR('raw data'!JA117/'raw data'!JD117),0,'raw data'!JA117/'raw data'!JD117)</f>
        <v>0</v>
      </c>
      <c r="ED133" s="226"/>
      <c r="EE133" s="266">
        <f>SUM('raw data'!CT117,'raw data'!CV117,'raw data'!CX117,'raw data'!CZ117,'raw data'!DB117,'raw data'!DD117,'raw data'!DF117,'raw data'!DH117,'raw data'!DJ117,'raw data'!DL117,'raw data'!DN117,'raw data'!DP117)</f>
        <v>0</v>
      </c>
      <c r="EF133" s="266">
        <f>SUM('raw data'!CU117,'raw data'!CW117,'raw data'!CY117,'raw data'!DA117,'raw data'!DC117,'raw data'!DE117,'raw data'!DG117,'raw data'!DI117,'raw data'!DK117,'raw data'!DM117,'raw data'!DO117,'raw data'!DQ117)</f>
        <v>0</v>
      </c>
      <c r="EG133" s="348">
        <f t="shared" si="5"/>
        <v>0</v>
      </c>
    </row>
    <row r="134" spans="1:137" ht="25.5" hidden="1" customHeight="1" x14ac:dyDescent="0.15">
      <c r="A134" s="352" t="s">
        <v>195</v>
      </c>
      <c r="B134" s="355" t="s">
        <v>196</v>
      </c>
      <c r="C134" s="355" t="s">
        <v>196</v>
      </c>
      <c r="D134" s="353"/>
      <c r="E134" s="353"/>
      <c r="F134" s="353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354">
        <f>+'raw data'!AH118/'raw data'!AI118</f>
        <v>0.31468531468531469</v>
      </c>
      <c r="T134" s="354">
        <f>IF(ISERROR('raw data'!AJ118/'raw data'!AK118),0,'raw data'!AJ118/'raw data'!AK118)</f>
        <v>0.125</v>
      </c>
      <c r="U134" s="354">
        <f>IF(ISERROR('raw data'!AL118/'raw data'!AM118),0,'raw data'!AL118/'raw data'!AM118)</f>
        <v>0.25</v>
      </c>
      <c r="V134" s="354">
        <f>IF(ISERROR('raw data'!AN118/'raw data'!AO118),0,'raw data'!AN118/'raw data'!AO118)</f>
        <v>0.2</v>
      </c>
      <c r="W134" s="354">
        <f>IF(ISERROR('raw data'!AP118/'raw data'!AQ118),0,'raw data'!AP118/'raw data'!AQ118)</f>
        <v>0.2</v>
      </c>
      <c r="X134" s="354">
        <f>IF(ISERROR('raw data'!AR118/'raw data'!AS118),0,'raw data'!AR118/'raw data'!AS118)</f>
        <v>0</v>
      </c>
      <c r="Y134" s="354">
        <f>IF(ISERROR('raw data'!AT118/'raw data'!AU118),0,'raw data'!AT118/'raw data'!AU118)</f>
        <v>0.18181818181818182</v>
      </c>
      <c r="Z134" s="354">
        <f>IF(ISERROR('raw data'!AV118/'raw data'!AW118),0,'raw data'!AV118/'raw data'!AW118)</f>
        <v>0.5</v>
      </c>
      <c r="AA134" s="354">
        <f>IF(ISERROR('raw data'!AX118/'raw data'!AY118),0,'raw data'!AX118/'raw data'!AY118)</f>
        <v>0.875</v>
      </c>
      <c r="AB134" s="354">
        <f>IF(ISERROR('raw data'!AZ118/'raw data'!BA118),0,'raw data'!AZ118/'raw data'!BA118)</f>
        <v>0.42857142857142855</v>
      </c>
      <c r="AC134" s="235"/>
      <c r="AD134" s="235"/>
      <c r="AE134" s="235"/>
      <c r="AF134" s="235"/>
      <c r="AG134" s="235"/>
      <c r="AH134" s="235"/>
      <c r="AI134" s="235"/>
      <c r="AJ134" s="235"/>
      <c r="AK134" s="235"/>
      <c r="AL134" s="235"/>
      <c r="AM134" s="235"/>
      <c r="AN134" s="235"/>
      <c r="AO134" s="235"/>
      <c r="AP134" s="235"/>
      <c r="AQ134" s="235"/>
      <c r="AR134" s="235"/>
      <c r="AS134" s="235"/>
      <c r="AT134" s="235"/>
      <c r="AU134" s="235"/>
      <c r="AV134" s="235"/>
      <c r="AW134" s="235"/>
      <c r="AX134" s="235"/>
      <c r="AY134" s="235"/>
      <c r="AZ134" s="235"/>
      <c r="BA134" s="235"/>
      <c r="BB134" s="235"/>
      <c r="BC134" s="345">
        <f>IF(ISERROR('raw data'!DB118/'raw data'!DC118),0,'raw data'!DB118/'raw data'!DC118)</f>
        <v>0</v>
      </c>
      <c r="BD134" s="345">
        <v>0</v>
      </c>
      <c r="BE134" s="345">
        <v>0</v>
      </c>
      <c r="BF134" s="345">
        <v>0</v>
      </c>
      <c r="BG134" s="345"/>
      <c r="BH134" s="345">
        <f>IF(ISERROR('raw data'!DL118/'raw data'!DM118),0,'raw data'!DL118/'raw data'!DM118)</f>
        <v>0</v>
      </c>
      <c r="BI134" s="345">
        <f>IF(ISERROR('raw data'!DM118/'raw data'!DN118),0,'raw data'!DM118/'raw data'!DN118)</f>
        <v>0</v>
      </c>
      <c r="BJ134" s="345">
        <f>IF(ISERROR('raw data'!DP118/'raw data'!DQ118),0,'raw data'!DP118/'raw data'!DQ118)</f>
        <v>0</v>
      </c>
      <c r="BK134" s="345">
        <f>IF(ISERROR('raw data'!DR118/'raw data'!DS118),0,'raw data'!DR118/'raw data'!DS118)</f>
        <v>0</v>
      </c>
      <c r="BL134" s="345">
        <f>IF(ISERROR('raw data'!DT118/'raw data'!DU118),0,'raw data'!DT118/'raw data'!DU118)</f>
        <v>0</v>
      </c>
      <c r="BM134" s="345">
        <f>IF(ISERROR('raw data'!DV118/'raw data'!DW118),0,'raw data'!DV118/'raw data'!DW118)</f>
        <v>0</v>
      </c>
      <c r="BN134" s="345">
        <f>IF(ISERROR('raw data'!DX118/'raw data'!DY118),0,'raw data'!DX118/'raw data'!DY118)</f>
        <v>0</v>
      </c>
      <c r="BO134" s="345">
        <f>IF(ISERROR('raw data'!DZ118/'raw data'!EA118),0,'raw data'!DZ118/'raw data'!EA118)</f>
        <v>0</v>
      </c>
      <c r="BP134" s="345">
        <f>IF(ISERROR('raw data'!EA118/'raw data'!EB118),0,'raw data'!EA118/'raw data'!EB118)</f>
        <v>0</v>
      </c>
      <c r="BQ134" s="345">
        <f>IF(ISERROR('raw data'!EC118/'raw data'!ED118),0,'raw data'!EC118/'raw data'!ED118)</f>
        <v>0</v>
      </c>
      <c r="BR134" s="345">
        <f>IF(ISERROR('raw data'!EE118/'raw data'!EF118),0,'raw data'!EE118/'raw data'!EF118)</f>
        <v>0</v>
      </c>
      <c r="BS134" s="345">
        <f>IF(ISERROR('raw data'!EG118/'raw data'!EH118),0,'raw data'!EG118/'raw data'!EH118)</f>
        <v>0</v>
      </c>
      <c r="BT134" s="345">
        <f>IF(ISERROR('raw data'!EI118/'raw data'!EJ118),0,'raw data'!EI118/'raw data'!EJ118)</f>
        <v>0</v>
      </c>
      <c r="BU134" s="345">
        <f>IF(ISERROR('raw data'!EK118/'raw data'!EL118),0,'raw data'!EK118/'raw data'!EL118)</f>
        <v>0</v>
      </c>
      <c r="BV134" s="345">
        <f>IF(ISERROR('raw data'!EM118/'raw data'!EN118),0,'raw data'!EM118/'raw data'!EN118)</f>
        <v>0</v>
      </c>
      <c r="BW134" s="345">
        <f>IF(ISERROR('raw data'!EO118/'raw data'!EP118),0,'raw data'!EO118/'raw data'!EP118)</f>
        <v>0</v>
      </c>
      <c r="BX134" s="345">
        <f>IF(ISERROR('raw data'!EQ118/'raw data'!ER118),0,'raw data'!EQ118/'raw data'!ER118)</f>
        <v>0</v>
      </c>
      <c r="BY134" s="345">
        <f>IF(ISERROR('raw data'!ES118/'raw data'!ET118),0,'raw data'!ES118/'raw data'!ET118)</f>
        <v>0</v>
      </c>
      <c r="BZ134" s="345">
        <f>IF(ISERROR('raw data'!EU118/'raw data'!EV118),0,'raw data'!EU118/'raw data'!EV118)</f>
        <v>0</v>
      </c>
      <c r="CA134" s="345">
        <f>IF(ISERROR('raw data'!EW118/'raw data'!EX118),0,'raw data'!EW118/'raw data'!EX118)</f>
        <v>0</v>
      </c>
      <c r="CB134" s="345">
        <f>IF(ISERROR('raw data'!EY118/'raw data'!EZ118),0,'raw data'!EY118/'raw data'!EZ118)</f>
        <v>0</v>
      </c>
      <c r="CC134" s="345">
        <f>IF(ISERROR('raw data'!FA118/'raw data'!FB118),0,'raw data'!FA118/'raw data'!FB118)</f>
        <v>0</v>
      </c>
      <c r="CD134" s="345">
        <f>IF(ISERROR('raw data'!FC118/'raw data'!FD118),0,'raw data'!FC118/'raw data'!FD118)</f>
        <v>0</v>
      </c>
      <c r="CE134" s="345">
        <f>IF(ISERROR('raw data'!FE118/'raw data'!FF118),0,'raw data'!FE118/'raw data'!FF118)</f>
        <v>0</v>
      </c>
      <c r="CF134" s="345">
        <f>IF(ISERROR('raw data'!FG118/'raw data'!FH118),0,'raw data'!FG118/'raw data'!FH118)</f>
        <v>0</v>
      </c>
      <c r="CG134" s="345">
        <f>IF(ISERROR('raw data'!FI118/'raw data'!FJ118),0,'raw data'!FI118/'raw data'!FJ118)</f>
        <v>0</v>
      </c>
      <c r="CH134" s="345">
        <f>IF(ISERROR('raw data'!FK118/'raw data'!FN118),0,'raw data'!FK118/'raw data'!FN118)</f>
        <v>0</v>
      </c>
      <c r="CI134" s="345">
        <f>IF(ISERROR('raw data'!FM118/'raw data'!FP118),0,'raw data'!FM118/'raw data'!FP118)</f>
        <v>0</v>
      </c>
      <c r="CJ134" s="345">
        <f>IF(ISERROR('raw data'!FO118/'raw data'!FR118),0,'raw data'!FO118/'raw data'!FR118)</f>
        <v>0</v>
      </c>
      <c r="CK134" s="345">
        <f>IF(ISERROR('raw data'!FQ118/'raw data'!FT118),0,'raw data'!FQ118/'raw data'!FT118)</f>
        <v>0</v>
      </c>
      <c r="CL134" s="345">
        <f>IF(ISERROR('raw data'!FS118/'raw data'!FV118),0,'raw data'!FS118/'raw data'!FV118)</f>
        <v>0</v>
      </c>
      <c r="CM134" s="345">
        <f>IF(ISERROR('raw data'!FU118/'raw data'!FX118),0,'raw data'!FU118/'raw data'!FX118)</f>
        <v>0</v>
      </c>
      <c r="CN134" s="345">
        <f>IF(ISERROR('raw data'!FW118/'raw data'!FZ118),0,'raw data'!FW118/'raw data'!FZ118)</f>
        <v>0</v>
      </c>
      <c r="CO134" s="345">
        <f>IF(ISERROR('raw data'!FY118/'raw data'!GB118),0,'raw data'!FY118/'raw data'!GB118)</f>
        <v>0</v>
      </c>
      <c r="CP134" s="345">
        <f>IF(ISERROR('raw data'!GA118/'raw data'!GD118),0,'raw data'!GA118/'raw data'!GD118)</f>
        <v>0</v>
      </c>
      <c r="CQ134" s="345">
        <f>IF(ISERROR('raw data'!GC118/'raw data'!GF118),0,'raw data'!GC118/'raw data'!GF118)</f>
        <v>0</v>
      </c>
      <c r="CR134" s="345">
        <f>IF(ISERROR('raw data'!GE118/'raw data'!GH118),0,'raw data'!GE118/'raw data'!GH118)</f>
        <v>0</v>
      </c>
      <c r="CS134" s="345">
        <f>IF(ISERROR('raw data'!GG118/'raw data'!GJ118),0,'raw data'!GG118/'raw data'!GJ118)</f>
        <v>0</v>
      </c>
      <c r="CT134" s="345">
        <f>IF(ISERROR('raw data'!GI118/'raw data'!GL118),0,'raw data'!GI118/'raw data'!GL118)</f>
        <v>0</v>
      </c>
      <c r="CU134" s="345">
        <f>IF(ISERROR('raw data'!GK118/'raw data'!GN118),0,'raw data'!GK118/'raw data'!GN118)</f>
        <v>0</v>
      </c>
      <c r="CV134" s="345">
        <f>IF(ISERROR('raw data'!GM118/'raw data'!GP118),0,'raw data'!GM118/'raw data'!GP118)</f>
        <v>0</v>
      </c>
      <c r="CW134" s="345">
        <f>IF(ISERROR('raw data'!GO118/'raw data'!GR118),0,'raw data'!GO118/'raw data'!GR118)</f>
        <v>0</v>
      </c>
      <c r="CX134" s="345">
        <f>IF(ISERROR('raw data'!GQ118/'raw data'!GT118),0,'raw data'!GQ118/'raw data'!GT118)</f>
        <v>0</v>
      </c>
      <c r="CY134" s="345">
        <f>IF(ISERROR('raw data'!GS118/'raw data'!GV118),0,'raw data'!GS118/'raw data'!GV118)</f>
        <v>0</v>
      </c>
      <c r="CZ134" s="345">
        <f>IF(ISERROR('raw data'!GU118/'raw data'!GX118),0,'raw data'!GU118/'raw data'!GX118)</f>
        <v>0</v>
      </c>
      <c r="DA134" s="345">
        <f>IF(ISERROR('raw data'!GW118/'raw data'!GZ118),0,'raw data'!GW118/'raw data'!GZ118)</f>
        <v>0</v>
      </c>
      <c r="DB134" s="345">
        <f>IF(ISERROR('raw data'!GY118/'raw data'!HB118),0,'raw data'!GY118/'raw data'!HB118)</f>
        <v>0</v>
      </c>
      <c r="DC134" s="345">
        <f>IF(ISERROR('raw data'!HA118/'raw data'!HD118),0,'raw data'!HA118/'raw data'!HD118)</f>
        <v>0</v>
      </c>
      <c r="DD134" s="345">
        <f>IF(ISERROR('raw data'!HC118/'raw data'!HF118),0,'raw data'!HC118/'raw data'!HF118)</f>
        <v>0</v>
      </c>
      <c r="DE134" s="345">
        <f>IF(ISERROR('raw data'!HE118/'raw data'!HH118),0,'raw data'!HE118/'raw data'!HH118)</f>
        <v>0</v>
      </c>
      <c r="DF134" s="345">
        <f>IF(ISERROR('raw data'!HG118/'raw data'!HJ118),0,'raw data'!HG118/'raw data'!HJ118)</f>
        <v>0</v>
      </c>
      <c r="DG134" s="345">
        <f>IF(ISERROR('raw data'!HI118/'raw data'!HL118),0,'raw data'!HI118/'raw data'!HL118)</f>
        <v>0</v>
      </c>
      <c r="DH134" s="345">
        <f>IF(ISERROR('raw data'!HK118/'raw data'!HN118),0,'raw data'!HK118/'raw data'!HN118)</f>
        <v>0</v>
      </c>
      <c r="DI134" s="345">
        <f>IF(ISERROR('raw data'!HM118/'raw data'!HP118),0,'raw data'!HM118/'raw data'!HP118)</f>
        <v>0</v>
      </c>
      <c r="DJ134" s="345">
        <f>IF(ISERROR('raw data'!HO118/'raw data'!HR118),0,'raw data'!HO118/'raw data'!HR118)</f>
        <v>0</v>
      </c>
      <c r="DK134" s="345">
        <f>IF(ISERROR('raw data'!HQ118/'raw data'!HT118),0,'raw data'!HQ118/'raw data'!HT118)</f>
        <v>0</v>
      </c>
      <c r="DL134" s="345">
        <f>IF(ISERROR('raw data'!HS118/'raw data'!HV118),0,'raw data'!HS118/'raw data'!HV118)</f>
        <v>0</v>
      </c>
      <c r="DM134" s="345">
        <f>IF(ISERROR('raw data'!HU118/'raw data'!HX118),0,'raw data'!HU118/'raw data'!HX118)</f>
        <v>0</v>
      </c>
      <c r="DN134" s="345">
        <f>IF(ISERROR('raw data'!HW118/'raw data'!HZ118),0,'raw data'!HW118/'raw data'!HZ118)</f>
        <v>0</v>
      </c>
      <c r="DO134" s="345">
        <f>IF(ISERROR('raw data'!HY118/'raw data'!IB118),0,'raw data'!HY118/'raw data'!IB118)</f>
        <v>0</v>
      </c>
      <c r="DP134" s="345">
        <f>IF(ISERROR('raw data'!IA118/'raw data'!ID118),0,'raw data'!IA118/'raw data'!ID118)</f>
        <v>0</v>
      </c>
      <c r="DQ134" s="345">
        <f>IF(ISERROR('raw data'!IC118/'raw data'!IF118),0,'raw data'!IC118/'raw data'!IF118)</f>
        <v>0</v>
      </c>
      <c r="DR134" s="345">
        <f>IF(ISERROR('raw data'!IE118/'raw data'!IH118),0,'raw data'!IE118/'raw data'!IH118)</f>
        <v>0</v>
      </c>
      <c r="DS134" s="345">
        <f>IF(ISERROR('raw data'!IG118/'raw data'!IJ118),0,'raw data'!IG118/'raw data'!IJ118)</f>
        <v>0</v>
      </c>
      <c r="DT134" s="345">
        <f>IF(ISERROR('raw data'!II118/'raw data'!IL118),0,'raw data'!II118/'raw data'!IL118)</f>
        <v>0</v>
      </c>
      <c r="DU134" s="345">
        <f>IF(ISERROR('raw data'!IK118/'raw data'!IN118),0,'raw data'!IK118/'raw data'!IN118)</f>
        <v>0</v>
      </c>
      <c r="DV134" s="345">
        <f>IF(ISERROR('raw data'!IM118/'raw data'!IP118),0,'raw data'!IM118/'raw data'!IP118)</f>
        <v>0</v>
      </c>
      <c r="DW134" s="345">
        <f>IF(ISERROR('raw data'!IO118/'raw data'!IR118),0,'raw data'!IO118/'raw data'!IR118)</f>
        <v>0</v>
      </c>
      <c r="DX134" s="345">
        <f>IF(ISERROR('raw data'!IQ118/'raw data'!IT118),0,'raw data'!IQ118/'raw data'!IT118)</f>
        <v>0</v>
      </c>
      <c r="DY134" s="345">
        <f>IF(ISERROR('raw data'!IS118/'raw data'!IV118),0,'raw data'!IS118/'raw data'!IV118)</f>
        <v>0</v>
      </c>
      <c r="DZ134" s="345">
        <f>IF(ISERROR('raw data'!IU118/'raw data'!IX118),0,'raw data'!IU118/'raw data'!IX118)</f>
        <v>0</v>
      </c>
      <c r="EA134" s="345">
        <f>IF(ISERROR('raw data'!IW118/'raw data'!IZ118),0,'raw data'!IW118/'raw data'!IZ118)</f>
        <v>0</v>
      </c>
      <c r="EB134" s="345">
        <f>IF(ISERROR('raw data'!IY118/'raw data'!JB118),0,'raw data'!IY118/'raw data'!JB118)</f>
        <v>0</v>
      </c>
      <c r="EC134" s="345">
        <f>IF(ISERROR('raw data'!JA118/'raw data'!JD118),0,'raw data'!JA118/'raw data'!JD118)</f>
        <v>0</v>
      </c>
      <c r="ED134" s="226"/>
      <c r="EE134" s="266">
        <f>SUM('raw data'!CT118,'raw data'!CV118,'raw data'!CX118,'raw data'!CZ118,'raw data'!DB118,'raw data'!DD118,'raw data'!DF118,'raw data'!DH118,'raw data'!DJ118,'raw data'!DL118,'raw data'!DN118,'raw data'!DP118)</f>
        <v>0</v>
      </c>
      <c r="EF134" s="266">
        <f>SUM('raw data'!CU118,'raw data'!CW118,'raw data'!CY118,'raw data'!DA118,'raw data'!DC118,'raw data'!DE118,'raw data'!DG118,'raw data'!DI118,'raw data'!DK118,'raw data'!DM118,'raw data'!DO118,'raw data'!DQ118)</f>
        <v>0</v>
      </c>
      <c r="EG134" s="348">
        <f t="shared" si="5"/>
        <v>0</v>
      </c>
    </row>
    <row r="135" spans="1:137" ht="12.75" hidden="1" customHeight="1" x14ac:dyDescent="0.15">
      <c r="A135" s="352" t="s">
        <v>197</v>
      </c>
      <c r="B135" s="355" t="s">
        <v>198</v>
      </c>
      <c r="C135" s="355" t="s">
        <v>198</v>
      </c>
      <c r="D135" s="353"/>
      <c r="E135" s="353"/>
      <c r="F135" s="353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35"/>
      <c r="T135" s="235"/>
      <c r="U135" s="235"/>
      <c r="V135" s="235"/>
      <c r="W135" s="354">
        <f>IF(ISERROR('raw data'!AP119/'raw data'!AQ119),0,'raw data'!AP119/'raw data'!AQ119)</f>
        <v>0.68055555555555558</v>
      </c>
      <c r="X135" s="354">
        <f>IF(ISERROR('raw data'!AR119/'raw data'!AS119),0,'raw data'!AR119/'raw data'!AS119)</f>
        <v>0</v>
      </c>
      <c r="Y135" s="354">
        <f>IF(ISERROR('raw data'!AT119/'raw data'!AU119),0,'raw data'!AT119/'raw data'!AU119)</f>
        <v>0</v>
      </c>
      <c r="Z135" s="354">
        <f>IF(ISERROR('raw data'!AV119/'raw data'!AW119),0,'raw data'!AV119/'raw data'!AW119)</f>
        <v>0.6216216216216216</v>
      </c>
      <c r="AA135" s="235"/>
      <c r="AB135" s="235"/>
      <c r="AC135" s="235"/>
      <c r="AD135" s="235"/>
      <c r="AE135" s="235"/>
      <c r="AF135" s="235"/>
      <c r="AG135" s="235"/>
      <c r="AH135" s="235"/>
      <c r="AI135" s="235"/>
      <c r="AJ135" s="235"/>
      <c r="AK135" s="235"/>
      <c r="AL135" s="235"/>
      <c r="AM135" s="235"/>
      <c r="AN135" s="235"/>
      <c r="AO135" s="235"/>
      <c r="AP135" s="235"/>
      <c r="AQ135" s="235"/>
      <c r="AR135" s="235"/>
      <c r="AS135" s="235"/>
      <c r="AT135" s="235"/>
      <c r="AU135" s="235"/>
      <c r="AV135" s="235"/>
      <c r="AW135" s="235"/>
      <c r="AX135" s="235"/>
      <c r="AY135" s="235"/>
      <c r="AZ135" s="235"/>
      <c r="BA135" s="235"/>
      <c r="BB135" s="235"/>
      <c r="BC135" s="345">
        <f>IF(ISERROR('raw data'!DB119/'raw data'!DC119),0,'raw data'!DB119/'raw data'!DC119)</f>
        <v>0</v>
      </c>
      <c r="BD135" s="345">
        <v>0</v>
      </c>
      <c r="BE135" s="345">
        <v>0</v>
      </c>
      <c r="BF135" s="345">
        <v>0</v>
      </c>
      <c r="BG135" s="345"/>
      <c r="BH135" s="345">
        <f>IF(ISERROR('raw data'!DL119/'raw data'!DM119),0,'raw data'!DL119/'raw data'!DM119)</f>
        <v>0</v>
      </c>
      <c r="BI135" s="345">
        <f>IF(ISERROR('raw data'!DM119/'raw data'!DN119),0,'raw data'!DM119/'raw data'!DN119)</f>
        <v>0</v>
      </c>
      <c r="BJ135" s="345">
        <f>IF(ISERROR('raw data'!DP119/'raw data'!DQ119),0,'raw data'!DP119/'raw data'!DQ119)</f>
        <v>0</v>
      </c>
      <c r="BK135" s="345">
        <f>IF(ISERROR('raw data'!DR119/'raw data'!DS119),0,'raw data'!DR119/'raw data'!DS119)</f>
        <v>0</v>
      </c>
      <c r="BL135" s="345">
        <f>IF(ISERROR('raw data'!DT119/'raw data'!DU119),0,'raw data'!DT119/'raw data'!DU119)</f>
        <v>0</v>
      </c>
      <c r="BM135" s="345">
        <f>IF(ISERROR('raw data'!DV119/'raw data'!DW119),0,'raw data'!DV119/'raw data'!DW119)</f>
        <v>0</v>
      </c>
      <c r="BN135" s="345">
        <f>IF(ISERROR('raw data'!DX119/'raw data'!DY119),0,'raw data'!DX119/'raw data'!DY119)</f>
        <v>0</v>
      </c>
      <c r="BO135" s="345">
        <f>IF(ISERROR('raw data'!DZ119/'raw data'!EA119),0,'raw data'!DZ119/'raw data'!EA119)</f>
        <v>0</v>
      </c>
      <c r="BP135" s="345">
        <f>IF(ISERROR('raw data'!EA119/'raw data'!EB119),0,'raw data'!EA119/'raw data'!EB119)</f>
        <v>0</v>
      </c>
      <c r="BQ135" s="345">
        <f>IF(ISERROR('raw data'!EC119/'raw data'!ED119),0,'raw data'!EC119/'raw data'!ED119)</f>
        <v>0</v>
      </c>
      <c r="BR135" s="345">
        <f>IF(ISERROR('raw data'!EE119/'raw data'!EF119),0,'raw data'!EE119/'raw data'!EF119)</f>
        <v>0</v>
      </c>
      <c r="BS135" s="345">
        <f>IF(ISERROR('raw data'!EG119/'raw data'!EH119),0,'raw data'!EG119/'raw data'!EH119)</f>
        <v>0</v>
      </c>
      <c r="BT135" s="345">
        <f>IF(ISERROR('raw data'!EI119/'raw data'!EJ119),0,'raw data'!EI119/'raw data'!EJ119)</f>
        <v>0</v>
      </c>
      <c r="BU135" s="345">
        <f>IF(ISERROR('raw data'!EK119/'raw data'!EL119),0,'raw data'!EK119/'raw data'!EL119)</f>
        <v>0</v>
      </c>
      <c r="BV135" s="345">
        <f>IF(ISERROR('raw data'!EM119/'raw data'!EN119),0,'raw data'!EM119/'raw data'!EN119)</f>
        <v>0</v>
      </c>
      <c r="BW135" s="345">
        <f>IF(ISERROR('raw data'!EO119/'raw data'!EP119),0,'raw data'!EO119/'raw data'!EP119)</f>
        <v>0</v>
      </c>
      <c r="BX135" s="345">
        <f>IF(ISERROR('raw data'!EQ119/'raw data'!ER119),0,'raw data'!EQ119/'raw data'!ER119)</f>
        <v>0</v>
      </c>
      <c r="BY135" s="345">
        <f>IF(ISERROR('raw data'!ES119/'raw data'!ET119),0,'raw data'!ES119/'raw data'!ET119)</f>
        <v>0</v>
      </c>
      <c r="BZ135" s="345">
        <f>IF(ISERROR('raw data'!EU119/'raw data'!EV119),0,'raw data'!EU119/'raw data'!EV119)</f>
        <v>0</v>
      </c>
      <c r="CA135" s="345">
        <f>IF(ISERROR('raw data'!EW119/'raw data'!EX119),0,'raw data'!EW119/'raw data'!EX119)</f>
        <v>0</v>
      </c>
      <c r="CB135" s="345">
        <f>IF(ISERROR('raw data'!EY119/'raw data'!EZ119),0,'raw data'!EY119/'raw data'!EZ119)</f>
        <v>0</v>
      </c>
      <c r="CC135" s="345">
        <f>IF(ISERROR('raw data'!FA119/'raw data'!FB119),0,'raw data'!FA119/'raw data'!FB119)</f>
        <v>0</v>
      </c>
      <c r="CD135" s="345">
        <f>IF(ISERROR('raw data'!FC119/'raw data'!FD119),0,'raw data'!FC119/'raw data'!FD119)</f>
        <v>0</v>
      </c>
      <c r="CE135" s="345">
        <f>IF(ISERROR('raw data'!FE119/'raw data'!FF119),0,'raw data'!FE119/'raw data'!FF119)</f>
        <v>0</v>
      </c>
      <c r="CF135" s="345">
        <f>IF(ISERROR('raw data'!FG119/'raw data'!FH119),0,'raw data'!FG119/'raw data'!FH119)</f>
        <v>0</v>
      </c>
      <c r="CG135" s="345">
        <f>IF(ISERROR('raw data'!FI119/'raw data'!FJ119),0,'raw data'!FI119/'raw data'!FJ119)</f>
        <v>0</v>
      </c>
      <c r="CH135" s="345">
        <f>IF(ISERROR('raw data'!FK119/'raw data'!FN119),0,'raw data'!FK119/'raw data'!FN119)</f>
        <v>0</v>
      </c>
      <c r="CI135" s="345">
        <f>IF(ISERROR('raw data'!FM119/'raw data'!FP119),0,'raw data'!FM119/'raw data'!FP119)</f>
        <v>0</v>
      </c>
      <c r="CJ135" s="345">
        <f>IF(ISERROR('raw data'!FO119/'raw data'!FR119),0,'raw data'!FO119/'raw data'!FR119)</f>
        <v>0</v>
      </c>
      <c r="CK135" s="345">
        <f>IF(ISERROR('raw data'!FQ119/'raw data'!FT119),0,'raw data'!FQ119/'raw data'!FT119)</f>
        <v>0</v>
      </c>
      <c r="CL135" s="345">
        <f>IF(ISERROR('raw data'!FS119/'raw data'!FV119),0,'raw data'!FS119/'raw data'!FV119)</f>
        <v>0</v>
      </c>
      <c r="CM135" s="345">
        <f>IF(ISERROR('raw data'!FU119/'raw data'!FX119),0,'raw data'!FU119/'raw data'!FX119)</f>
        <v>0</v>
      </c>
      <c r="CN135" s="345">
        <f>IF(ISERROR('raw data'!FW119/'raw data'!FZ119),0,'raw data'!FW119/'raw data'!FZ119)</f>
        <v>0</v>
      </c>
      <c r="CO135" s="345">
        <f>IF(ISERROR('raw data'!FY119/'raw data'!GB119),0,'raw data'!FY119/'raw data'!GB119)</f>
        <v>0</v>
      </c>
      <c r="CP135" s="345">
        <f>IF(ISERROR('raw data'!GA119/'raw data'!GD119),0,'raw data'!GA119/'raw data'!GD119)</f>
        <v>0</v>
      </c>
      <c r="CQ135" s="345">
        <f>IF(ISERROR('raw data'!GC119/'raw data'!GF119),0,'raw data'!GC119/'raw data'!GF119)</f>
        <v>0</v>
      </c>
      <c r="CR135" s="345">
        <f>IF(ISERROR('raw data'!GE119/'raw data'!GH119),0,'raw data'!GE119/'raw data'!GH119)</f>
        <v>0</v>
      </c>
      <c r="CS135" s="345">
        <f>IF(ISERROR('raw data'!GG119/'raw data'!GJ119),0,'raw data'!GG119/'raw data'!GJ119)</f>
        <v>0</v>
      </c>
      <c r="CT135" s="345">
        <f>IF(ISERROR('raw data'!GI119/'raw data'!GL119),0,'raw data'!GI119/'raw data'!GL119)</f>
        <v>0</v>
      </c>
      <c r="CU135" s="345">
        <f>IF(ISERROR('raw data'!GK119/'raw data'!GN119),0,'raw data'!GK119/'raw data'!GN119)</f>
        <v>0</v>
      </c>
      <c r="CV135" s="345">
        <f>IF(ISERROR('raw data'!GM119/'raw data'!GP119),0,'raw data'!GM119/'raw data'!GP119)</f>
        <v>0</v>
      </c>
      <c r="CW135" s="345">
        <f>IF(ISERROR('raw data'!GO119/'raw data'!GR119),0,'raw data'!GO119/'raw data'!GR119)</f>
        <v>0</v>
      </c>
      <c r="CX135" s="345">
        <f>IF(ISERROR('raw data'!GQ119/'raw data'!GT119),0,'raw data'!GQ119/'raw data'!GT119)</f>
        <v>0</v>
      </c>
      <c r="CY135" s="345">
        <f>IF(ISERROR('raw data'!GS119/'raw data'!GV119),0,'raw data'!GS119/'raw data'!GV119)</f>
        <v>0</v>
      </c>
      <c r="CZ135" s="345">
        <f>IF(ISERROR('raw data'!GU119/'raw data'!GX119),0,'raw data'!GU119/'raw data'!GX119)</f>
        <v>0</v>
      </c>
      <c r="DA135" s="345">
        <f>IF(ISERROR('raw data'!GW119/'raw data'!GZ119),0,'raw data'!GW119/'raw data'!GZ119)</f>
        <v>0</v>
      </c>
      <c r="DB135" s="345">
        <f>IF(ISERROR('raw data'!GY119/'raw data'!HB119),0,'raw data'!GY119/'raw data'!HB119)</f>
        <v>0</v>
      </c>
      <c r="DC135" s="345">
        <f>IF(ISERROR('raw data'!HA119/'raw data'!HD119),0,'raw data'!HA119/'raw data'!HD119)</f>
        <v>0</v>
      </c>
      <c r="DD135" s="345">
        <f>IF(ISERROR('raw data'!HC119/'raw data'!HF119),0,'raw data'!HC119/'raw data'!HF119)</f>
        <v>0</v>
      </c>
      <c r="DE135" s="345">
        <f>IF(ISERROR('raw data'!HE119/'raw data'!HH119),0,'raw data'!HE119/'raw data'!HH119)</f>
        <v>0</v>
      </c>
      <c r="DF135" s="345">
        <f>IF(ISERROR('raw data'!HG119/'raw data'!HJ119),0,'raw data'!HG119/'raw data'!HJ119)</f>
        <v>0</v>
      </c>
      <c r="DG135" s="345">
        <f>IF(ISERROR('raw data'!HI119/'raw data'!HL119),0,'raw data'!HI119/'raw data'!HL119)</f>
        <v>0</v>
      </c>
      <c r="DH135" s="345">
        <f>IF(ISERROR('raw data'!HK119/'raw data'!HN119),0,'raw data'!HK119/'raw data'!HN119)</f>
        <v>0</v>
      </c>
      <c r="DI135" s="345">
        <f>IF(ISERROR('raw data'!HM119/'raw data'!HP119),0,'raw data'!HM119/'raw data'!HP119)</f>
        <v>0</v>
      </c>
      <c r="DJ135" s="345">
        <f>IF(ISERROR('raw data'!HO119/'raw data'!HR119),0,'raw data'!HO119/'raw data'!HR119)</f>
        <v>0</v>
      </c>
      <c r="DK135" s="345">
        <f>IF(ISERROR('raw data'!HQ119/'raw data'!HT119),0,'raw data'!HQ119/'raw data'!HT119)</f>
        <v>0</v>
      </c>
      <c r="DL135" s="345">
        <f>IF(ISERROR('raw data'!HS119/'raw data'!HV119),0,'raw data'!HS119/'raw data'!HV119)</f>
        <v>0</v>
      </c>
      <c r="DM135" s="345">
        <f>IF(ISERROR('raw data'!HU119/'raw data'!HX119),0,'raw data'!HU119/'raw data'!HX119)</f>
        <v>0</v>
      </c>
      <c r="DN135" s="345">
        <f>IF(ISERROR('raw data'!HW119/'raw data'!HZ119),0,'raw data'!HW119/'raw data'!HZ119)</f>
        <v>0</v>
      </c>
      <c r="DO135" s="345">
        <f>IF(ISERROR('raw data'!HY119/'raw data'!IB119),0,'raw data'!HY119/'raw data'!IB119)</f>
        <v>0</v>
      </c>
      <c r="DP135" s="345">
        <f>IF(ISERROR('raw data'!IA119/'raw data'!ID119),0,'raw data'!IA119/'raw data'!ID119)</f>
        <v>0</v>
      </c>
      <c r="DQ135" s="345">
        <f>IF(ISERROR('raw data'!IC119/'raw data'!IF119),0,'raw data'!IC119/'raw data'!IF119)</f>
        <v>0</v>
      </c>
      <c r="DR135" s="345">
        <f>IF(ISERROR('raw data'!IE119/'raw data'!IH119),0,'raw data'!IE119/'raw data'!IH119)</f>
        <v>0</v>
      </c>
      <c r="DS135" s="345">
        <f>IF(ISERROR('raw data'!IG119/'raw data'!IJ119),0,'raw data'!IG119/'raw data'!IJ119)</f>
        <v>0</v>
      </c>
      <c r="DT135" s="345">
        <f>IF(ISERROR('raw data'!II119/'raw data'!IL119),0,'raw data'!II119/'raw data'!IL119)</f>
        <v>0</v>
      </c>
      <c r="DU135" s="345">
        <f>IF(ISERROR('raw data'!IK119/'raw data'!IN119),0,'raw data'!IK119/'raw data'!IN119)</f>
        <v>0</v>
      </c>
      <c r="DV135" s="345">
        <f>IF(ISERROR('raw data'!IM119/'raw data'!IP119),0,'raw data'!IM119/'raw data'!IP119)</f>
        <v>0</v>
      </c>
      <c r="DW135" s="345">
        <f>IF(ISERROR('raw data'!IO119/'raw data'!IR119),0,'raw data'!IO119/'raw data'!IR119)</f>
        <v>0</v>
      </c>
      <c r="DX135" s="345">
        <f>IF(ISERROR('raw data'!IQ119/'raw data'!IT119),0,'raw data'!IQ119/'raw data'!IT119)</f>
        <v>0</v>
      </c>
      <c r="DY135" s="345">
        <f>IF(ISERROR('raw data'!IS119/'raw data'!IV119),0,'raw data'!IS119/'raw data'!IV119)</f>
        <v>0</v>
      </c>
      <c r="DZ135" s="345">
        <f>IF(ISERROR('raw data'!IU119/'raw data'!IX119),0,'raw data'!IU119/'raw data'!IX119)</f>
        <v>0</v>
      </c>
      <c r="EA135" s="345">
        <f>IF(ISERROR('raw data'!IW119/'raw data'!IZ119),0,'raw data'!IW119/'raw data'!IZ119)</f>
        <v>0</v>
      </c>
      <c r="EB135" s="345">
        <f>IF(ISERROR('raw data'!IY119/'raw data'!JB119),0,'raw data'!IY119/'raw data'!JB119)</f>
        <v>0</v>
      </c>
      <c r="EC135" s="345">
        <f>IF(ISERROR('raw data'!JA119/'raw data'!JD119),0,'raw data'!JA119/'raw data'!JD119)</f>
        <v>0</v>
      </c>
      <c r="ED135" s="226"/>
      <c r="EE135" s="266">
        <f>SUM('raw data'!CT119,'raw data'!CV119,'raw data'!CX119,'raw data'!CZ119,'raw data'!DB119,'raw data'!DD119,'raw data'!DF119,'raw data'!DH119,'raw data'!DJ119,'raw data'!DL119,'raw data'!DN119,'raw data'!DP119)</f>
        <v>0</v>
      </c>
      <c r="EF135" s="266">
        <f>SUM('raw data'!CU119,'raw data'!CW119,'raw data'!CY119,'raw data'!DA119,'raw data'!DC119,'raw data'!DE119,'raw data'!DG119,'raw data'!DI119,'raw data'!DK119,'raw data'!DM119,'raw data'!DO119,'raw data'!DQ119)</f>
        <v>0</v>
      </c>
      <c r="EG135" s="348">
        <f t="shared" si="5"/>
        <v>0</v>
      </c>
    </row>
    <row r="136" spans="1:137" ht="12.75" hidden="1" customHeight="1" x14ac:dyDescent="0.15">
      <c r="A136" s="352" t="s">
        <v>199</v>
      </c>
      <c r="B136" s="355" t="s">
        <v>200</v>
      </c>
      <c r="C136" s="355" t="s">
        <v>200</v>
      </c>
      <c r="D136" s="353"/>
      <c r="E136" s="353"/>
      <c r="F136" s="353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35"/>
      <c r="T136" s="235"/>
      <c r="U136" s="235"/>
      <c r="V136" s="235"/>
      <c r="W136" s="235"/>
      <c r="X136" s="235"/>
      <c r="Y136" s="235"/>
      <c r="Z136" s="354">
        <f>IF(ISERROR('raw data'!AV120/'raw data'!AW120),0,'raw data'!AV120/'raw data'!AW120)</f>
        <v>0.85314685314685312</v>
      </c>
      <c r="AA136" s="235"/>
      <c r="AB136" s="235"/>
      <c r="AC136" s="235"/>
      <c r="AD136" s="235"/>
      <c r="AE136" s="235"/>
      <c r="AF136" s="235"/>
      <c r="AG136" s="235"/>
      <c r="AH136" s="235"/>
      <c r="AI136" s="235"/>
      <c r="AJ136" s="235"/>
      <c r="AK136" s="235"/>
      <c r="AL136" s="235"/>
      <c r="AM136" s="235"/>
      <c r="AN136" s="235"/>
      <c r="AO136" s="235"/>
      <c r="AP136" s="235"/>
      <c r="AQ136" s="235"/>
      <c r="AR136" s="235"/>
      <c r="AS136" s="235"/>
      <c r="AT136" s="235"/>
      <c r="AU136" s="235"/>
      <c r="AV136" s="235"/>
      <c r="AW136" s="235"/>
      <c r="AX136" s="235"/>
      <c r="AY136" s="235"/>
      <c r="AZ136" s="235"/>
      <c r="BA136" s="235"/>
      <c r="BB136" s="235"/>
      <c r="BC136" s="345">
        <f>IF(ISERROR('raw data'!DB120/'raw data'!DC120),0,'raw data'!DB120/'raw data'!DC120)</f>
        <v>0</v>
      </c>
      <c r="BD136" s="345">
        <v>0</v>
      </c>
      <c r="BE136" s="345">
        <v>0</v>
      </c>
      <c r="BF136" s="345">
        <v>0</v>
      </c>
      <c r="BG136" s="345"/>
      <c r="BH136" s="345">
        <f>IF(ISERROR('raw data'!DL120/'raw data'!DM120),0,'raw data'!DL120/'raw data'!DM120)</f>
        <v>0</v>
      </c>
      <c r="BI136" s="345">
        <f>IF(ISERROR('raw data'!DM120/'raw data'!DN120),0,'raw data'!DM120/'raw data'!DN120)</f>
        <v>0</v>
      </c>
      <c r="BJ136" s="345">
        <f>IF(ISERROR('raw data'!DP120/'raw data'!DQ120),0,'raw data'!DP120/'raw data'!DQ120)</f>
        <v>0</v>
      </c>
      <c r="BK136" s="345">
        <f>IF(ISERROR('raw data'!DR120/'raw data'!DS120),0,'raw data'!DR120/'raw data'!DS120)</f>
        <v>0</v>
      </c>
      <c r="BL136" s="345">
        <f>IF(ISERROR('raw data'!DT120/'raw data'!DU120),0,'raw data'!DT120/'raw data'!DU120)</f>
        <v>0</v>
      </c>
      <c r="BM136" s="345">
        <f>IF(ISERROR('raw data'!DV120/'raw data'!DW120),0,'raw data'!DV120/'raw data'!DW120)</f>
        <v>0</v>
      </c>
      <c r="BN136" s="345">
        <f>IF(ISERROR('raw data'!DX120/'raw data'!DY120),0,'raw data'!DX120/'raw data'!DY120)</f>
        <v>0</v>
      </c>
      <c r="BO136" s="345">
        <f>IF(ISERROR('raw data'!DZ120/'raw data'!EA120),0,'raw data'!DZ120/'raw data'!EA120)</f>
        <v>0</v>
      </c>
      <c r="BP136" s="345">
        <f>IF(ISERROR('raw data'!EA120/'raw data'!EB120),0,'raw data'!EA120/'raw data'!EB120)</f>
        <v>0</v>
      </c>
      <c r="BQ136" s="345">
        <f>IF(ISERROR('raw data'!EC120/'raw data'!ED120),0,'raw data'!EC120/'raw data'!ED120)</f>
        <v>0</v>
      </c>
      <c r="BR136" s="345">
        <f>IF(ISERROR('raw data'!EE120/'raw data'!EF120),0,'raw data'!EE120/'raw data'!EF120)</f>
        <v>0</v>
      </c>
      <c r="BS136" s="345">
        <f>IF(ISERROR('raw data'!EG120/'raw data'!EH120),0,'raw data'!EG120/'raw data'!EH120)</f>
        <v>0</v>
      </c>
      <c r="BT136" s="345">
        <f>IF(ISERROR('raw data'!EI120/'raw data'!EJ120),0,'raw data'!EI120/'raw data'!EJ120)</f>
        <v>0</v>
      </c>
      <c r="BU136" s="345">
        <f>IF(ISERROR('raw data'!EK120/'raw data'!EL120),0,'raw data'!EK120/'raw data'!EL120)</f>
        <v>0</v>
      </c>
      <c r="BV136" s="345">
        <f>IF(ISERROR('raw data'!EM120/'raw data'!EN120),0,'raw data'!EM120/'raw data'!EN120)</f>
        <v>0</v>
      </c>
      <c r="BW136" s="345">
        <f>IF(ISERROR('raw data'!EO120/'raw data'!EP120),0,'raw data'!EO120/'raw data'!EP120)</f>
        <v>0</v>
      </c>
      <c r="BX136" s="345">
        <f>IF(ISERROR('raw data'!EQ120/'raw data'!ER120),0,'raw data'!EQ120/'raw data'!ER120)</f>
        <v>0</v>
      </c>
      <c r="BY136" s="345">
        <f>IF(ISERROR('raw data'!ES120/'raw data'!ET120),0,'raw data'!ES120/'raw data'!ET120)</f>
        <v>0</v>
      </c>
      <c r="BZ136" s="345">
        <f>IF(ISERROR('raw data'!EU120/'raw data'!EV120),0,'raw data'!EU120/'raw data'!EV120)</f>
        <v>0</v>
      </c>
      <c r="CA136" s="345">
        <f>IF(ISERROR('raw data'!EW120/'raw data'!EX120),0,'raw data'!EW120/'raw data'!EX120)</f>
        <v>0</v>
      </c>
      <c r="CB136" s="345">
        <f>IF(ISERROR('raw data'!EY120/'raw data'!EZ120),0,'raw data'!EY120/'raw data'!EZ120)</f>
        <v>0</v>
      </c>
      <c r="CC136" s="345">
        <f>IF(ISERROR('raw data'!FA120/'raw data'!FB120),0,'raw data'!FA120/'raw data'!FB120)</f>
        <v>0</v>
      </c>
      <c r="CD136" s="345">
        <f>IF(ISERROR('raw data'!FC120/'raw data'!FD120),0,'raw data'!FC120/'raw data'!FD120)</f>
        <v>0</v>
      </c>
      <c r="CE136" s="345">
        <f>IF(ISERROR('raw data'!FE120/'raw data'!FF120),0,'raw data'!FE120/'raw data'!FF120)</f>
        <v>0</v>
      </c>
      <c r="CF136" s="345">
        <f>IF(ISERROR('raw data'!FG120/'raw data'!FH120),0,'raw data'!FG120/'raw data'!FH120)</f>
        <v>0</v>
      </c>
      <c r="CG136" s="345">
        <f>IF(ISERROR('raw data'!FI120/'raw data'!FJ120),0,'raw data'!FI120/'raw data'!FJ120)</f>
        <v>0</v>
      </c>
      <c r="CH136" s="345">
        <f>IF(ISERROR('raw data'!FK120/'raw data'!FN120),0,'raw data'!FK120/'raw data'!FN120)</f>
        <v>0</v>
      </c>
      <c r="CI136" s="345">
        <f>IF(ISERROR('raw data'!FM120/'raw data'!FP120),0,'raw data'!FM120/'raw data'!FP120)</f>
        <v>0</v>
      </c>
      <c r="CJ136" s="345">
        <f>IF(ISERROR('raw data'!FO120/'raw data'!FR120),0,'raw data'!FO120/'raw data'!FR120)</f>
        <v>0</v>
      </c>
      <c r="CK136" s="345">
        <f>IF(ISERROR('raw data'!FQ120/'raw data'!FT120),0,'raw data'!FQ120/'raw data'!FT120)</f>
        <v>0</v>
      </c>
      <c r="CL136" s="345">
        <f>IF(ISERROR('raw data'!FS120/'raw data'!FV120),0,'raw data'!FS120/'raw data'!FV120)</f>
        <v>0</v>
      </c>
      <c r="CM136" s="345">
        <f>IF(ISERROR('raw data'!FU120/'raw data'!FX120),0,'raw data'!FU120/'raw data'!FX120)</f>
        <v>0</v>
      </c>
      <c r="CN136" s="345">
        <f>IF(ISERROR('raw data'!FW120/'raw data'!FZ120),0,'raw data'!FW120/'raw data'!FZ120)</f>
        <v>0</v>
      </c>
      <c r="CO136" s="345">
        <f>IF(ISERROR('raw data'!FY120/'raw data'!GB120),0,'raw data'!FY120/'raw data'!GB120)</f>
        <v>0</v>
      </c>
      <c r="CP136" s="345">
        <f>IF(ISERROR('raw data'!GA120/'raw data'!GD120),0,'raw data'!GA120/'raw data'!GD120)</f>
        <v>0</v>
      </c>
      <c r="CQ136" s="345">
        <f>IF(ISERROR('raw data'!GC120/'raw data'!GF120),0,'raw data'!GC120/'raw data'!GF120)</f>
        <v>0</v>
      </c>
      <c r="CR136" s="345">
        <f>IF(ISERROR('raw data'!GE120/'raw data'!GH120),0,'raw data'!GE120/'raw data'!GH120)</f>
        <v>0</v>
      </c>
      <c r="CS136" s="345">
        <f>IF(ISERROR('raw data'!GG120/'raw data'!GJ120),0,'raw data'!GG120/'raw data'!GJ120)</f>
        <v>0</v>
      </c>
      <c r="CT136" s="345">
        <f>IF(ISERROR('raw data'!GI120/'raw data'!GL120),0,'raw data'!GI120/'raw data'!GL120)</f>
        <v>0</v>
      </c>
      <c r="CU136" s="345">
        <f>IF(ISERROR('raw data'!GK120/'raw data'!GN120),0,'raw data'!GK120/'raw data'!GN120)</f>
        <v>0</v>
      </c>
      <c r="CV136" s="345">
        <f>IF(ISERROR('raw data'!GM120/'raw data'!GP120),0,'raw data'!GM120/'raw data'!GP120)</f>
        <v>0</v>
      </c>
      <c r="CW136" s="345">
        <f>IF(ISERROR('raw data'!GO120/'raw data'!GR120),0,'raw data'!GO120/'raw data'!GR120)</f>
        <v>0</v>
      </c>
      <c r="CX136" s="345">
        <f>IF(ISERROR('raw data'!GQ120/'raw data'!GT120),0,'raw data'!GQ120/'raw data'!GT120)</f>
        <v>0</v>
      </c>
      <c r="CY136" s="345">
        <f>IF(ISERROR('raw data'!GS120/'raw data'!GV120),0,'raw data'!GS120/'raw data'!GV120)</f>
        <v>0</v>
      </c>
      <c r="CZ136" s="345">
        <f>IF(ISERROR('raw data'!GU120/'raw data'!GX120),0,'raw data'!GU120/'raw data'!GX120)</f>
        <v>0</v>
      </c>
      <c r="DA136" s="345">
        <f>IF(ISERROR('raw data'!GW120/'raw data'!GZ120),0,'raw data'!GW120/'raw data'!GZ120)</f>
        <v>0</v>
      </c>
      <c r="DB136" s="345">
        <f>IF(ISERROR('raw data'!GY120/'raw data'!HB120),0,'raw data'!GY120/'raw data'!HB120)</f>
        <v>0</v>
      </c>
      <c r="DC136" s="345">
        <f>IF(ISERROR('raw data'!HA120/'raw data'!HD120),0,'raw data'!HA120/'raw data'!HD120)</f>
        <v>0</v>
      </c>
      <c r="DD136" s="345">
        <f>IF(ISERROR('raw data'!HC120/'raw data'!HF120),0,'raw data'!HC120/'raw data'!HF120)</f>
        <v>0</v>
      </c>
      <c r="DE136" s="345">
        <f>IF(ISERROR('raw data'!HE120/'raw data'!HH120),0,'raw data'!HE120/'raw data'!HH120)</f>
        <v>0</v>
      </c>
      <c r="DF136" s="345">
        <f>IF(ISERROR('raw data'!HG120/'raw data'!HJ120),0,'raw data'!HG120/'raw data'!HJ120)</f>
        <v>0</v>
      </c>
      <c r="DG136" s="345">
        <f>IF(ISERROR('raw data'!HI120/'raw data'!HL120),0,'raw data'!HI120/'raw data'!HL120)</f>
        <v>0</v>
      </c>
      <c r="DH136" s="345">
        <f>IF(ISERROR('raw data'!HK120/'raw data'!HN120),0,'raw data'!HK120/'raw data'!HN120)</f>
        <v>0</v>
      </c>
      <c r="DI136" s="345">
        <f>IF(ISERROR('raw data'!HM120/'raw data'!HP120),0,'raw data'!HM120/'raw data'!HP120)</f>
        <v>0</v>
      </c>
      <c r="DJ136" s="345">
        <f>IF(ISERROR('raw data'!HO120/'raw data'!HR120),0,'raw data'!HO120/'raw data'!HR120)</f>
        <v>0</v>
      </c>
      <c r="DK136" s="345">
        <f>IF(ISERROR('raw data'!HQ120/'raw data'!HT120),0,'raw data'!HQ120/'raw data'!HT120)</f>
        <v>0</v>
      </c>
      <c r="DL136" s="345">
        <f>IF(ISERROR('raw data'!HS120/'raw data'!HV120),0,'raw data'!HS120/'raw data'!HV120)</f>
        <v>0</v>
      </c>
      <c r="DM136" s="345">
        <f>IF(ISERROR('raw data'!HU120/'raw data'!HX120),0,'raw data'!HU120/'raw data'!HX120)</f>
        <v>0</v>
      </c>
      <c r="DN136" s="345">
        <f>IF(ISERROR('raw data'!HW120/'raw data'!HZ120),0,'raw data'!HW120/'raw data'!HZ120)</f>
        <v>0</v>
      </c>
      <c r="DO136" s="345">
        <f>IF(ISERROR('raw data'!HY120/'raw data'!IB120),0,'raw data'!HY120/'raw data'!IB120)</f>
        <v>0</v>
      </c>
      <c r="DP136" s="345">
        <f>IF(ISERROR('raw data'!IA120/'raw data'!ID120),0,'raw data'!IA120/'raw data'!ID120)</f>
        <v>0</v>
      </c>
      <c r="DQ136" s="345">
        <f>IF(ISERROR('raw data'!IC120/'raw data'!IF120),0,'raw data'!IC120/'raw data'!IF120)</f>
        <v>0</v>
      </c>
      <c r="DR136" s="345">
        <f>IF(ISERROR('raw data'!IE120/'raw data'!IH120),0,'raw data'!IE120/'raw data'!IH120)</f>
        <v>0</v>
      </c>
      <c r="DS136" s="345">
        <f>IF(ISERROR('raw data'!IG120/'raw data'!IJ120),0,'raw data'!IG120/'raw data'!IJ120)</f>
        <v>0</v>
      </c>
      <c r="DT136" s="345">
        <f>IF(ISERROR('raw data'!II120/'raw data'!IL120),0,'raw data'!II120/'raw data'!IL120)</f>
        <v>0</v>
      </c>
      <c r="DU136" s="345">
        <f>IF(ISERROR('raw data'!IK120/'raw data'!IN120),0,'raw data'!IK120/'raw data'!IN120)</f>
        <v>0</v>
      </c>
      <c r="DV136" s="345">
        <f>IF(ISERROR('raw data'!IM120/'raw data'!IP120),0,'raw data'!IM120/'raw data'!IP120)</f>
        <v>0</v>
      </c>
      <c r="DW136" s="345">
        <f>IF(ISERROR('raw data'!IO120/'raw data'!IR120),0,'raw data'!IO120/'raw data'!IR120)</f>
        <v>0</v>
      </c>
      <c r="DX136" s="345">
        <f>IF(ISERROR('raw data'!IQ120/'raw data'!IT120),0,'raw data'!IQ120/'raw data'!IT120)</f>
        <v>0</v>
      </c>
      <c r="DY136" s="345">
        <f>IF(ISERROR('raw data'!IS120/'raw data'!IV120),0,'raw data'!IS120/'raw data'!IV120)</f>
        <v>0</v>
      </c>
      <c r="DZ136" s="345">
        <f>IF(ISERROR('raw data'!IU120/'raw data'!IX120),0,'raw data'!IU120/'raw data'!IX120)</f>
        <v>0</v>
      </c>
      <c r="EA136" s="345">
        <f>IF(ISERROR('raw data'!IW120/'raw data'!IZ120),0,'raw data'!IW120/'raw data'!IZ120)</f>
        <v>0</v>
      </c>
      <c r="EB136" s="345">
        <f>IF(ISERROR('raw data'!IY120/'raw data'!JB120),0,'raw data'!IY120/'raw data'!JB120)</f>
        <v>0</v>
      </c>
      <c r="EC136" s="345">
        <f>IF(ISERROR('raw data'!JA120/'raw data'!JD120),0,'raw data'!JA120/'raw data'!JD120)</f>
        <v>0</v>
      </c>
      <c r="ED136" s="226"/>
      <c r="EE136" s="266">
        <f>SUM('raw data'!CT120,'raw data'!CV120,'raw data'!CX120,'raw data'!CZ120,'raw data'!DB120,'raw data'!DD120,'raw data'!DF120,'raw data'!DH120,'raw data'!DJ120,'raw data'!DL120,'raw data'!DN120,'raw data'!DP120)</f>
        <v>0</v>
      </c>
      <c r="EF136" s="266">
        <f>SUM('raw data'!CU120,'raw data'!CW120,'raw data'!CY120,'raw data'!DA120,'raw data'!DC120,'raw data'!DE120,'raw data'!DG120,'raw data'!DI120,'raw data'!DK120,'raw data'!DM120,'raw data'!DO120,'raw data'!DQ120)</f>
        <v>0</v>
      </c>
      <c r="EG136" s="348">
        <f t="shared" si="5"/>
        <v>0</v>
      </c>
    </row>
    <row r="137" spans="1:137" x14ac:dyDescent="0.15">
      <c r="A137" s="356"/>
      <c r="B137" s="357" t="s">
        <v>258</v>
      </c>
      <c r="C137" s="357" t="s">
        <v>258</v>
      </c>
      <c r="D137" s="356"/>
      <c r="E137" s="356"/>
      <c r="F137" s="356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45">
        <f>+'raw data'!AH121/'raw data'!AI121</f>
        <v>0.64640883977900554</v>
      </c>
      <c r="T137" s="345">
        <f>IF(ISERROR('raw data'!AJ121/'raw data'!AK121),0,'raw data'!AJ121/'raw data'!AK121)</f>
        <v>0.5636363636363636</v>
      </c>
      <c r="U137" s="345">
        <f>IF(ISERROR('raw data'!AL121/'raw data'!AM121),0,'raw data'!AL121/'raw data'!AM121)</f>
        <v>0.67647058823529416</v>
      </c>
      <c r="V137" s="345">
        <f>IF(ISERROR('raw data'!AN121/'raw data'!AO121),0,'raw data'!AN121/'raw data'!AO121)</f>
        <v>0.44</v>
      </c>
      <c r="W137" s="345">
        <f>IF(ISERROR('raw data'!AP121/'raw data'!AQ121),0,'raw data'!AP121/'raw data'!AQ121)</f>
        <v>0.63265306122448983</v>
      </c>
      <c r="X137" s="345">
        <f>IF(ISERROR('raw data'!AR121/'raw data'!AS121),0,'raw data'!AR121/'raw data'!AS121)</f>
        <v>0.35714285714285715</v>
      </c>
      <c r="Y137" s="345">
        <f>IF(ISERROR('raw data'!AT121/'raw data'!AU121),0,'raw data'!AT121/'raw data'!AU121)</f>
        <v>0.32</v>
      </c>
      <c r="Z137" s="345">
        <f>IF(ISERROR('raw data'!AV121/'raw data'!AW121),0,'raw data'!AV121/'raw data'!AW121)</f>
        <v>0.74946004319654425</v>
      </c>
      <c r="AA137" s="345">
        <f>IF(ISERROR('raw data'!AX121/'raw data'!AY121),0,'raw data'!AX121/'raw data'!AY121)</f>
        <v>0.70588235294117652</v>
      </c>
      <c r="AB137" s="345">
        <f>IF(ISERROR('raw data'!AZ121/'raw data'!BA121),0,'raw data'!AZ121/'raw data'!BA121)</f>
        <v>0.47499999999999998</v>
      </c>
      <c r="AC137" s="345">
        <f>IF(ISERROR('raw data'!BB121/'raw data'!BC121),0,'raw data'!BB121/'raw data'!BC121)</f>
        <v>0</v>
      </c>
      <c r="AD137" s="345">
        <f>IF(ISERROR('raw data'!BD121/'raw data'!BE121),0,'raw data'!BD121/'raw data'!BE121)</f>
        <v>0</v>
      </c>
      <c r="AE137" s="345">
        <f>IF(ISERROR('raw data'!BF121/'raw data'!BG121),0,'raw data'!BF121/'raw data'!BG121)</f>
        <v>0</v>
      </c>
      <c r="AF137" s="345">
        <f>IF(ISERROR('raw data'!BH121/'raw data'!BI121),0,'raw data'!BH121/'raw data'!BI121)</f>
        <v>0</v>
      </c>
      <c r="AG137" s="345">
        <f>IF(ISERROR('raw data'!BJ121/'raw data'!BK121),0,'raw data'!BJ121/'raw data'!BK121)</f>
        <v>0</v>
      </c>
      <c r="AH137" s="345">
        <f>IF(ISERROR('raw data'!BL121/'raw data'!BM121),0,'raw data'!BL121/'raw data'!BM121)</f>
        <v>0</v>
      </c>
      <c r="AI137" s="345">
        <f>IF(ISERROR('raw data'!BN121/'raw data'!BO121),0,'raw data'!BN121/'raw data'!BO121)</f>
        <v>0</v>
      </c>
      <c r="AJ137" s="345">
        <f>IF(ISERROR('raw data'!BP121/'raw data'!BQ121),0,'raw data'!BP121/'raw data'!BQ121)</f>
        <v>0</v>
      </c>
      <c r="AK137" s="345">
        <f>IF(ISERROR('raw data'!BR121/'raw data'!BS121),0,'raw data'!BR121/'raw data'!BS121)</f>
        <v>0</v>
      </c>
      <c r="AL137" s="345">
        <f>IF(ISERROR('raw data'!BT121/'raw data'!BU121),0,'raw data'!BT121/'raw data'!BU121)</f>
        <v>0</v>
      </c>
      <c r="AM137" s="345">
        <f>IF(ISERROR('raw data'!BV121/'raw data'!BW121),0,'raw data'!BV121/'raw data'!BW121)</f>
        <v>0</v>
      </c>
      <c r="AN137" s="345">
        <f>IF(ISERROR('raw data'!BX121/'raw data'!BY121),0,'raw data'!BX121/'raw data'!BY121)</f>
        <v>0</v>
      </c>
      <c r="AO137" s="345">
        <f>IF(ISERROR('raw data'!BZ121/'raw data'!CA121),0,'raw data'!BZ121/'raw data'!CA121)</f>
        <v>0</v>
      </c>
      <c r="AP137" s="345">
        <f>IF(ISERROR('raw data'!CB121/'raw data'!CC121),0,'raw data'!CB121/'raw data'!CC121)</f>
        <v>0</v>
      </c>
      <c r="AQ137" s="345">
        <f>IF(ISERROR('raw data'!CD121/'raw data'!CE121),0,'raw data'!CD121/'raw data'!CE121)</f>
        <v>0</v>
      </c>
      <c r="AR137" s="345">
        <f>IF(ISERROR('raw data'!CF121/'raw data'!CG121),0,'raw data'!CF121/'raw data'!CG121)</f>
        <v>0</v>
      </c>
      <c r="AS137" s="345">
        <f>IF(ISERROR('raw data'!CH121/'raw data'!CI121),0,'raw data'!CH121/'raw data'!CI121)</f>
        <v>0</v>
      </c>
      <c r="AT137" s="345">
        <f>IF(ISERROR('raw data'!CJ121/'raw data'!CK121),0,'raw data'!CJ121/'raw data'!CK121)</f>
        <v>0</v>
      </c>
      <c r="AU137" s="345">
        <f>IF(ISERROR('raw data'!CL121/'raw data'!CM121),0,'raw data'!CL121/'raw data'!CM121)</f>
        <v>0</v>
      </c>
      <c r="AV137" s="345">
        <f>IF(ISERROR('raw data'!CN121/'raw data'!CO121),0,'raw data'!CN121/'raw data'!CO121)</f>
        <v>0</v>
      </c>
      <c r="AW137" s="345">
        <f>IF(ISERROR('raw data'!CP121/'raw data'!CQ121),0,'raw data'!CP121/'raw data'!CQ121)</f>
        <v>0</v>
      </c>
      <c r="AX137" s="345">
        <f>IF(ISERROR('raw data'!CQ121/'raw data'!CR121),0,'raw data'!CQ121/'raw data'!CR121)</f>
        <v>0</v>
      </c>
      <c r="AY137" s="345">
        <f>IF(ISERROR('raw data'!CR121/'raw data'!CS121),0,'raw data'!CR121/'raw data'!CS121)</f>
        <v>0</v>
      </c>
      <c r="AZ137" s="345">
        <f>IF(ISERROR('raw data'!CS121/'raw data'!CT121),0,'raw data'!CS121/'raw data'!CT121)</f>
        <v>0</v>
      </c>
      <c r="BA137" s="345">
        <f>IF(ISERROR('raw data'!CT121/'raw data'!CU121),0,'raw data'!CT121/'raw data'!CU121)</f>
        <v>0</v>
      </c>
      <c r="BB137" s="345">
        <f>IF(ISERROR('raw data'!CU121/'raw data'!CV121),0,'raw data'!CU121/'raw data'!CV121)</f>
        <v>0</v>
      </c>
      <c r="BC137" s="345">
        <f>IF(ISERROR('raw data'!DB121/'raw data'!DC121),0,'raw data'!DB121/'raw data'!DC121)</f>
        <v>0</v>
      </c>
      <c r="BD137" s="345">
        <v>0</v>
      </c>
      <c r="BE137" s="345">
        <v>0</v>
      </c>
      <c r="BF137" s="345">
        <v>0</v>
      </c>
      <c r="BG137" s="345">
        <v>0</v>
      </c>
      <c r="BH137" s="345">
        <f>IF(ISERROR('raw data'!DL121/'raw data'!DM121),0,'raw data'!DL121/'raw data'!DM121)</f>
        <v>0</v>
      </c>
      <c r="BI137" s="345">
        <f>IF(ISERROR('raw data'!DN121/'raw data'!DO121),0,'raw data'!DN121/'raw data'!DO121)</f>
        <v>0</v>
      </c>
      <c r="BJ137" s="345">
        <f>IF(ISERROR('raw data'!DP121/'raw data'!DQ121),0,'raw data'!DP121/'raw data'!DQ121)</f>
        <v>0</v>
      </c>
      <c r="BK137" s="345">
        <f>IF(ISERROR('raw data'!DR121/'raw data'!DS121),0,'raw data'!DR121/'raw data'!DS121)</f>
        <v>0</v>
      </c>
      <c r="BL137" s="345">
        <f>IF(ISERROR('raw data'!DT121/'raw data'!DU121),0,'raw data'!DT121/'raw data'!DU121)</f>
        <v>0</v>
      </c>
      <c r="BM137" s="345">
        <f>IF(ISERROR('raw data'!DV121/'raw data'!DW121),0,'raw data'!DV121/'raw data'!DW121)</f>
        <v>0</v>
      </c>
      <c r="BN137" s="345">
        <f>IF(ISERROR('raw data'!DX121/'raw data'!DY121),0,'raw data'!DX121/'raw data'!DY121)</f>
        <v>0</v>
      </c>
      <c r="BO137" s="345">
        <f>IF(ISERROR('raw data'!DZ121/'raw data'!EA121),0,'raw data'!DZ121/'raw data'!EA121)</f>
        <v>0</v>
      </c>
      <c r="BP137" s="345">
        <f>IF(ISERROR('raw data'!EA121/'raw data'!EB121),0,'raw data'!EA121/'raw data'!EB121)</f>
        <v>0</v>
      </c>
      <c r="BQ137" s="345">
        <f>IF(ISERROR('raw data'!EC121/'raw data'!ED121),0,'raw data'!EC121/'raw data'!ED121)</f>
        <v>0</v>
      </c>
      <c r="BR137" s="345">
        <f>IF(ISERROR('raw data'!EE121/'raw data'!EF121),0,'raw data'!EE121/'raw data'!EF121)</f>
        <v>0</v>
      </c>
      <c r="BS137" s="345">
        <f>IF(ISERROR('raw data'!EG121/'raw data'!EH121),0,'raw data'!EG121/'raw data'!EH121)</f>
        <v>0</v>
      </c>
      <c r="BT137" s="345">
        <f>IF(ISERROR('raw data'!EI121/'raw data'!EJ121),0,'raw data'!EI121/'raw data'!EJ121)</f>
        <v>0</v>
      </c>
      <c r="BU137" s="345">
        <f>IF(ISERROR('raw data'!EK121/'raw data'!EL121),0,'raw data'!EK121/'raw data'!EL121)</f>
        <v>0</v>
      </c>
      <c r="BV137" s="345">
        <f>IF(ISERROR('raw data'!EM121/'raw data'!EN121),0,'raw data'!EM121/'raw data'!EN121)</f>
        <v>0</v>
      </c>
      <c r="BW137" s="345">
        <f>IF(ISERROR('raw data'!EO121/'raw data'!EP121),0,'raw data'!EO121/'raw data'!EP121)</f>
        <v>0</v>
      </c>
      <c r="BX137" s="345">
        <f>IF(ISERROR('raw data'!EQ121/'raw data'!ER121),0,'raw data'!EQ121/'raw data'!ER121)</f>
        <v>0</v>
      </c>
      <c r="BY137" s="345">
        <f>IF(ISERROR('raw data'!ES121/'raw data'!ET121),0,'raw data'!ES121/'raw data'!ET121)</f>
        <v>0</v>
      </c>
      <c r="BZ137" s="345">
        <f>IF(ISERROR('raw data'!EU121/'raw data'!EV121),0,'raw data'!EU121/'raw data'!EV121)</f>
        <v>0</v>
      </c>
      <c r="CA137" s="345">
        <f>IF(ISERROR('raw data'!EW121/'raw data'!EX121),0,'raw data'!EW121/'raw data'!EX121)</f>
        <v>0</v>
      </c>
      <c r="CB137" s="345">
        <f>IF(ISERROR('raw data'!EY121/'raw data'!EZ121),0,'raw data'!EY121/'raw data'!EZ121)</f>
        <v>0</v>
      </c>
      <c r="CC137" s="345">
        <f>IF(ISERROR('raw data'!FA121/'raw data'!FB121),0,'raw data'!FA121/'raw data'!FB121)</f>
        <v>0</v>
      </c>
      <c r="CD137" s="345">
        <f>IF(ISERROR('raw data'!FC121/'raw data'!FD121),0,'raw data'!FC121/'raw data'!FD121)</f>
        <v>0</v>
      </c>
      <c r="CE137" s="345">
        <f>IF(ISERROR('raw data'!FE121/'raw data'!FF121),0,'raw data'!FE121/'raw data'!FF121)</f>
        <v>0</v>
      </c>
      <c r="CF137" s="345">
        <f>IF(ISERROR('raw data'!FG121/'raw data'!FH121),0,'raw data'!FG121/'raw data'!FH121)</f>
        <v>0</v>
      </c>
      <c r="CG137" s="345">
        <f>IF(ISERROR('raw data'!FI121/'raw data'!FJ121),0,'raw data'!FI121/'raw data'!FJ121)</f>
        <v>0</v>
      </c>
      <c r="CH137" s="345">
        <f>IF(ISERROR('raw data'!FK121/'raw data'!FN121),0,'raw data'!FK121/'raw data'!FN121)</f>
        <v>0</v>
      </c>
      <c r="CI137" s="345">
        <f>IF(ISERROR('raw data'!FM121/'raw data'!FP121),0,'raw data'!FM121/'raw data'!FP121)</f>
        <v>0</v>
      </c>
      <c r="CJ137" s="345">
        <f>IF(ISERROR('raw data'!FO121/'raw data'!FR121),0,'raw data'!FO121/'raw data'!FR121)</f>
        <v>0</v>
      </c>
      <c r="CK137" s="345">
        <f>IF(ISERROR('raw data'!FQ121/'raw data'!FT121),0,'raw data'!FQ121/'raw data'!FT121)</f>
        <v>0</v>
      </c>
      <c r="CL137" s="345">
        <f>IF(ISERROR('raw data'!FS121/'raw data'!FV121),0,'raw data'!FS121/'raw data'!FV121)</f>
        <v>0</v>
      </c>
      <c r="CM137" s="345">
        <f>IF(ISERROR('raw data'!FU121/'raw data'!FX121),0,'raw data'!FU121/'raw data'!FX121)</f>
        <v>0</v>
      </c>
      <c r="CN137" s="345">
        <f>IF(ISERROR('raw data'!FW121/'raw data'!FZ121),0,'raw data'!FW121/'raw data'!FZ121)</f>
        <v>0</v>
      </c>
      <c r="CO137" s="345">
        <f>IF(ISERROR('raw data'!FY121/'raw data'!GB121),0,'raw data'!FY121/'raw data'!GB121)</f>
        <v>0</v>
      </c>
      <c r="CP137" s="345">
        <f>IF(ISERROR('raw data'!GA121/'raw data'!GD121),0,'raw data'!GA121/'raw data'!GD121)</f>
        <v>0</v>
      </c>
      <c r="CQ137" s="345">
        <f>IF(ISERROR('raw data'!GC121/'raw data'!GF121),0,'raw data'!GC121/'raw data'!GF121)</f>
        <v>0</v>
      </c>
      <c r="CR137" s="345">
        <f>IF(ISERROR('raw data'!GE121/'raw data'!GH121),0,'raw data'!GE121/'raw data'!GH121)</f>
        <v>0</v>
      </c>
      <c r="CS137" s="345">
        <f>IF(ISERROR('raw data'!GG121/'raw data'!GJ121),0,'raw data'!GG121/'raw data'!GJ121)</f>
        <v>0</v>
      </c>
      <c r="CT137" s="345">
        <f>IF(ISERROR('raw data'!GI121/'raw data'!GL121),0,'raw data'!GI121/'raw data'!GL121)</f>
        <v>0</v>
      </c>
      <c r="CU137" s="345">
        <f>IF(ISERROR('raw data'!GK121/'raw data'!GN121),0,'raw data'!GK121/'raw data'!GN121)</f>
        <v>0</v>
      </c>
      <c r="CV137" s="345">
        <f>IF(ISERROR('raw data'!GM121/'raw data'!GP121),0,'raw data'!GM121/'raw data'!GP121)</f>
        <v>0</v>
      </c>
      <c r="CW137" s="345">
        <f>IF(ISERROR('raw data'!GO121/'raw data'!GR121),0,'raw data'!GO121/'raw data'!GR121)</f>
        <v>0</v>
      </c>
      <c r="CX137" s="345">
        <f>IF(ISERROR('raw data'!GQ121/'raw data'!GT121),0,'raw data'!GQ121/'raw data'!GT121)</f>
        <v>0</v>
      </c>
      <c r="CY137" s="345">
        <f>IF(ISERROR('raw data'!GS121/'raw data'!GV121),0,'raw data'!GS121/'raw data'!GV121)</f>
        <v>0</v>
      </c>
      <c r="CZ137" s="345">
        <f>IF(ISERROR('raw data'!GU121/'raw data'!GX121),0,'raw data'!GU121/'raw data'!GX121)</f>
        <v>0</v>
      </c>
      <c r="DA137" s="345">
        <f>IF(ISERROR('raw data'!GW121/'raw data'!GZ121),0,'raw data'!GW121/'raw data'!GZ121)</f>
        <v>0</v>
      </c>
      <c r="DB137" s="345">
        <f>IF(ISERROR('raw data'!GY121/'raw data'!HB121),0,'raw data'!GY121/'raw data'!HB121)</f>
        <v>0</v>
      </c>
      <c r="DC137" s="345">
        <f>IF(ISERROR('raw data'!HA121/'raw data'!HD121),0,'raw data'!HA121/'raw data'!HD121)</f>
        <v>0</v>
      </c>
      <c r="DD137" s="345">
        <f>IF(ISERROR('raw data'!HC121/'raw data'!HF121),0,'raw data'!HC121/'raw data'!HF121)</f>
        <v>0</v>
      </c>
      <c r="DE137" s="345">
        <f>IF(ISERROR('raw data'!HE121/'raw data'!HH121),0,'raw data'!HE121/'raw data'!HH121)</f>
        <v>0</v>
      </c>
      <c r="DF137" s="345">
        <f>IF(ISERROR('raw data'!HG121/'raw data'!HJ121),0,'raw data'!HG121/'raw data'!HJ121)</f>
        <v>0</v>
      </c>
      <c r="DG137" s="345">
        <f>IF(ISERROR('raw data'!HI121/'raw data'!HL121),0,'raw data'!HI121/'raw data'!HL121)</f>
        <v>0</v>
      </c>
      <c r="DH137" s="345">
        <f>IF(ISERROR('raw data'!HK121/'raw data'!HN121),0,'raw data'!HK121/'raw data'!HN121)</f>
        <v>0</v>
      </c>
      <c r="DI137" s="345">
        <f>IF(ISERROR('raw data'!HM121/'raw data'!HP121),0,'raw data'!HM121/'raw data'!HP121)</f>
        <v>0</v>
      </c>
      <c r="DJ137" s="345">
        <f>IF(ISERROR('raw data'!HO121/'raw data'!HR121),0,'raw data'!HO121/'raw data'!HR121)</f>
        <v>0</v>
      </c>
      <c r="DK137" s="345">
        <f>IF(ISERROR('raw data'!HQ121/'raw data'!HT121),0,'raw data'!HQ121/'raw data'!HT121)</f>
        <v>0</v>
      </c>
      <c r="DL137" s="345">
        <f>IF(ISERROR('raw data'!HS121/'raw data'!HV121),0,'raw data'!HS121/'raw data'!HV121)</f>
        <v>0</v>
      </c>
      <c r="DM137" s="345">
        <f>IF(ISERROR('raw data'!HU121/'raw data'!HX121),0,'raw data'!HU121/'raw data'!HX121)</f>
        <v>0</v>
      </c>
      <c r="DN137" s="345">
        <f>IF(ISERROR('raw data'!HW121/'raw data'!HZ121),0,'raw data'!HW121/'raw data'!HZ121)</f>
        <v>0</v>
      </c>
      <c r="DO137" s="345">
        <f>IF(ISERROR('raw data'!HY121/'raw data'!IB121),0,'raw data'!HY121/'raw data'!IB121)</f>
        <v>0</v>
      </c>
      <c r="DP137" s="345">
        <f>IF(ISERROR('raw data'!IA121/'raw data'!ID121),0,'raw data'!IA121/'raw data'!ID121)</f>
        <v>0</v>
      </c>
      <c r="DQ137" s="345">
        <f>IF(ISERROR('raw data'!IC121/'raw data'!IF121),0,'raw data'!IC121/'raw data'!IF121)</f>
        <v>0</v>
      </c>
      <c r="DR137" s="345">
        <f>IF(ISERROR('raw data'!IE121/'raw data'!IH121),0,'raw data'!IE121/'raw data'!IH121)</f>
        <v>0</v>
      </c>
      <c r="DS137" s="345">
        <f>IF(ISERROR('raw data'!IG121/'raw data'!IJ121),0,'raw data'!IG121/'raw data'!IJ121)</f>
        <v>0</v>
      </c>
      <c r="DT137" s="345">
        <f>IF(ISERROR('raw data'!II121/'raw data'!IL121),0,'raw data'!II121/'raw data'!IL121)</f>
        <v>0</v>
      </c>
      <c r="DU137" s="345">
        <f>IF(ISERROR('raw data'!IK121/'raw data'!IN121),0,'raw data'!IK121/'raw data'!IN121)</f>
        <v>0</v>
      </c>
      <c r="DV137" s="345">
        <f>IF(ISERROR('raw data'!IM121/'raw data'!IP121),0,'raw data'!IM121/'raw data'!IP121)</f>
        <v>0</v>
      </c>
      <c r="DW137" s="345">
        <f>IF(ISERROR('raw data'!IO121/'raw data'!IR121),0,'raw data'!IO121/'raw data'!IR121)</f>
        <v>0</v>
      </c>
      <c r="DX137" s="345">
        <f>IF(ISERROR('raw data'!IQ121/'raw data'!IT121),0,'raw data'!IQ121/'raw data'!IT121)</f>
        <v>0</v>
      </c>
      <c r="DY137" s="345">
        <f>IF(ISERROR('raw data'!IS121/'raw data'!IV121),0,'raw data'!IS121/'raw data'!IV121)</f>
        <v>0</v>
      </c>
      <c r="DZ137" s="345">
        <f>IF(ISERROR('raw data'!IU121/'raw data'!IX121),0,'raw data'!IU121/'raw data'!IX121)</f>
        <v>0</v>
      </c>
      <c r="EA137" s="345">
        <f>IF(ISERROR('raw data'!IW121/'raw data'!IZ121),0,'raw data'!IW121/'raw data'!IZ121)</f>
        <v>0</v>
      </c>
      <c r="EB137" s="345">
        <f>IF(ISERROR('raw data'!IY121/'raw data'!JB121),0,'raw data'!IY121/'raw data'!JB121)</f>
        <v>0</v>
      </c>
      <c r="EC137" s="345">
        <f>IF(ISERROR('raw data'!JA121/'raw data'!JD121),0,'raw data'!JA121/'raw data'!JD121)</f>
        <v>0</v>
      </c>
      <c r="ED137" s="359"/>
      <c r="EE137" s="347">
        <f>SUM('raw data'!CT121,'raw data'!CV121,'raw data'!CX121,'raw data'!CZ121,'raw data'!DB121,'raw data'!DD121,'raw data'!DF121,'raw data'!DH121,'raw data'!DJ121,'raw data'!DL121,'raw data'!DN121,'raw data'!DP121)</f>
        <v>0</v>
      </c>
      <c r="EF137" s="347">
        <f>SUM('raw data'!CU121,'raw data'!CW121,'raw data'!CY121,'raw data'!DA121,'raw data'!DC121,'raw data'!DE121,'raw data'!DG121,'raw data'!DI121,'raw data'!DK121,'raw data'!DM121,'raw data'!DO121,'raw data'!DQ121)</f>
        <v>0</v>
      </c>
      <c r="EG137" s="348">
        <f t="shared" si="5"/>
        <v>0</v>
      </c>
    </row>
    <row r="138" spans="1:137" x14ac:dyDescent="0.15">
      <c r="S138" s="360">
        <f>'raw data'!AI124</f>
        <v>0.36758474576271188</v>
      </c>
      <c r="T138" s="360">
        <f>'raw data'!AK124</f>
        <v>0.17694805194805194</v>
      </c>
      <c r="U138" s="360">
        <f>'raw data'!AM124</f>
        <v>0.21166306695464362</v>
      </c>
      <c r="V138" s="360">
        <f>'raw data'!AO124</f>
        <v>0.20758928571428573</v>
      </c>
      <c r="W138" s="360">
        <f>'raw data'!AQ124</f>
        <v>0.2733812949640288</v>
      </c>
      <c r="X138" s="360">
        <f>'raw data'!AS124</f>
        <v>0.15934959349593497</v>
      </c>
      <c r="Y138" s="360">
        <f>'raw data'!AU124</f>
        <v>0.23008849557522124</v>
      </c>
      <c r="Z138" s="360">
        <f>'raw data'!AW124</f>
        <v>0.43097643097643096</v>
      </c>
      <c r="AA138" s="360">
        <f>'raw data'!AY124</f>
        <v>0.25170998632010944</v>
      </c>
      <c r="AB138" s="360">
        <f>'raw data'!BA124</f>
        <v>0.21731123388581952</v>
      </c>
      <c r="AC138" s="360">
        <f>'raw data'!BC124</f>
        <v>0.24154589371980675</v>
      </c>
      <c r="AD138" s="360">
        <f>'raw data'!BE124</f>
        <v>0.19314079422382671</v>
      </c>
      <c r="AE138" s="360">
        <f>'raw data'!BG124</f>
        <v>0.15487316421895861</v>
      </c>
      <c r="AF138" s="360">
        <f>'raw data'!BI124</f>
        <v>0.1695827725437416</v>
      </c>
      <c r="AG138" s="360">
        <f>'raw data'!BK124</f>
        <v>0.12183908045977011</v>
      </c>
      <c r="AH138" s="360">
        <f>'raw data'!BM124</f>
        <v>0.13430851063829788</v>
      </c>
      <c r="AI138" s="360">
        <f>'raw data'!BO124</f>
        <v>0.14012738853503184</v>
      </c>
      <c r="AJ138" s="360">
        <f>'raw data'!BQ124</f>
        <v>0.1125748502994012</v>
      </c>
      <c r="AK138" s="360">
        <f>'raw data'!BS124</f>
        <v>0.15290933694181327</v>
      </c>
      <c r="AL138" s="360">
        <f>'raw data'!BU124</f>
        <v>0.12706611570247933</v>
      </c>
      <c r="AM138" s="360">
        <f>'raw data'!BW124</f>
        <v>0.18402282453637661</v>
      </c>
      <c r="AN138" s="360">
        <f>'raw data'!BY124</f>
        <v>0.20109439124487005</v>
      </c>
      <c r="AO138" s="360">
        <f>'raw data'!CA124</f>
        <v>1.9350725206325993E-4</v>
      </c>
      <c r="AP138" s="360">
        <f>'raw data'!CC124</f>
        <v>0.16763005780346821</v>
      </c>
      <c r="AQ138" s="360">
        <f>'raw data'!CE124</f>
        <v>0.16169828364950317</v>
      </c>
      <c r="AR138" s="360">
        <f>'raw data'!CG124</f>
        <v>0.14503286147623862</v>
      </c>
      <c r="AS138" s="360">
        <f>'raw data'!CI124</f>
        <v>0.16209034543844109</v>
      </c>
      <c r="AT138" s="360">
        <f>'raw data'!CK124</f>
        <v>0.14712389380530974</v>
      </c>
      <c r="AU138" s="360">
        <f>'raw data'!CM124</f>
        <v>0.15985915492957747</v>
      </c>
      <c r="AV138" s="360">
        <f>'raw data'!CO124</f>
        <v>0.15625</v>
      </c>
      <c r="AW138" s="360">
        <f>'raw data'!CQ124</f>
        <v>0.14992614475627769</v>
      </c>
      <c r="AX138" s="360">
        <f>'raw data'!CS124</f>
        <v>0.14173844949099451</v>
      </c>
      <c r="AY138" s="360">
        <f>'raw data'!CU124</f>
        <v>0.19674935842600513</v>
      </c>
      <c r="AZ138" s="360">
        <f>'raw data'!CW124</f>
        <v>0.19579405366207397</v>
      </c>
      <c r="BA138" s="360">
        <f>'raw data'!CY124</f>
        <v>0.15034364261168384</v>
      </c>
      <c r="BB138" s="360">
        <f>'raw data'!DA124</f>
        <v>0.18930390492359933</v>
      </c>
      <c r="BC138" s="360">
        <f>'raw data'!DC124</f>
        <v>0.20243902439024392</v>
      </c>
      <c r="BD138" s="360">
        <f>'raw data'!DE124</f>
        <v>0.1852078239608802</v>
      </c>
      <c r="BE138" s="360">
        <f>'raw data'!DG124</f>
        <v>0.21404958677685951</v>
      </c>
      <c r="BF138" s="360">
        <f>'raw data'!DI124</f>
        <v>0.23520126282557222</v>
      </c>
      <c r="BG138" s="361">
        <f>'raw data'!DK124</f>
        <v>0.21607378129117261</v>
      </c>
      <c r="BH138" s="361">
        <f>'raw data'!DM124</f>
        <v>0.19671052631578947</v>
      </c>
      <c r="BI138" s="361">
        <f>IF(ISERROR('raw data'!DN123/'raw data'!DO123),0,'raw data'!DN123/'raw data'!DO123)</f>
        <v>0.21564327485380116</v>
      </c>
      <c r="BJ138" s="361">
        <f>IF(ISERROR('raw data'!DP123/'raw data'!DQ123),0,'raw data'!DP123/'raw data'!DQ123)</f>
        <v>0.2323529411764706</v>
      </c>
      <c r="BK138" s="361">
        <f>IF(ISERROR('raw data'!DR123/'raw data'!DS123),0,'raw data'!DR123/'raw data'!DS123)</f>
        <v>0.19937205651491366</v>
      </c>
      <c r="BL138" s="361">
        <f>IF(ISERROR('raw data'!DT123/'raw data'!DU123),0,'raw data'!DT123/'raw data'!DU123)</f>
        <v>0.205470737913486</v>
      </c>
      <c r="BM138" s="361">
        <f>IF(ISERROR('raw data'!DV123/'raw data'!DW123),0,'raw data'!DV123/'raw data'!DW123)</f>
        <v>0.127373417721519</v>
      </c>
      <c r="BN138" s="361">
        <f>IF(ISERROR('raw data'!DX123/'raw data'!DY123),0,'raw data'!DX123/'raw data'!DY123)</f>
        <v>0.13037144938091769</v>
      </c>
      <c r="BO138" s="361">
        <f>IF(ISERROR('raw data'!DZ123/'raw data'!EA123),0,'raw data'!DZ123/'raw data'!EA123)</f>
        <v>0.12418687167356594</v>
      </c>
      <c r="BP138" s="361">
        <f>IF(ISERROR('raw data'!EB123/'raw data'!EC123),0,'raw data'!EB123/'raw data'!EC123)</f>
        <v>0.19271814187068426</v>
      </c>
      <c r="BQ138" s="361">
        <f>IF(ISERROR('raw data'!ED123/'raw data'!EE123),0,'raw data'!ED123/'raw data'!EE123)</f>
        <v>0.15738678544914625</v>
      </c>
      <c r="BR138" s="361">
        <f>IF(ISERROR('raw data'!EF123/'raw data'!EG123),0,'raw data'!EF123/'raw data'!EG123)</f>
        <v>0.11855036855036855</v>
      </c>
      <c r="BS138" s="361">
        <f>IF(ISERROR('raw data'!EH123/'raw data'!EI123),0,'raw data'!EH123/'raw data'!EI123)</f>
        <v>0.13576843556168161</v>
      </c>
      <c r="BT138" s="361">
        <f>IF(ISERROR('raw data'!EJ123/'raw data'!EK123),0,'raw data'!EJ123/'raw data'!EK123)</f>
        <v>0.15162037037037038</v>
      </c>
      <c r="BU138" s="361">
        <f>IF(ISERROR('raw data'!EL123/'raw data'!EM123),0,'raw data'!EL123/'raw data'!EM123)</f>
        <v>0.1465798045602606</v>
      </c>
      <c r="BV138" s="361">
        <f>IF(ISERROR('raw data'!EN123/'raw data'!EO123),0,'raw data'!EN123/'raw data'!EO123)</f>
        <v>0.16500383729854182</v>
      </c>
      <c r="BW138" s="361">
        <f>IF(ISERROR('raw data'!EP123/'raw data'!EQ123),0,'raw data'!EP123/'raw data'!EQ123)</f>
        <v>0.19483101391650098</v>
      </c>
      <c r="BX138" s="361">
        <f>IF(ISERROR('raw data'!ER123/'raw data'!ES123),0,'raw data'!ER123/'raw data'!ES123)</f>
        <v>0.1806083650190114</v>
      </c>
      <c r="BY138" s="361">
        <f>IF(ISERROR('raw data'!ET123/'raw data'!EU123),0,'raw data'!ET123/'raw data'!EU123)</f>
        <v>0.16463022508038586</v>
      </c>
      <c r="BZ138" s="361">
        <f>IF(ISERROR('raw data'!EV123/'raw data'!EW123),0,'raw data'!EV123/'raw data'!EW123)</f>
        <v>0.16157855547282204</v>
      </c>
      <c r="CA138" s="361">
        <f>IF(ISERROR('raw data'!EX123/'raw data'!EY123),0,'raw data'!EX123/'raw data'!EY123)</f>
        <v>0.15847280334728034</v>
      </c>
      <c r="CB138" s="361">
        <f>IF(ISERROR('raw data'!EZ123/'raw data'!FA123),0,'raw data'!EZ123/'raw data'!FA123)</f>
        <v>0.16741405082212257</v>
      </c>
      <c r="CC138" s="361">
        <f>IF(ISERROR('raw data'!FB123/'raw data'!FC123),0,'raw data'!FB123/'raw data'!FC123)</f>
        <v>0.19036427732079905</v>
      </c>
      <c r="CD138" s="361">
        <f>IF(ISERROR('raw data'!FD123/'raw data'!FE123),0,'raw data'!FD123/'raw data'!FE123)</f>
        <v>0.1640625</v>
      </c>
      <c r="CE138" s="361">
        <f>IF(ISERROR('raw data'!FF123/'raw data'!FG123),0,'raw data'!FF123/'raw data'!FG123)</f>
        <v>0.18591723285979</v>
      </c>
      <c r="CF138" s="361">
        <f>IF(ISERROR('raw data'!FH123/'raw data'!FI123),0,'raw data'!FH123/'raw data'!FI123)</f>
        <v>0.17046117921774664</v>
      </c>
      <c r="CG138" s="361">
        <f>IF(ISERROR('raw data'!FJ123/'raw data'!FM123),0,'raw data'!FJ123/'raw data'!FM123)</f>
        <v>0.14518072289156628</v>
      </c>
      <c r="CH138" s="361">
        <f>IF(ISERROR('raw data'!FN123/'raw data'!FO123),0,'raw data'!FN123/'raw data'!FO123)</f>
        <v>0.20226678291194419</v>
      </c>
      <c r="CI138" s="361">
        <f>IF(ISERROR('raw data'!FP123/'raw data'!FQ123),0,'raw data'!FP123/'raw data'!FQ123)</f>
        <v>0.18884120171673821</v>
      </c>
      <c r="CJ138" s="361">
        <f>IF(ISERROR('raw data'!FR123/'raw data'!FS123),0,'raw data'!FR123/'raw data'!FS123)</f>
        <v>0.16441005802707931</v>
      </c>
      <c r="CK138" s="361">
        <f>IF(ISERROR('raw data'!FT123/'raw data'!FU123),0,'raw data'!FT123/'raw data'!FU123)</f>
        <v>0.1951219512195122</v>
      </c>
      <c r="CL138" s="361">
        <f>IF(ISERROR('raw data'!FV123/'raw data'!FW123),0,'raw data'!FV123/'raw data'!FW123)</f>
        <v>0.144076840981857</v>
      </c>
      <c r="CM138" s="361">
        <f>IF(ISERROR('raw data'!FX123/'raw data'!FY123),0,'raw data'!FX123/'raw data'!FY123)</f>
        <v>0.17370129870129869</v>
      </c>
      <c r="CN138" s="361">
        <f>IF(ISERROR('raw data'!FZ123/'raw data'!GA123),0,'raw data'!FZ123/'raw data'!GA123)</f>
        <v>0.15426497277676951</v>
      </c>
      <c r="CO138" s="361">
        <f>IF(ISERROR('raw data'!GB123/'raw data'!GC123),0,'raw data'!GB123/'raw data'!GC123)</f>
        <v>0.15885022692889561</v>
      </c>
      <c r="CP138" s="361">
        <f>IF(ISERROR('raw data'!GD123/'raw data'!GE123),0,'raw data'!GD123/'raw data'!GE123)</f>
        <v>0.14685908319185059</v>
      </c>
      <c r="CQ138" s="361">
        <f>IF(ISERROR('raw data'!GF123/'raw data'!GG123),0,'raw data'!GF123/'raw data'!GG123)</f>
        <v>0.19274809160305342</v>
      </c>
      <c r="CR138" s="361">
        <f>IF(ISERROR('raw data'!GH123/'raw data'!GI123),0,'raw data'!GH123/'raw data'!GI123)</f>
        <v>0.15674255691768826</v>
      </c>
      <c r="CS138" s="361">
        <f>IF(ISERROR('raw data'!GJ123/'raw data'!GK123),0,'raw data'!GJ123/'raw data'!GK123)</f>
        <v>0.15991237677984665</v>
      </c>
      <c r="CT138" s="361">
        <f>IF(ISERROR('raw data'!GL123/'raw data'!GM123),0,'raw data'!GL123/'raw data'!GM123)</f>
        <v>0.16212121212121211</v>
      </c>
      <c r="CU138" s="361">
        <f>IF(ISERROR('raw data'!GN123/'raw data'!GO123),0,'raw data'!GN123/'raw data'!GO123)</f>
        <v>0.16829608938547486</v>
      </c>
      <c r="CV138" s="361">
        <f>IF(ISERROR('raw data'!GP123/'raw data'!GQ123),0,'raw data'!GP123/'raw data'!GQ123)</f>
        <v>0.16262705238467554</v>
      </c>
      <c r="CW138" s="361">
        <f>IF(ISERROR('raw data'!GR123/'raw data'!GS123),0,'raw data'!GR123/'raw data'!GS123)</f>
        <v>0.17685411572942136</v>
      </c>
      <c r="CX138" s="361">
        <f>IF(ISERROR('raw data'!GT123/'raw data'!GU123),0,'raw data'!GT123/'raw data'!GU123)</f>
        <v>0.17691477885652643</v>
      </c>
      <c r="CY138" s="361">
        <f>IF(ISERROR('raw data'!GV123/'raw data'!GW123),0,'raw data'!GV123/'raw data'!GW123)</f>
        <v>0.21281464530892449</v>
      </c>
      <c r="CZ138" s="361">
        <f>IF(ISERROR('raw data'!GX123/'raw data'!GY123),0,'raw data'!GX123/'raw data'!GY123)</f>
        <v>0.17303683113273105</v>
      </c>
      <c r="DA138" s="361">
        <f>IF(ISERROR('raw data'!GZ123/'raw data'!HA123),0,'raw data'!GZ123/'raw data'!HA123)</f>
        <v>0.20744259699129058</v>
      </c>
      <c r="DB138" s="361">
        <f>IF(ISERROR('raw data'!HB123/'raw data'!HC123),0,'raw data'!HB123/'raw data'!HC123)</f>
        <v>0.18810916179337231</v>
      </c>
      <c r="DC138" s="361">
        <f>IF(ISERROR('raw data'!HD123/'raw data'!HE123),0,'raw data'!HD123/'raw data'!HE123)</f>
        <v>0.24411764705882352</v>
      </c>
      <c r="DD138" s="361">
        <f>IF(ISERROR('raw data'!HF123/'raw data'!HG123),0,'raw data'!HF123/'raw data'!HG123)</f>
        <v>0.24807056229327454</v>
      </c>
      <c r="DE138" s="361">
        <f>IF(ISERROR('raw data'!HH123/'raw data'!HI123),0,'raw data'!HH123/'raw data'!HI123)</f>
        <v>0.19875776397515527</v>
      </c>
      <c r="DF138" s="361">
        <f>IF(ISERROR('raw data'!HJ123/'raw data'!HK123),0,'raw data'!HJ123/'raw data'!HK123)</f>
        <v>0.26631853785900783</v>
      </c>
      <c r="DG138" s="361">
        <f>IF(ISERROR('raw data'!HL123/'raw data'!HM123),0,'raw data'!HL123/'raw data'!HM123)</f>
        <v>0.18424242424242424</v>
      </c>
      <c r="DH138" s="361">
        <f>IF(ISERROR('raw data'!HN123/'raw data'!HO123),0,'raw data'!HN123/'raw data'!HO123)</f>
        <v>0.25090909090909091</v>
      </c>
      <c r="DI138" s="361">
        <f>IF(ISERROR('raw data'!HP123/'raw data'!HQ123),0,'raw data'!HP123/'raw data'!HQ123)</f>
        <v>0.17003188097768332</v>
      </c>
      <c r="DJ138" s="361">
        <f>IF(ISERROR('raw data'!HR123/'raw data'!HS123),0,'raw data'!HR123/'raw data'!HS123)</f>
        <v>0.23661971830985915</v>
      </c>
      <c r="DK138" s="361">
        <f>IF(ISERROR('raw data'!HT123/'raw data'!HU123),0,'raw data'!HT123/'raw data'!HU123)</f>
        <v>0.26151930261519302</v>
      </c>
      <c r="DL138" s="361">
        <f>IF(ISERROR('raw data'!HV123/'raw data'!HW123),0,'raw data'!HV123/'raw data'!HW123)</f>
        <v>0.27974947807933193</v>
      </c>
      <c r="DM138" s="361">
        <f>IF(ISERROR('raw data'!HX123/'raw data'!HY123),0,'raw data'!HX123/'raw data'!HY123)</f>
        <v>0.25767918088737202</v>
      </c>
      <c r="DN138" s="361">
        <f>IF(ISERROR('raw data'!HZ123/'raw data'!IA123),0,'raw data'!HZ123/'raw data'!IA123)</f>
        <v>0.27241962774957701</v>
      </c>
      <c r="DO138" s="361">
        <f>IF(ISERROR('raw data'!IB123/'raw data'!IC123),0,'raw data'!IB123/'raw data'!IC123)</f>
        <v>0.33068017366136032</v>
      </c>
      <c r="DP138" s="361">
        <f>IF(ISERROR('raw data'!ID123/'raw data'!IE123),0,'raw data'!ID123/'raw data'!IE123)</f>
        <v>0.33477883781439721</v>
      </c>
      <c r="DQ138" s="361">
        <f>IF(ISERROR('raw data'!IF123/'raw data'!IG123),0,'raw data'!IF123/'raw data'!IG123)</f>
        <v>0.28152969894222946</v>
      </c>
      <c r="DR138" s="361">
        <f>IF(ISERROR('raw data'!IH123/'raw data'!II123),0,'raw data'!IH123/'raw data'!II123)</f>
        <v>0.351981351981352</v>
      </c>
      <c r="DS138" s="361">
        <f>IF(ISERROR('raw data'!IJ123/'raw data'!IK123),0,'raw data'!IJ123/'raw data'!IK123)</f>
        <v>0.42696629213483145</v>
      </c>
      <c r="DT138" s="361">
        <f>IF(ISERROR('raw data'!IL123/'raw data'!IM123),0,'raw data'!IL123/'raw data'!IM123)</f>
        <v>0.38151494093120225</v>
      </c>
      <c r="DU138" s="361">
        <f>IF(ISERROR('raw data'!IN123/'raw data'!IO123),0,'raw data'!IN123/'raw data'!IO123)</f>
        <v>0.42053571428571429</v>
      </c>
      <c r="DV138" s="361">
        <f>IF(ISERROR('raw data'!IP123/'raw data'!IQ123),0,'raw data'!IP123/'raw data'!IQ123)</f>
        <v>0.43364485981308409</v>
      </c>
      <c r="DW138" s="361">
        <f>IF(ISERROR('raw data'!IR123/'raw data'!IS123),0,'raw data'!IR123/'raw data'!IS123)</f>
        <v>0.39611964430072755</v>
      </c>
      <c r="DX138" s="361">
        <f>IF(ISERROR('raw data'!IT123/'raw data'!IU123),0,'raw data'!IT123/'raw data'!IU123)</f>
        <v>0.37120149602618047</v>
      </c>
      <c r="DY138" s="361">
        <f>IF(ISERROR('raw data'!IV123/'raw data'!IW123),0,'raw data'!IV123/'raw data'!IW123)</f>
        <v>0.41405135520684738</v>
      </c>
      <c r="DZ138" s="361">
        <f>IF(ISERROR('raw data'!IX123/'raw data'!IY123),0,'raw data'!IX123/'raw data'!IY123)</f>
        <v>0.30469678953626633</v>
      </c>
      <c r="EA138" s="361">
        <f>IF(ISERROR('raw data'!IZ123/'raw data'!JA123),0,'raw data'!IZ123/'raw data'!JA123)</f>
        <v>0.32129514321295144</v>
      </c>
      <c r="EB138" s="361">
        <f>IF(ISERROR('raw data'!JB123/'raw data'!JC123),0,'raw data'!JB123/'raw data'!JC123)</f>
        <v>0.30231085786641343</v>
      </c>
      <c r="EC138" s="361">
        <f>IF(ISERROR('raw data'!JD123/'raw data'!JE123),0,'raw data'!JD123/'raw data'!JE123)</f>
        <v>0.22174047692784143</v>
      </c>
      <c r="ED138" s="334"/>
      <c r="EE138" s="362">
        <f>SUM('raw data'!CT123,'raw data'!CV123,'raw data'!CX123,'raw data'!CZ123,'raw data'!DB123,'raw data'!DD123,'raw data'!DF123,'raw data'!DH123,'raw data'!DJ123,'raw data'!DL123,'raw data'!DN123,'raw data'!DP123)</f>
        <v>3328</v>
      </c>
      <c r="EF138" s="362">
        <f>SUM('raw data'!CU123,'raw data'!CW123,'raw data'!CY123,'raw data'!DA123,'raw data'!DC123,'raw data'!DE123,'raw data'!DG123,'raw data'!DI123,'raw data'!DK123,'raw data'!DM123,'raw data'!DO123,'raw data'!DQ123)</f>
        <v>16409</v>
      </c>
      <c r="EG138" s="363">
        <f t="shared" si="5"/>
        <v>0.20281552806386738</v>
      </c>
    </row>
    <row r="140" spans="1:137" ht="20" customHeight="1" x14ac:dyDescent="0.15">
      <c r="EE140" s="221"/>
      <c r="EF140" s="221"/>
      <c r="EG140" s="221"/>
    </row>
    <row r="141" spans="1:137" ht="20" customHeight="1" x14ac:dyDescent="0.15">
      <c r="EE141" s="221"/>
      <c r="EF141" s="221"/>
      <c r="EG141" s="221"/>
    </row>
    <row r="142" spans="1:137" ht="20" customHeight="1" x14ac:dyDescent="0.15">
      <c r="EE142" s="221"/>
      <c r="EF142" s="221"/>
      <c r="EG142" s="221"/>
    </row>
    <row r="143" spans="1:137" ht="20" customHeight="1" x14ac:dyDescent="0.15">
      <c r="EE143" s="221"/>
      <c r="EF143" s="221"/>
      <c r="EG143" s="221"/>
    </row>
    <row r="144" spans="1:137" ht="20" customHeight="1" x14ac:dyDescent="0.15">
      <c r="EE144" s="221"/>
      <c r="EF144" s="221"/>
      <c r="EG144" s="221"/>
    </row>
    <row r="145" s="221" customFormat="1" ht="20" customHeight="1" x14ac:dyDescent="0.15"/>
    <row r="146" s="221" customFormat="1" x14ac:dyDescent="0.15"/>
  </sheetData>
  <pageMargins left="0.74803149606299213" right="0.74803149606299213" top="0.98425196850393704" bottom="0.98425196850393704" header="0.51181102362204722" footer="0.51181102362204722"/>
  <pageSetup paperSize="9" scale="3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25AB-69FD-4213-B307-32A3C47A39F0}">
  <sheetPr>
    <tabColor theme="4" tint="-0.249977111117893"/>
    <pageSetUpPr fitToPage="1"/>
  </sheetPr>
  <dimension ref="A1:FW130"/>
  <sheetViews>
    <sheetView showGridLines="0" zoomScale="90" zoomScaleNormal="90" workbookViewId="0">
      <pane xSplit="3" ySplit="2" topLeftCell="FJ3" activePane="bottomRight" state="frozen"/>
      <selection activeCell="JI1" sqref="JI1"/>
      <selection pane="topRight" activeCell="JI1" sqref="JI1"/>
      <selection pane="bottomLeft" activeCell="JI1" sqref="JI1"/>
      <selection pane="bottomRight" activeCell="FW1" sqref="FW1"/>
    </sheetView>
  </sheetViews>
  <sheetFormatPr baseColWidth="10" defaultColWidth="50" defaultRowHeight="13" x14ac:dyDescent="0.15"/>
  <cols>
    <col min="1" max="1" width="14.6640625" style="221" bestFit="1" customWidth="1"/>
    <col min="2" max="2" width="56" style="221" customWidth="1"/>
    <col min="3" max="3" width="50" style="221" hidden="1" customWidth="1"/>
    <col min="4" max="174" width="8.5" style="221" customWidth="1"/>
    <col min="175" max="175" width="2.5" style="221" customWidth="1"/>
    <col min="176" max="178" width="10" style="364" customWidth="1"/>
    <col min="179" max="246" width="8.5" style="221" customWidth="1"/>
    <col min="247" max="16384" width="50" style="221"/>
  </cols>
  <sheetData>
    <row r="1" spans="1:179" x14ac:dyDescent="0.15">
      <c r="A1" s="365"/>
      <c r="B1" s="366"/>
      <c r="C1" s="366"/>
      <c r="D1" s="652">
        <v>42736</v>
      </c>
      <c r="E1" s="653"/>
      <c r="F1" s="654"/>
      <c r="G1" s="655">
        <v>42767</v>
      </c>
      <c r="H1" s="656"/>
      <c r="I1" s="657"/>
      <c r="J1" s="651">
        <v>42795</v>
      </c>
      <c r="K1" s="658"/>
      <c r="L1" s="659"/>
      <c r="M1" s="651">
        <v>42826</v>
      </c>
      <c r="N1" s="658"/>
      <c r="O1" s="658"/>
      <c r="P1" s="651">
        <v>42856</v>
      </c>
      <c r="Q1" s="658"/>
      <c r="R1" s="659"/>
      <c r="S1" s="650">
        <v>42887</v>
      </c>
      <c r="T1" s="650"/>
      <c r="U1" s="650"/>
      <c r="V1" s="650">
        <v>42917</v>
      </c>
      <c r="W1" s="650"/>
      <c r="X1" s="650"/>
      <c r="Y1" s="650">
        <v>42948</v>
      </c>
      <c r="Z1" s="650"/>
      <c r="AA1" s="650"/>
      <c r="AB1" s="650">
        <v>42979</v>
      </c>
      <c r="AC1" s="650"/>
      <c r="AD1" s="650"/>
      <c r="AE1" s="650">
        <v>43009</v>
      </c>
      <c r="AF1" s="650"/>
      <c r="AG1" s="650"/>
      <c r="AH1" s="650">
        <v>43040</v>
      </c>
      <c r="AI1" s="650"/>
      <c r="AJ1" s="650"/>
      <c r="AK1" s="650">
        <v>43070</v>
      </c>
      <c r="AL1" s="650"/>
      <c r="AM1" s="650"/>
      <c r="AN1" s="650">
        <v>43101</v>
      </c>
      <c r="AO1" s="650"/>
      <c r="AP1" s="650"/>
      <c r="AQ1" s="650">
        <v>43132</v>
      </c>
      <c r="AR1" s="650"/>
      <c r="AS1" s="651"/>
      <c r="AT1" s="650">
        <v>43160</v>
      </c>
      <c r="AU1" s="650"/>
      <c r="AV1" s="651"/>
      <c r="AW1" s="650">
        <v>43191</v>
      </c>
      <c r="AX1" s="650"/>
      <c r="AY1" s="651"/>
      <c r="AZ1" s="650">
        <v>43221</v>
      </c>
      <c r="BA1" s="650"/>
      <c r="BB1" s="651"/>
      <c r="BC1" s="650">
        <v>43252</v>
      </c>
      <c r="BD1" s="650"/>
      <c r="BE1" s="651"/>
      <c r="BF1" s="650">
        <v>43282</v>
      </c>
      <c r="BG1" s="650"/>
      <c r="BH1" s="651"/>
      <c r="BI1" s="650">
        <v>43313</v>
      </c>
      <c r="BJ1" s="650"/>
      <c r="BK1" s="651"/>
      <c r="BL1" s="650">
        <v>43344</v>
      </c>
      <c r="BM1" s="650"/>
      <c r="BN1" s="651"/>
      <c r="BO1" s="650">
        <v>43374</v>
      </c>
      <c r="BP1" s="650"/>
      <c r="BQ1" s="651"/>
      <c r="BR1" s="650">
        <v>43405</v>
      </c>
      <c r="BS1" s="650"/>
      <c r="BT1" s="651"/>
      <c r="BU1" s="650">
        <v>43435</v>
      </c>
      <c r="BV1" s="650"/>
      <c r="BW1" s="651"/>
      <c r="BX1" s="650">
        <v>43466</v>
      </c>
      <c r="BY1" s="650"/>
      <c r="BZ1" s="651"/>
      <c r="CA1" s="650">
        <v>43497</v>
      </c>
      <c r="CB1" s="650"/>
      <c r="CC1" s="651"/>
      <c r="CD1" s="650">
        <v>43525</v>
      </c>
      <c r="CE1" s="650"/>
      <c r="CF1" s="651"/>
      <c r="CG1" s="650">
        <v>43556</v>
      </c>
      <c r="CH1" s="650"/>
      <c r="CI1" s="651"/>
      <c r="CJ1" s="650">
        <v>43586</v>
      </c>
      <c r="CK1" s="650"/>
      <c r="CL1" s="651"/>
      <c r="CM1" s="650">
        <v>43617</v>
      </c>
      <c r="CN1" s="650"/>
      <c r="CO1" s="651"/>
      <c r="CP1" s="650">
        <v>43647</v>
      </c>
      <c r="CQ1" s="650"/>
      <c r="CR1" s="651"/>
      <c r="CS1" s="650">
        <v>43678</v>
      </c>
      <c r="CT1" s="650"/>
      <c r="CU1" s="651"/>
      <c r="CV1" s="650">
        <v>43709</v>
      </c>
      <c r="CW1" s="650"/>
      <c r="CX1" s="651"/>
      <c r="CY1" s="650">
        <v>43739</v>
      </c>
      <c r="CZ1" s="650"/>
      <c r="DA1" s="651"/>
      <c r="DB1" s="650">
        <v>43770</v>
      </c>
      <c r="DC1" s="650"/>
      <c r="DD1" s="651"/>
      <c r="DE1" s="650">
        <v>43800</v>
      </c>
      <c r="DF1" s="650"/>
      <c r="DG1" s="651"/>
      <c r="DH1" s="650">
        <v>43831</v>
      </c>
      <c r="DI1" s="650"/>
      <c r="DJ1" s="651"/>
      <c r="DK1" s="650">
        <v>43862</v>
      </c>
      <c r="DL1" s="650"/>
      <c r="DM1" s="651"/>
      <c r="DN1" s="650">
        <v>43891</v>
      </c>
      <c r="DO1" s="650"/>
      <c r="DP1" s="651"/>
      <c r="DQ1" s="650">
        <v>43922</v>
      </c>
      <c r="DR1" s="650"/>
      <c r="DS1" s="651"/>
      <c r="DT1" s="650">
        <v>43952</v>
      </c>
      <c r="DU1" s="650"/>
      <c r="DV1" s="651"/>
      <c r="DW1" s="650">
        <v>43983</v>
      </c>
      <c r="DX1" s="650"/>
      <c r="DY1" s="651"/>
      <c r="DZ1" s="650">
        <v>44013</v>
      </c>
      <c r="EA1" s="650"/>
      <c r="EB1" s="651"/>
      <c r="EC1" s="650">
        <v>44044</v>
      </c>
      <c r="ED1" s="650"/>
      <c r="EE1" s="651"/>
      <c r="EF1" s="650">
        <v>44075</v>
      </c>
      <c r="EG1" s="650"/>
      <c r="EH1" s="651"/>
      <c r="EI1" s="650">
        <v>44105</v>
      </c>
      <c r="EJ1" s="650"/>
      <c r="EK1" s="651"/>
      <c r="EL1" s="650">
        <v>44136</v>
      </c>
      <c r="EM1" s="650"/>
      <c r="EN1" s="651"/>
      <c r="EO1" s="650">
        <v>44166</v>
      </c>
      <c r="EP1" s="650"/>
      <c r="EQ1" s="651"/>
      <c r="ER1" s="650">
        <v>44197</v>
      </c>
      <c r="ES1" s="650"/>
      <c r="ET1" s="651"/>
      <c r="EU1" s="650">
        <v>44228</v>
      </c>
      <c r="EV1" s="650"/>
      <c r="EW1" s="651"/>
      <c r="EX1" s="650">
        <v>44256</v>
      </c>
      <c r="EY1" s="650"/>
      <c r="EZ1" s="651"/>
      <c r="FA1" s="650">
        <v>44287</v>
      </c>
      <c r="FB1" s="650"/>
      <c r="FC1" s="651"/>
      <c r="FD1" s="650">
        <v>44317</v>
      </c>
      <c r="FE1" s="650"/>
      <c r="FF1" s="651"/>
      <c r="FG1" s="650">
        <v>44348</v>
      </c>
      <c r="FH1" s="650"/>
      <c r="FI1" s="651"/>
      <c r="FJ1" s="650">
        <v>44378</v>
      </c>
      <c r="FK1" s="650"/>
      <c r="FL1" s="651"/>
      <c r="FM1" s="650">
        <v>44409</v>
      </c>
      <c r="FN1" s="650"/>
      <c r="FO1" s="651"/>
      <c r="FP1" s="650">
        <v>44440</v>
      </c>
      <c r="FQ1" s="650"/>
      <c r="FR1" s="651"/>
      <c r="FS1" s="367"/>
      <c r="FT1" s="368"/>
      <c r="FU1" s="368"/>
      <c r="FV1" s="369"/>
    </row>
    <row r="2" spans="1:179" ht="43" thickBot="1" x14ac:dyDescent="0.2">
      <c r="A2" s="370"/>
      <c r="B2" s="371"/>
      <c r="C2" s="372"/>
      <c r="D2" s="373" t="s">
        <v>0</v>
      </c>
      <c r="E2" s="374" t="s">
        <v>259</v>
      </c>
      <c r="F2" s="375" t="s">
        <v>260</v>
      </c>
      <c r="G2" s="376" t="s">
        <v>0</v>
      </c>
      <c r="H2" s="374" t="s">
        <v>259</v>
      </c>
      <c r="I2" s="375" t="s">
        <v>260</v>
      </c>
      <c r="J2" s="376" t="s">
        <v>0</v>
      </c>
      <c r="K2" s="374" t="s">
        <v>259</v>
      </c>
      <c r="L2" s="375" t="s">
        <v>260</v>
      </c>
      <c r="M2" s="376" t="s">
        <v>0</v>
      </c>
      <c r="N2" s="374" t="s">
        <v>259</v>
      </c>
      <c r="O2" s="375" t="s">
        <v>260</v>
      </c>
      <c r="P2" s="376" t="s">
        <v>0</v>
      </c>
      <c r="Q2" s="374" t="s">
        <v>259</v>
      </c>
      <c r="R2" s="375" t="s">
        <v>260</v>
      </c>
      <c r="S2" s="376" t="s">
        <v>0</v>
      </c>
      <c r="T2" s="374" t="s">
        <v>259</v>
      </c>
      <c r="U2" s="375" t="s">
        <v>260</v>
      </c>
      <c r="V2" s="376" t="s">
        <v>0</v>
      </c>
      <c r="W2" s="374" t="s">
        <v>259</v>
      </c>
      <c r="X2" s="375" t="s">
        <v>260</v>
      </c>
      <c r="Y2" s="376" t="s">
        <v>0</v>
      </c>
      <c r="Z2" s="374" t="s">
        <v>259</v>
      </c>
      <c r="AA2" s="375" t="s">
        <v>260</v>
      </c>
      <c r="AB2" s="376" t="s">
        <v>0</v>
      </c>
      <c r="AC2" s="374" t="s">
        <v>259</v>
      </c>
      <c r="AD2" s="375" t="s">
        <v>260</v>
      </c>
      <c r="AE2" s="376" t="s">
        <v>0</v>
      </c>
      <c r="AF2" s="374" t="s">
        <v>259</v>
      </c>
      <c r="AG2" s="375" t="s">
        <v>260</v>
      </c>
      <c r="AH2" s="376" t="s">
        <v>0</v>
      </c>
      <c r="AI2" s="374" t="s">
        <v>259</v>
      </c>
      <c r="AJ2" s="375" t="s">
        <v>260</v>
      </c>
      <c r="AK2" s="376" t="s">
        <v>0</v>
      </c>
      <c r="AL2" s="374" t="s">
        <v>259</v>
      </c>
      <c r="AM2" s="375" t="s">
        <v>260</v>
      </c>
      <c r="AN2" s="376" t="s">
        <v>0</v>
      </c>
      <c r="AO2" s="374" t="s">
        <v>259</v>
      </c>
      <c r="AP2" s="375" t="s">
        <v>260</v>
      </c>
      <c r="AQ2" s="376" t="s">
        <v>0</v>
      </c>
      <c r="AR2" s="374" t="s">
        <v>259</v>
      </c>
      <c r="AS2" s="377" t="s">
        <v>260</v>
      </c>
      <c r="AT2" s="376" t="s">
        <v>0</v>
      </c>
      <c r="AU2" s="374" t="s">
        <v>259</v>
      </c>
      <c r="AV2" s="377" t="s">
        <v>260</v>
      </c>
      <c r="AW2" s="376" t="s">
        <v>0</v>
      </c>
      <c r="AX2" s="374" t="s">
        <v>259</v>
      </c>
      <c r="AY2" s="377" t="s">
        <v>260</v>
      </c>
      <c r="AZ2" s="376" t="s">
        <v>0</v>
      </c>
      <c r="BA2" s="374" t="s">
        <v>259</v>
      </c>
      <c r="BB2" s="377" t="s">
        <v>260</v>
      </c>
      <c r="BC2" s="376" t="s">
        <v>0</v>
      </c>
      <c r="BD2" s="374" t="s">
        <v>259</v>
      </c>
      <c r="BE2" s="377" t="s">
        <v>260</v>
      </c>
      <c r="BF2" s="376" t="s">
        <v>0</v>
      </c>
      <c r="BG2" s="374" t="s">
        <v>259</v>
      </c>
      <c r="BH2" s="377" t="s">
        <v>260</v>
      </c>
      <c r="BI2" s="376" t="s">
        <v>0</v>
      </c>
      <c r="BJ2" s="374" t="s">
        <v>259</v>
      </c>
      <c r="BK2" s="377" t="s">
        <v>260</v>
      </c>
      <c r="BL2" s="376" t="s">
        <v>0</v>
      </c>
      <c r="BM2" s="374" t="s">
        <v>259</v>
      </c>
      <c r="BN2" s="377" t="s">
        <v>260</v>
      </c>
      <c r="BO2" s="376" t="s">
        <v>0</v>
      </c>
      <c r="BP2" s="374" t="s">
        <v>259</v>
      </c>
      <c r="BQ2" s="377" t="s">
        <v>260</v>
      </c>
      <c r="BR2" s="376" t="s">
        <v>0</v>
      </c>
      <c r="BS2" s="374" t="s">
        <v>259</v>
      </c>
      <c r="BT2" s="377" t="s">
        <v>260</v>
      </c>
      <c r="BU2" s="376" t="s">
        <v>0</v>
      </c>
      <c r="BV2" s="374" t="s">
        <v>259</v>
      </c>
      <c r="BW2" s="377" t="s">
        <v>260</v>
      </c>
      <c r="BX2" s="376" t="s">
        <v>0</v>
      </c>
      <c r="BY2" s="374" t="s">
        <v>259</v>
      </c>
      <c r="BZ2" s="377" t="s">
        <v>260</v>
      </c>
      <c r="CA2" s="376" t="s">
        <v>0</v>
      </c>
      <c r="CB2" s="374" t="s">
        <v>259</v>
      </c>
      <c r="CC2" s="377" t="s">
        <v>260</v>
      </c>
      <c r="CD2" s="376" t="s">
        <v>0</v>
      </c>
      <c r="CE2" s="374" t="s">
        <v>259</v>
      </c>
      <c r="CF2" s="377" t="s">
        <v>260</v>
      </c>
      <c r="CG2" s="376" t="s">
        <v>0</v>
      </c>
      <c r="CH2" s="374" t="s">
        <v>259</v>
      </c>
      <c r="CI2" s="377" t="s">
        <v>260</v>
      </c>
      <c r="CJ2" s="376" t="s">
        <v>0</v>
      </c>
      <c r="CK2" s="374" t="s">
        <v>259</v>
      </c>
      <c r="CL2" s="377" t="s">
        <v>260</v>
      </c>
      <c r="CM2" s="376" t="s">
        <v>0</v>
      </c>
      <c r="CN2" s="374" t="s">
        <v>259</v>
      </c>
      <c r="CO2" s="377" t="s">
        <v>260</v>
      </c>
      <c r="CP2" s="376" t="s">
        <v>0</v>
      </c>
      <c r="CQ2" s="374" t="s">
        <v>259</v>
      </c>
      <c r="CR2" s="377" t="s">
        <v>260</v>
      </c>
      <c r="CS2" s="376" t="s">
        <v>0</v>
      </c>
      <c r="CT2" s="374" t="s">
        <v>259</v>
      </c>
      <c r="CU2" s="377" t="s">
        <v>260</v>
      </c>
      <c r="CV2" s="376" t="s">
        <v>0</v>
      </c>
      <c r="CW2" s="374" t="s">
        <v>259</v>
      </c>
      <c r="CX2" s="377" t="s">
        <v>260</v>
      </c>
      <c r="CY2" s="376" t="s">
        <v>0</v>
      </c>
      <c r="CZ2" s="374" t="s">
        <v>259</v>
      </c>
      <c r="DA2" s="377" t="s">
        <v>260</v>
      </c>
      <c r="DB2" s="376" t="s">
        <v>0</v>
      </c>
      <c r="DC2" s="374" t="s">
        <v>259</v>
      </c>
      <c r="DD2" s="377" t="s">
        <v>260</v>
      </c>
      <c r="DE2" s="376" t="s">
        <v>0</v>
      </c>
      <c r="DF2" s="374" t="s">
        <v>259</v>
      </c>
      <c r="DG2" s="377" t="s">
        <v>260</v>
      </c>
      <c r="DH2" s="376" t="s">
        <v>0</v>
      </c>
      <c r="DI2" s="374" t="s">
        <v>259</v>
      </c>
      <c r="DJ2" s="377" t="s">
        <v>260</v>
      </c>
      <c r="DK2" s="376" t="s">
        <v>0</v>
      </c>
      <c r="DL2" s="374" t="s">
        <v>259</v>
      </c>
      <c r="DM2" s="377" t="s">
        <v>260</v>
      </c>
      <c r="DN2" s="376" t="s">
        <v>0</v>
      </c>
      <c r="DO2" s="374" t="s">
        <v>259</v>
      </c>
      <c r="DP2" s="377" t="s">
        <v>260</v>
      </c>
      <c r="DQ2" s="376" t="s">
        <v>0</v>
      </c>
      <c r="DR2" s="374" t="s">
        <v>259</v>
      </c>
      <c r="DS2" s="377" t="s">
        <v>260</v>
      </c>
      <c r="DT2" s="376" t="s">
        <v>0</v>
      </c>
      <c r="DU2" s="374" t="s">
        <v>259</v>
      </c>
      <c r="DV2" s="377" t="s">
        <v>260</v>
      </c>
      <c r="DW2" s="376" t="s">
        <v>0</v>
      </c>
      <c r="DX2" s="374" t="s">
        <v>259</v>
      </c>
      <c r="DY2" s="377" t="s">
        <v>260</v>
      </c>
      <c r="DZ2" s="376" t="s">
        <v>0</v>
      </c>
      <c r="EA2" s="374" t="s">
        <v>259</v>
      </c>
      <c r="EB2" s="377" t="s">
        <v>260</v>
      </c>
      <c r="EC2" s="376" t="s">
        <v>0</v>
      </c>
      <c r="ED2" s="374" t="s">
        <v>259</v>
      </c>
      <c r="EE2" s="377" t="s">
        <v>260</v>
      </c>
      <c r="EF2" s="376" t="s">
        <v>0</v>
      </c>
      <c r="EG2" s="374" t="s">
        <v>259</v>
      </c>
      <c r="EH2" s="377" t="s">
        <v>260</v>
      </c>
      <c r="EI2" s="376" t="s">
        <v>0</v>
      </c>
      <c r="EJ2" s="374" t="s">
        <v>259</v>
      </c>
      <c r="EK2" s="377" t="s">
        <v>260</v>
      </c>
      <c r="EL2" s="376" t="s">
        <v>0</v>
      </c>
      <c r="EM2" s="374" t="s">
        <v>259</v>
      </c>
      <c r="EN2" s="377" t="s">
        <v>260</v>
      </c>
      <c r="EO2" s="376" t="s">
        <v>0</v>
      </c>
      <c r="EP2" s="374" t="s">
        <v>259</v>
      </c>
      <c r="EQ2" s="377" t="s">
        <v>260</v>
      </c>
      <c r="ER2" s="376" t="s">
        <v>0</v>
      </c>
      <c r="ES2" s="374" t="s">
        <v>259</v>
      </c>
      <c r="ET2" s="377" t="s">
        <v>260</v>
      </c>
      <c r="EU2" s="376" t="s">
        <v>0</v>
      </c>
      <c r="EV2" s="374" t="s">
        <v>259</v>
      </c>
      <c r="EW2" s="377" t="s">
        <v>260</v>
      </c>
      <c r="EX2" s="376" t="s">
        <v>0</v>
      </c>
      <c r="EY2" s="374" t="s">
        <v>259</v>
      </c>
      <c r="EZ2" s="377" t="s">
        <v>260</v>
      </c>
      <c r="FA2" s="376" t="s">
        <v>0</v>
      </c>
      <c r="FB2" s="374" t="s">
        <v>259</v>
      </c>
      <c r="FC2" s="377" t="s">
        <v>260</v>
      </c>
      <c r="FD2" s="376" t="s">
        <v>0</v>
      </c>
      <c r="FE2" s="374" t="s">
        <v>259</v>
      </c>
      <c r="FF2" s="377" t="s">
        <v>260</v>
      </c>
      <c r="FG2" s="376" t="s">
        <v>0</v>
      </c>
      <c r="FH2" s="374" t="s">
        <v>259</v>
      </c>
      <c r="FI2" s="377" t="s">
        <v>260</v>
      </c>
      <c r="FJ2" s="376" t="s">
        <v>0</v>
      </c>
      <c r="FK2" s="374" t="s">
        <v>259</v>
      </c>
      <c r="FL2" s="377" t="s">
        <v>260</v>
      </c>
      <c r="FM2" s="376" t="s">
        <v>0</v>
      </c>
      <c r="FN2" s="374" t="s">
        <v>259</v>
      </c>
      <c r="FO2" s="377" t="s">
        <v>260</v>
      </c>
      <c r="FP2" s="376" t="s">
        <v>0</v>
      </c>
      <c r="FQ2" s="374" t="s">
        <v>259</v>
      </c>
      <c r="FR2" s="377" t="s">
        <v>260</v>
      </c>
      <c r="FS2" s="378"/>
      <c r="FT2" s="379" t="s">
        <v>238</v>
      </c>
      <c r="FU2" s="380" t="s">
        <v>239</v>
      </c>
      <c r="FV2" s="381" t="s">
        <v>240</v>
      </c>
    </row>
    <row r="3" spans="1:179" ht="25.5" customHeight="1" x14ac:dyDescent="0.15">
      <c r="A3" s="382">
        <v>1.1000000000000001</v>
      </c>
      <c r="B3" s="382" t="str">
        <f>'raw data'!B3</f>
        <v>Flex accounts with &gt;=2 cash credits (CR) &amp; at least 1 withdrawal (WD) in same day (occurred at least three times last month).</v>
      </c>
      <c r="C3" s="383" t="s">
        <v>241</v>
      </c>
      <c r="D3" s="384">
        <f>'raw data'!ET3</f>
        <v>11</v>
      </c>
      <c r="E3" s="385">
        <f>'raw data'!EU3</f>
        <v>36</v>
      </c>
      <c r="F3" s="386">
        <f>IF(ISERROR('raw data'!ET3/'raw data'!EU3),0,'raw data'!ET3/'raw data'!EU3)</f>
        <v>0.30555555555555558</v>
      </c>
      <c r="G3" s="384">
        <f>'raw data'!EV3</f>
        <v>9</v>
      </c>
      <c r="H3" s="385">
        <f>'raw data'!EW3</f>
        <v>34</v>
      </c>
      <c r="I3" s="386">
        <f>IF(ISERROR('raw data'!EV3/'raw data'!EW3),0,'raw data'!EV3/'raw data'!EW3)</f>
        <v>0.26470588235294118</v>
      </c>
      <c r="J3" s="384">
        <f>'raw data'!EX3</f>
        <v>17</v>
      </c>
      <c r="K3" s="385">
        <f>'raw data'!EY3</f>
        <v>58</v>
      </c>
      <c r="L3" s="386">
        <f>IF(ISERROR('raw data'!EX3/'raw data'!EY3),0,'raw data'!EX3/'raw data'!EY3)</f>
        <v>0.29310344827586204</v>
      </c>
      <c r="M3" s="384">
        <f>'raw data'!EZ3</f>
        <v>13</v>
      </c>
      <c r="N3" s="385">
        <f>'raw data'!FA3</f>
        <v>41</v>
      </c>
      <c r="O3" s="386">
        <f>IF(ISERROR('raw data'!EZ3/'raw data'!FA3),0,'raw data'!EZ3/'raw data'!FA3)</f>
        <v>0.31707317073170732</v>
      </c>
      <c r="P3" s="384">
        <f>'raw data'!FB3</f>
        <v>15</v>
      </c>
      <c r="Q3" s="385">
        <f>'raw data'!FC3</f>
        <v>55</v>
      </c>
      <c r="R3" s="386">
        <f>IF(ISERROR('raw data'!FB3/'raw data'!FC3),0,'raw data'!FB3/'raw data'!FC3)</f>
        <v>0.27272727272727271</v>
      </c>
      <c r="S3" s="384">
        <f>'raw data'!FD3</f>
        <v>14</v>
      </c>
      <c r="T3" s="385">
        <f>'raw data'!FE3</f>
        <v>53</v>
      </c>
      <c r="U3" s="386">
        <f>IF(ISERROR('raw data'!FD3/'raw data'!FE3),0,'raw data'!FD3/'raw data'!FE3)</f>
        <v>0.26415094339622641</v>
      </c>
      <c r="V3" s="384">
        <f>'raw data'!FF3</f>
        <v>18</v>
      </c>
      <c r="W3" s="385">
        <f>'raw data'!FG3</f>
        <v>49</v>
      </c>
      <c r="X3" s="386">
        <f>IF(ISERROR('raw data'!FF3/'raw data'!FG3),0,'raw data'!FF3/'raw data'!FG3)</f>
        <v>0.36734693877551022</v>
      </c>
      <c r="Y3" s="384">
        <f>'raw data'!FH3</f>
        <v>10</v>
      </c>
      <c r="Z3" s="385">
        <f>'raw data'!FI3</f>
        <v>43</v>
      </c>
      <c r="AA3" s="386">
        <f>IF(ISERROR('raw data'!FH3/'raw data'!FI3),0,'raw data'!FH3/'raw data'!FI3)</f>
        <v>0.23255813953488372</v>
      </c>
      <c r="AB3" s="384">
        <f>'raw data'!FJ3</f>
        <v>11</v>
      </c>
      <c r="AC3" s="385">
        <f>'raw data'!FM3</f>
        <v>46</v>
      </c>
      <c r="AD3" s="386">
        <f>IF(ISERROR('raw data'!FJ3/'raw data'!FM3),0,'raw data'!FJ3/'raw data'!FM3)</f>
        <v>0.2391304347826087</v>
      </c>
      <c r="AE3" s="384">
        <f>'raw data'!FN3</f>
        <v>1</v>
      </c>
      <c r="AF3" s="385">
        <f>'raw data'!FO3</f>
        <v>10</v>
      </c>
      <c r="AG3" s="386">
        <f>IF(ISERROR('raw data'!FN3/'raw data'!FO3),0,'raw data'!FN3/'raw data'!FO3)</f>
        <v>0.1</v>
      </c>
      <c r="AH3" s="384">
        <f>'raw data'!FP3</f>
        <v>5</v>
      </c>
      <c r="AI3" s="385">
        <f>'raw data'!FQ3</f>
        <v>18</v>
      </c>
      <c r="AJ3" s="386">
        <f>IF(ISERROR('raw data'!FP3/'raw data'!FQ3),0,'raw data'!FP3/'raw data'!FQ3)</f>
        <v>0.27777777777777779</v>
      </c>
      <c r="AK3" s="384">
        <f>'raw data'!FR3</f>
        <v>4</v>
      </c>
      <c r="AL3" s="385">
        <f>'raw data'!FS3</f>
        <v>11</v>
      </c>
      <c r="AM3" s="386">
        <f>IF(ISERROR('raw data'!FR3/'raw data'!FS3),0,'raw data'!FR3/'raw data'!FS3)</f>
        <v>0.36363636363636365</v>
      </c>
      <c r="AN3" s="384">
        <f>'raw data'!FT3</f>
        <v>5</v>
      </c>
      <c r="AO3" s="385">
        <f>'raw data'!FU3</f>
        <v>13</v>
      </c>
      <c r="AP3" s="386">
        <f>IF(ISERROR('raw data'!FT3/'raw data'!FU3),0,'raw data'!FT3/'raw data'!FU3)</f>
        <v>0.38461538461538464</v>
      </c>
      <c r="AQ3" s="384">
        <f>'raw data'!FV3</f>
        <v>1</v>
      </c>
      <c r="AR3" s="385">
        <f>'raw data'!FW3</f>
        <v>11</v>
      </c>
      <c r="AS3" s="387">
        <f>IF(ISERROR('raw data'!FV3/'raw data'!FW3),0,'raw data'!FV3/'raw data'!FW3)</f>
        <v>9.0909090909090912E-2</v>
      </c>
      <c r="AT3" s="384">
        <f>'raw data'!FX3</f>
        <v>1</v>
      </c>
      <c r="AU3" s="385">
        <f>'raw data'!FY3</f>
        <v>7</v>
      </c>
      <c r="AV3" s="387">
        <f>IF(ISERROR('raw data'!FX3/'raw data'!FY3),0,'raw data'!FX3/'raw data'!FY3)</f>
        <v>0.14285714285714285</v>
      </c>
      <c r="AW3" s="384">
        <f>'raw data'!FZ3</f>
        <v>1</v>
      </c>
      <c r="AX3" s="385">
        <f>'raw data'!GA3</f>
        <v>5</v>
      </c>
      <c r="AY3" s="387">
        <f>IF(ISERROR('raw data'!FZ3/'raw data'!GA3),0,'raw data'!FZ3/'raw data'!GA3)</f>
        <v>0.2</v>
      </c>
      <c r="AZ3" s="384">
        <f>'raw data'!GB3</f>
        <v>1</v>
      </c>
      <c r="BA3" s="385">
        <f>'raw data'!GC3</f>
        <v>3</v>
      </c>
      <c r="BB3" s="387">
        <f>IF(ISERROR('raw data'!GB3/'raw data'!GC3),0,'raw data'!GB3/'raw data'!GC3)</f>
        <v>0.33333333333333331</v>
      </c>
      <c r="BC3" s="384">
        <f>'raw data'!GD3</f>
        <v>1</v>
      </c>
      <c r="BD3" s="385">
        <f>'raw data'!GE3</f>
        <v>6</v>
      </c>
      <c r="BE3" s="387">
        <f>IF(ISERROR('raw data'!GD3/'raw data'!GE3),0,'raw data'!GD3/'raw data'!GE3)</f>
        <v>0.16666666666666666</v>
      </c>
      <c r="BF3" s="384">
        <f>'raw data'!GF3</f>
        <v>2</v>
      </c>
      <c r="BG3" s="385">
        <f>'raw data'!GG3</f>
        <v>15</v>
      </c>
      <c r="BH3" s="387">
        <f>IF(ISERROR('raw data'!GF3/'raw data'!GG3),0,'raw data'!GF3/'raw data'!GG3)</f>
        <v>0.13333333333333333</v>
      </c>
      <c r="BI3" s="384">
        <f>'raw data'!GH3</f>
        <v>4</v>
      </c>
      <c r="BJ3" s="385">
        <f>'raw data'!GI3</f>
        <v>10</v>
      </c>
      <c r="BK3" s="387">
        <f>IF(ISERROR('raw data'!GH3/'raw data'!GI3),0,'raw data'!GH3/'raw data'!GI3)</f>
        <v>0.4</v>
      </c>
      <c r="BL3" s="384">
        <f>'raw data'!GJ3</f>
        <v>1</v>
      </c>
      <c r="BM3" s="385">
        <f>'raw data'!GK3</f>
        <v>4</v>
      </c>
      <c r="BN3" s="387">
        <f>IF(ISERROR('raw data'!GJ3/'raw data'!GK3),0,'raw data'!GJ3/'raw data'!GK3)</f>
        <v>0.25</v>
      </c>
      <c r="BO3" s="384">
        <f>'raw data'!GL3</f>
        <v>3</v>
      </c>
      <c r="BP3" s="385">
        <f>'raw data'!GM3</f>
        <v>9</v>
      </c>
      <c r="BQ3" s="387">
        <f>IF(ISERROR('raw data'!GL3/'raw data'!GM3),0,'raw data'!GL3/'raw data'!GM3)</f>
        <v>0.33333333333333331</v>
      </c>
      <c r="BR3" s="384">
        <f>'raw data'!GN3</f>
        <v>3</v>
      </c>
      <c r="BS3" s="385">
        <f>'raw data'!GO3</f>
        <v>9</v>
      </c>
      <c r="BT3" s="387">
        <f>IF(ISERROR('raw data'!GN3/'raw data'!GO3),0,'raw data'!GN3/'raw data'!GO3)</f>
        <v>0.33333333333333331</v>
      </c>
      <c r="BU3" s="384">
        <f>'raw data'!GP3</f>
        <v>2</v>
      </c>
      <c r="BV3" s="385">
        <f>'raw data'!GQ3</f>
        <v>6</v>
      </c>
      <c r="BW3" s="387">
        <f>IF(ISERROR('raw data'!GP3/'raw data'!GQ3),0,'raw data'!GP3/'raw data'!GQ3)</f>
        <v>0.33333333333333331</v>
      </c>
      <c r="BX3" s="384">
        <f>'raw data'!GR3</f>
        <v>3</v>
      </c>
      <c r="BY3" s="385">
        <f>'raw data'!GS3</f>
        <v>8</v>
      </c>
      <c r="BZ3" s="387">
        <f>IF(ISERROR('raw data'!GR3/'raw data'!GS3),0,'raw data'!GR3/'raw data'!GS3)</f>
        <v>0.375</v>
      </c>
      <c r="CA3" s="384">
        <f>'raw data'!GT3</f>
        <v>2</v>
      </c>
      <c r="CB3" s="385">
        <f>'raw data'!GU3</f>
        <v>5</v>
      </c>
      <c r="CC3" s="387">
        <f>IF(ISERROR('raw data'!GT3/'raw data'!GU3),0,'raw data'!GT3/'raw data'!GU3)</f>
        <v>0.4</v>
      </c>
      <c r="CD3" s="384">
        <f>'raw data'!GV3</f>
        <v>2</v>
      </c>
      <c r="CE3" s="385">
        <f>'raw data'!GW3</f>
        <v>9</v>
      </c>
      <c r="CF3" s="387">
        <f>IF(ISERROR('raw data'!GV3/'raw data'!GW3),0,'raw data'!GV3/'raw data'!GW3)</f>
        <v>0.22222222222222221</v>
      </c>
      <c r="CG3" s="384">
        <f>'raw data'!GX3</f>
        <v>2</v>
      </c>
      <c r="CH3" s="385">
        <f>'raw data'!GY3</f>
        <v>6</v>
      </c>
      <c r="CI3" s="387">
        <f>IF(ISERROR('raw data'!GX3/'raw data'!GY3),0,'raw data'!GX3/'raw data'!GY3)</f>
        <v>0.33333333333333331</v>
      </c>
      <c r="CJ3" s="384">
        <f>'raw data'!GZ3</f>
        <v>1</v>
      </c>
      <c r="CK3" s="385">
        <f>'raw data'!HA3</f>
        <v>2</v>
      </c>
      <c r="CL3" s="387">
        <f>IF(ISERROR('raw data'!GZ3/'raw data'!HA3),0,'raw data'!GZ3/'raw data'!HA3)</f>
        <v>0.5</v>
      </c>
      <c r="CM3" s="384">
        <f>'raw data'!HB3</f>
        <v>0</v>
      </c>
      <c r="CN3" s="385">
        <f>'raw data'!HC3</f>
        <v>2</v>
      </c>
      <c r="CO3" s="387">
        <f>IF(ISERROR('raw data'!HB3/'raw data'!HC3),0,'raw data'!HB3/'raw data'!HC3)</f>
        <v>0</v>
      </c>
      <c r="CP3" s="384">
        <f>'raw data'!HD3</f>
        <v>1</v>
      </c>
      <c r="CQ3" s="385">
        <f>'raw data'!HE3</f>
        <v>8</v>
      </c>
      <c r="CR3" s="387">
        <f>IF(ISERROR('raw data'!HD3/'raw data'!HE3),0,'raw data'!HD3/'raw data'!HE3)</f>
        <v>0.125</v>
      </c>
      <c r="CS3" s="384">
        <f>'raw data'!HF3</f>
        <v>1</v>
      </c>
      <c r="CT3" s="385">
        <f>'raw data'!HG3</f>
        <v>4</v>
      </c>
      <c r="CU3" s="387">
        <f>IF(ISERROR('raw data'!HF3/'raw data'!HG3),0,'raw data'!HF3/'raw data'!HG3)</f>
        <v>0.25</v>
      </c>
      <c r="CV3" s="384">
        <f>'raw data'!HH3</f>
        <v>0</v>
      </c>
      <c r="CW3" s="385">
        <f>'raw data'!HI3</f>
        <v>6</v>
      </c>
      <c r="CX3" s="387">
        <f>IF(ISERROR('raw data'!HH3/'raw data'!HI3),0,'raw data'!HH3/'raw data'!HI3)</f>
        <v>0</v>
      </c>
      <c r="CY3" s="384">
        <f>'raw data'!HJ3</f>
        <v>2</v>
      </c>
      <c r="CZ3" s="385">
        <f>'raw data'!HK3</f>
        <v>6</v>
      </c>
      <c r="DA3" s="387">
        <f>IF(ISERROR('raw data'!HJ3/'raw data'!HK3),0,'raw data'!HJ3/'raw data'!HK3)</f>
        <v>0.33333333333333331</v>
      </c>
      <c r="DB3" s="384">
        <f>'raw data'!HL3</f>
        <v>1</v>
      </c>
      <c r="DC3" s="385">
        <f>'raw data'!HM3</f>
        <v>8</v>
      </c>
      <c r="DD3" s="387">
        <f>IF(ISERROR('raw data'!HL3/'raw data'!HM3),0,'raw data'!HL3/'raw data'!HM3)</f>
        <v>0.125</v>
      </c>
      <c r="DE3" s="384">
        <f>'raw data'!HN3</f>
        <v>1</v>
      </c>
      <c r="DF3" s="385">
        <f>'raw data'!HO3</f>
        <v>4</v>
      </c>
      <c r="DG3" s="387">
        <f>IF(ISERROR('raw data'!HN3/'raw data'!HO3),0,'raw data'!HN3/'raw data'!HO3)</f>
        <v>0.25</v>
      </c>
      <c r="DH3" s="384">
        <f>'raw data'!HP3</f>
        <v>4</v>
      </c>
      <c r="DI3" s="385">
        <f>'raw data'!HQ3</f>
        <v>7</v>
      </c>
      <c r="DJ3" s="387">
        <f>IF(ISERROR('raw data'!HP3/'raw data'!HQ3),0,'raw data'!HP3/'raw data'!HQ3)</f>
        <v>0.5714285714285714</v>
      </c>
      <c r="DK3" s="384">
        <f>'raw data'!HR3</f>
        <v>2</v>
      </c>
      <c r="DL3" s="385">
        <f>'raw data'!HS3</f>
        <v>3</v>
      </c>
      <c r="DM3" s="387">
        <f>IF(ISERROR('raw data'!HR3/'raw data'!HS3),0,'raw data'!HR3/'raw data'!HS3)</f>
        <v>0.66666666666666663</v>
      </c>
      <c r="DN3" s="384">
        <f>'raw data'!HT3</f>
        <v>2</v>
      </c>
      <c r="DO3" s="385">
        <f>'raw data'!HU3</f>
        <v>6</v>
      </c>
      <c r="DP3" s="387">
        <f>IF(ISERROR('raw data'!HT3/'raw data'!HU3),0,'raw data'!HT3/'raw data'!HU3)</f>
        <v>0.33333333333333331</v>
      </c>
      <c r="DQ3" s="384">
        <f>'raw data'!HV3</f>
        <v>1</v>
      </c>
      <c r="DR3" s="385">
        <f>'raw data'!HW3</f>
        <v>6</v>
      </c>
      <c r="DS3" s="387">
        <f>IF(ISERROR('raw data'!HV3/'raw data'!HW3),0,'raw data'!HV3/'raw data'!HW3)</f>
        <v>0.16666666666666666</v>
      </c>
      <c r="DT3" s="384">
        <f>'raw data'!HX3</f>
        <v>1</v>
      </c>
      <c r="DU3" s="385">
        <f>'raw data'!HY3</f>
        <v>11</v>
      </c>
      <c r="DV3" s="387">
        <f>IF(ISERROR('raw data'!HX3/'raw data'!HY3),0,'raw data'!HX3/'raw data'!HY3)</f>
        <v>9.0909090909090912E-2</v>
      </c>
      <c r="DW3" s="384">
        <f>'raw data'!HZ3</f>
        <v>1</v>
      </c>
      <c r="DX3" s="385">
        <f>'raw data'!IA3</f>
        <v>12</v>
      </c>
      <c r="DY3" s="387">
        <f>IF(ISERROR('raw data'!HZ3/'raw data'!IA3),0,'raw data'!HZ3/'raw data'!IA3)</f>
        <v>8.3333333333333329E-2</v>
      </c>
      <c r="DZ3" s="384">
        <f>'raw data'!IB3</f>
        <v>2</v>
      </c>
      <c r="EA3" s="385">
        <f>'raw data'!IC3</f>
        <v>7</v>
      </c>
      <c r="EB3" s="387">
        <f>IF(ISERROR('raw data'!IB3/'raw data'!IC3),0,'raw data'!IB3/'raw data'!IC3)</f>
        <v>0.2857142857142857</v>
      </c>
      <c r="EC3" s="384">
        <f>'raw data'!ID3</f>
        <v>1</v>
      </c>
      <c r="ED3" s="385">
        <f>'raw data'!IE3</f>
        <v>3</v>
      </c>
      <c r="EE3" s="387">
        <f>IF(ISERROR('raw data'!ID3/'raw data'!IE3),0,'raw data'!ID3/'raw data'!IE3)</f>
        <v>0.33333333333333331</v>
      </c>
      <c r="EF3" s="384">
        <f>'raw data'!IF3</f>
        <v>4</v>
      </c>
      <c r="EG3" s="385">
        <f>'raw data'!IG3</f>
        <v>7</v>
      </c>
      <c r="EH3" s="387">
        <f>IF(ISERROR('raw data'!IF3/'raw data'!IG3),0,'raw data'!IF3/'raw data'!IG3)</f>
        <v>0.5714285714285714</v>
      </c>
      <c r="EI3" s="384">
        <f>'raw data'!IH3</f>
        <v>0</v>
      </c>
      <c r="EJ3" s="385">
        <f>'raw data'!II3</f>
        <v>3</v>
      </c>
      <c r="EK3" s="387">
        <f>IF(ISERROR('raw data'!IH3/'raw data'!II3),0,'raw data'!IH3/'raw data'!II3)</f>
        <v>0</v>
      </c>
      <c r="EL3" s="384">
        <f>'raw data'!IJ3</f>
        <v>1</v>
      </c>
      <c r="EM3" s="385">
        <f>'raw data'!IK3</f>
        <v>5</v>
      </c>
      <c r="EN3" s="387">
        <f>IF(ISERROR('raw data'!IJ3/'raw data'!IK3),0,'raw data'!IJ3/'raw data'!IK3)</f>
        <v>0.2</v>
      </c>
      <c r="EO3" s="384">
        <f>'raw data'!IL3</f>
        <v>1</v>
      </c>
      <c r="EP3" s="385">
        <f>'raw data'!IM3</f>
        <v>1</v>
      </c>
      <c r="EQ3" s="387">
        <f>IF(ISERROR('raw data'!IL3/'raw data'!IM3),0,'raw data'!IL3/'raw data'!IM3)</f>
        <v>1</v>
      </c>
      <c r="ER3" s="384">
        <f>'raw data'!IN3</f>
        <v>1</v>
      </c>
      <c r="ES3" s="385">
        <f>'raw data'!IO3</f>
        <v>1</v>
      </c>
      <c r="ET3" s="387">
        <f>IF(ISERROR('raw data'!IN3/'raw data'!IO3),0,'raw data'!IN3/'raw data'!IO3)</f>
        <v>1</v>
      </c>
      <c r="EU3" s="384">
        <f>'raw data'!IP3</f>
        <v>0</v>
      </c>
      <c r="EV3" s="385">
        <f>'raw data'!IQ3</f>
        <v>1</v>
      </c>
      <c r="EW3" s="387">
        <f>IF(ISERROR('raw data'!IP3/'raw data'!IQ3),0,'raw data'!IP3/'raw data'!IQ3)</f>
        <v>0</v>
      </c>
      <c r="EX3" s="384">
        <f>'raw data'!IR3</f>
        <v>1</v>
      </c>
      <c r="EY3" s="385">
        <f>'raw data'!IS3</f>
        <v>1</v>
      </c>
      <c r="EZ3" s="387">
        <f>IF(ISERROR('raw data'!IR3/'raw data'!IS3),0,'raw data'!IR3/'raw data'!IS3)</f>
        <v>1</v>
      </c>
      <c r="FA3" s="384">
        <f>'raw data'!IT3</f>
        <v>0</v>
      </c>
      <c r="FB3" s="385">
        <f>'raw data'!IU3</f>
        <v>1</v>
      </c>
      <c r="FC3" s="387">
        <f>IF(ISERROR('raw data'!IT3/'raw data'!IU3),0,'raw data'!IT3/'raw data'!IU3)</f>
        <v>0</v>
      </c>
      <c r="FD3" s="384">
        <f>'raw data'!IV3</f>
        <v>1</v>
      </c>
      <c r="FE3" s="385">
        <f>'raw data'!IW3</f>
        <v>3</v>
      </c>
      <c r="FF3" s="387">
        <f>IF(ISERROR('raw data'!IV3/'raw data'!IW3),0,'raw data'!IV3/'raw data'!IW3)</f>
        <v>0.33333333333333331</v>
      </c>
      <c r="FG3" s="384">
        <f>'raw data'!IX3</f>
        <v>3</v>
      </c>
      <c r="FH3" s="385">
        <f>'raw data'!IY3</f>
        <v>4</v>
      </c>
      <c r="FI3" s="387">
        <f>IF(ISERROR('raw data'!IX3/'raw data'!IY3),0,'raw data'!IX3/'raw data'!IY3)</f>
        <v>0.75</v>
      </c>
      <c r="FJ3" s="384">
        <f>'raw data'!IZ3</f>
        <v>0</v>
      </c>
      <c r="FK3" s="385">
        <f>'raw data'!JA3</f>
        <v>2</v>
      </c>
      <c r="FL3" s="387">
        <f>IF(ISERROR('raw data'!IZ3/'raw data'!JA3),0,'raw data'!IZ3/'raw data'!JA3)</f>
        <v>0</v>
      </c>
      <c r="FM3" s="384">
        <f>'raw data'!JB3</f>
        <v>2</v>
      </c>
      <c r="FN3" s="385">
        <f>'raw data'!JC3</f>
        <v>4</v>
      </c>
      <c r="FO3" s="387">
        <f>IF(ISERROR('raw data'!JB3/'raw data'!JC3),0,'raw data'!JB3/'raw data'!JC3)</f>
        <v>0.5</v>
      </c>
      <c r="FP3" s="384">
        <f>'raw data'!JD3</f>
        <v>3</v>
      </c>
      <c r="FQ3" s="385">
        <f>'raw data'!JE3</f>
        <v>6</v>
      </c>
      <c r="FR3" s="387">
        <f>IF(ISERROR('raw data'!JD3/'raw data'!JE3),0,'raw data'!JD3/'raw data'!JE3)</f>
        <v>0.5</v>
      </c>
      <c r="FS3" s="388"/>
      <c r="FT3" s="389">
        <v>13</v>
      </c>
      <c r="FU3" s="390">
        <v>32</v>
      </c>
      <c r="FV3" s="391">
        <f>IF(ISERROR(FT3/FU3),0,FT3/FU3)</f>
        <v>0.40625</v>
      </c>
      <c r="FW3" s="229"/>
    </row>
    <row r="4" spans="1:179" ht="28" x14ac:dyDescent="0.15">
      <c r="A4" s="392">
        <v>1.2</v>
      </c>
      <c r="B4" s="382" t="str">
        <f>'raw data'!B4</f>
        <v>Savings accounts with &gt;=2 cash credits (CR) &amp; at least 1 withdrawal (WD) in same day (occurred at least three times in month).</v>
      </c>
      <c r="C4" s="393" t="s">
        <v>242</v>
      </c>
      <c r="D4" s="394">
        <f>'raw data'!ET4</f>
        <v>2</v>
      </c>
      <c r="E4" s="395">
        <f>'raw data'!EU4</f>
        <v>10</v>
      </c>
      <c r="F4" s="396">
        <f>IF(ISERROR('raw data'!ET4/'raw data'!EU4),0,'raw data'!ET4/'raw data'!EU4)</f>
        <v>0.2</v>
      </c>
      <c r="G4" s="394">
        <f>'raw data'!EV4</f>
        <v>2</v>
      </c>
      <c r="H4" s="395">
        <f>'raw data'!EW4</f>
        <v>12</v>
      </c>
      <c r="I4" s="396">
        <f>IF(ISERROR('raw data'!EV4/'raw data'!EW4),0,'raw data'!EV4/'raw data'!EW4)</f>
        <v>0.16666666666666666</v>
      </c>
      <c r="J4" s="394">
        <f>'raw data'!EX4</f>
        <v>1</v>
      </c>
      <c r="K4" s="395">
        <f>'raw data'!EY4</f>
        <v>9</v>
      </c>
      <c r="L4" s="396">
        <f>IF(ISERROR('raw data'!EX4/'raw data'!EY4),0,'raw data'!EX4/'raw data'!EY4)</f>
        <v>0.1111111111111111</v>
      </c>
      <c r="M4" s="394">
        <f>'raw data'!EZ4</f>
        <v>2</v>
      </c>
      <c r="N4" s="395">
        <f>'raw data'!FA4</f>
        <v>12</v>
      </c>
      <c r="O4" s="396">
        <f>IF(ISERROR('raw data'!EZ4/'raw data'!FA4),0,'raw data'!EZ4/'raw data'!FA4)</f>
        <v>0.16666666666666666</v>
      </c>
      <c r="P4" s="394">
        <f>'raw data'!FB4</f>
        <v>4</v>
      </c>
      <c r="Q4" s="395">
        <f>'raw data'!FC4</f>
        <v>15</v>
      </c>
      <c r="R4" s="396">
        <f>IF(ISERROR('raw data'!FB4/'raw data'!FC4),0,'raw data'!FB4/'raw data'!FC4)</f>
        <v>0.26666666666666666</v>
      </c>
      <c r="S4" s="394">
        <f>'raw data'!FD4</f>
        <v>1</v>
      </c>
      <c r="T4" s="395">
        <f>'raw data'!FE4</f>
        <v>12</v>
      </c>
      <c r="U4" s="396">
        <f>IF(ISERROR('raw data'!FD4/'raw data'!FE4),0,'raw data'!FD4/'raw data'!FE4)</f>
        <v>8.3333333333333329E-2</v>
      </c>
      <c r="V4" s="394">
        <f>'raw data'!FF4</f>
        <v>4</v>
      </c>
      <c r="W4" s="395">
        <f>'raw data'!FG4</f>
        <v>9</v>
      </c>
      <c r="X4" s="396">
        <f>IF(ISERROR('raw data'!FF4/'raw data'!FG4),0,'raw data'!FF4/'raw data'!FG4)</f>
        <v>0.44444444444444442</v>
      </c>
      <c r="Y4" s="394">
        <f>'raw data'!FH4</f>
        <v>3</v>
      </c>
      <c r="Z4" s="395">
        <f>'raw data'!FI4</f>
        <v>10</v>
      </c>
      <c r="AA4" s="396">
        <f>IF(ISERROR('raw data'!FH4/'raw data'!FI4),0,'raw data'!FH4/'raw data'!FI4)</f>
        <v>0.3</v>
      </c>
      <c r="AB4" s="394">
        <f>'raw data'!FJ4</f>
        <v>1</v>
      </c>
      <c r="AC4" s="395">
        <f>'raw data'!FM4</f>
        <v>8</v>
      </c>
      <c r="AD4" s="396">
        <f>IF(ISERROR('raw data'!FJ4/'raw data'!FM4),0,'raw data'!FJ4/'raw data'!FM4)</f>
        <v>0.125</v>
      </c>
      <c r="AE4" s="394">
        <f>'raw data'!FN4</f>
        <v>0</v>
      </c>
      <c r="AF4" s="395">
        <f>'raw data'!FO4</f>
        <v>2</v>
      </c>
      <c r="AG4" s="396">
        <f>IF(ISERROR('raw data'!FN4/'raw data'!FO4),0,'raw data'!FN4/'raw data'!FO4)</f>
        <v>0</v>
      </c>
      <c r="AH4" s="394">
        <f>'raw data'!FP4</f>
        <v>0</v>
      </c>
      <c r="AI4" s="395">
        <f>'raw data'!FQ4</f>
        <v>1</v>
      </c>
      <c r="AJ4" s="396">
        <f>IF(ISERROR('raw data'!FP4/'raw data'!FQ4),0,'raw data'!FP4/'raw data'!FQ4)</f>
        <v>0</v>
      </c>
      <c r="AK4" s="394">
        <f>'raw data'!FR4</f>
        <v>0</v>
      </c>
      <c r="AL4" s="395">
        <f>'raw data'!FS4</f>
        <v>2</v>
      </c>
      <c r="AM4" s="396">
        <f>IF(ISERROR('raw data'!FR4/'raw data'!FS4),0,'raw data'!FR4/'raw data'!FS4)</f>
        <v>0</v>
      </c>
      <c r="AN4" s="394">
        <f>'raw data'!FT4</f>
        <v>0</v>
      </c>
      <c r="AO4" s="395">
        <f>'raw data'!FU4</f>
        <v>3</v>
      </c>
      <c r="AP4" s="396">
        <f>IF(ISERROR('raw data'!FT4/'raw data'!FU4),0,'raw data'!FT4/'raw data'!FU4)</f>
        <v>0</v>
      </c>
      <c r="AQ4" s="394">
        <f>'raw data'!FV4</f>
        <v>3</v>
      </c>
      <c r="AR4" s="395">
        <f>'raw data'!FW4</f>
        <v>5</v>
      </c>
      <c r="AS4" s="397">
        <f>IF(ISERROR('raw data'!FV4/'raw data'!FW4),0,'raw data'!FV4/'raw data'!FW4)</f>
        <v>0.6</v>
      </c>
      <c r="AT4" s="394">
        <f>'raw data'!FX4</f>
        <v>0</v>
      </c>
      <c r="AU4" s="395">
        <f>'raw data'!FY4</f>
        <v>0</v>
      </c>
      <c r="AV4" s="397">
        <f>IF(ISERROR('raw data'!FX4/'raw data'!FY4),0,'raw data'!FX4/'raw data'!FY4)</f>
        <v>0</v>
      </c>
      <c r="AW4" s="394">
        <f>'raw data'!FZ4</f>
        <v>0</v>
      </c>
      <c r="AX4" s="395">
        <f>'raw data'!GA4</f>
        <v>0</v>
      </c>
      <c r="AY4" s="397">
        <f>IF(ISERROR('raw data'!FZ4/'raw data'!GA4),0,'raw data'!FZ4/'raw data'!GA4)</f>
        <v>0</v>
      </c>
      <c r="AZ4" s="394">
        <f>'raw data'!GB4</f>
        <v>0</v>
      </c>
      <c r="BA4" s="395">
        <f>'raw data'!GC4</f>
        <v>2</v>
      </c>
      <c r="BB4" s="397">
        <f>IF(ISERROR('raw data'!GB4/'raw data'!GC4),0,'raw data'!GB4/'raw data'!GC4)</f>
        <v>0</v>
      </c>
      <c r="BC4" s="394">
        <f>'raw data'!GD4</f>
        <v>0</v>
      </c>
      <c r="BD4" s="395">
        <f>'raw data'!GE4</f>
        <v>2</v>
      </c>
      <c r="BE4" s="397">
        <f>IF(ISERROR('raw data'!GD4/'raw data'!GE4),0,'raw data'!GD4/'raw data'!GE4)</f>
        <v>0</v>
      </c>
      <c r="BF4" s="394">
        <f>'raw data'!GF4</f>
        <v>1</v>
      </c>
      <c r="BG4" s="395">
        <f>'raw data'!GG4</f>
        <v>2</v>
      </c>
      <c r="BH4" s="397">
        <f>IF(ISERROR('raw data'!GF4/'raw data'!GG4),0,'raw data'!GF4/'raw data'!GG4)</f>
        <v>0.5</v>
      </c>
      <c r="BI4" s="394">
        <f>'raw data'!GH4</f>
        <v>0</v>
      </c>
      <c r="BJ4" s="395">
        <f>'raw data'!GI4</f>
        <v>0</v>
      </c>
      <c r="BK4" s="397">
        <f>IF(ISERROR('raw data'!GH4/'raw data'!GI4),0,'raw data'!GH4/'raw data'!GI4)</f>
        <v>0</v>
      </c>
      <c r="BL4" s="394">
        <f>'raw data'!GJ4</f>
        <v>0</v>
      </c>
      <c r="BM4" s="395">
        <f>'raw data'!GK4</f>
        <v>0</v>
      </c>
      <c r="BN4" s="397">
        <f>IF(ISERROR('raw data'!GJ4/'raw data'!GK4),0,'raw data'!GJ4/'raw data'!GK4)</f>
        <v>0</v>
      </c>
      <c r="BO4" s="394">
        <f>'raw data'!GL4</f>
        <v>1</v>
      </c>
      <c r="BP4" s="395">
        <f>'raw data'!GM4</f>
        <v>3</v>
      </c>
      <c r="BQ4" s="397">
        <f>IF(ISERROR('raw data'!GL4/'raw data'!GM4),0,'raw data'!GL4/'raw data'!GM4)</f>
        <v>0.33333333333333331</v>
      </c>
      <c r="BR4" s="394">
        <f>'raw data'!GN4</f>
        <v>0</v>
      </c>
      <c r="BS4" s="395">
        <f>'raw data'!GO4</f>
        <v>3</v>
      </c>
      <c r="BT4" s="397">
        <f>IF(ISERROR('raw data'!GN4/'raw data'!GO4),0,'raw data'!GN4/'raw data'!GO4)</f>
        <v>0</v>
      </c>
      <c r="BU4" s="394">
        <f>'raw data'!GP4</f>
        <v>0</v>
      </c>
      <c r="BV4" s="395">
        <f>'raw data'!GQ4</f>
        <v>0</v>
      </c>
      <c r="BW4" s="397">
        <f>IF(ISERROR('raw data'!GP4/'raw data'!GQ4),0,'raw data'!GP4/'raw data'!GQ4)</f>
        <v>0</v>
      </c>
      <c r="BX4" s="394">
        <f>'raw data'!GR4</f>
        <v>0</v>
      </c>
      <c r="BY4" s="395">
        <f>'raw data'!GS4</f>
        <v>0</v>
      </c>
      <c r="BZ4" s="397">
        <f>IF(ISERROR('raw data'!GR4/'raw data'!GS4),0,'raw data'!GR4/'raw data'!GS4)</f>
        <v>0</v>
      </c>
      <c r="CA4" s="394">
        <f>'raw data'!GT4</f>
        <v>0</v>
      </c>
      <c r="CB4" s="395">
        <f>'raw data'!GU4</f>
        <v>1</v>
      </c>
      <c r="CC4" s="397">
        <f>IF(ISERROR('raw data'!GT4/'raw data'!GU4),0,'raw data'!GT4/'raw data'!GU4)</f>
        <v>0</v>
      </c>
      <c r="CD4" s="394">
        <f>'raw data'!GV4</f>
        <v>0</v>
      </c>
      <c r="CE4" s="395">
        <f>'raw data'!GW4</f>
        <v>0</v>
      </c>
      <c r="CF4" s="397">
        <f>IF(ISERROR('raw data'!GV4/'raw data'!GW4),0,'raw data'!GV4/'raw data'!GW4)</f>
        <v>0</v>
      </c>
      <c r="CG4" s="394">
        <f>'raw data'!GX4</f>
        <v>0</v>
      </c>
      <c r="CH4" s="395">
        <f>'raw data'!GY4</f>
        <v>0</v>
      </c>
      <c r="CI4" s="397">
        <f>IF(ISERROR('raw data'!GX4/'raw data'!GY4),0,'raw data'!GX4/'raw data'!GY4)</f>
        <v>0</v>
      </c>
      <c r="CJ4" s="394">
        <f>'raw data'!GZ4</f>
        <v>0</v>
      </c>
      <c r="CK4" s="395">
        <f>'raw data'!HA4</f>
        <v>0</v>
      </c>
      <c r="CL4" s="397">
        <f>IF(ISERROR('raw data'!GZ4/'raw data'!HA4),0,'raw data'!GZ4/'raw data'!HA4)</f>
        <v>0</v>
      </c>
      <c r="CM4" s="394">
        <f>'raw data'!HB4</f>
        <v>1</v>
      </c>
      <c r="CN4" s="395">
        <f>'raw data'!HC4</f>
        <v>1</v>
      </c>
      <c r="CO4" s="397">
        <f>IF(ISERROR('raw data'!HB4/'raw data'!HC4),0,'raw data'!HB4/'raw data'!HC4)</f>
        <v>1</v>
      </c>
      <c r="CP4" s="394">
        <f>'raw data'!HD4</f>
        <v>0</v>
      </c>
      <c r="CQ4" s="395">
        <f>'raw data'!HE4</f>
        <v>0</v>
      </c>
      <c r="CR4" s="397">
        <f>IF(ISERROR('raw data'!HD4/'raw data'!HE4),0,'raw data'!HD4/'raw data'!HE4)</f>
        <v>0</v>
      </c>
      <c r="CS4" s="394">
        <f>'raw data'!HF4</f>
        <v>0</v>
      </c>
      <c r="CT4" s="395">
        <f>'raw data'!HG4</f>
        <v>0</v>
      </c>
      <c r="CU4" s="397">
        <f>IF(ISERROR('raw data'!HF4/'raw data'!HG4),0,'raw data'!HF4/'raw data'!HG4)</f>
        <v>0</v>
      </c>
      <c r="CV4" s="394">
        <f>'raw data'!HH4</f>
        <v>0</v>
      </c>
      <c r="CW4" s="395">
        <f>'raw data'!HI4</f>
        <v>0</v>
      </c>
      <c r="CX4" s="397">
        <f>IF(ISERROR('raw data'!HH4/'raw data'!HI4),0,'raw data'!HH4/'raw data'!HI4)</f>
        <v>0</v>
      </c>
      <c r="CY4" s="394">
        <f>'raw data'!HJ4</f>
        <v>0</v>
      </c>
      <c r="CZ4" s="395">
        <f>'raw data'!HK4</f>
        <v>0</v>
      </c>
      <c r="DA4" s="397">
        <f>IF(ISERROR('raw data'!HJ4/'raw data'!HK4),0,'raw data'!HJ4/'raw data'!HK4)</f>
        <v>0</v>
      </c>
      <c r="DB4" s="394">
        <f>'raw data'!HL4</f>
        <v>0</v>
      </c>
      <c r="DC4" s="395">
        <f>'raw data'!HM4</f>
        <v>0</v>
      </c>
      <c r="DD4" s="397">
        <f>IF(ISERROR('raw data'!HL4/'raw data'!HM4),0,'raw data'!HL4/'raw data'!HM4)</f>
        <v>0</v>
      </c>
      <c r="DE4" s="394">
        <f>'raw data'!HN4</f>
        <v>1</v>
      </c>
      <c r="DF4" s="395">
        <f>'raw data'!HO4</f>
        <v>1</v>
      </c>
      <c r="DG4" s="397">
        <f>IF(ISERROR('raw data'!HN4/'raw data'!HO4),0,'raw data'!HN4/'raw data'!HO4)</f>
        <v>1</v>
      </c>
      <c r="DH4" s="394">
        <f>'raw data'!HP4</f>
        <v>0</v>
      </c>
      <c r="DI4" s="395">
        <f>'raw data'!HQ4</f>
        <v>0</v>
      </c>
      <c r="DJ4" s="397">
        <f>IF(ISERROR('raw data'!HP4/'raw data'!HQ4),0,'raw data'!HP4/'raw data'!HQ4)</f>
        <v>0</v>
      </c>
      <c r="DK4" s="394">
        <f>'raw data'!HR4</f>
        <v>0</v>
      </c>
      <c r="DL4" s="395">
        <f>'raw data'!HS4</f>
        <v>0</v>
      </c>
      <c r="DM4" s="397">
        <f>IF(ISERROR('raw data'!HR4/'raw data'!HS4),0,'raw data'!HR4/'raw data'!HS4)</f>
        <v>0</v>
      </c>
      <c r="DN4" s="394">
        <f>'raw data'!HT4</f>
        <v>0</v>
      </c>
      <c r="DO4" s="395">
        <f>'raw data'!HU4</f>
        <v>0</v>
      </c>
      <c r="DP4" s="397">
        <f>IF(ISERROR('raw data'!HT4/'raw data'!HU4),0,'raw data'!HT4/'raw data'!HU4)</f>
        <v>0</v>
      </c>
      <c r="DQ4" s="394">
        <f>'raw data'!HV4</f>
        <v>0</v>
      </c>
      <c r="DR4" s="395">
        <f>'raw data'!HW4</f>
        <v>1</v>
      </c>
      <c r="DS4" s="397">
        <f>IF(ISERROR('raw data'!HV4/'raw data'!HW4),0,'raw data'!HV4/'raw data'!HW4)</f>
        <v>0</v>
      </c>
      <c r="DT4" s="394">
        <f>'raw data'!HX4</f>
        <v>0</v>
      </c>
      <c r="DU4" s="395">
        <f>'raw data'!HY4</f>
        <v>2</v>
      </c>
      <c r="DV4" s="397">
        <f>IF(ISERROR('raw data'!HX4/'raw data'!HY4),0,'raw data'!HX4/'raw data'!HY4)</f>
        <v>0</v>
      </c>
      <c r="DW4" s="394">
        <f>'raw data'!HZ4</f>
        <v>0</v>
      </c>
      <c r="DX4" s="395">
        <f>'raw data'!IA4</f>
        <v>0</v>
      </c>
      <c r="DY4" s="397">
        <f>IF(ISERROR('raw data'!HZ4/'raw data'!IA4),0,'raw data'!HZ4/'raw data'!IA4)</f>
        <v>0</v>
      </c>
      <c r="DZ4" s="394">
        <f>'raw data'!IB4</f>
        <v>0</v>
      </c>
      <c r="EA4" s="395">
        <f>'raw data'!IC4</f>
        <v>1</v>
      </c>
      <c r="EB4" s="397">
        <f>IF(ISERROR('raw data'!IB4/'raw data'!IC4),0,'raw data'!IB4/'raw data'!IC4)</f>
        <v>0</v>
      </c>
      <c r="EC4" s="394">
        <f>'raw data'!ID4</f>
        <v>1</v>
      </c>
      <c r="ED4" s="395">
        <f>'raw data'!IE4</f>
        <v>2</v>
      </c>
      <c r="EE4" s="397">
        <f>IF(ISERROR('raw data'!ID4/'raw data'!IE4),0,'raw data'!ID4/'raw data'!IE4)</f>
        <v>0.5</v>
      </c>
      <c r="EF4" s="394">
        <f>'raw data'!IF4</f>
        <v>0</v>
      </c>
      <c r="EG4" s="395">
        <f>'raw data'!IG4</f>
        <v>2</v>
      </c>
      <c r="EH4" s="397">
        <f>IF(ISERROR('raw data'!IF4/'raw data'!IG4),0,'raw data'!IF4/'raw data'!IG4)</f>
        <v>0</v>
      </c>
      <c r="EI4" s="394">
        <f>'raw data'!IH4</f>
        <v>0</v>
      </c>
      <c r="EJ4" s="395">
        <f>'raw data'!II4</f>
        <v>1</v>
      </c>
      <c r="EK4" s="397">
        <f>IF(ISERROR('raw data'!IH4/'raw data'!II4),0,'raw data'!IH4/'raw data'!II4)</f>
        <v>0</v>
      </c>
      <c r="EL4" s="394">
        <f>'raw data'!IJ4</f>
        <v>0</v>
      </c>
      <c r="EM4" s="395">
        <f>'raw data'!IK4</f>
        <v>0</v>
      </c>
      <c r="EN4" s="397">
        <f>IF(ISERROR('raw data'!IJ4/'raw data'!IK4),0,'raw data'!IJ4/'raw data'!IK4)</f>
        <v>0</v>
      </c>
      <c r="EO4" s="394">
        <f>'raw data'!IL4</f>
        <v>0</v>
      </c>
      <c r="EP4" s="395">
        <f>'raw data'!IM4</f>
        <v>1</v>
      </c>
      <c r="EQ4" s="397">
        <f>IF(ISERROR('raw data'!IL4/'raw data'!IM4),0,'raw data'!IL4/'raw data'!IM4)</f>
        <v>0</v>
      </c>
      <c r="ER4" s="394">
        <f>'raw data'!IN4</f>
        <v>0</v>
      </c>
      <c r="ES4" s="395">
        <f>'raw data'!IO4</f>
        <v>0</v>
      </c>
      <c r="ET4" s="397">
        <f>IF(ISERROR('raw data'!IN4/'raw data'!IO4),0,'raw data'!IN4/'raw data'!IO4)</f>
        <v>0</v>
      </c>
      <c r="EU4" s="394">
        <f>'raw data'!IP4</f>
        <v>0</v>
      </c>
      <c r="EV4" s="395">
        <f>'raw data'!IQ4</f>
        <v>0</v>
      </c>
      <c r="EW4" s="397">
        <f>IF(ISERROR('raw data'!IP4/'raw data'!IQ4),0,'raw data'!IP4/'raw data'!IQ4)</f>
        <v>0</v>
      </c>
      <c r="EX4" s="394">
        <f>'raw data'!IR4</f>
        <v>0</v>
      </c>
      <c r="EY4" s="395">
        <f>'raw data'!IS4</f>
        <v>0</v>
      </c>
      <c r="EZ4" s="397">
        <f>IF(ISERROR('raw data'!IR4/'raw data'!IS4),0,'raw data'!IR4/'raw data'!IS4)</f>
        <v>0</v>
      </c>
      <c r="FA4" s="394">
        <f>'raw data'!IT4</f>
        <v>0</v>
      </c>
      <c r="FB4" s="395">
        <f>'raw data'!IU4</f>
        <v>0</v>
      </c>
      <c r="FC4" s="397">
        <f>IF(ISERROR('raw data'!IT4/'raw data'!IU4),0,'raw data'!IT4/'raw data'!IU4)</f>
        <v>0</v>
      </c>
      <c r="FD4" s="394">
        <f>'raw data'!IV4</f>
        <v>0</v>
      </c>
      <c r="FE4" s="395">
        <f>'raw data'!IW4</f>
        <v>1</v>
      </c>
      <c r="FF4" s="397">
        <f>IF(ISERROR('raw data'!IV4/'raw data'!IW4),0,'raw data'!IV4/'raw data'!IW4)</f>
        <v>0</v>
      </c>
      <c r="FG4" s="394">
        <f>'raw data'!IX4</f>
        <v>0</v>
      </c>
      <c r="FH4" s="395">
        <f>'raw data'!IY4</f>
        <v>0</v>
      </c>
      <c r="FI4" s="397">
        <f>IF(ISERROR('raw data'!IX4/'raw data'!IY4),0,'raw data'!IX4/'raw data'!IY4)</f>
        <v>0</v>
      </c>
      <c r="FJ4" s="394">
        <f>'raw data'!IZ4</f>
        <v>0</v>
      </c>
      <c r="FK4" s="395">
        <f>'raw data'!JA4</f>
        <v>0</v>
      </c>
      <c r="FL4" s="397">
        <f>IF(ISERROR('raw data'!IZ4/'raw data'!JA4),0,'raw data'!IZ4/'raw data'!JA4)</f>
        <v>0</v>
      </c>
      <c r="FM4" s="394">
        <f>'raw data'!JB4</f>
        <v>0</v>
      </c>
      <c r="FN4" s="395">
        <f>'raw data'!JC4</f>
        <v>0</v>
      </c>
      <c r="FO4" s="397">
        <f>IF(ISERROR('raw data'!JB4/'raw data'!JC4),0,'raw data'!JB4/'raw data'!JC4)</f>
        <v>0</v>
      </c>
      <c r="FP4" s="394">
        <f>'raw data'!JD4</f>
        <v>0</v>
      </c>
      <c r="FQ4" s="395">
        <f>'raw data'!JE4</f>
        <v>0</v>
      </c>
      <c r="FR4" s="397">
        <f>IF(ISERROR('raw data'!JD4/'raw data'!JE4),0,'raw data'!JD4/'raw data'!JE4)</f>
        <v>0</v>
      </c>
      <c r="FS4" s="388"/>
      <c r="FT4" s="398">
        <v>0</v>
      </c>
      <c r="FU4" s="399">
        <v>3</v>
      </c>
      <c r="FV4" s="400">
        <f t="shared" ref="FV4:FV109" si="0">IF(ISERROR(FT4/FU4),0,FT4/FU4)</f>
        <v>0</v>
      </c>
      <c r="FW4" s="229"/>
    </row>
    <row r="5" spans="1:179" ht="25.5" customHeight="1" x14ac:dyDescent="0.15">
      <c r="A5" s="392">
        <v>1.3</v>
      </c>
      <c r="B5" s="382" t="str">
        <f>'raw data'!B5</f>
        <v>Flex accounts with large number (7+) of branches used (CR, CQ, WD) and min cash credits of £1k per month.</v>
      </c>
      <c r="C5" s="401" t="s">
        <v>261</v>
      </c>
      <c r="D5" s="394">
        <f>'raw data'!ET5</f>
        <v>35</v>
      </c>
      <c r="E5" s="395">
        <f>'raw data'!EU5</f>
        <v>73</v>
      </c>
      <c r="F5" s="396">
        <f>IF(ISERROR('raw data'!ET5/'raw data'!EU5),0,'raw data'!ET5/'raw data'!EU5)</f>
        <v>0.47945205479452052</v>
      </c>
      <c r="G5" s="394">
        <f>'raw data'!EV5</f>
        <v>48</v>
      </c>
      <c r="H5" s="395">
        <f>'raw data'!EW5</f>
        <v>98</v>
      </c>
      <c r="I5" s="396">
        <f>IF(ISERROR('raw data'!EV5/'raw data'!EW5),0,'raw data'!EV5/'raw data'!EW5)</f>
        <v>0.48979591836734693</v>
      </c>
      <c r="J5" s="394">
        <f>'raw data'!EX5</f>
        <v>49</v>
      </c>
      <c r="K5" s="395">
        <f>'raw data'!EY5</f>
        <v>103</v>
      </c>
      <c r="L5" s="396">
        <f>IF(ISERROR('raw data'!EX5/'raw data'!EY5),0,'raw data'!EX5/'raw data'!EY5)</f>
        <v>0.47572815533980584</v>
      </c>
      <c r="M5" s="394">
        <f>'raw data'!EZ5</f>
        <v>35</v>
      </c>
      <c r="N5" s="395">
        <f>'raw data'!FA5</f>
        <v>66</v>
      </c>
      <c r="O5" s="396">
        <f>IF(ISERROR('raw data'!EZ5/'raw data'!FA5),0,'raw data'!EZ5/'raw data'!FA5)</f>
        <v>0.53030303030303028</v>
      </c>
      <c r="P5" s="394">
        <f>'raw data'!FB5</f>
        <v>48</v>
      </c>
      <c r="Q5" s="395">
        <f>'raw data'!FC5</f>
        <v>104</v>
      </c>
      <c r="R5" s="396">
        <f>IF(ISERROR('raw data'!FB5/'raw data'!FC5),0,'raw data'!FB5/'raw data'!FC5)</f>
        <v>0.46153846153846156</v>
      </c>
      <c r="S5" s="394">
        <f>'raw data'!FD5</f>
        <v>42</v>
      </c>
      <c r="T5" s="395">
        <f>'raw data'!FE5</f>
        <v>99</v>
      </c>
      <c r="U5" s="396">
        <f>IF(ISERROR('raw data'!FD5/'raw data'!FE5),0,'raw data'!FD5/'raw data'!FE5)</f>
        <v>0.42424242424242425</v>
      </c>
      <c r="V5" s="394">
        <f>'raw data'!FF5</f>
        <v>50</v>
      </c>
      <c r="W5" s="395">
        <f>'raw data'!FG5</f>
        <v>95</v>
      </c>
      <c r="X5" s="396">
        <f>IF(ISERROR('raw data'!FF5/'raw data'!FG5),0,'raw data'!FF5/'raw data'!FG5)</f>
        <v>0.52631578947368418</v>
      </c>
      <c r="Y5" s="394">
        <f>'raw data'!FH5</f>
        <v>37</v>
      </c>
      <c r="Z5" s="395">
        <f>'raw data'!FI5</f>
        <v>84</v>
      </c>
      <c r="AA5" s="396">
        <f>IF(ISERROR('raw data'!FH5/'raw data'!FI5),0,'raw data'!FH5/'raw data'!FI5)</f>
        <v>0.44047619047619047</v>
      </c>
      <c r="AB5" s="394">
        <f>'raw data'!FJ5</f>
        <v>42</v>
      </c>
      <c r="AC5" s="395">
        <f>'raw data'!FM5</f>
        <v>90</v>
      </c>
      <c r="AD5" s="396">
        <f>IF(ISERROR('raw data'!FJ5/'raw data'!FM5),0,'raw data'!FJ5/'raw data'!FM5)</f>
        <v>0.46666666666666667</v>
      </c>
      <c r="AE5" s="394">
        <f>'raw data'!FN5</f>
        <v>37</v>
      </c>
      <c r="AF5" s="395">
        <f>'raw data'!FO5</f>
        <v>106</v>
      </c>
      <c r="AG5" s="396">
        <f>IF(ISERROR('raw data'!FN5/'raw data'!FO5),0,'raw data'!FN5/'raw data'!FO5)</f>
        <v>0.34905660377358488</v>
      </c>
      <c r="AH5" s="394">
        <f>'raw data'!FP5</f>
        <v>12</v>
      </c>
      <c r="AI5" s="395">
        <f>'raw data'!FQ5</f>
        <v>25</v>
      </c>
      <c r="AJ5" s="396">
        <f>IF(ISERROR('raw data'!FP5/'raw data'!FQ5),0,'raw data'!FP5/'raw data'!FQ5)</f>
        <v>0.48</v>
      </c>
      <c r="AK5" s="394">
        <f>'raw data'!FR5</f>
        <v>13</v>
      </c>
      <c r="AL5" s="395">
        <f>'raw data'!FS5</f>
        <v>17</v>
      </c>
      <c r="AM5" s="396">
        <f>IF(ISERROR('raw data'!FR5/'raw data'!FS5),0,'raw data'!FR5/'raw data'!FS5)</f>
        <v>0.76470588235294112</v>
      </c>
      <c r="AN5" s="394">
        <f>'raw data'!FT5</f>
        <v>5</v>
      </c>
      <c r="AO5" s="395">
        <f>'raw data'!FU5</f>
        <v>13</v>
      </c>
      <c r="AP5" s="396">
        <f>IF(ISERROR('raw data'!FT5/'raw data'!FU5),0,'raw data'!FT5/'raw data'!FU5)</f>
        <v>0.38461538461538464</v>
      </c>
      <c r="AQ5" s="394">
        <f>'raw data'!FV5</f>
        <v>5</v>
      </c>
      <c r="AR5" s="395">
        <f>'raw data'!FW5</f>
        <v>20</v>
      </c>
      <c r="AS5" s="397">
        <f>IF(ISERROR('raw data'!FV5/'raw data'!FW5),0,'raw data'!FV5/'raw data'!FW5)</f>
        <v>0.25</v>
      </c>
      <c r="AT5" s="394">
        <f>'raw data'!FX5</f>
        <v>2</v>
      </c>
      <c r="AU5" s="395">
        <f>'raw data'!FY5</f>
        <v>6</v>
      </c>
      <c r="AV5" s="397">
        <f>IF(ISERROR('raw data'!FX5/'raw data'!FY5),0,'raw data'!FX5/'raw data'!FY5)</f>
        <v>0.33333333333333331</v>
      </c>
      <c r="AW5" s="394">
        <f>'raw data'!FZ5</f>
        <v>2</v>
      </c>
      <c r="AX5" s="395">
        <f>'raw data'!GA5</f>
        <v>3</v>
      </c>
      <c r="AY5" s="397">
        <f>IF(ISERROR('raw data'!FZ5/'raw data'!GA5),0,'raw data'!FZ5/'raw data'!GA5)</f>
        <v>0.66666666666666663</v>
      </c>
      <c r="AZ5" s="394">
        <f>'raw data'!GB5</f>
        <v>0</v>
      </c>
      <c r="BA5" s="395">
        <f>'raw data'!GC5</f>
        <v>0</v>
      </c>
      <c r="BB5" s="397">
        <f>IF(ISERROR('raw data'!GB5/'raw data'!GC5),0,'raw data'!GB5/'raw data'!GC5)</f>
        <v>0</v>
      </c>
      <c r="BC5" s="394">
        <f>'raw data'!GD5</f>
        <v>0</v>
      </c>
      <c r="BD5" s="395">
        <f>'raw data'!GE5</f>
        <v>0</v>
      </c>
      <c r="BE5" s="397">
        <f>IF(ISERROR('raw data'!GD5/'raw data'!GE5),0,'raw data'!GD5/'raw data'!GE5)</f>
        <v>0</v>
      </c>
      <c r="BF5" s="394">
        <f>'raw data'!GF5</f>
        <v>0</v>
      </c>
      <c r="BG5" s="395">
        <f>'raw data'!GG5</f>
        <v>3</v>
      </c>
      <c r="BH5" s="397">
        <f>IF(ISERROR('raw data'!GF5/'raw data'!GG5),0,'raw data'!GF5/'raw data'!GG5)</f>
        <v>0</v>
      </c>
      <c r="BI5" s="394">
        <f>'raw data'!GH5</f>
        <v>0</v>
      </c>
      <c r="BJ5" s="395">
        <f>'raw data'!GI5</f>
        <v>1</v>
      </c>
      <c r="BK5" s="397">
        <f>IF(ISERROR('raw data'!GH5/'raw data'!GI5),0,'raw data'!GH5/'raw data'!GI5)</f>
        <v>0</v>
      </c>
      <c r="BL5" s="394">
        <f>'raw data'!GJ5</f>
        <v>1</v>
      </c>
      <c r="BM5" s="395">
        <f>'raw data'!GK5</f>
        <v>2</v>
      </c>
      <c r="BN5" s="397">
        <f>IF(ISERROR('raw data'!GJ5/'raw data'!GK5),0,'raw data'!GJ5/'raw data'!GK5)</f>
        <v>0.5</v>
      </c>
      <c r="BO5" s="394">
        <f>'raw data'!GL5</f>
        <v>0</v>
      </c>
      <c r="BP5" s="395">
        <f>'raw data'!GM5</f>
        <v>1</v>
      </c>
      <c r="BQ5" s="397">
        <f>IF(ISERROR('raw data'!GL5/'raw data'!GM5),0,'raw data'!GL5/'raw data'!GM5)</f>
        <v>0</v>
      </c>
      <c r="BR5" s="394">
        <f>'raw data'!GN5</f>
        <v>1</v>
      </c>
      <c r="BS5" s="395">
        <f>'raw data'!GO5</f>
        <v>5</v>
      </c>
      <c r="BT5" s="397">
        <f>IF(ISERROR('raw data'!GN5/'raw data'!GO5),0,'raw data'!GN5/'raw data'!GO5)</f>
        <v>0.2</v>
      </c>
      <c r="BU5" s="394">
        <f>'raw data'!GP5</f>
        <v>1</v>
      </c>
      <c r="BV5" s="395">
        <f>'raw data'!GQ5</f>
        <v>2</v>
      </c>
      <c r="BW5" s="397">
        <f>IF(ISERROR('raw data'!GP5/'raw data'!GQ5),0,'raw data'!GP5/'raw data'!GQ5)</f>
        <v>0.5</v>
      </c>
      <c r="BX5" s="394">
        <f>'raw data'!GR5</f>
        <v>0</v>
      </c>
      <c r="BY5" s="395">
        <f>'raw data'!GS5</f>
        <v>1</v>
      </c>
      <c r="BZ5" s="397">
        <f>IF(ISERROR('raw data'!GR5/'raw data'!GS5),0,'raw data'!GR5/'raw data'!GS5)</f>
        <v>0</v>
      </c>
      <c r="CA5" s="394">
        <f>'raw data'!GT5</f>
        <v>0</v>
      </c>
      <c r="CB5" s="395">
        <f>'raw data'!GU5</f>
        <v>0</v>
      </c>
      <c r="CC5" s="397">
        <f>IF(ISERROR('raw data'!GT5/'raw data'!GU5),0,'raw data'!GT5/'raw data'!GU5)</f>
        <v>0</v>
      </c>
      <c r="CD5" s="394">
        <f>'raw data'!GV5</f>
        <v>1</v>
      </c>
      <c r="CE5" s="395">
        <f>'raw data'!GW5</f>
        <v>2</v>
      </c>
      <c r="CF5" s="397">
        <f>IF(ISERROR('raw data'!GV5/'raw data'!GW5),0,'raw data'!GV5/'raw data'!GW5)</f>
        <v>0.5</v>
      </c>
      <c r="CG5" s="394">
        <f>'raw data'!GX5</f>
        <v>0</v>
      </c>
      <c r="CH5" s="395">
        <f>'raw data'!GY5</f>
        <v>2</v>
      </c>
      <c r="CI5" s="397">
        <f>IF(ISERROR('raw data'!GX5/'raw data'!GY5),0,'raw data'!GX5/'raw data'!GY5)</f>
        <v>0</v>
      </c>
      <c r="CJ5" s="394">
        <f>'raw data'!GZ5</f>
        <v>0</v>
      </c>
      <c r="CK5" s="395">
        <f>'raw data'!HA5</f>
        <v>2</v>
      </c>
      <c r="CL5" s="397">
        <f>IF(ISERROR('raw data'!GZ5/'raw data'!HA5),0,'raw data'!GZ5/'raw data'!HA5)</f>
        <v>0</v>
      </c>
      <c r="CM5" s="394">
        <f>'raw data'!HB5</f>
        <v>1</v>
      </c>
      <c r="CN5" s="395">
        <f>'raw data'!HC5</f>
        <v>1</v>
      </c>
      <c r="CO5" s="397">
        <f>IF(ISERROR('raw data'!HB5/'raw data'!HC5),0,'raw data'!HB5/'raw data'!HC5)</f>
        <v>1</v>
      </c>
      <c r="CP5" s="394">
        <f>'raw data'!HD5</f>
        <v>0</v>
      </c>
      <c r="CQ5" s="395">
        <f>'raw data'!HE5</f>
        <v>1</v>
      </c>
      <c r="CR5" s="397">
        <f>IF(ISERROR('raw data'!HD5/'raw data'!HE5),0,'raw data'!HD5/'raw data'!HE5)</f>
        <v>0</v>
      </c>
      <c r="CS5" s="394">
        <f>'raw data'!HF5</f>
        <v>0</v>
      </c>
      <c r="CT5" s="395">
        <f>'raw data'!HG5</f>
        <v>0</v>
      </c>
      <c r="CU5" s="397">
        <f>IF(ISERROR('raw data'!HF5/'raw data'!HG5),0,'raw data'!HF5/'raw data'!HG5)</f>
        <v>0</v>
      </c>
      <c r="CV5" s="394">
        <f>'raw data'!HH5</f>
        <v>0</v>
      </c>
      <c r="CW5" s="395">
        <f>'raw data'!HI5</f>
        <v>1</v>
      </c>
      <c r="CX5" s="397">
        <f>IF(ISERROR('raw data'!HH5/'raw data'!HI5),0,'raw data'!HH5/'raw data'!HI5)</f>
        <v>0</v>
      </c>
      <c r="CY5" s="394">
        <f>'raw data'!HJ5</f>
        <v>1</v>
      </c>
      <c r="CZ5" s="395">
        <f>'raw data'!HK5</f>
        <v>4</v>
      </c>
      <c r="DA5" s="397">
        <f>IF(ISERROR('raw data'!HJ5/'raw data'!HK5),0,'raw data'!HJ5/'raw data'!HK5)</f>
        <v>0.25</v>
      </c>
      <c r="DB5" s="394">
        <f>'raw data'!HL5</f>
        <v>0</v>
      </c>
      <c r="DC5" s="395">
        <f>'raw data'!HM5</f>
        <v>0</v>
      </c>
      <c r="DD5" s="397">
        <f>IF(ISERROR('raw data'!HL5/'raw data'!HM5),0,'raw data'!HL5/'raw data'!HM5)</f>
        <v>0</v>
      </c>
      <c r="DE5" s="394">
        <f>'raw data'!HN5</f>
        <v>0</v>
      </c>
      <c r="DF5" s="395">
        <f>'raw data'!HO5</f>
        <v>1</v>
      </c>
      <c r="DG5" s="397">
        <f>IF(ISERROR('raw data'!HN5/'raw data'!HO5),0,'raw data'!HN5/'raw data'!HO5)</f>
        <v>0</v>
      </c>
      <c r="DH5" s="394">
        <f>'raw data'!HP5</f>
        <v>1</v>
      </c>
      <c r="DI5" s="395">
        <f>'raw data'!HQ5</f>
        <v>4</v>
      </c>
      <c r="DJ5" s="397">
        <f>IF(ISERROR('raw data'!HP5/'raw data'!HQ5),0,'raw data'!HP5/'raw data'!HQ5)</f>
        <v>0.25</v>
      </c>
      <c r="DK5" s="394">
        <f>'raw data'!HR5</f>
        <v>0</v>
      </c>
      <c r="DL5" s="395">
        <f>'raw data'!HS5</f>
        <v>0</v>
      </c>
      <c r="DM5" s="397">
        <f>IF(ISERROR('raw data'!HR5/'raw data'!HS5),0,'raw data'!HR5/'raw data'!HS5)</f>
        <v>0</v>
      </c>
      <c r="DN5" s="394">
        <f>'raw data'!HT5</f>
        <v>1</v>
      </c>
      <c r="DO5" s="395">
        <f>'raw data'!HU5</f>
        <v>1</v>
      </c>
      <c r="DP5" s="397">
        <f>IF(ISERROR('raw data'!HT5/'raw data'!HU5),0,'raw data'!HT5/'raw data'!HU5)</f>
        <v>1</v>
      </c>
      <c r="DQ5" s="394">
        <f>'raw data'!HV5</f>
        <v>0</v>
      </c>
      <c r="DR5" s="395">
        <f>'raw data'!HW5</f>
        <v>0</v>
      </c>
      <c r="DS5" s="397">
        <f>IF(ISERROR('raw data'!HV5/'raw data'!HW5),0,'raw data'!HV5/'raw data'!HW5)</f>
        <v>0</v>
      </c>
      <c r="DT5" s="394">
        <f>'raw data'!HX5</f>
        <v>0</v>
      </c>
      <c r="DU5" s="395">
        <f>'raw data'!HY5</f>
        <v>1</v>
      </c>
      <c r="DV5" s="397">
        <f>IF(ISERROR('raw data'!HX5/'raw data'!HY5),0,'raw data'!HX5/'raw data'!HY5)</f>
        <v>0</v>
      </c>
      <c r="DW5" s="394">
        <f>'raw data'!HZ5</f>
        <v>0</v>
      </c>
      <c r="DX5" s="395">
        <f>'raw data'!IA5</f>
        <v>0</v>
      </c>
      <c r="DY5" s="397">
        <f>IF(ISERROR('raw data'!HZ5/'raw data'!IA5),0,'raw data'!HZ5/'raw data'!IA5)</f>
        <v>0</v>
      </c>
      <c r="DZ5" s="394">
        <f>'raw data'!IB5</f>
        <v>0</v>
      </c>
      <c r="EA5" s="395">
        <f>'raw data'!IC5</f>
        <v>0</v>
      </c>
      <c r="EB5" s="397">
        <f>IF(ISERROR('raw data'!IB5/'raw data'!IC5),0,'raw data'!IB5/'raw data'!IC5)</f>
        <v>0</v>
      </c>
      <c r="EC5" s="394">
        <f>'raw data'!ID5</f>
        <v>0</v>
      </c>
      <c r="ED5" s="395">
        <f>'raw data'!IE5</f>
        <v>0</v>
      </c>
      <c r="EE5" s="397">
        <f>IF(ISERROR('raw data'!ID5/'raw data'!IE5),0,'raw data'!ID5/'raw data'!IE5)</f>
        <v>0</v>
      </c>
      <c r="EF5" s="394">
        <f>'raw data'!IF5</f>
        <v>0</v>
      </c>
      <c r="EG5" s="395">
        <f>'raw data'!IG5</f>
        <v>0</v>
      </c>
      <c r="EH5" s="397">
        <f>IF(ISERROR('raw data'!IF5/'raw data'!IG5),0,'raw data'!IF5/'raw data'!IG5)</f>
        <v>0</v>
      </c>
      <c r="EI5" s="394">
        <f>'raw data'!IH5</f>
        <v>0</v>
      </c>
      <c r="EJ5" s="395">
        <f>'raw data'!II5</f>
        <v>0</v>
      </c>
      <c r="EK5" s="397">
        <f>IF(ISERROR('raw data'!IH5/'raw data'!II5),0,'raw data'!IH5/'raw data'!II5)</f>
        <v>0</v>
      </c>
      <c r="EL5" s="394">
        <f>'raw data'!IJ5</f>
        <v>0</v>
      </c>
      <c r="EM5" s="395">
        <f>'raw data'!IK5</f>
        <v>0</v>
      </c>
      <c r="EN5" s="397">
        <f>IF(ISERROR('raw data'!IJ5/'raw data'!IK5),0,'raw data'!IJ5/'raw data'!IK5)</f>
        <v>0</v>
      </c>
      <c r="EO5" s="394">
        <f>'raw data'!IL5</f>
        <v>0</v>
      </c>
      <c r="EP5" s="395">
        <f>'raw data'!IM5</f>
        <v>0</v>
      </c>
      <c r="EQ5" s="397">
        <f>IF(ISERROR('raw data'!IL5/'raw data'!IM5),0,'raw data'!IL5/'raw data'!IM5)</f>
        <v>0</v>
      </c>
      <c r="ER5" s="394">
        <f>'raw data'!IN5</f>
        <v>0</v>
      </c>
      <c r="ES5" s="395">
        <f>'raw data'!IO5</f>
        <v>0</v>
      </c>
      <c r="ET5" s="397">
        <f>IF(ISERROR('raw data'!IN5/'raw data'!IO5),0,'raw data'!IN5/'raw data'!IO5)</f>
        <v>0</v>
      </c>
      <c r="EU5" s="394">
        <f>'raw data'!IP5</f>
        <v>0</v>
      </c>
      <c r="EV5" s="395">
        <f>'raw data'!IQ5</f>
        <v>0</v>
      </c>
      <c r="EW5" s="397">
        <f>IF(ISERROR('raw data'!IP5/'raw data'!IQ5),0,'raw data'!IP5/'raw data'!IQ5)</f>
        <v>0</v>
      </c>
      <c r="EX5" s="394">
        <f>'raw data'!IR5</f>
        <v>0</v>
      </c>
      <c r="EY5" s="395">
        <f>'raw data'!IS5</f>
        <v>0</v>
      </c>
      <c r="EZ5" s="397">
        <f>IF(ISERROR('raw data'!IR5/'raw data'!IS5),0,'raw data'!IR5/'raw data'!IS5)</f>
        <v>0</v>
      </c>
      <c r="FA5" s="394">
        <f>'raw data'!IT5</f>
        <v>0</v>
      </c>
      <c r="FB5" s="395">
        <f>'raw data'!IU5</f>
        <v>0</v>
      </c>
      <c r="FC5" s="397">
        <f>IF(ISERROR('raw data'!IT5/'raw data'!IU5),0,'raw data'!IT5/'raw data'!IU5)</f>
        <v>0</v>
      </c>
      <c r="FD5" s="394">
        <f>'raw data'!IV5</f>
        <v>0</v>
      </c>
      <c r="FE5" s="395">
        <f>'raw data'!IW5</f>
        <v>0</v>
      </c>
      <c r="FF5" s="397">
        <f>IF(ISERROR('raw data'!IV5/'raw data'!IW5),0,'raw data'!IV5/'raw data'!IW5)</f>
        <v>0</v>
      </c>
      <c r="FG5" s="394">
        <f>'raw data'!IX5</f>
        <v>0</v>
      </c>
      <c r="FH5" s="395">
        <f>'raw data'!IY5</f>
        <v>0</v>
      </c>
      <c r="FI5" s="397">
        <f>IF(ISERROR('raw data'!IX5/'raw data'!IY5),0,'raw data'!IX5/'raw data'!IY5)</f>
        <v>0</v>
      </c>
      <c r="FJ5" s="394">
        <f>'raw data'!IZ5</f>
        <v>0</v>
      </c>
      <c r="FK5" s="395">
        <f>'raw data'!JA5</f>
        <v>0</v>
      </c>
      <c r="FL5" s="397">
        <f>IF(ISERROR('raw data'!IZ5/'raw data'!JA5),0,'raw data'!IZ5/'raw data'!JA5)</f>
        <v>0</v>
      </c>
      <c r="FM5" s="394">
        <f>'raw data'!JB5</f>
        <v>0</v>
      </c>
      <c r="FN5" s="395">
        <f>'raw data'!JC5</f>
        <v>0</v>
      </c>
      <c r="FO5" s="397">
        <f>IF(ISERROR('raw data'!JB5/'raw data'!JC5),0,'raw data'!JB5/'raw data'!JC5)</f>
        <v>0</v>
      </c>
      <c r="FP5" s="394">
        <f>'raw data'!JD5</f>
        <v>0</v>
      </c>
      <c r="FQ5" s="395">
        <f>'raw data'!JE5</f>
        <v>0</v>
      </c>
      <c r="FR5" s="397">
        <f>IF(ISERROR('raw data'!JD5/'raw data'!JE5),0,'raw data'!JD5/'raw data'!JE5)</f>
        <v>0</v>
      </c>
      <c r="FS5" s="388"/>
      <c r="FT5" s="398">
        <v>0</v>
      </c>
      <c r="FU5" s="399">
        <v>0</v>
      </c>
      <c r="FV5" s="400">
        <f t="shared" si="0"/>
        <v>0</v>
      </c>
    </row>
    <row r="6" spans="1:179" ht="25.5" customHeight="1" x14ac:dyDescent="0.15">
      <c r="A6" s="392">
        <v>1.4</v>
      </c>
      <c r="B6" s="382" t="str">
        <f>'raw data'!B6</f>
        <v>Savings accounts with large number (7+) of branches used (CR, CQ, WD) and min cash credits of £1k per month.</v>
      </c>
      <c r="C6" s="401" t="s">
        <v>262</v>
      </c>
      <c r="D6" s="394">
        <f>'raw data'!ET6</f>
        <v>7</v>
      </c>
      <c r="E6" s="395">
        <f>'raw data'!EU6</f>
        <v>25</v>
      </c>
      <c r="F6" s="396">
        <f>IF(ISERROR('raw data'!ET6/'raw data'!EU6),0,'raw data'!ET6/'raw data'!EU6)</f>
        <v>0.28000000000000003</v>
      </c>
      <c r="G6" s="394">
        <f>'raw data'!EV6</f>
        <v>2</v>
      </c>
      <c r="H6" s="395">
        <f>'raw data'!EW6</f>
        <v>35</v>
      </c>
      <c r="I6" s="396">
        <f>IF(ISERROR('raw data'!EV6/'raw data'!EW6),0,'raw data'!EV6/'raw data'!EW6)</f>
        <v>5.7142857142857141E-2</v>
      </c>
      <c r="J6" s="394">
        <f>'raw data'!EX6</f>
        <v>8</v>
      </c>
      <c r="K6" s="395">
        <f>'raw data'!EY6</f>
        <v>36</v>
      </c>
      <c r="L6" s="396">
        <f>IF(ISERROR('raw data'!EX6/'raw data'!EY6),0,'raw data'!EX6/'raw data'!EY6)</f>
        <v>0.22222222222222221</v>
      </c>
      <c r="M6" s="394">
        <f>'raw data'!EZ6</f>
        <v>5</v>
      </c>
      <c r="N6" s="395">
        <f>'raw data'!FA6</f>
        <v>29</v>
      </c>
      <c r="O6" s="396">
        <f>IF(ISERROR('raw data'!EZ6/'raw data'!FA6),0,'raw data'!EZ6/'raw data'!FA6)</f>
        <v>0.17241379310344829</v>
      </c>
      <c r="P6" s="394">
        <f>'raw data'!FB6</f>
        <v>9</v>
      </c>
      <c r="Q6" s="395">
        <f>'raw data'!FC6</f>
        <v>28</v>
      </c>
      <c r="R6" s="396">
        <f>IF(ISERROR('raw data'!FB6/'raw data'!FC6),0,'raw data'!FB6/'raw data'!FC6)</f>
        <v>0.32142857142857145</v>
      </c>
      <c r="S6" s="394">
        <f>'raw data'!FD6</f>
        <v>2</v>
      </c>
      <c r="T6" s="395">
        <f>'raw data'!FE6</f>
        <v>33</v>
      </c>
      <c r="U6" s="396">
        <f>IF(ISERROR('raw data'!FD6/'raw data'!FE6),0,'raw data'!FD6/'raw data'!FE6)</f>
        <v>6.0606060606060608E-2</v>
      </c>
      <c r="V6" s="394">
        <f>'raw data'!FF6</f>
        <v>13</v>
      </c>
      <c r="W6" s="395">
        <f>'raw data'!FG6</f>
        <v>47</v>
      </c>
      <c r="X6" s="396">
        <f>IF(ISERROR('raw data'!FF6/'raw data'!FG6),0,'raw data'!FF6/'raw data'!FG6)</f>
        <v>0.27659574468085107</v>
      </c>
      <c r="Y6" s="394">
        <f>'raw data'!FH6</f>
        <v>5</v>
      </c>
      <c r="Z6" s="395">
        <f>'raw data'!FI6</f>
        <v>37</v>
      </c>
      <c r="AA6" s="396">
        <f>IF(ISERROR('raw data'!FH6/'raw data'!FI6),0,'raw data'!FH6/'raw data'!FI6)</f>
        <v>0.13513513513513514</v>
      </c>
      <c r="AB6" s="394">
        <f>'raw data'!FJ6</f>
        <v>1</v>
      </c>
      <c r="AC6" s="395">
        <f>'raw data'!FM6</f>
        <v>19</v>
      </c>
      <c r="AD6" s="396">
        <f>IF(ISERROR('raw data'!FJ6/'raw data'!FM6),0,'raw data'!FJ6/'raw data'!FM6)</f>
        <v>5.2631578947368418E-2</v>
      </c>
      <c r="AE6" s="394">
        <f>'raw data'!FN6</f>
        <v>2</v>
      </c>
      <c r="AF6" s="395">
        <f>'raw data'!FO6</f>
        <v>24</v>
      </c>
      <c r="AG6" s="396">
        <f>IF(ISERROR('raw data'!FN6/'raw data'!FO6),0,'raw data'!FN6/'raw data'!FO6)</f>
        <v>8.3333333333333329E-2</v>
      </c>
      <c r="AH6" s="394">
        <f>'raw data'!FP6</f>
        <v>6</v>
      </c>
      <c r="AI6" s="395">
        <f>'raw data'!FQ6</f>
        <v>22</v>
      </c>
      <c r="AJ6" s="396">
        <f>IF(ISERROR('raw data'!FP6/'raw data'!FQ6),0,'raw data'!FP6/'raw data'!FQ6)</f>
        <v>0.27272727272727271</v>
      </c>
      <c r="AK6" s="394">
        <f>'raw data'!FR6</f>
        <v>4</v>
      </c>
      <c r="AL6" s="395">
        <f>'raw data'!FS6</f>
        <v>21</v>
      </c>
      <c r="AM6" s="396">
        <f>IF(ISERROR('raw data'!FR6/'raw data'!FS6),0,'raw data'!FR6/'raw data'!FS6)</f>
        <v>0.19047619047619047</v>
      </c>
      <c r="AN6" s="394">
        <f>'raw data'!FT6</f>
        <v>1</v>
      </c>
      <c r="AO6" s="395">
        <f>'raw data'!FU6</f>
        <v>32</v>
      </c>
      <c r="AP6" s="396">
        <f>IF(ISERROR('raw data'!FT6/'raw data'!FU6),0,'raw data'!FT6/'raw data'!FU6)</f>
        <v>3.125E-2</v>
      </c>
      <c r="AQ6" s="394">
        <f>'raw data'!FV6</f>
        <v>2</v>
      </c>
      <c r="AR6" s="395">
        <f>'raw data'!FW6</f>
        <v>17</v>
      </c>
      <c r="AS6" s="397">
        <f>IF(ISERROR('raw data'!FV6/'raw data'!FW6),0,'raw data'!FV6/'raw data'!FW6)</f>
        <v>0.11764705882352941</v>
      </c>
      <c r="AT6" s="394">
        <f>'raw data'!FX6</f>
        <v>3</v>
      </c>
      <c r="AU6" s="395">
        <f>'raw data'!FY6</f>
        <v>20</v>
      </c>
      <c r="AV6" s="397">
        <f>IF(ISERROR('raw data'!FX6/'raw data'!FY6),0,'raw data'!FX6/'raw data'!FY6)</f>
        <v>0.15</v>
      </c>
      <c r="AW6" s="394">
        <f>'raw data'!FZ6</f>
        <v>1</v>
      </c>
      <c r="AX6" s="395">
        <f>'raw data'!GA6</f>
        <v>10</v>
      </c>
      <c r="AY6" s="397">
        <f>IF(ISERROR('raw data'!FZ6/'raw data'!GA6),0,'raw data'!FZ6/'raw data'!GA6)</f>
        <v>0.1</v>
      </c>
      <c r="AZ6" s="394">
        <f>'raw data'!GB6</f>
        <v>2</v>
      </c>
      <c r="BA6" s="395">
        <f>'raw data'!GC6</f>
        <v>20</v>
      </c>
      <c r="BB6" s="397">
        <f>IF(ISERROR('raw data'!GB6/'raw data'!GC6),0,'raw data'!GB6/'raw data'!GC6)</f>
        <v>0.1</v>
      </c>
      <c r="BC6" s="394">
        <f>'raw data'!GD6</f>
        <v>5</v>
      </c>
      <c r="BD6" s="395">
        <f>'raw data'!GE6</f>
        <v>18</v>
      </c>
      <c r="BE6" s="397">
        <f>IF(ISERROR('raw data'!GD6/'raw data'!GE6),0,'raw data'!GD6/'raw data'!GE6)</f>
        <v>0.27777777777777779</v>
      </c>
      <c r="BF6" s="394">
        <f>'raw data'!GF6</f>
        <v>3</v>
      </c>
      <c r="BG6" s="395">
        <f>'raw data'!GG6</f>
        <v>20</v>
      </c>
      <c r="BH6" s="397">
        <f>IF(ISERROR('raw data'!GF6/'raw data'!GG6),0,'raw data'!GF6/'raw data'!GG6)</f>
        <v>0.15</v>
      </c>
      <c r="BI6" s="394">
        <f>'raw data'!GH6</f>
        <v>4</v>
      </c>
      <c r="BJ6" s="395">
        <f>'raw data'!GI6</f>
        <v>15</v>
      </c>
      <c r="BK6" s="397">
        <f>IF(ISERROR('raw data'!GH6/'raw data'!GI6),0,'raw data'!GH6/'raw data'!GI6)</f>
        <v>0.26666666666666666</v>
      </c>
      <c r="BL6" s="394">
        <f>'raw data'!GJ6</f>
        <v>0</v>
      </c>
      <c r="BM6" s="395">
        <f>'raw data'!GK6</f>
        <v>10</v>
      </c>
      <c r="BN6" s="397">
        <f>IF(ISERROR('raw data'!GJ6/'raw data'!GK6),0,'raw data'!GJ6/'raw data'!GK6)</f>
        <v>0</v>
      </c>
      <c r="BO6" s="394">
        <f>'raw data'!GL6</f>
        <v>5</v>
      </c>
      <c r="BP6" s="395">
        <f>'raw data'!GM6</f>
        <v>16</v>
      </c>
      <c r="BQ6" s="397">
        <f>IF(ISERROR('raw data'!GL6/'raw data'!GM6),0,'raw data'!GL6/'raw data'!GM6)</f>
        <v>0.3125</v>
      </c>
      <c r="BR6" s="394">
        <f>'raw data'!GN6</f>
        <v>1</v>
      </c>
      <c r="BS6" s="395">
        <f>'raw data'!GO6</f>
        <v>16</v>
      </c>
      <c r="BT6" s="397">
        <f>IF(ISERROR('raw data'!GN6/'raw data'!GO6),0,'raw data'!GN6/'raw data'!GO6)</f>
        <v>6.25E-2</v>
      </c>
      <c r="BU6" s="394">
        <f>'raw data'!GP6</f>
        <v>0</v>
      </c>
      <c r="BV6" s="395">
        <f>'raw data'!GQ6</f>
        <v>6</v>
      </c>
      <c r="BW6" s="397">
        <f>IF(ISERROR('raw data'!GP6/'raw data'!GQ6),0,'raw data'!GP6/'raw data'!GQ6)</f>
        <v>0</v>
      </c>
      <c r="BX6" s="394">
        <f>'raw data'!GR6</f>
        <v>2</v>
      </c>
      <c r="BY6" s="395">
        <f>'raw data'!GS6</f>
        <v>10</v>
      </c>
      <c r="BZ6" s="397">
        <f>IF(ISERROR('raw data'!GR6/'raw data'!GS6),0,'raw data'!GR6/'raw data'!GS6)</f>
        <v>0.2</v>
      </c>
      <c r="CA6" s="394">
        <f>'raw data'!GT6</f>
        <v>0</v>
      </c>
      <c r="CB6" s="395">
        <f>'raw data'!GU6</f>
        <v>13</v>
      </c>
      <c r="CC6" s="397">
        <f>IF(ISERROR('raw data'!GT6/'raw data'!GU6),0,'raw data'!GT6/'raw data'!GU6)</f>
        <v>0</v>
      </c>
      <c r="CD6" s="394">
        <f>'raw data'!GV6</f>
        <v>2</v>
      </c>
      <c r="CE6" s="395">
        <f>'raw data'!GW6</f>
        <v>11</v>
      </c>
      <c r="CF6" s="397">
        <f>IF(ISERROR('raw data'!GV6/'raw data'!GW6),0,'raw data'!GV6/'raw data'!GW6)</f>
        <v>0.18181818181818182</v>
      </c>
      <c r="CG6" s="394">
        <f>'raw data'!GX6</f>
        <v>1</v>
      </c>
      <c r="CH6" s="395">
        <f>'raw data'!GY6</f>
        <v>9</v>
      </c>
      <c r="CI6" s="397">
        <f>IF(ISERROR('raw data'!GX6/'raw data'!GY6),0,'raw data'!GX6/'raw data'!GY6)</f>
        <v>0.1111111111111111</v>
      </c>
      <c r="CJ6" s="394">
        <f>'raw data'!GZ6</f>
        <v>1</v>
      </c>
      <c r="CK6" s="395">
        <f>'raw data'!HA6</f>
        <v>9</v>
      </c>
      <c r="CL6" s="397">
        <f>IF(ISERROR('raw data'!GZ6/'raw data'!HA6),0,'raw data'!GZ6/'raw data'!HA6)</f>
        <v>0.1111111111111111</v>
      </c>
      <c r="CM6" s="394">
        <f>'raw data'!HB6</f>
        <v>2</v>
      </c>
      <c r="CN6" s="395">
        <f>'raw data'!HC6</f>
        <v>13</v>
      </c>
      <c r="CO6" s="397">
        <f>IF(ISERROR('raw data'!HB6/'raw data'!HC6),0,'raw data'!HB6/'raw data'!HC6)</f>
        <v>0.15384615384615385</v>
      </c>
      <c r="CP6" s="394">
        <f>'raw data'!HD6</f>
        <v>3</v>
      </c>
      <c r="CQ6" s="395">
        <f>'raw data'!HE6</f>
        <v>16</v>
      </c>
      <c r="CR6" s="397">
        <f>IF(ISERROR('raw data'!HD6/'raw data'!HE6),0,'raw data'!HD6/'raw data'!HE6)</f>
        <v>0.1875</v>
      </c>
      <c r="CS6" s="394">
        <f>'raw data'!HF6</f>
        <v>1</v>
      </c>
      <c r="CT6" s="395">
        <f>'raw data'!HG6</f>
        <v>15</v>
      </c>
      <c r="CU6" s="397">
        <f>IF(ISERROR('raw data'!HF6/'raw data'!HG6),0,'raw data'!HF6/'raw data'!HG6)</f>
        <v>6.6666666666666666E-2</v>
      </c>
      <c r="CV6" s="394">
        <f>'raw data'!HH6</f>
        <v>0</v>
      </c>
      <c r="CW6" s="395">
        <f>'raw data'!HI6</f>
        <v>4</v>
      </c>
      <c r="CX6" s="397">
        <f>IF(ISERROR('raw data'!HH6/'raw data'!HI6),0,'raw data'!HH6/'raw data'!HI6)</f>
        <v>0</v>
      </c>
      <c r="CY6" s="394">
        <f>'raw data'!HJ6</f>
        <v>2</v>
      </c>
      <c r="CZ6" s="395">
        <f>'raw data'!HK6</f>
        <v>11</v>
      </c>
      <c r="DA6" s="397">
        <f>IF(ISERROR('raw data'!HJ6/'raw data'!HK6),0,'raw data'!HJ6/'raw data'!HK6)</f>
        <v>0.18181818181818182</v>
      </c>
      <c r="DB6" s="394">
        <f>'raw data'!HL6</f>
        <v>0</v>
      </c>
      <c r="DC6" s="395">
        <f>'raw data'!HM6</f>
        <v>6</v>
      </c>
      <c r="DD6" s="397">
        <f>IF(ISERROR('raw data'!HL6/'raw data'!HM6),0,'raw data'!HL6/'raw data'!HM6)</f>
        <v>0</v>
      </c>
      <c r="DE6" s="394">
        <f>'raw data'!HN6</f>
        <v>0</v>
      </c>
      <c r="DF6" s="395">
        <f>'raw data'!HO6</f>
        <v>5</v>
      </c>
      <c r="DG6" s="397">
        <f>IF(ISERROR('raw data'!HN6/'raw data'!HO6),0,'raw data'!HN6/'raw data'!HO6)</f>
        <v>0</v>
      </c>
      <c r="DH6" s="394">
        <f>'raw data'!HP6</f>
        <v>0</v>
      </c>
      <c r="DI6" s="395">
        <f>'raw data'!HQ6</f>
        <v>5</v>
      </c>
      <c r="DJ6" s="397">
        <f>IF(ISERROR('raw data'!HP6/'raw data'!HQ6),0,'raw data'!HP6/'raw data'!HQ6)</f>
        <v>0</v>
      </c>
      <c r="DK6" s="394">
        <f>'raw data'!HR6</f>
        <v>1</v>
      </c>
      <c r="DL6" s="395">
        <f>'raw data'!HS6</f>
        <v>6</v>
      </c>
      <c r="DM6" s="397">
        <f>IF(ISERROR('raw data'!HR6/'raw data'!HS6),0,'raw data'!HR6/'raw data'!HS6)</f>
        <v>0.16666666666666666</v>
      </c>
      <c r="DN6" s="394">
        <f>'raw data'!HT6</f>
        <v>0</v>
      </c>
      <c r="DO6" s="395">
        <f>'raw data'!HU6</f>
        <v>3</v>
      </c>
      <c r="DP6" s="397">
        <f>IF(ISERROR('raw data'!HT6/'raw data'!HU6),0,'raw data'!HT6/'raw data'!HU6)</f>
        <v>0</v>
      </c>
      <c r="DQ6" s="394">
        <f>'raw data'!HV6</f>
        <v>0</v>
      </c>
      <c r="DR6" s="395">
        <f>'raw data'!HW6</f>
        <v>0</v>
      </c>
      <c r="DS6" s="397">
        <f>IF(ISERROR('raw data'!HV6/'raw data'!HW6),0,'raw data'!HV6/'raw data'!HW6)</f>
        <v>0</v>
      </c>
      <c r="DT6" s="394">
        <f>'raw data'!HX6</f>
        <v>0</v>
      </c>
      <c r="DU6" s="395">
        <f>'raw data'!HY6</f>
        <v>0</v>
      </c>
      <c r="DV6" s="397">
        <f>IF(ISERROR('raw data'!HX6/'raw data'!HY6),0,'raw data'!HX6/'raw data'!HY6)</f>
        <v>0</v>
      </c>
      <c r="DW6" s="394">
        <f>'raw data'!HZ6</f>
        <v>0</v>
      </c>
      <c r="DX6" s="395">
        <f>'raw data'!IA6</f>
        <v>0</v>
      </c>
      <c r="DY6" s="397">
        <f>IF(ISERROR('raw data'!HZ6/'raw data'!IA6),0,'raw data'!HZ6/'raw data'!IA6)</f>
        <v>0</v>
      </c>
      <c r="DZ6" s="394">
        <f>'raw data'!IB6</f>
        <v>0</v>
      </c>
      <c r="EA6" s="395">
        <f>'raw data'!IC6</f>
        <v>5</v>
      </c>
      <c r="EB6" s="397">
        <f>IF(ISERROR('raw data'!IB6/'raw data'!IC6),0,'raw data'!IB6/'raw data'!IC6)</f>
        <v>0</v>
      </c>
      <c r="EC6" s="394">
        <f>'raw data'!ID6</f>
        <v>1</v>
      </c>
      <c r="ED6" s="395">
        <f>'raw data'!IE6</f>
        <v>1</v>
      </c>
      <c r="EE6" s="397">
        <f>IF(ISERROR('raw data'!ID6/'raw data'!IE6),0,'raw data'!ID6/'raw data'!IE6)</f>
        <v>1</v>
      </c>
      <c r="EF6" s="394">
        <f>'raw data'!IF6</f>
        <v>1</v>
      </c>
      <c r="EG6" s="395">
        <f>'raw data'!IG6</f>
        <v>1</v>
      </c>
      <c r="EH6" s="397">
        <f>IF(ISERROR('raw data'!IF6/'raw data'!IG6),0,'raw data'!IF6/'raw data'!IG6)</f>
        <v>1</v>
      </c>
      <c r="EI6" s="394">
        <f>'raw data'!IH6</f>
        <v>0</v>
      </c>
      <c r="EJ6" s="395">
        <f>'raw data'!II6</f>
        <v>2</v>
      </c>
      <c r="EK6" s="397">
        <f>IF(ISERROR('raw data'!IH6/'raw data'!II6),0,'raw data'!IH6/'raw data'!II6)</f>
        <v>0</v>
      </c>
      <c r="EL6" s="394">
        <f>'raw data'!IJ6</f>
        <v>0</v>
      </c>
      <c r="EM6" s="395">
        <f>'raw data'!IK6</f>
        <v>1</v>
      </c>
      <c r="EN6" s="397">
        <f>IF(ISERROR('raw data'!IJ6/'raw data'!IK6),0,'raw data'!IJ6/'raw data'!IK6)</f>
        <v>0</v>
      </c>
      <c r="EO6" s="394">
        <f>'raw data'!IL6</f>
        <v>0</v>
      </c>
      <c r="EP6" s="395">
        <f>'raw data'!IM6</f>
        <v>1</v>
      </c>
      <c r="EQ6" s="397">
        <f>IF(ISERROR('raw data'!IL6/'raw data'!IM6),0,'raw data'!IL6/'raw data'!IM6)</f>
        <v>0</v>
      </c>
      <c r="ER6" s="394">
        <f>'raw data'!IN6</f>
        <v>0</v>
      </c>
      <c r="ES6" s="395">
        <f>'raw data'!IO6</f>
        <v>0</v>
      </c>
      <c r="ET6" s="397">
        <f>IF(ISERROR('raw data'!IN6/'raw data'!IO6),0,'raw data'!IN6/'raw data'!IO6)</f>
        <v>0</v>
      </c>
      <c r="EU6" s="394">
        <f>'raw data'!IP6</f>
        <v>0</v>
      </c>
      <c r="EV6" s="395">
        <f>'raw data'!IQ6</f>
        <v>2</v>
      </c>
      <c r="EW6" s="397">
        <f>IF(ISERROR('raw data'!IP6/'raw data'!IQ6),0,'raw data'!IP6/'raw data'!IQ6)</f>
        <v>0</v>
      </c>
      <c r="EX6" s="394">
        <f>'raw data'!IR6</f>
        <v>1</v>
      </c>
      <c r="EY6" s="395">
        <f>'raw data'!IS6</f>
        <v>1</v>
      </c>
      <c r="EZ6" s="397">
        <f>IF(ISERROR('raw data'!IR6/'raw data'!IS6),0,'raw data'!IR6/'raw data'!IS6)</f>
        <v>1</v>
      </c>
      <c r="FA6" s="394">
        <f>'raw data'!IT6</f>
        <v>0</v>
      </c>
      <c r="FB6" s="395">
        <f>'raw data'!IU6</f>
        <v>1</v>
      </c>
      <c r="FC6" s="397">
        <f>IF(ISERROR('raw data'!IT6/'raw data'!IU6),0,'raw data'!IT6/'raw data'!IU6)</f>
        <v>0</v>
      </c>
      <c r="FD6" s="394">
        <f>'raw data'!IV6</f>
        <v>1</v>
      </c>
      <c r="FE6" s="395">
        <f>'raw data'!IW6</f>
        <v>3</v>
      </c>
      <c r="FF6" s="397">
        <f>IF(ISERROR('raw data'!IV6/'raw data'!IW6),0,'raw data'!IV6/'raw data'!IW6)</f>
        <v>0.33333333333333331</v>
      </c>
      <c r="FG6" s="394">
        <f>'raw data'!IX6</f>
        <v>0</v>
      </c>
      <c r="FH6" s="395">
        <f>'raw data'!IY6</f>
        <v>0</v>
      </c>
      <c r="FI6" s="397">
        <f>IF(ISERROR('raw data'!IX6/'raw data'!IY6),0,'raw data'!IX6/'raw data'!IY6)</f>
        <v>0</v>
      </c>
      <c r="FJ6" s="394">
        <f>'raw data'!IZ6</f>
        <v>0</v>
      </c>
      <c r="FK6" s="395">
        <f>'raw data'!JA6</f>
        <v>0</v>
      </c>
      <c r="FL6" s="397">
        <f>IF(ISERROR('raw data'!IZ6/'raw data'!JA6),0,'raw data'!IZ6/'raw data'!JA6)</f>
        <v>0</v>
      </c>
      <c r="FM6" s="394">
        <f>'raw data'!JB6</f>
        <v>0</v>
      </c>
      <c r="FN6" s="395">
        <f>'raw data'!JC6</f>
        <v>0</v>
      </c>
      <c r="FO6" s="397">
        <f>IF(ISERROR('raw data'!JB6/'raw data'!JC6),0,'raw data'!JB6/'raw data'!JC6)</f>
        <v>0</v>
      </c>
      <c r="FP6" s="394">
        <f>'raw data'!JD6</f>
        <v>0</v>
      </c>
      <c r="FQ6" s="395">
        <f>'raw data'!JE6</f>
        <v>0</v>
      </c>
      <c r="FR6" s="397">
        <f>IF(ISERROR('raw data'!JD6/'raw data'!JE6),0,'raw data'!JD6/'raw data'!JE6)</f>
        <v>0</v>
      </c>
      <c r="FS6" s="388"/>
      <c r="FT6" s="398">
        <v>2</v>
      </c>
      <c r="FU6" s="399">
        <v>11</v>
      </c>
      <c r="FV6" s="400">
        <f t="shared" si="0"/>
        <v>0.18181818181818182</v>
      </c>
    </row>
    <row r="7" spans="1:179" ht="25.5" customHeight="1" x14ac:dyDescent="0.15">
      <c r="A7" s="392">
        <v>1.5</v>
      </c>
      <c r="B7" s="382" t="str">
        <f>'raw data'!B7</f>
        <v>Flex accounts with &gt;=5 £3k+ credits (CR,CQ) and &gt;=4 £3k+ withdrawals (W4,WR) last month.</v>
      </c>
      <c r="C7" s="393" t="s">
        <v>13</v>
      </c>
      <c r="D7" s="394">
        <f>'raw data'!ET7</f>
        <v>1</v>
      </c>
      <c r="E7" s="395">
        <f>'raw data'!EU7</f>
        <v>4</v>
      </c>
      <c r="F7" s="396">
        <f>IF(ISERROR('raw data'!ET7/'raw data'!EU7),0,'raw data'!ET7/'raw data'!EU7)</f>
        <v>0.25</v>
      </c>
      <c r="G7" s="402" t="s">
        <v>243</v>
      </c>
      <c r="H7" s="403" t="s">
        <v>243</v>
      </c>
      <c r="I7" s="404" t="s">
        <v>243</v>
      </c>
      <c r="J7" s="402" t="s">
        <v>243</v>
      </c>
      <c r="K7" s="403" t="s">
        <v>243</v>
      </c>
      <c r="L7" s="404" t="s">
        <v>243</v>
      </c>
      <c r="M7" s="402" t="s">
        <v>243</v>
      </c>
      <c r="N7" s="403" t="s">
        <v>243</v>
      </c>
      <c r="O7" s="404" t="s">
        <v>243</v>
      </c>
      <c r="P7" s="402" t="s">
        <v>243</v>
      </c>
      <c r="Q7" s="403" t="s">
        <v>243</v>
      </c>
      <c r="R7" s="404" t="s">
        <v>243</v>
      </c>
      <c r="S7" s="402" t="s">
        <v>243</v>
      </c>
      <c r="T7" s="403" t="s">
        <v>243</v>
      </c>
      <c r="U7" s="404" t="s">
        <v>243</v>
      </c>
      <c r="V7" s="402" t="s">
        <v>243</v>
      </c>
      <c r="W7" s="403" t="s">
        <v>243</v>
      </c>
      <c r="X7" s="404" t="s">
        <v>243</v>
      </c>
      <c r="Y7" s="402" t="s">
        <v>243</v>
      </c>
      <c r="Z7" s="403" t="s">
        <v>243</v>
      </c>
      <c r="AA7" s="404" t="s">
        <v>243</v>
      </c>
      <c r="AB7" s="402" t="s">
        <v>243</v>
      </c>
      <c r="AC7" s="403" t="s">
        <v>243</v>
      </c>
      <c r="AD7" s="404" t="s">
        <v>243</v>
      </c>
      <c r="AE7" s="402" t="s">
        <v>243</v>
      </c>
      <c r="AF7" s="403" t="s">
        <v>243</v>
      </c>
      <c r="AG7" s="404" t="s">
        <v>243</v>
      </c>
      <c r="AH7" s="402" t="s">
        <v>243</v>
      </c>
      <c r="AI7" s="403" t="s">
        <v>243</v>
      </c>
      <c r="AJ7" s="404" t="s">
        <v>243</v>
      </c>
      <c r="AK7" s="402" t="s">
        <v>243</v>
      </c>
      <c r="AL7" s="403" t="s">
        <v>243</v>
      </c>
      <c r="AM7" s="404" t="s">
        <v>243</v>
      </c>
      <c r="AN7" s="402" t="s">
        <v>243</v>
      </c>
      <c r="AO7" s="403" t="s">
        <v>243</v>
      </c>
      <c r="AP7" s="404" t="s">
        <v>243</v>
      </c>
      <c r="AQ7" s="402" t="s">
        <v>243</v>
      </c>
      <c r="AR7" s="403" t="s">
        <v>243</v>
      </c>
      <c r="AS7" s="405" t="s">
        <v>243</v>
      </c>
      <c r="AT7" s="402" t="s">
        <v>243</v>
      </c>
      <c r="AU7" s="403" t="s">
        <v>243</v>
      </c>
      <c r="AV7" s="405" t="s">
        <v>243</v>
      </c>
      <c r="AW7" s="402" t="s">
        <v>243</v>
      </c>
      <c r="AX7" s="403" t="s">
        <v>243</v>
      </c>
      <c r="AY7" s="405" t="s">
        <v>243</v>
      </c>
      <c r="AZ7" s="402" t="s">
        <v>243</v>
      </c>
      <c r="BA7" s="403" t="s">
        <v>243</v>
      </c>
      <c r="BB7" s="405" t="s">
        <v>243</v>
      </c>
      <c r="BC7" s="402" t="s">
        <v>243</v>
      </c>
      <c r="BD7" s="403" t="s">
        <v>243</v>
      </c>
      <c r="BE7" s="405" t="s">
        <v>243</v>
      </c>
      <c r="BF7" s="402" t="s">
        <v>243</v>
      </c>
      <c r="BG7" s="403" t="s">
        <v>243</v>
      </c>
      <c r="BH7" s="405" t="s">
        <v>243</v>
      </c>
      <c r="BI7" s="402" t="s">
        <v>243</v>
      </c>
      <c r="BJ7" s="403" t="s">
        <v>243</v>
      </c>
      <c r="BK7" s="405" t="s">
        <v>243</v>
      </c>
      <c r="BL7" s="402" t="s">
        <v>243</v>
      </c>
      <c r="BM7" s="403" t="s">
        <v>243</v>
      </c>
      <c r="BN7" s="405" t="s">
        <v>243</v>
      </c>
      <c r="BO7" s="402" t="s">
        <v>243</v>
      </c>
      <c r="BP7" s="403" t="s">
        <v>243</v>
      </c>
      <c r="BQ7" s="405" t="s">
        <v>243</v>
      </c>
      <c r="BR7" s="402" t="s">
        <v>243</v>
      </c>
      <c r="BS7" s="403" t="s">
        <v>243</v>
      </c>
      <c r="BT7" s="405" t="s">
        <v>243</v>
      </c>
      <c r="BU7" s="402" t="s">
        <v>243</v>
      </c>
      <c r="BV7" s="403" t="s">
        <v>243</v>
      </c>
      <c r="BW7" s="405" t="s">
        <v>243</v>
      </c>
      <c r="BX7" s="402" t="s">
        <v>243</v>
      </c>
      <c r="BY7" s="403" t="s">
        <v>243</v>
      </c>
      <c r="BZ7" s="405" t="s">
        <v>243</v>
      </c>
      <c r="CA7" s="402" t="s">
        <v>243</v>
      </c>
      <c r="CB7" s="403" t="s">
        <v>243</v>
      </c>
      <c r="CC7" s="405" t="s">
        <v>243</v>
      </c>
      <c r="CD7" s="402" t="s">
        <v>243</v>
      </c>
      <c r="CE7" s="403" t="s">
        <v>243</v>
      </c>
      <c r="CF7" s="405" t="s">
        <v>243</v>
      </c>
      <c r="CG7" s="402" t="s">
        <v>243</v>
      </c>
      <c r="CH7" s="403" t="s">
        <v>243</v>
      </c>
      <c r="CI7" s="405" t="s">
        <v>243</v>
      </c>
      <c r="CJ7" s="402" t="s">
        <v>243</v>
      </c>
      <c r="CK7" s="403" t="s">
        <v>243</v>
      </c>
      <c r="CL7" s="405" t="s">
        <v>243</v>
      </c>
      <c r="CM7" s="402" t="s">
        <v>243</v>
      </c>
      <c r="CN7" s="403" t="s">
        <v>243</v>
      </c>
      <c r="CO7" s="405" t="s">
        <v>243</v>
      </c>
      <c r="CP7" s="402" t="s">
        <v>243</v>
      </c>
      <c r="CQ7" s="403" t="s">
        <v>243</v>
      </c>
      <c r="CR7" s="405" t="s">
        <v>243</v>
      </c>
      <c r="CS7" s="402" t="s">
        <v>243</v>
      </c>
      <c r="CT7" s="403" t="s">
        <v>243</v>
      </c>
      <c r="CU7" s="405" t="s">
        <v>243</v>
      </c>
      <c r="CV7" s="402" t="s">
        <v>243</v>
      </c>
      <c r="CW7" s="403" t="s">
        <v>243</v>
      </c>
      <c r="CX7" s="405" t="s">
        <v>243</v>
      </c>
      <c r="CY7" s="402" t="s">
        <v>243</v>
      </c>
      <c r="CZ7" s="403" t="s">
        <v>243</v>
      </c>
      <c r="DA7" s="405" t="s">
        <v>243</v>
      </c>
      <c r="DB7" s="402" t="s">
        <v>243</v>
      </c>
      <c r="DC7" s="403" t="s">
        <v>243</v>
      </c>
      <c r="DD7" s="405" t="s">
        <v>243</v>
      </c>
      <c r="DE7" s="402" t="s">
        <v>243</v>
      </c>
      <c r="DF7" s="403" t="s">
        <v>243</v>
      </c>
      <c r="DG7" s="405" t="s">
        <v>243</v>
      </c>
      <c r="DH7" s="402" t="s">
        <v>243</v>
      </c>
      <c r="DI7" s="403" t="s">
        <v>243</v>
      </c>
      <c r="DJ7" s="405" t="s">
        <v>243</v>
      </c>
      <c r="DK7" s="402" t="s">
        <v>243</v>
      </c>
      <c r="DL7" s="403" t="s">
        <v>243</v>
      </c>
      <c r="DM7" s="405" t="s">
        <v>243</v>
      </c>
      <c r="DN7" s="402" t="s">
        <v>243</v>
      </c>
      <c r="DO7" s="403" t="s">
        <v>243</v>
      </c>
      <c r="DP7" s="405" t="s">
        <v>243</v>
      </c>
      <c r="DQ7" s="402" t="s">
        <v>243</v>
      </c>
      <c r="DR7" s="403" t="s">
        <v>243</v>
      </c>
      <c r="DS7" s="405" t="s">
        <v>243</v>
      </c>
      <c r="DT7" s="402" t="s">
        <v>243</v>
      </c>
      <c r="DU7" s="403" t="s">
        <v>243</v>
      </c>
      <c r="DV7" s="405" t="s">
        <v>243</v>
      </c>
      <c r="DW7" s="402" t="s">
        <v>243</v>
      </c>
      <c r="DX7" s="403" t="s">
        <v>243</v>
      </c>
      <c r="DY7" s="405" t="s">
        <v>243</v>
      </c>
      <c r="DZ7" s="402" t="s">
        <v>243</v>
      </c>
      <c r="EA7" s="403" t="s">
        <v>243</v>
      </c>
      <c r="EB7" s="405" t="s">
        <v>243</v>
      </c>
      <c r="EC7" s="402" t="s">
        <v>243</v>
      </c>
      <c r="ED7" s="403" t="s">
        <v>243</v>
      </c>
      <c r="EE7" s="405" t="s">
        <v>243</v>
      </c>
      <c r="EF7" s="402" t="s">
        <v>243</v>
      </c>
      <c r="EG7" s="403" t="s">
        <v>243</v>
      </c>
      <c r="EH7" s="405" t="s">
        <v>243</v>
      </c>
      <c r="EI7" s="402" t="s">
        <v>243</v>
      </c>
      <c r="EJ7" s="403" t="s">
        <v>243</v>
      </c>
      <c r="EK7" s="405" t="s">
        <v>243</v>
      </c>
      <c r="EL7" s="402" t="s">
        <v>243</v>
      </c>
      <c r="EM7" s="403" t="s">
        <v>243</v>
      </c>
      <c r="EN7" s="405" t="s">
        <v>243</v>
      </c>
      <c r="EO7" s="402" t="s">
        <v>243</v>
      </c>
      <c r="EP7" s="403" t="s">
        <v>243</v>
      </c>
      <c r="EQ7" s="405" t="s">
        <v>243</v>
      </c>
      <c r="ER7" s="402" t="s">
        <v>243</v>
      </c>
      <c r="ES7" s="403" t="s">
        <v>243</v>
      </c>
      <c r="ET7" s="405" t="s">
        <v>243</v>
      </c>
      <c r="EU7" s="402" t="s">
        <v>243</v>
      </c>
      <c r="EV7" s="403" t="s">
        <v>243</v>
      </c>
      <c r="EW7" s="405" t="s">
        <v>243</v>
      </c>
      <c r="EX7" s="402" t="s">
        <v>243</v>
      </c>
      <c r="EY7" s="403" t="s">
        <v>243</v>
      </c>
      <c r="EZ7" s="405" t="s">
        <v>243</v>
      </c>
      <c r="FA7" s="402" t="s">
        <v>243</v>
      </c>
      <c r="FB7" s="403" t="s">
        <v>243</v>
      </c>
      <c r="FC7" s="405" t="s">
        <v>243</v>
      </c>
      <c r="FD7" s="402" t="s">
        <v>243</v>
      </c>
      <c r="FE7" s="403" t="s">
        <v>243</v>
      </c>
      <c r="FF7" s="405" t="s">
        <v>243</v>
      </c>
      <c r="FG7" s="402" t="s">
        <v>243</v>
      </c>
      <c r="FH7" s="403" t="s">
        <v>243</v>
      </c>
      <c r="FI7" s="405" t="s">
        <v>243</v>
      </c>
      <c r="FJ7" s="402" t="s">
        <v>243</v>
      </c>
      <c r="FK7" s="403" t="s">
        <v>243</v>
      </c>
      <c r="FL7" s="405" t="s">
        <v>243</v>
      </c>
      <c r="FM7" s="402" t="s">
        <v>243</v>
      </c>
      <c r="FN7" s="403" t="s">
        <v>243</v>
      </c>
      <c r="FO7" s="405" t="s">
        <v>243</v>
      </c>
      <c r="FP7" s="402" t="s">
        <v>243</v>
      </c>
      <c r="FQ7" s="403" t="s">
        <v>243</v>
      </c>
      <c r="FR7" s="405" t="s">
        <v>243</v>
      </c>
      <c r="FS7" s="388"/>
      <c r="FT7" s="398">
        <v>0</v>
      </c>
      <c r="FU7" s="399">
        <v>0</v>
      </c>
      <c r="FV7" s="400">
        <f t="shared" si="0"/>
        <v>0</v>
      </c>
    </row>
    <row r="8" spans="1:179" ht="25.5" customHeight="1" x14ac:dyDescent="0.15">
      <c r="A8" s="392">
        <v>1.6</v>
      </c>
      <c r="B8" s="382" t="str">
        <f>'raw data'!B8</f>
        <v xml:space="preserve">Fixed term Bonds/ISAs closed within 6 months of opening, but after cooling-off period, and Nationwide cheque issued. </v>
      </c>
      <c r="C8" s="393" t="s">
        <v>244</v>
      </c>
      <c r="D8" s="402" t="s">
        <v>243</v>
      </c>
      <c r="E8" s="403" t="s">
        <v>243</v>
      </c>
      <c r="F8" s="404" t="s">
        <v>243</v>
      </c>
      <c r="G8" s="402" t="s">
        <v>243</v>
      </c>
      <c r="H8" s="403" t="s">
        <v>243</v>
      </c>
      <c r="I8" s="404" t="s">
        <v>243</v>
      </c>
      <c r="J8" s="402" t="s">
        <v>243</v>
      </c>
      <c r="K8" s="403" t="s">
        <v>243</v>
      </c>
      <c r="L8" s="404" t="s">
        <v>243</v>
      </c>
      <c r="M8" s="402" t="s">
        <v>243</v>
      </c>
      <c r="N8" s="403" t="s">
        <v>243</v>
      </c>
      <c r="O8" s="404" t="s">
        <v>243</v>
      </c>
      <c r="P8" s="402" t="s">
        <v>243</v>
      </c>
      <c r="Q8" s="403" t="s">
        <v>243</v>
      </c>
      <c r="R8" s="404" t="s">
        <v>243</v>
      </c>
      <c r="S8" s="402" t="s">
        <v>243</v>
      </c>
      <c r="T8" s="403" t="s">
        <v>243</v>
      </c>
      <c r="U8" s="404" t="s">
        <v>243</v>
      </c>
      <c r="V8" s="402" t="s">
        <v>243</v>
      </c>
      <c r="W8" s="403" t="s">
        <v>243</v>
      </c>
      <c r="X8" s="404" t="s">
        <v>243</v>
      </c>
      <c r="Y8" s="402" t="s">
        <v>243</v>
      </c>
      <c r="Z8" s="403" t="s">
        <v>243</v>
      </c>
      <c r="AA8" s="404" t="s">
        <v>243</v>
      </c>
      <c r="AB8" s="402" t="s">
        <v>243</v>
      </c>
      <c r="AC8" s="403" t="s">
        <v>243</v>
      </c>
      <c r="AD8" s="404" t="s">
        <v>243</v>
      </c>
      <c r="AE8" s="402" t="s">
        <v>243</v>
      </c>
      <c r="AF8" s="403" t="s">
        <v>243</v>
      </c>
      <c r="AG8" s="404" t="s">
        <v>243</v>
      </c>
      <c r="AH8" s="402" t="s">
        <v>243</v>
      </c>
      <c r="AI8" s="403" t="s">
        <v>243</v>
      </c>
      <c r="AJ8" s="404" t="s">
        <v>243</v>
      </c>
      <c r="AK8" s="402" t="s">
        <v>243</v>
      </c>
      <c r="AL8" s="403" t="s">
        <v>243</v>
      </c>
      <c r="AM8" s="404" t="s">
        <v>243</v>
      </c>
      <c r="AN8" s="402" t="s">
        <v>243</v>
      </c>
      <c r="AO8" s="403" t="s">
        <v>243</v>
      </c>
      <c r="AP8" s="404" t="s">
        <v>243</v>
      </c>
      <c r="AQ8" s="402" t="s">
        <v>243</v>
      </c>
      <c r="AR8" s="403" t="s">
        <v>243</v>
      </c>
      <c r="AS8" s="405" t="s">
        <v>243</v>
      </c>
      <c r="AT8" s="402" t="s">
        <v>243</v>
      </c>
      <c r="AU8" s="403" t="s">
        <v>243</v>
      </c>
      <c r="AV8" s="405" t="s">
        <v>243</v>
      </c>
      <c r="AW8" s="402" t="s">
        <v>243</v>
      </c>
      <c r="AX8" s="403" t="s">
        <v>243</v>
      </c>
      <c r="AY8" s="405" t="s">
        <v>243</v>
      </c>
      <c r="AZ8" s="402" t="s">
        <v>243</v>
      </c>
      <c r="BA8" s="403" t="s">
        <v>243</v>
      </c>
      <c r="BB8" s="405" t="s">
        <v>243</v>
      </c>
      <c r="BC8" s="402" t="s">
        <v>243</v>
      </c>
      <c r="BD8" s="403" t="s">
        <v>243</v>
      </c>
      <c r="BE8" s="405" t="s">
        <v>243</v>
      </c>
      <c r="BF8" s="402" t="s">
        <v>243</v>
      </c>
      <c r="BG8" s="403" t="s">
        <v>243</v>
      </c>
      <c r="BH8" s="405" t="s">
        <v>243</v>
      </c>
      <c r="BI8" s="402" t="s">
        <v>243</v>
      </c>
      <c r="BJ8" s="403" t="s">
        <v>243</v>
      </c>
      <c r="BK8" s="405" t="s">
        <v>243</v>
      </c>
      <c r="BL8" s="402" t="s">
        <v>243</v>
      </c>
      <c r="BM8" s="403" t="s">
        <v>243</v>
      </c>
      <c r="BN8" s="405" t="s">
        <v>243</v>
      </c>
      <c r="BO8" s="402" t="s">
        <v>243</v>
      </c>
      <c r="BP8" s="403" t="s">
        <v>243</v>
      </c>
      <c r="BQ8" s="405" t="s">
        <v>243</v>
      </c>
      <c r="BR8" s="402" t="s">
        <v>243</v>
      </c>
      <c r="BS8" s="403" t="s">
        <v>243</v>
      </c>
      <c r="BT8" s="405" t="s">
        <v>243</v>
      </c>
      <c r="BU8" s="402" t="s">
        <v>243</v>
      </c>
      <c r="BV8" s="403" t="s">
        <v>243</v>
      </c>
      <c r="BW8" s="405" t="s">
        <v>243</v>
      </c>
      <c r="BX8" s="402" t="s">
        <v>243</v>
      </c>
      <c r="BY8" s="403" t="s">
        <v>243</v>
      </c>
      <c r="BZ8" s="405" t="s">
        <v>243</v>
      </c>
      <c r="CA8" s="402" t="s">
        <v>243</v>
      </c>
      <c r="CB8" s="403" t="s">
        <v>243</v>
      </c>
      <c r="CC8" s="405" t="s">
        <v>243</v>
      </c>
      <c r="CD8" s="402" t="s">
        <v>243</v>
      </c>
      <c r="CE8" s="403" t="s">
        <v>243</v>
      </c>
      <c r="CF8" s="405" t="s">
        <v>243</v>
      </c>
      <c r="CG8" s="402" t="s">
        <v>243</v>
      </c>
      <c r="CH8" s="403" t="s">
        <v>243</v>
      </c>
      <c r="CI8" s="405" t="s">
        <v>243</v>
      </c>
      <c r="CJ8" s="402" t="s">
        <v>243</v>
      </c>
      <c r="CK8" s="403" t="s">
        <v>243</v>
      </c>
      <c r="CL8" s="405" t="s">
        <v>243</v>
      </c>
      <c r="CM8" s="402" t="s">
        <v>243</v>
      </c>
      <c r="CN8" s="403" t="s">
        <v>243</v>
      </c>
      <c r="CO8" s="405" t="s">
        <v>243</v>
      </c>
      <c r="CP8" s="402" t="s">
        <v>243</v>
      </c>
      <c r="CQ8" s="403" t="s">
        <v>243</v>
      </c>
      <c r="CR8" s="405" t="s">
        <v>243</v>
      </c>
      <c r="CS8" s="402" t="s">
        <v>243</v>
      </c>
      <c r="CT8" s="403" t="s">
        <v>243</v>
      </c>
      <c r="CU8" s="405" t="s">
        <v>243</v>
      </c>
      <c r="CV8" s="402" t="s">
        <v>243</v>
      </c>
      <c r="CW8" s="403" t="s">
        <v>243</v>
      </c>
      <c r="CX8" s="405" t="s">
        <v>243</v>
      </c>
      <c r="CY8" s="402" t="s">
        <v>243</v>
      </c>
      <c r="CZ8" s="403" t="s">
        <v>243</v>
      </c>
      <c r="DA8" s="405" t="s">
        <v>243</v>
      </c>
      <c r="DB8" s="402" t="s">
        <v>243</v>
      </c>
      <c r="DC8" s="403" t="s">
        <v>243</v>
      </c>
      <c r="DD8" s="405" t="s">
        <v>243</v>
      </c>
      <c r="DE8" s="402" t="s">
        <v>243</v>
      </c>
      <c r="DF8" s="403" t="s">
        <v>243</v>
      </c>
      <c r="DG8" s="405" t="s">
        <v>243</v>
      </c>
      <c r="DH8" s="402" t="s">
        <v>243</v>
      </c>
      <c r="DI8" s="403" t="s">
        <v>243</v>
      </c>
      <c r="DJ8" s="405" t="s">
        <v>243</v>
      </c>
      <c r="DK8" s="402" t="s">
        <v>243</v>
      </c>
      <c r="DL8" s="403" t="s">
        <v>243</v>
      </c>
      <c r="DM8" s="405" t="s">
        <v>243</v>
      </c>
      <c r="DN8" s="402" t="s">
        <v>243</v>
      </c>
      <c r="DO8" s="403" t="s">
        <v>243</v>
      </c>
      <c r="DP8" s="405" t="s">
        <v>243</v>
      </c>
      <c r="DQ8" s="402" t="s">
        <v>243</v>
      </c>
      <c r="DR8" s="403" t="s">
        <v>243</v>
      </c>
      <c r="DS8" s="405" t="s">
        <v>243</v>
      </c>
      <c r="DT8" s="402" t="s">
        <v>243</v>
      </c>
      <c r="DU8" s="403" t="s">
        <v>243</v>
      </c>
      <c r="DV8" s="405" t="s">
        <v>243</v>
      </c>
      <c r="DW8" s="402" t="s">
        <v>243</v>
      </c>
      <c r="DX8" s="403" t="s">
        <v>243</v>
      </c>
      <c r="DY8" s="405" t="s">
        <v>243</v>
      </c>
      <c r="DZ8" s="402" t="s">
        <v>243</v>
      </c>
      <c r="EA8" s="403" t="s">
        <v>243</v>
      </c>
      <c r="EB8" s="405" t="s">
        <v>243</v>
      </c>
      <c r="EC8" s="402" t="s">
        <v>243</v>
      </c>
      <c r="ED8" s="403" t="s">
        <v>243</v>
      </c>
      <c r="EE8" s="405" t="s">
        <v>243</v>
      </c>
      <c r="EF8" s="402" t="s">
        <v>243</v>
      </c>
      <c r="EG8" s="403" t="s">
        <v>243</v>
      </c>
      <c r="EH8" s="405" t="s">
        <v>243</v>
      </c>
      <c r="EI8" s="402" t="s">
        <v>243</v>
      </c>
      <c r="EJ8" s="403" t="s">
        <v>243</v>
      </c>
      <c r="EK8" s="405" t="s">
        <v>243</v>
      </c>
      <c r="EL8" s="402" t="s">
        <v>243</v>
      </c>
      <c r="EM8" s="403" t="s">
        <v>243</v>
      </c>
      <c r="EN8" s="405" t="s">
        <v>243</v>
      </c>
      <c r="EO8" s="402" t="s">
        <v>243</v>
      </c>
      <c r="EP8" s="403" t="s">
        <v>243</v>
      </c>
      <c r="EQ8" s="405" t="s">
        <v>243</v>
      </c>
      <c r="ER8" s="402" t="s">
        <v>243</v>
      </c>
      <c r="ES8" s="403" t="s">
        <v>243</v>
      </c>
      <c r="ET8" s="405" t="s">
        <v>243</v>
      </c>
      <c r="EU8" s="402" t="s">
        <v>243</v>
      </c>
      <c r="EV8" s="403" t="s">
        <v>243</v>
      </c>
      <c r="EW8" s="405" t="s">
        <v>243</v>
      </c>
      <c r="EX8" s="402" t="s">
        <v>243</v>
      </c>
      <c r="EY8" s="403" t="s">
        <v>243</v>
      </c>
      <c r="EZ8" s="405" t="s">
        <v>243</v>
      </c>
      <c r="FA8" s="402" t="s">
        <v>243</v>
      </c>
      <c r="FB8" s="403" t="s">
        <v>243</v>
      </c>
      <c r="FC8" s="405" t="s">
        <v>243</v>
      </c>
      <c r="FD8" s="402" t="s">
        <v>243</v>
      </c>
      <c r="FE8" s="403" t="s">
        <v>243</v>
      </c>
      <c r="FF8" s="405" t="s">
        <v>243</v>
      </c>
      <c r="FG8" s="402" t="s">
        <v>243</v>
      </c>
      <c r="FH8" s="403" t="s">
        <v>243</v>
      </c>
      <c r="FI8" s="405" t="s">
        <v>243</v>
      </c>
      <c r="FJ8" s="402" t="s">
        <v>243</v>
      </c>
      <c r="FK8" s="403" t="s">
        <v>243</v>
      </c>
      <c r="FL8" s="405" t="s">
        <v>243</v>
      </c>
      <c r="FM8" s="402" t="s">
        <v>243</v>
      </c>
      <c r="FN8" s="403" t="s">
        <v>243</v>
      </c>
      <c r="FO8" s="405" t="s">
        <v>243</v>
      </c>
      <c r="FP8" s="402" t="s">
        <v>243</v>
      </c>
      <c r="FQ8" s="403" t="s">
        <v>243</v>
      </c>
      <c r="FR8" s="405" t="s">
        <v>243</v>
      </c>
      <c r="FS8" s="388"/>
      <c r="FT8" s="398">
        <v>0</v>
      </c>
      <c r="FU8" s="399">
        <v>0</v>
      </c>
      <c r="FV8" s="400">
        <f t="shared" si="0"/>
        <v>0</v>
      </c>
    </row>
    <row r="9" spans="1:179" ht="28" x14ac:dyDescent="0.15">
      <c r="A9" s="392">
        <v>1.7</v>
      </c>
      <c r="B9" s="382" t="str">
        <f>'raw data'!B9</f>
        <v>Child accounts with &gt;1 credit (CR, CQ) and at least 1 debit (WA, WD, TW, W4), each £1k+, totalling at least £2k in &amp; £2.5k out last month.</v>
      </c>
      <c r="C9" s="393" t="s">
        <v>17</v>
      </c>
      <c r="D9" s="394">
        <f>'raw data'!ET9</f>
        <v>5</v>
      </c>
      <c r="E9" s="395">
        <f>'raw data'!EU9</f>
        <v>16</v>
      </c>
      <c r="F9" s="396">
        <f>IF(ISERROR('raw data'!ET9/'raw data'!EU9),0,'raw data'!ET9/'raw data'!EU9)</f>
        <v>0.3125</v>
      </c>
      <c r="G9" s="394">
        <f>'raw data'!EV9</f>
        <v>0</v>
      </c>
      <c r="H9" s="395">
        <f>'raw data'!EW9</f>
        <v>6</v>
      </c>
      <c r="I9" s="396">
        <f>IF(ISERROR('raw data'!EV9/'raw data'!EW9),0,'raw data'!EV9/'raw data'!EW9)</f>
        <v>0</v>
      </c>
      <c r="J9" s="394">
        <f>'raw data'!EX9</f>
        <v>3</v>
      </c>
      <c r="K9" s="395">
        <f>'raw data'!EY9</f>
        <v>14</v>
      </c>
      <c r="L9" s="396">
        <f>IF(ISERROR('raw data'!EX9/'raw data'!EY9),0,'raw data'!EX9/'raw data'!EY9)</f>
        <v>0.21428571428571427</v>
      </c>
      <c r="M9" s="394">
        <f>'raw data'!EZ9</f>
        <v>1</v>
      </c>
      <c r="N9" s="395">
        <f>'raw data'!FA9</f>
        <v>13</v>
      </c>
      <c r="O9" s="396">
        <f>IF(ISERROR('raw data'!EZ9/'raw data'!FA9),0,'raw data'!EZ9/'raw data'!FA9)</f>
        <v>7.6923076923076927E-2</v>
      </c>
      <c r="P9" s="394">
        <f>'raw data'!FB9</f>
        <v>4</v>
      </c>
      <c r="Q9" s="395">
        <f>'raw data'!FC9</f>
        <v>12</v>
      </c>
      <c r="R9" s="396">
        <f>IF(ISERROR('raw data'!FB9/'raw data'!FC9),0,'raw data'!FB9/'raw data'!FC9)</f>
        <v>0.33333333333333331</v>
      </c>
      <c r="S9" s="394">
        <f>'raw data'!FD9</f>
        <v>2</v>
      </c>
      <c r="T9" s="395">
        <f>'raw data'!FE9</f>
        <v>10</v>
      </c>
      <c r="U9" s="396">
        <f>IF(ISERROR('raw data'!FD9/'raw data'!FE9),0,'raw data'!FD9/'raw data'!FE9)</f>
        <v>0.2</v>
      </c>
      <c r="V9" s="394">
        <f>'raw data'!FF9</f>
        <v>3</v>
      </c>
      <c r="W9" s="395">
        <f>'raw data'!FG9</f>
        <v>9</v>
      </c>
      <c r="X9" s="396">
        <f>IF(ISERROR('raw data'!FF9/'raw data'!FG9),0,'raw data'!FF9/'raw data'!FG9)</f>
        <v>0.33333333333333331</v>
      </c>
      <c r="Y9" s="394">
        <f>'raw data'!FH9</f>
        <v>1</v>
      </c>
      <c r="Z9" s="395">
        <f>'raw data'!FI9</f>
        <v>20</v>
      </c>
      <c r="AA9" s="396">
        <f>IF(ISERROR('raw data'!FH9/'raw data'!FI9),0,'raw data'!FH9/'raw data'!FI9)</f>
        <v>0.05</v>
      </c>
      <c r="AB9" s="394">
        <f>'raw data'!FJ9</f>
        <v>3</v>
      </c>
      <c r="AC9" s="395">
        <f>'raw data'!FM9</f>
        <v>15</v>
      </c>
      <c r="AD9" s="396">
        <f>IF(ISERROR('raw data'!FJ9/'raw data'!FM9),0,'raw data'!FJ9/'raw data'!FM9)</f>
        <v>0.2</v>
      </c>
      <c r="AE9" s="394">
        <f>'raw data'!FN9</f>
        <v>3</v>
      </c>
      <c r="AF9" s="395">
        <f>'raw data'!FO9</f>
        <v>13</v>
      </c>
      <c r="AG9" s="396">
        <f>IF(ISERROR('raw data'!FN9/'raw data'!FO9),0,'raw data'!FN9/'raw data'!FO9)</f>
        <v>0.23076923076923078</v>
      </c>
      <c r="AH9" s="394">
        <f>'raw data'!FP9</f>
        <v>4</v>
      </c>
      <c r="AI9" s="395">
        <f>'raw data'!FQ9</f>
        <v>9</v>
      </c>
      <c r="AJ9" s="396">
        <f>IF(ISERROR('raw data'!FP9/'raw data'!FQ9),0,'raw data'!FP9/'raw data'!FQ9)</f>
        <v>0.44444444444444442</v>
      </c>
      <c r="AK9" s="394">
        <f>'raw data'!FR9</f>
        <v>2</v>
      </c>
      <c r="AL9" s="395">
        <f>'raw data'!FS9</f>
        <v>9</v>
      </c>
      <c r="AM9" s="396">
        <f>IF(ISERROR('raw data'!FR9/'raw data'!FS9),0,'raw data'!FR9/'raw data'!FS9)</f>
        <v>0.22222222222222221</v>
      </c>
      <c r="AN9" s="394">
        <f>'raw data'!FT9</f>
        <v>6</v>
      </c>
      <c r="AO9" s="395">
        <f>'raw data'!FU9</f>
        <v>19</v>
      </c>
      <c r="AP9" s="396">
        <f>IF(ISERROR('raw data'!FT9/'raw data'!FU9),0,'raw data'!FT9/'raw data'!FU9)</f>
        <v>0.31578947368421051</v>
      </c>
      <c r="AQ9" s="394">
        <f>'raw data'!FV9</f>
        <v>1</v>
      </c>
      <c r="AR9" s="395">
        <f>'raw data'!FW9</f>
        <v>10</v>
      </c>
      <c r="AS9" s="397">
        <f>IF(ISERROR('raw data'!FV9/'raw data'!FW9),0,'raw data'!FV9/'raw data'!FW9)</f>
        <v>0.1</v>
      </c>
      <c r="AT9" s="394">
        <f>'raw data'!FX9</f>
        <v>2</v>
      </c>
      <c r="AU9" s="395">
        <f>'raw data'!FY9</f>
        <v>10</v>
      </c>
      <c r="AV9" s="397">
        <f>IF(ISERROR('raw data'!FX9/'raw data'!FY9),0,'raw data'!FX9/'raw data'!FY9)</f>
        <v>0.2</v>
      </c>
      <c r="AW9" s="394">
        <f>'raw data'!FZ9</f>
        <v>0</v>
      </c>
      <c r="AX9" s="395">
        <f>'raw data'!GA9</f>
        <v>19</v>
      </c>
      <c r="AY9" s="397">
        <f>IF(ISERROR('raw data'!FZ9/'raw data'!GA9),0,'raw data'!FZ9/'raw data'!GA9)</f>
        <v>0</v>
      </c>
      <c r="AZ9" s="394">
        <f>'raw data'!GB9</f>
        <v>0</v>
      </c>
      <c r="BA9" s="395">
        <f>'raw data'!GC9</f>
        <v>11</v>
      </c>
      <c r="BB9" s="397">
        <f>IF(ISERROR('raw data'!GB9/'raw data'!GC9),0,'raw data'!GB9/'raw data'!GC9)</f>
        <v>0</v>
      </c>
      <c r="BC9" s="394">
        <f>'raw data'!GD9</f>
        <v>2</v>
      </c>
      <c r="BD9" s="395">
        <f>'raw data'!GE9</f>
        <v>10</v>
      </c>
      <c r="BE9" s="397">
        <f>IF(ISERROR('raw data'!GD9/'raw data'!GE9),0,'raw data'!GD9/'raw data'!GE9)</f>
        <v>0.2</v>
      </c>
      <c r="BF9" s="394">
        <f>'raw data'!GF9</f>
        <v>0</v>
      </c>
      <c r="BG9" s="395">
        <f>'raw data'!GG9</f>
        <v>5</v>
      </c>
      <c r="BH9" s="397">
        <f>IF(ISERROR('raw data'!GF9/'raw data'!GG9),0,'raw data'!GF9/'raw data'!GG9)</f>
        <v>0</v>
      </c>
      <c r="BI9" s="394">
        <f>'raw data'!GH9</f>
        <v>1</v>
      </c>
      <c r="BJ9" s="395">
        <f>'raw data'!GI9</f>
        <v>10</v>
      </c>
      <c r="BK9" s="397">
        <f>IF(ISERROR('raw data'!GH9/'raw data'!GI9),0,'raw data'!GH9/'raw data'!GI9)</f>
        <v>0.1</v>
      </c>
      <c r="BL9" s="394">
        <f>'raw data'!GJ9</f>
        <v>0</v>
      </c>
      <c r="BM9" s="395">
        <f>'raw data'!GK9</f>
        <v>12</v>
      </c>
      <c r="BN9" s="397">
        <f>IF(ISERROR('raw data'!GJ9/'raw data'!GK9),0,'raw data'!GJ9/'raw data'!GK9)</f>
        <v>0</v>
      </c>
      <c r="BO9" s="394">
        <f>'raw data'!GL9</f>
        <v>3</v>
      </c>
      <c r="BP9" s="395">
        <f>'raw data'!GM9</f>
        <v>16</v>
      </c>
      <c r="BQ9" s="397">
        <f>IF(ISERROR('raw data'!GL9/'raw data'!GM9),0,'raw data'!GL9/'raw data'!GM9)</f>
        <v>0.1875</v>
      </c>
      <c r="BR9" s="394">
        <f>'raw data'!GN9</f>
        <v>0</v>
      </c>
      <c r="BS9" s="395">
        <f>'raw data'!GO9</f>
        <v>7</v>
      </c>
      <c r="BT9" s="397">
        <f>IF(ISERROR('raw data'!GN9/'raw data'!GO9),0,'raw data'!GN9/'raw data'!GO9)</f>
        <v>0</v>
      </c>
      <c r="BU9" s="394">
        <f>'raw data'!GP9</f>
        <v>2</v>
      </c>
      <c r="BV9" s="395">
        <f>'raw data'!GQ9</f>
        <v>8</v>
      </c>
      <c r="BW9" s="397">
        <f>IF(ISERROR('raw data'!GP9/'raw data'!GQ9),0,'raw data'!GP9/'raw data'!GQ9)</f>
        <v>0.25</v>
      </c>
      <c r="BX9" s="394">
        <f>'raw data'!GR9</f>
        <v>2</v>
      </c>
      <c r="BY9" s="395">
        <f>'raw data'!GS9</f>
        <v>11</v>
      </c>
      <c r="BZ9" s="397">
        <f>IF(ISERROR('raw data'!GR9/'raw data'!GS9),0,'raw data'!GR9/'raw data'!GS9)</f>
        <v>0.18181818181818182</v>
      </c>
      <c r="CA9" s="394">
        <f>'raw data'!GT9</f>
        <v>1</v>
      </c>
      <c r="CB9" s="395">
        <f>'raw data'!GU9</f>
        <v>9</v>
      </c>
      <c r="CC9" s="397">
        <f>IF(ISERROR('raw data'!GT9/'raw data'!GU9),0,'raw data'!GT9/'raw data'!GU9)</f>
        <v>0.1111111111111111</v>
      </c>
      <c r="CD9" s="394">
        <f>'raw data'!GV9</f>
        <v>0</v>
      </c>
      <c r="CE9" s="395">
        <f>'raw data'!GW9</f>
        <v>12</v>
      </c>
      <c r="CF9" s="397">
        <f>IF(ISERROR('raw data'!GV9/'raw data'!GW9),0,'raw data'!GV9/'raw data'!GW9)</f>
        <v>0</v>
      </c>
      <c r="CG9" s="394">
        <f>'raw data'!GX9</f>
        <v>1</v>
      </c>
      <c r="CH9" s="395">
        <f>'raw data'!GY9</f>
        <v>17</v>
      </c>
      <c r="CI9" s="397">
        <f>IF(ISERROR('raw data'!GX9/'raw data'!GY9),0,'raw data'!GX9/'raw data'!GY9)</f>
        <v>5.8823529411764705E-2</v>
      </c>
      <c r="CJ9" s="394">
        <f>'raw data'!GZ9</f>
        <v>0</v>
      </c>
      <c r="CK9" s="395">
        <f>'raw data'!HA9</f>
        <v>3</v>
      </c>
      <c r="CL9" s="397">
        <f>IF(ISERROR('raw data'!GZ9/'raw data'!HA9),0,'raw data'!GZ9/'raw data'!HA9)</f>
        <v>0</v>
      </c>
      <c r="CM9" s="394">
        <f>'raw data'!HB9</f>
        <v>2</v>
      </c>
      <c r="CN9" s="395">
        <f>'raw data'!HC9</f>
        <v>6</v>
      </c>
      <c r="CO9" s="397">
        <f>IF(ISERROR('raw data'!HB9/'raw data'!HC9),0,'raw data'!HB9/'raw data'!HC9)</f>
        <v>0.33333333333333331</v>
      </c>
      <c r="CP9" s="394">
        <f>'raw data'!HD9</f>
        <v>1</v>
      </c>
      <c r="CQ9" s="395">
        <f>'raw data'!HE9</f>
        <v>14</v>
      </c>
      <c r="CR9" s="397">
        <f>IF(ISERROR('raw data'!HD9/'raw data'!HE9),0,'raw data'!HD9/'raw data'!HE9)</f>
        <v>7.1428571428571425E-2</v>
      </c>
      <c r="CS9" s="394">
        <f>'raw data'!HF9</f>
        <v>1</v>
      </c>
      <c r="CT9" s="395">
        <f>'raw data'!HG9</f>
        <v>8</v>
      </c>
      <c r="CU9" s="397">
        <f>IF(ISERROR('raw data'!HF9/'raw data'!HG9),0,'raw data'!HF9/'raw data'!HG9)</f>
        <v>0.125</v>
      </c>
      <c r="CV9" s="394">
        <f>'raw data'!HH9</f>
        <v>3</v>
      </c>
      <c r="CW9" s="395">
        <f>'raw data'!HI9</f>
        <v>8</v>
      </c>
      <c r="CX9" s="397">
        <f>IF(ISERROR('raw data'!HH9/'raw data'!HI9),0,'raw data'!HH9/'raw data'!HI9)</f>
        <v>0.375</v>
      </c>
      <c r="CY9" s="394">
        <f>'raw data'!HJ9</f>
        <v>2</v>
      </c>
      <c r="CZ9" s="395">
        <f>'raw data'!HK9</f>
        <v>6</v>
      </c>
      <c r="DA9" s="397">
        <f>IF(ISERROR('raw data'!HJ9/'raw data'!HK9),0,'raw data'!HJ9/'raw data'!HK9)</f>
        <v>0.33333333333333331</v>
      </c>
      <c r="DB9" s="394">
        <f>'raw data'!HL9</f>
        <v>0</v>
      </c>
      <c r="DC9" s="395">
        <f>'raw data'!HM9</f>
        <v>6</v>
      </c>
      <c r="DD9" s="397">
        <f>IF(ISERROR('raw data'!HL9/'raw data'!HM9),0,'raw data'!HL9/'raw data'!HM9)</f>
        <v>0</v>
      </c>
      <c r="DE9" s="394">
        <f>'raw data'!HN9</f>
        <v>0</v>
      </c>
      <c r="DF9" s="395">
        <f>'raw data'!HO9</f>
        <v>7</v>
      </c>
      <c r="DG9" s="397">
        <f>IF(ISERROR('raw data'!HN9/'raw data'!HO9),0,'raw data'!HN9/'raw data'!HO9)</f>
        <v>0</v>
      </c>
      <c r="DH9" s="394">
        <f>'raw data'!HP9</f>
        <v>0</v>
      </c>
      <c r="DI9" s="395">
        <f>'raw data'!HQ9</f>
        <v>5</v>
      </c>
      <c r="DJ9" s="397">
        <f>IF(ISERROR('raw data'!HP9/'raw data'!HQ9),0,'raw data'!HP9/'raw data'!HQ9)</f>
        <v>0</v>
      </c>
      <c r="DK9" s="394">
        <f>'raw data'!HR9</f>
        <v>1</v>
      </c>
      <c r="DL9" s="395">
        <f>'raw data'!HS9</f>
        <v>3</v>
      </c>
      <c r="DM9" s="397">
        <f>IF(ISERROR('raw data'!HR9/'raw data'!HS9),0,'raw data'!HR9/'raw data'!HS9)</f>
        <v>0.33333333333333331</v>
      </c>
      <c r="DN9" s="394">
        <f>'raw data'!HT9</f>
        <v>0</v>
      </c>
      <c r="DO9" s="395">
        <f>'raw data'!HU9</f>
        <v>10</v>
      </c>
      <c r="DP9" s="397">
        <f>IF(ISERROR('raw data'!HT9/'raw data'!HU9),0,'raw data'!HT9/'raw data'!HU9)</f>
        <v>0</v>
      </c>
      <c r="DQ9" s="394">
        <f>'raw data'!HV9</f>
        <v>0</v>
      </c>
      <c r="DR9" s="395">
        <f>'raw data'!HW9</f>
        <v>1</v>
      </c>
      <c r="DS9" s="397">
        <f>IF(ISERROR('raw data'!HV9/'raw data'!HW9),0,'raw data'!HV9/'raw data'!HW9)</f>
        <v>0</v>
      </c>
      <c r="DT9" s="394">
        <f>'raw data'!HX9</f>
        <v>0</v>
      </c>
      <c r="DU9" s="395">
        <f>'raw data'!HY9</f>
        <v>2</v>
      </c>
      <c r="DV9" s="397">
        <f>IF(ISERROR('raw data'!HX9/'raw data'!HY9),0,'raw data'!HX9/'raw data'!HY9)</f>
        <v>0</v>
      </c>
      <c r="DW9" s="394">
        <f>'raw data'!HZ9</f>
        <v>0</v>
      </c>
      <c r="DX9" s="395">
        <f>'raw data'!IA9</f>
        <v>3</v>
      </c>
      <c r="DY9" s="397">
        <f>IF(ISERROR('raw data'!HZ9/'raw data'!IA9),0,'raw data'!HZ9/'raw data'!IA9)</f>
        <v>0</v>
      </c>
      <c r="DZ9" s="394">
        <f>'raw data'!IB9</f>
        <v>2</v>
      </c>
      <c r="EA9" s="395">
        <f>'raw data'!IC9</f>
        <v>8</v>
      </c>
      <c r="EB9" s="397">
        <f>IF(ISERROR('raw data'!IB9/'raw data'!IC9),0,'raw data'!IB9/'raw data'!IC9)</f>
        <v>0.25</v>
      </c>
      <c r="EC9" s="394">
        <f>'raw data'!ID9</f>
        <v>0</v>
      </c>
      <c r="ED9" s="395">
        <f>'raw data'!IE9</f>
        <v>4</v>
      </c>
      <c r="EE9" s="397">
        <f>IF(ISERROR('raw data'!ID9/'raw data'!IE9),0,'raw data'!ID9/'raw data'!IE9)</f>
        <v>0</v>
      </c>
      <c r="EF9" s="394">
        <f>'raw data'!IF9</f>
        <v>3</v>
      </c>
      <c r="EG9" s="395">
        <f>'raw data'!IG9</f>
        <v>10</v>
      </c>
      <c r="EH9" s="397">
        <f>IF(ISERROR('raw data'!IF9/'raw data'!IG9),0,'raw data'!IF9/'raw data'!IG9)</f>
        <v>0.3</v>
      </c>
      <c r="EI9" s="394">
        <f>'raw data'!IH9</f>
        <v>2</v>
      </c>
      <c r="EJ9" s="395">
        <f>'raw data'!II9</f>
        <v>8</v>
      </c>
      <c r="EK9" s="397">
        <f>IF(ISERROR('raw data'!IH9/'raw data'!II9),0,'raw data'!IH9/'raw data'!II9)</f>
        <v>0.25</v>
      </c>
      <c r="EL9" s="394">
        <f>'raw data'!IJ9</f>
        <v>1</v>
      </c>
      <c r="EM9" s="395">
        <f>'raw data'!IK9</f>
        <v>3</v>
      </c>
      <c r="EN9" s="397">
        <f>IF(ISERROR('raw data'!IJ9/'raw data'!IK9),0,'raw data'!IJ9/'raw data'!IK9)</f>
        <v>0.33333333333333331</v>
      </c>
      <c r="EO9" s="394">
        <f>'raw data'!IL9</f>
        <v>1</v>
      </c>
      <c r="EP9" s="395">
        <f>'raw data'!IM9</f>
        <v>7</v>
      </c>
      <c r="EQ9" s="397">
        <f>IF(ISERROR('raw data'!IL9/'raw data'!IM9),0,'raw data'!IL9/'raw data'!IM9)</f>
        <v>0.14285714285714285</v>
      </c>
      <c r="ER9" s="394">
        <f>'raw data'!IN9</f>
        <v>2</v>
      </c>
      <c r="ES9" s="395">
        <f>'raw data'!IO9</f>
        <v>2</v>
      </c>
      <c r="ET9" s="397">
        <f>IF(ISERROR('raw data'!IN9/'raw data'!IO9),0,'raw data'!IN9/'raw data'!IO9)</f>
        <v>1</v>
      </c>
      <c r="EU9" s="394">
        <f>'raw data'!IP9</f>
        <v>0</v>
      </c>
      <c r="EV9" s="395">
        <f>'raw data'!IQ9</f>
        <v>2</v>
      </c>
      <c r="EW9" s="397">
        <f>IF(ISERROR('raw data'!IP9/'raw data'!IQ9),0,'raw data'!IP9/'raw data'!IQ9)</f>
        <v>0</v>
      </c>
      <c r="EX9" s="394">
        <f>'raw data'!IR9</f>
        <v>2</v>
      </c>
      <c r="EY9" s="395">
        <f>'raw data'!IS9</f>
        <v>8</v>
      </c>
      <c r="EZ9" s="397">
        <f>IF(ISERROR('raw data'!IR9/'raw data'!IS9),0,'raw data'!IR9/'raw data'!IS9)</f>
        <v>0.25</v>
      </c>
      <c r="FA9" s="394">
        <f>'raw data'!IT9</f>
        <v>5</v>
      </c>
      <c r="FB9" s="395">
        <f>'raw data'!IU9</f>
        <v>8</v>
      </c>
      <c r="FC9" s="397">
        <f>IF(ISERROR('raw data'!IT9/'raw data'!IU9),0,'raw data'!IT9/'raw data'!IU9)</f>
        <v>0.625</v>
      </c>
      <c r="FD9" s="394">
        <f>'raw data'!IV9</f>
        <v>1</v>
      </c>
      <c r="FE9" s="395">
        <f>'raw data'!IW9</f>
        <v>5</v>
      </c>
      <c r="FF9" s="397">
        <f>IF(ISERROR('raw data'!IV9/'raw data'!IW9),0,'raw data'!IV9/'raw data'!IW9)</f>
        <v>0.2</v>
      </c>
      <c r="FG9" s="394">
        <f>'raw data'!IX9</f>
        <v>0</v>
      </c>
      <c r="FH9" s="395">
        <f>'raw data'!IY9</f>
        <v>4</v>
      </c>
      <c r="FI9" s="397">
        <f>IF(ISERROR('raw data'!IX9/'raw data'!IY9),0,'raw data'!IX9/'raw data'!IY9)</f>
        <v>0</v>
      </c>
      <c r="FJ9" s="394">
        <f>'raw data'!IZ9</f>
        <v>2</v>
      </c>
      <c r="FK9" s="395">
        <f>'raw data'!JA9</f>
        <v>4</v>
      </c>
      <c r="FL9" s="397">
        <f>IF(ISERROR('raw data'!IZ9/'raw data'!JA9),0,'raw data'!IZ9/'raw data'!JA9)</f>
        <v>0.5</v>
      </c>
      <c r="FM9" s="394">
        <f>'raw data'!JB9</f>
        <v>0</v>
      </c>
      <c r="FN9" s="395">
        <f>'raw data'!JC9</f>
        <v>4</v>
      </c>
      <c r="FO9" s="397">
        <f>IF(ISERROR('raw data'!JB9/'raw data'!JC9),0,'raw data'!JB9/'raw data'!JC9)</f>
        <v>0</v>
      </c>
      <c r="FP9" s="394">
        <f>'raw data'!JD9</f>
        <v>3</v>
      </c>
      <c r="FQ9" s="395">
        <f>'raw data'!JE9</f>
        <v>8</v>
      </c>
      <c r="FR9" s="397">
        <f>IF(ISERROR('raw data'!JD9/'raw data'!JE9),0,'raw data'!JD9/'raw data'!JE9)</f>
        <v>0.375</v>
      </c>
      <c r="FS9" s="388"/>
      <c r="FT9" s="398">
        <v>19</v>
      </c>
      <c r="FU9" s="399">
        <v>63</v>
      </c>
      <c r="FV9" s="400">
        <f t="shared" si="0"/>
        <v>0.30158730158730157</v>
      </c>
    </row>
    <row r="10" spans="1:179" ht="42" x14ac:dyDescent="0.15">
      <c r="A10" s="406">
        <v>1.1100000000000001</v>
      </c>
      <c r="B10" s="382" t="str">
        <f>'raw data'!B10</f>
        <v>Flex accounts of Eastern Europeans, possibly benefits paid (Child Benefit, JSA etc) and may live abroad (2 or more VW in last 3 months).</v>
      </c>
      <c r="C10" s="407" t="s">
        <v>263</v>
      </c>
      <c r="D10" s="394">
        <f>'raw data'!ET10</f>
        <v>1</v>
      </c>
      <c r="E10" s="395">
        <f>'raw data'!EU10</f>
        <v>17</v>
      </c>
      <c r="F10" s="396">
        <f>IF(ISERROR('raw data'!ET10/'raw data'!EU10),0,'raw data'!ET10/'raw data'!EU10)</f>
        <v>5.8823529411764705E-2</v>
      </c>
      <c r="G10" s="402" t="s">
        <v>243</v>
      </c>
      <c r="H10" s="403" t="s">
        <v>243</v>
      </c>
      <c r="I10" s="404" t="s">
        <v>243</v>
      </c>
      <c r="J10" s="402" t="s">
        <v>243</v>
      </c>
      <c r="K10" s="403" t="s">
        <v>243</v>
      </c>
      <c r="L10" s="404" t="s">
        <v>243</v>
      </c>
      <c r="M10" s="402" t="s">
        <v>243</v>
      </c>
      <c r="N10" s="403" t="s">
        <v>243</v>
      </c>
      <c r="O10" s="404" t="s">
        <v>243</v>
      </c>
      <c r="P10" s="402" t="s">
        <v>243</v>
      </c>
      <c r="Q10" s="403" t="s">
        <v>243</v>
      </c>
      <c r="R10" s="404" t="s">
        <v>243</v>
      </c>
      <c r="S10" s="402" t="s">
        <v>243</v>
      </c>
      <c r="T10" s="403" t="s">
        <v>243</v>
      </c>
      <c r="U10" s="404" t="s">
        <v>243</v>
      </c>
      <c r="V10" s="402" t="s">
        <v>243</v>
      </c>
      <c r="W10" s="403" t="s">
        <v>243</v>
      </c>
      <c r="X10" s="404" t="s">
        <v>243</v>
      </c>
      <c r="Y10" s="402" t="s">
        <v>243</v>
      </c>
      <c r="Z10" s="403" t="s">
        <v>243</v>
      </c>
      <c r="AA10" s="404" t="s">
        <v>243</v>
      </c>
      <c r="AB10" s="402" t="s">
        <v>243</v>
      </c>
      <c r="AC10" s="403" t="s">
        <v>243</v>
      </c>
      <c r="AD10" s="404" t="s">
        <v>243</v>
      </c>
      <c r="AE10" s="402" t="s">
        <v>243</v>
      </c>
      <c r="AF10" s="403" t="s">
        <v>243</v>
      </c>
      <c r="AG10" s="404" t="s">
        <v>243</v>
      </c>
      <c r="AH10" s="402" t="s">
        <v>243</v>
      </c>
      <c r="AI10" s="403" t="s">
        <v>243</v>
      </c>
      <c r="AJ10" s="404" t="s">
        <v>243</v>
      </c>
      <c r="AK10" s="402" t="s">
        <v>243</v>
      </c>
      <c r="AL10" s="403" t="s">
        <v>243</v>
      </c>
      <c r="AM10" s="404" t="s">
        <v>243</v>
      </c>
      <c r="AN10" s="402" t="s">
        <v>243</v>
      </c>
      <c r="AO10" s="403" t="s">
        <v>243</v>
      </c>
      <c r="AP10" s="404" t="s">
        <v>243</v>
      </c>
      <c r="AQ10" s="402" t="s">
        <v>243</v>
      </c>
      <c r="AR10" s="403" t="s">
        <v>243</v>
      </c>
      <c r="AS10" s="405" t="s">
        <v>243</v>
      </c>
      <c r="AT10" s="402" t="s">
        <v>243</v>
      </c>
      <c r="AU10" s="403" t="s">
        <v>243</v>
      </c>
      <c r="AV10" s="405" t="s">
        <v>243</v>
      </c>
      <c r="AW10" s="402" t="s">
        <v>243</v>
      </c>
      <c r="AX10" s="403" t="s">
        <v>243</v>
      </c>
      <c r="AY10" s="405" t="s">
        <v>243</v>
      </c>
      <c r="AZ10" s="402" t="s">
        <v>243</v>
      </c>
      <c r="BA10" s="403" t="s">
        <v>243</v>
      </c>
      <c r="BB10" s="405" t="s">
        <v>243</v>
      </c>
      <c r="BC10" s="402" t="s">
        <v>243</v>
      </c>
      <c r="BD10" s="403" t="s">
        <v>243</v>
      </c>
      <c r="BE10" s="405" t="s">
        <v>243</v>
      </c>
      <c r="BF10" s="402" t="s">
        <v>243</v>
      </c>
      <c r="BG10" s="403" t="s">
        <v>243</v>
      </c>
      <c r="BH10" s="405" t="s">
        <v>243</v>
      </c>
      <c r="BI10" s="402" t="s">
        <v>243</v>
      </c>
      <c r="BJ10" s="403" t="s">
        <v>243</v>
      </c>
      <c r="BK10" s="405" t="s">
        <v>243</v>
      </c>
      <c r="BL10" s="402" t="s">
        <v>243</v>
      </c>
      <c r="BM10" s="403" t="s">
        <v>243</v>
      </c>
      <c r="BN10" s="405" t="s">
        <v>243</v>
      </c>
      <c r="BO10" s="402" t="s">
        <v>243</v>
      </c>
      <c r="BP10" s="403" t="s">
        <v>243</v>
      </c>
      <c r="BQ10" s="405" t="s">
        <v>243</v>
      </c>
      <c r="BR10" s="402" t="s">
        <v>243</v>
      </c>
      <c r="BS10" s="403" t="s">
        <v>243</v>
      </c>
      <c r="BT10" s="405" t="s">
        <v>243</v>
      </c>
      <c r="BU10" s="402" t="s">
        <v>243</v>
      </c>
      <c r="BV10" s="403" t="s">
        <v>243</v>
      </c>
      <c r="BW10" s="405" t="s">
        <v>243</v>
      </c>
      <c r="BX10" s="402" t="s">
        <v>243</v>
      </c>
      <c r="BY10" s="403" t="s">
        <v>243</v>
      </c>
      <c r="BZ10" s="405" t="s">
        <v>243</v>
      </c>
      <c r="CA10" s="402" t="s">
        <v>243</v>
      </c>
      <c r="CB10" s="403" t="s">
        <v>243</v>
      </c>
      <c r="CC10" s="405" t="s">
        <v>243</v>
      </c>
      <c r="CD10" s="402" t="s">
        <v>243</v>
      </c>
      <c r="CE10" s="403" t="s">
        <v>243</v>
      </c>
      <c r="CF10" s="405" t="s">
        <v>243</v>
      </c>
      <c r="CG10" s="402" t="s">
        <v>243</v>
      </c>
      <c r="CH10" s="403" t="s">
        <v>243</v>
      </c>
      <c r="CI10" s="405" t="s">
        <v>243</v>
      </c>
      <c r="CJ10" s="402" t="s">
        <v>243</v>
      </c>
      <c r="CK10" s="403" t="s">
        <v>243</v>
      </c>
      <c r="CL10" s="405" t="s">
        <v>243</v>
      </c>
      <c r="CM10" s="402" t="s">
        <v>243</v>
      </c>
      <c r="CN10" s="403" t="s">
        <v>243</v>
      </c>
      <c r="CO10" s="405" t="s">
        <v>243</v>
      </c>
      <c r="CP10" s="402" t="s">
        <v>243</v>
      </c>
      <c r="CQ10" s="403" t="s">
        <v>243</v>
      </c>
      <c r="CR10" s="405" t="s">
        <v>243</v>
      </c>
      <c r="CS10" s="402" t="s">
        <v>243</v>
      </c>
      <c r="CT10" s="403" t="s">
        <v>243</v>
      </c>
      <c r="CU10" s="405" t="s">
        <v>243</v>
      </c>
      <c r="CV10" s="402" t="s">
        <v>243</v>
      </c>
      <c r="CW10" s="403" t="s">
        <v>243</v>
      </c>
      <c r="CX10" s="405" t="s">
        <v>243</v>
      </c>
      <c r="CY10" s="402" t="s">
        <v>243</v>
      </c>
      <c r="CZ10" s="403" t="s">
        <v>243</v>
      </c>
      <c r="DA10" s="405" t="s">
        <v>243</v>
      </c>
      <c r="DB10" s="402" t="s">
        <v>243</v>
      </c>
      <c r="DC10" s="403" t="s">
        <v>243</v>
      </c>
      <c r="DD10" s="405" t="s">
        <v>243</v>
      </c>
      <c r="DE10" s="402" t="s">
        <v>243</v>
      </c>
      <c r="DF10" s="403" t="s">
        <v>243</v>
      </c>
      <c r="DG10" s="405" t="s">
        <v>243</v>
      </c>
      <c r="DH10" s="402" t="s">
        <v>243</v>
      </c>
      <c r="DI10" s="403" t="s">
        <v>243</v>
      </c>
      <c r="DJ10" s="405" t="s">
        <v>243</v>
      </c>
      <c r="DK10" s="402" t="s">
        <v>243</v>
      </c>
      <c r="DL10" s="403" t="s">
        <v>243</v>
      </c>
      <c r="DM10" s="405" t="s">
        <v>243</v>
      </c>
      <c r="DN10" s="402" t="s">
        <v>243</v>
      </c>
      <c r="DO10" s="403" t="s">
        <v>243</v>
      </c>
      <c r="DP10" s="405" t="s">
        <v>243</v>
      </c>
      <c r="DQ10" s="402" t="s">
        <v>243</v>
      </c>
      <c r="DR10" s="403" t="s">
        <v>243</v>
      </c>
      <c r="DS10" s="405" t="s">
        <v>243</v>
      </c>
      <c r="DT10" s="402" t="s">
        <v>243</v>
      </c>
      <c r="DU10" s="403" t="s">
        <v>243</v>
      </c>
      <c r="DV10" s="405" t="s">
        <v>243</v>
      </c>
      <c r="DW10" s="402" t="s">
        <v>243</v>
      </c>
      <c r="DX10" s="403" t="s">
        <v>243</v>
      </c>
      <c r="DY10" s="405" t="s">
        <v>243</v>
      </c>
      <c r="DZ10" s="402" t="s">
        <v>243</v>
      </c>
      <c r="EA10" s="403" t="s">
        <v>243</v>
      </c>
      <c r="EB10" s="405" t="s">
        <v>243</v>
      </c>
      <c r="EC10" s="402" t="s">
        <v>243</v>
      </c>
      <c r="ED10" s="403" t="s">
        <v>243</v>
      </c>
      <c r="EE10" s="405" t="s">
        <v>243</v>
      </c>
      <c r="EF10" s="402" t="s">
        <v>243</v>
      </c>
      <c r="EG10" s="403" t="s">
        <v>243</v>
      </c>
      <c r="EH10" s="405" t="s">
        <v>243</v>
      </c>
      <c r="EI10" s="402" t="s">
        <v>243</v>
      </c>
      <c r="EJ10" s="403" t="s">
        <v>243</v>
      </c>
      <c r="EK10" s="405" t="s">
        <v>243</v>
      </c>
      <c r="EL10" s="402" t="s">
        <v>243</v>
      </c>
      <c r="EM10" s="403" t="s">
        <v>243</v>
      </c>
      <c r="EN10" s="405" t="s">
        <v>243</v>
      </c>
      <c r="EO10" s="402" t="s">
        <v>243</v>
      </c>
      <c r="EP10" s="403" t="s">
        <v>243</v>
      </c>
      <c r="EQ10" s="405" t="s">
        <v>243</v>
      </c>
      <c r="ER10" s="402" t="s">
        <v>243</v>
      </c>
      <c r="ES10" s="403" t="s">
        <v>243</v>
      </c>
      <c r="ET10" s="405" t="s">
        <v>243</v>
      </c>
      <c r="EU10" s="402" t="s">
        <v>243</v>
      </c>
      <c r="EV10" s="403" t="s">
        <v>243</v>
      </c>
      <c r="EW10" s="405" t="s">
        <v>243</v>
      </c>
      <c r="EX10" s="402" t="s">
        <v>243</v>
      </c>
      <c r="EY10" s="403" t="s">
        <v>243</v>
      </c>
      <c r="EZ10" s="405" t="s">
        <v>243</v>
      </c>
      <c r="FA10" s="402" t="s">
        <v>243</v>
      </c>
      <c r="FB10" s="403" t="s">
        <v>243</v>
      </c>
      <c r="FC10" s="405" t="s">
        <v>243</v>
      </c>
      <c r="FD10" s="402" t="s">
        <v>243</v>
      </c>
      <c r="FE10" s="403" t="s">
        <v>243</v>
      </c>
      <c r="FF10" s="405" t="s">
        <v>243</v>
      </c>
      <c r="FG10" s="402" t="s">
        <v>243</v>
      </c>
      <c r="FH10" s="403" t="s">
        <v>243</v>
      </c>
      <c r="FI10" s="405" t="s">
        <v>243</v>
      </c>
      <c r="FJ10" s="402" t="s">
        <v>243</v>
      </c>
      <c r="FK10" s="403" t="s">
        <v>243</v>
      </c>
      <c r="FL10" s="405" t="s">
        <v>243</v>
      </c>
      <c r="FM10" s="402" t="s">
        <v>243</v>
      </c>
      <c r="FN10" s="403" t="s">
        <v>243</v>
      </c>
      <c r="FO10" s="405" t="s">
        <v>243</v>
      </c>
      <c r="FP10" s="402" t="s">
        <v>243</v>
      </c>
      <c r="FQ10" s="403" t="s">
        <v>243</v>
      </c>
      <c r="FR10" s="405" t="s">
        <v>243</v>
      </c>
      <c r="FS10" s="388"/>
      <c r="FT10" s="398">
        <v>0</v>
      </c>
      <c r="FU10" s="399">
        <v>0</v>
      </c>
      <c r="FV10" s="400">
        <f t="shared" si="0"/>
        <v>0</v>
      </c>
      <c r="FW10" s="229"/>
    </row>
    <row r="11" spans="1:179" ht="25.5" customHeight="1" x14ac:dyDescent="0.15">
      <c r="A11" s="392">
        <v>1.1200000000000001</v>
      </c>
      <c r="B11" s="382" t="str">
        <f>'raw data'!B11</f>
        <v>Debit cards with £2k+ monthly spend on virtual games (includes Second Life, Eve Online and Blizzard).</v>
      </c>
      <c r="C11" s="393" t="s">
        <v>245</v>
      </c>
      <c r="D11" s="402" t="s">
        <v>243</v>
      </c>
      <c r="E11" s="403" t="s">
        <v>243</v>
      </c>
      <c r="F11" s="404" t="s">
        <v>243</v>
      </c>
      <c r="G11" s="402" t="s">
        <v>243</v>
      </c>
      <c r="H11" s="403" t="s">
        <v>243</v>
      </c>
      <c r="I11" s="404" t="s">
        <v>243</v>
      </c>
      <c r="J11" s="402" t="s">
        <v>243</v>
      </c>
      <c r="K11" s="403" t="s">
        <v>243</v>
      </c>
      <c r="L11" s="404" t="s">
        <v>243</v>
      </c>
      <c r="M11" s="402" t="s">
        <v>243</v>
      </c>
      <c r="N11" s="403" t="s">
        <v>243</v>
      </c>
      <c r="O11" s="404" t="s">
        <v>243</v>
      </c>
      <c r="P11" s="402" t="s">
        <v>243</v>
      </c>
      <c r="Q11" s="403" t="s">
        <v>243</v>
      </c>
      <c r="R11" s="404" t="s">
        <v>243</v>
      </c>
      <c r="S11" s="402" t="s">
        <v>243</v>
      </c>
      <c r="T11" s="403" t="s">
        <v>243</v>
      </c>
      <c r="U11" s="404" t="s">
        <v>243</v>
      </c>
      <c r="V11" s="402" t="s">
        <v>243</v>
      </c>
      <c r="W11" s="403" t="s">
        <v>243</v>
      </c>
      <c r="X11" s="404" t="s">
        <v>243</v>
      </c>
      <c r="Y11" s="402" t="s">
        <v>243</v>
      </c>
      <c r="Z11" s="403" t="s">
        <v>243</v>
      </c>
      <c r="AA11" s="404" t="s">
        <v>243</v>
      </c>
      <c r="AB11" s="402" t="s">
        <v>243</v>
      </c>
      <c r="AC11" s="403" t="s">
        <v>243</v>
      </c>
      <c r="AD11" s="404" t="s">
        <v>243</v>
      </c>
      <c r="AE11" s="402" t="s">
        <v>243</v>
      </c>
      <c r="AF11" s="403" t="s">
        <v>243</v>
      </c>
      <c r="AG11" s="404" t="s">
        <v>243</v>
      </c>
      <c r="AH11" s="402" t="s">
        <v>243</v>
      </c>
      <c r="AI11" s="403" t="s">
        <v>243</v>
      </c>
      <c r="AJ11" s="404" t="s">
        <v>243</v>
      </c>
      <c r="AK11" s="402" t="s">
        <v>243</v>
      </c>
      <c r="AL11" s="403" t="s">
        <v>243</v>
      </c>
      <c r="AM11" s="404" t="s">
        <v>243</v>
      </c>
      <c r="AN11" s="402" t="s">
        <v>243</v>
      </c>
      <c r="AO11" s="403" t="s">
        <v>243</v>
      </c>
      <c r="AP11" s="404" t="s">
        <v>243</v>
      </c>
      <c r="AQ11" s="402" t="s">
        <v>243</v>
      </c>
      <c r="AR11" s="403" t="s">
        <v>243</v>
      </c>
      <c r="AS11" s="405" t="s">
        <v>243</v>
      </c>
      <c r="AT11" s="402" t="s">
        <v>243</v>
      </c>
      <c r="AU11" s="403" t="s">
        <v>243</v>
      </c>
      <c r="AV11" s="405" t="s">
        <v>243</v>
      </c>
      <c r="AW11" s="402" t="s">
        <v>243</v>
      </c>
      <c r="AX11" s="403" t="s">
        <v>243</v>
      </c>
      <c r="AY11" s="405" t="s">
        <v>243</v>
      </c>
      <c r="AZ11" s="402" t="s">
        <v>243</v>
      </c>
      <c r="BA11" s="403" t="s">
        <v>243</v>
      </c>
      <c r="BB11" s="405" t="s">
        <v>243</v>
      </c>
      <c r="BC11" s="402" t="s">
        <v>243</v>
      </c>
      <c r="BD11" s="403" t="s">
        <v>243</v>
      </c>
      <c r="BE11" s="405" t="s">
        <v>243</v>
      </c>
      <c r="BF11" s="402" t="s">
        <v>243</v>
      </c>
      <c r="BG11" s="403" t="s">
        <v>243</v>
      </c>
      <c r="BH11" s="405" t="s">
        <v>243</v>
      </c>
      <c r="BI11" s="402" t="s">
        <v>243</v>
      </c>
      <c r="BJ11" s="403" t="s">
        <v>243</v>
      </c>
      <c r="BK11" s="405" t="s">
        <v>243</v>
      </c>
      <c r="BL11" s="402" t="s">
        <v>243</v>
      </c>
      <c r="BM11" s="403" t="s">
        <v>243</v>
      </c>
      <c r="BN11" s="405" t="s">
        <v>243</v>
      </c>
      <c r="BO11" s="402" t="s">
        <v>243</v>
      </c>
      <c r="BP11" s="403" t="s">
        <v>243</v>
      </c>
      <c r="BQ11" s="405" t="s">
        <v>243</v>
      </c>
      <c r="BR11" s="402" t="s">
        <v>243</v>
      </c>
      <c r="BS11" s="403" t="s">
        <v>243</v>
      </c>
      <c r="BT11" s="405" t="s">
        <v>243</v>
      </c>
      <c r="BU11" s="402" t="s">
        <v>243</v>
      </c>
      <c r="BV11" s="403" t="s">
        <v>243</v>
      </c>
      <c r="BW11" s="405" t="s">
        <v>243</v>
      </c>
      <c r="BX11" s="402" t="s">
        <v>243</v>
      </c>
      <c r="BY11" s="403" t="s">
        <v>243</v>
      </c>
      <c r="BZ11" s="405" t="s">
        <v>243</v>
      </c>
      <c r="CA11" s="402" t="s">
        <v>243</v>
      </c>
      <c r="CB11" s="403" t="s">
        <v>243</v>
      </c>
      <c r="CC11" s="405" t="s">
        <v>243</v>
      </c>
      <c r="CD11" s="402" t="s">
        <v>243</v>
      </c>
      <c r="CE11" s="403" t="s">
        <v>243</v>
      </c>
      <c r="CF11" s="405" t="s">
        <v>243</v>
      </c>
      <c r="CG11" s="402" t="s">
        <v>243</v>
      </c>
      <c r="CH11" s="403" t="s">
        <v>243</v>
      </c>
      <c r="CI11" s="405" t="s">
        <v>243</v>
      </c>
      <c r="CJ11" s="402" t="s">
        <v>243</v>
      </c>
      <c r="CK11" s="403" t="s">
        <v>243</v>
      </c>
      <c r="CL11" s="405" t="s">
        <v>243</v>
      </c>
      <c r="CM11" s="402" t="s">
        <v>243</v>
      </c>
      <c r="CN11" s="403" t="s">
        <v>243</v>
      </c>
      <c r="CO11" s="405" t="s">
        <v>243</v>
      </c>
      <c r="CP11" s="402" t="s">
        <v>243</v>
      </c>
      <c r="CQ11" s="403" t="s">
        <v>243</v>
      </c>
      <c r="CR11" s="405" t="s">
        <v>243</v>
      </c>
      <c r="CS11" s="402" t="s">
        <v>243</v>
      </c>
      <c r="CT11" s="403" t="s">
        <v>243</v>
      </c>
      <c r="CU11" s="405" t="s">
        <v>243</v>
      </c>
      <c r="CV11" s="402" t="s">
        <v>243</v>
      </c>
      <c r="CW11" s="403" t="s">
        <v>243</v>
      </c>
      <c r="CX11" s="405" t="s">
        <v>243</v>
      </c>
      <c r="CY11" s="402" t="s">
        <v>243</v>
      </c>
      <c r="CZ11" s="403" t="s">
        <v>243</v>
      </c>
      <c r="DA11" s="405" t="s">
        <v>243</v>
      </c>
      <c r="DB11" s="402" t="s">
        <v>243</v>
      </c>
      <c r="DC11" s="403" t="s">
        <v>243</v>
      </c>
      <c r="DD11" s="405" t="s">
        <v>243</v>
      </c>
      <c r="DE11" s="402" t="s">
        <v>243</v>
      </c>
      <c r="DF11" s="403" t="s">
        <v>243</v>
      </c>
      <c r="DG11" s="405" t="s">
        <v>243</v>
      </c>
      <c r="DH11" s="402" t="s">
        <v>243</v>
      </c>
      <c r="DI11" s="403" t="s">
        <v>243</v>
      </c>
      <c r="DJ11" s="405" t="s">
        <v>243</v>
      </c>
      <c r="DK11" s="402" t="s">
        <v>243</v>
      </c>
      <c r="DL11" s="403" t="s">
        <v>243</v>
      </c>
      <c r="DM11" s="405" t="s">
        <v>243</v>
      </c>
      <c r="DN11" s="402" t="s">
        <v>243</v>
      </c>
      <c r="DO11" s="403" t="s">
        <v>243</v>
      </c>
      <c r="DP11" s="405" t="s">
        <v>243</v>
      </c>
      <c r="DQ11" s="402" t="s">
        <v>243</v>
      </c>
      <c r="DR11" s="403" t="s">
        <v>243</v>
      </c>
      <c r="DS11" s="405" t="s">
        <v>243</v>
      </c>
      <c r="DT11" s="402" t="s">
        <v>243</v>
      </c>
      <c r="DU11" s="403" t="s">
        <v>243</v>
      </c>
      <c r="DV11" s="405" t="s">
        <v>243</v>
      </c>
      <c r="DW11" s="402" t="s">
        <v>243</v>
      </c>
      <c r="DX11" s="403" t="s">
        <v>243</v>
      </c>
      <c r="DY11" s="405" t="s">
        <v>243</v>
      </c>
      <c r="DZ11" s="402" t="s">
        <v>243</v>
      </c>
      <c r="EA11" s="403" t="s">
        <v>243</v>
      </c>
      <c r="EB11" s="405" t="s">
        <v>243</v>
      </c>
      <c r="EC11" s="402" t="s">
        <v>243</v>
      </c>
      <c r="ED11" s="403" t="s">
        <v>243</v>
      </c>
      <c r="EE11" s="405" t="s">
        <v>243</v>
      </c>
      <c r="EF11" s="402" t="s">
        <v>243</v>
      </c>
      <c r="EG11" s="403" t="s">
        <v>243</v>
      </c>
      <c r="EH11" s="405" t="s">
        <v>243</v>
      </c>
      <c r="EI11" s="402" t="s">
        <v>243</v>
      </c>
      <c r="EJ11" s="403" t="s">
        <v>243</v>
      </c>
      <c r="EK11" s="405" t="s">
        <v>243</v>
      </c>
      <c r="EL11" s="402" t="s">
        <v>243</v>
      </c>
      <c r="EM11" s="403" t="s">
        <v>243</v>
      </c>
      <c r="EN11" s="405" t="s">
        <v>243</v>
      </c>
      <c r="EO11" s="402" t="s">
        <v>243</v>
      </c>
      <c r="EP11" s="403" t="s">
        <v>243</v>
      </c>
      <c r="EQ11" s="405" t="s">
        <v>243</v>
      </c>
      <c r="ER11" s="402" t="s">
        <v>243</v>
      </c>
      <c r="ES11" s="403" t="s">
        <v>243</v>
      </c>
      <c r="ET11" s="405" t="s">
        <v>243</v>
      </c>
      <c r="EU11" s="402" t="s">
        <v>243</v>
      </c>
      <c r="EV11" s="403" t="s">
        <v>243</v>
      </c>
      <c r="EW11" s="405" t="s">
        <v>243</v>
      </c>
      <c r="EX11" s="402" t="s">
        <v>243</v>
      </c>
      <c r="EY11" s="403" t="s">
        <v>243</v>
      </c>
      <c r="EZ11" s="405" t="s">
        <v>243</v>
      </c>
      <c r="FA11" s="402" t="s">
        <v>243</v>
      </c>
      <c r="FB11" s="403" t="s">
        <v>243</v>
      </c>
      <c r="FC11" s="405" t="s">
        <v>243</v>
      </c>
      <c r="FD11" s="402" t="s">
        <v>243</v>
      </c>
      <c r="FE11" s="403" t="s">
        <v>243</v>
      </c>
      <c r="FF11" s="405" t="s">
        <v>243</v>
      </c>
      <c r="FG11" s="402" t="s">
        <v>243</v>
      </c>
      <c r="FH11" s="403" t="s">
        <v>243</v>
      </c>
      <c r="FI11" s="405" t="s">
        <v>243</v>
      </c>
      <c r="FJ11" s="402" t="s">
        <v>243</v>
      </c>
      <c r="FK11" s="403" t="s">
        <v>243</v>
      </c>
      <c r="FL11" s="405" t="s">
        <v>243</v>
      </c>
      <c r="FM11" s="402" t="s">
        <v>243</v>
      </c>
      <c r="FN11" s="403" t="s">
        <v>243</v>
      </c>
      <c r="FO11" s="405" t="s">
        <v>243</v>
      </c>
      <c r="FP11" s="402" t="s">
        <v>243</v>
      </c>
      <c r="FQ11" s="403" t="s">
        <v>243</v>
      </c>
      <c r="FR11" s="405" t="s">
        <v>243</v>
      </c>
      <c r="FS11" s="388"/>
      <c r="FT11" s="398">
        <v>0</v>
      </c>
      <c r="FU11" s="399">
        <v>0</v>
      </c>
      <c r="FV11" s="400">
        <f t="shared" si="0"/>
        <v>0</v>
      </c>
    </row>
    <row r="12" spans="1:179" ht="25.5" customHeight="1" x14ac:dyDescent="0.15">
      <c r="A12" s="392">
        <v>1.1299999999999999</v>
      </c>
      <c r="B12" s="382" t="str">
        <f>'raw data'!B12</f>
        <v>Flex accounts receiving 5 or more £3k+ cash credits last month.</v>
      </c>
      <c r="C12" s="393" t="s">
        <v>23</v>
      </c>
      <c r="D12" s="394">
        <f>'raw data'!ET12</f>
        <v>7</v>
      </c>
      <c r="E12" s="395">
        <f>'raw data'!EU12</f>
        <v>33</v>
      </c>
      <c r="F12" s="396">
        <f>IF(ISERROR('raw data'!ET12/'raw data'!EU12),0,'raw data'!ET12/'raw data'!EU12)</f>
        <v>0.21212121212121213</v>
      </c>
      <c r="G12" s="394">
        <f>'raw data'!EV12</f>
        <v>1</v>
      </c>
      <c r="H12" s="395">
        <f>'raw data'!EW12</f>
        <v>15</v>
      </c>
      <c r="I12" s="396">
        <f>IF(ISERROR('raw data'!EV12/'raw data'!EW12),0,'raw data'!EV12/'raw data'!EW12)</f>
        <v>6.6666666666666666E-2</v>
      </c>
      <c r="J12" s="394">
        <f>'raw data'!EX12</f>
        <v>4</v>
      </c>
      <c r="K12" s="395">
        <f>'raw data'!EY12</f>
        <v>26</v>
      </c>
      <c r="L12" s="396">
        <f>IF(ISERROR('raw data'!EX12/'raw data'!EY12),0,'raw data'!EX12/'raw data'!EY12)</f>
        <v>0.15384615384615385</v>
      </c>
      <c r="M12" s="394">
        <f>'raw data'!EZ12</f>
        <v>4</v>
      </c>
      <c r="N12" s="395">
        <f>'raw data'!FA12</f>
        <v>16</v>
      </c>
      <c r="O12" s="396">
        <f>IF(ISERROR('raw data'!EZ12/'raw data'!FA12),0,'raw data'!EZ12/'raw data'!FA12)</f>
        <v>0.25</v>
      </c>
      <c r="P12" s="394">
        <f>'raw data'!FB12</f>
        <v>8</v>
      </c>
      <c r="Q12" s="395">
        <f>'raw data'!FC12</f>
        <v>44</v>
      </c>
      <c r="R12" s="396">
        <f>IF(ISERROR('raw data'!FB12/'raw data'!FC12),0,'raw data'!FB12/'raw data'!FC12)</f>
        <v>0.18181818181818182</v>
      </c>
      <c r="S12" s="394">
        <f>'raw data'!FD12</f>
        <v>2</v>
      </c>
      <c r="T12" s="395">
        <f>'raw data'!FE12</f>
        <v>23</v>
      </c>
      <c r="U12" s="396">
        <f>IF(ISERROR('raw data'!FD12/'raw data'!FE12),0,'raw data'!FD12/'raw data'!FE12)</f>
        <v>8.6956521739130432E-2</v>
      </c>
      <c r="V12" s="394">
        <f>'raw data'!FF12</f>
        <v>9</v>
      </c>
      <c r="W12" s="395">
        <f>'raw data'!FG12</f>
        <v>30</v>
      </c>
      <c r="X12" s="396">
        <f>IF(ISERROR('raw data'!FF12/'raw data'!FG12),0,'raw data'!FF12/'raw data'!FG12)</f>
        <v>0.3</v>
      </c>
      <c r="Y12" s="394">
        <f>'raw data'!FH12</f>
        <v>4</v>
      </c>
      <c r="Z12" s="395">
        <f>'raw data'!FI12</f>
        <v>25</v>
      </c>
      <c r="AA12" s="396">
        <f>IF(ISERROR('raw data'!FH12/'raw data'!FI12),0,'raw data'!FH12/'raw data'!FI12)</f>
        <v>0.16</v>
      </c>
      <c r="AB12" s="394">
        <f>'raw data'!FJ12</f>
        <v>7</v>
      </c>
      <c r="AC12" s="395">
        <f>'raw data'!FM12</f>
        <v>23</v>
      </c>
      <c r="AD12" s="396">
        <f>IF(ISERROR('raw data'!FJ12/'raw data'!FM12),0,'raw data'!FJ12/'raw data'!FM12)</f>
        <v>0.30434782608695654</v>
      </c>
      <c r="AE12" s="394">
        <f>'raw data'!FN12</f>
        <v>6</v>
      </c>
      <c r="AF12" s="395">
        <f>'raw data'!FO12</f>
        <v>30</v>
      </c>
      <c r="AG12" s="396">
        <f>IF(ISERROR('raw data'!FN12/'raw data'!FO12),0,'raw data'!FN12/'raw data'!FO12)</f>
        <v>0.2</v>
      </c>
      <c r="AH12" s="394">
        <f>'raw data'!FP12</f>
        <v>6</v>
      </c>
      <c r="AI12" s="395">
        <f>'raw data'!FQ12</f>
        <v>22</v>
      </c>
      <c r="AJ12" s="396">
        <f>IF(ISERROR('raw data'!FP12/'raw data'!FQ12),0,'raw data'!FP12/'raw data'!FQ12)</f>
        <v>0.27272727272727271</v>
      </c>
      <c r="AK12" s="394">
        <f>'raw data'!FR12</f>
        <v>7</v>
      </c>
      <c r="AL12" s="395">
        <f>'raw data'!FS12</f>
        <v>26</v>
      </c>
      <c r="AM12" s="396">
        <f>IF(ISERROR('raw data'!FR12/'raw data'!FS12),0,'raw data'!FR12/'raw data'!FS12)</f>
        <v>0.26923076923076922</v>
      </c>
      <c r="AN12" s="394">
        <f>'raw data'!FT12</f>
        <v>8</v>
      </c>
      <c r="AO12" s="395">
        <f>'raw data'!FU12</f>
        <v>29</v>
      </c>
      <c r="AP12" s="396">
        <f>IF(ISERROR('raw data'!FT12/'raw data'!FU12),0,'raw data'!FT12/'raw data'!FU12)</f>
        <v>0.27586206896551724</v>
      </c>
      <c r="AQ12" s="394">
        <f>'raw data'!FV12</f>
        <v>3</v>
      </c>
      <c r="AR12" s="395">
        <f>'raw data'!FW12</f>
        <v>25</v>
      </c>
      <c r="AS12" s="397">
        <f>IF(ISERROR('raw data'!FV12/'raw data'!FW12),0,'raw data'!FV12/'raw data'!FW12)</f>
        <v>0.12</v>
      </c>
      <c r="AT12" s="394">
        <f>'raw data'!FX12</f>
        <v>2</v>
      </c>
      <c r="AU12" s="395">
        <f>'raw data'!FY12</f>
        <v>9</v>
      </c>
      <c r="AV12" s="397">
        <f>IF(ISERROR('raw data'!FX12/'raw data'!FY12),0,'raw data'!FX12/'raw data'!FY12)</f>
        <v>0.22222222222222221</v>
      </c>
      <c r="AW12" s="394">
        <f>'raw data'!FZ12</f>
        <v>1</v>
      </c>
      <c r="AX12" s="395">
        <f>'raw data'!GA12</f>
        <v>15</v>
      </c>
      <c r="AY12" s="397">
        <f>IF(ISERROR('raw data'!FZ12/'raw data'!GA12),0,'raw data'!FZ12/'raw data'!GA12)</f>
        <v>6.6666666666666666E-2</v>
      </c>
      <c r="AZ12" s="394">
        <f>'raw data'!GB12</f>
        <v>2</v>
      </c>
      <c r="BA12" s="395">
        <f>'raw data'!GC12</f>
        <v>24</v>
      </c>
      <c r="BB12" s="397">
        <f>IF(ISERROR('raw data'!GB12/'raw data'!GC12),0,'raw data'!GB12/'raw data'!GC12)</f>
        <v>8.3333333333333329E-2</v>
      </c>
      <c r="BC12" s="394">
        <f>'raw data'!GD12</f>
        <v>4</v>
      </c>
      <c r="BD12" s="395">
        <f>'raw data'!GE12</f>
        <v>18</v>
      </c>
      <c r="BE12" s="397">
        <f>IF(ISERROR('raw data'!GD12/'raw data'!GE12),0,'raw data'!GD12/'raw data'!GE12)</f>
        <v>0.22222222222222221</v>
      </c>
      <c r="BF12" s="394">
        <f>'raw data'!GF12</f>
        <v>4</v>
      </c>
      <c r="BG12" s="395">
        <f>'raw data'!GG12</f>
        <v>18</v>
      </c>
      <c r="BH12" s="397">
        <f>IF(ISERROR('raw data'!GF12/'raw data'!GG12),0,'raw data'!GF12/'raw data'!GG12)</f>
        <v>0.22222222222222221</v>
      </c>
      <c r="BI12" s="394">
        <f>'raw data'!GH12</f>
        <v>3</v>
      </c>
      <c r="BJ12" s="395">
        <f>'raw data'!GI12</f>
        <v>15</v>
      </c>
      <c r="BK12" s="397">
        <f>IF(ISERROR('raw data'!GH12/'raw data'!GI12),0,'raw data'!GH12/'raw data'!GI12)</f>
        <v>0.2</v>
      </c>
      <c r="BL12" s="394">
        <f>'raw data'!GJ12</f>
        <v>4</v>
      </c>
      <c r="BM12" s="395">
        <f>'raw data'!GK12</f>
        <v>18</v>
      </c>
      <c r="BN12" s="397">
        <f>IF(ISERROR('raw data'!GJ12/'raw data'!GK12),0,'raw data'!GJ12/'raw data'!GK12)</f>
        <v>0.22222222222222221</v>
      </c>
      <c r="BO12" s="394">
        <f>'raw data'!GL12</f>
        <v>4</v>
      </c>
      <c r="BP12" s="395">
        <f>'raw data'!GM12</f>
        <v>28</v>
      </c>
      <c r="BQ12" s="397">
        <f>IF(ISERROR('raw data'!GL12/'raw data'!GM12),0,'raw data'!GL12/'raw data'!GM12)</f>
        <v>0.14285714285714285</v>
      </c>
      <c r="BR12" s="394">
        <f>'raw data'!GN12</f>
        <v>0</v>
      </c>
      <c r="BS12" s="395">
        <f>'raw data'!GO12</f>
        <v>12</v>
      </c>
      <c r="BT12" s="397">
        <f>IF(ISERROR('raw data'!GN12/'raw data'!GO12),0,'raw data'!GN12/'raw data'!GO12)</f>
        <v>0</v>
      </c>
      <c r="BU12" s="394">
        <f>'raw data'!GP12</f>
        <v>2</v>
      </c>
      <c r="BV12" s="395">
        <f>'raw data'!GQ12</f>
        <v>15</v>
      </c>
      <c r="BW12" s="397">
        <f>IF(ISERROR('raw data'!GP12/'raw data'!GQ12),0,'raw data'!GP12/'raw data'!GQ12)</f>
        <v>0.13333333333333333</v>
      </c>
      <c r="BX12" s="394">
        <f>'raw data'!GR12</f>
        <v>3</v>
      </c>
      <c r="BY12" s="395">
        <f>'raw data'!GS12</f>
        <v>18</v>
      </c>
      <c r="BZ12" s="397">
        <f>IF(ISERROR('raw data'!GR12/'raw data'!GS12),0,'raw data'!GR12/'raw data'!GS12)</f>
        <v>0.16666666666666666</v>
      </c>
      <c r="CA12" s="394">
        <f>'raw data'!GT12</f>
        <v>3</v>
      </c>
      <c r="CB12" s="395">
        <f>'raw data'!GU12</f>
        <v>11</v>
      </c>
      <c r="CC12" s="397">
        <f>IF(ISERROR('raw data'!GT12/'raw data'!GU12),0,'raw data'!GT12/'raw data'!GU12)</f>
        <v>0.27272727272727271</v>
      </c>
      <c r="CD12" s="394">
        <f>'raw data'!GV12</f>
        <v>1</v>
      </c>
      <c r="CE12" s="395">
        <f>'raw data'!GW12</f>
        <v>12</v>
      </c>
      <c r="CF12" s="397">
        <f>IF(ISERROR('raw data'!GV12/'raw data'!GW12),0,'raw data'!GV12/'raw data'!GW12)</f>
        <v>8.3333333333333329E-2</v>
      </c>
      <c r="CG12" s="394">
        <f>'raw data'!GX12</f>
        <v>5</v>
      </c>
      <c r="CH12" s="395">
        <f>'raw data'!GY12</f>
        <v>26</v>
      </c>
      <c r="CI12" s="397">
        <f>IF(ISERROR('raw data'!GX12/'raw data'!GY12),0,'raw data'!GX12/'raw data'!GY12)</f>
        <v>0.19230769230769232</v>
      </c>
      <c r="CJ12" s="394">
        <f>'raw data'!GZ12</f>
        <v>5</v>
      </c>
      <c r="CK12" s="395">
        <f>'raw data'!HA12</f>
        <v>21</v>
      </c>
      <c r="CL12" s="397">
        <f>IF(ISERROR('raw data'!GZ12/'raw data'!HA12),0,'raw data'!GZ12/'raw data'!HA12)</f>
        <v>0.23809523809523808</v>
      </c>
      <c r="CM12" s="394">
        <f>'raw data'!HB12</f>
        <v>2</v>
      </c>
      <c r="CN12" s="395">
        <f>'raw data'!HC12</f>
        <v>12</v>
      </c>
      <c r="CO12" s="397">
        <f>IF(ISERROR('raw data'!HB12/'raw data'!HC12),0,'raw data'!HB12/'raw data'!HC12)</f>
        <v>0.16666666666666666</v>
      </c>
      <c r="CP12" s="394">
        <f>'raw data'!HD12</f>
        <v>5</v>
      </c>
      <c r="CQ12" s="395">
        <f>'raw data'!HE12</f>
        <v>25</v>
      </c>
      <c r="CR12" s="397">
        <f>IF(ISERROR('raw data'!HD12/'raw data'!HE12),0,'raw data'!HD12/'raw data'!HE12)</f>
        <v>0.2</v>
      </c>
      <c r="CS12" s="394">
        <f>'raw data'!HF12</f>
        <v>1</v>
      </c>
      <c r="CT12" s="395">
        <f>'raw data'!HG12</f>
        <v>17</v>
      </c>
      <c r="CU12" s="397">
        <f>IF(ISERROR('raw data'!HF12/'raw data'!HG12),0,'raw data'!HF12/'raw data'!HG12)</f>
        <v>5.8823529411764705E-2</v>
      </c>
      <c r="CV12" s="394">
        <f>'raw data'!HH12</f>
        <v>0</v>
      </c>
      <c r="CW12" s="395">
        <f>'raw data'!HI12</f>
        <v>9</v>
      </c>
      <c r="CX12" s="397">
        <f>IF(ISERROR('raw data'!HH12/'raw data'!HI12),0,'raw data'!HH12/'raw data'!HI12)</f>
        <v>0</v>
      </c>
      <c r="CY12" s="394">
        <f>'raw data'!HJ12</f>
        <v>2</v>
      </c>
      <c r="CZ12" s="395">
        <f>'raw data'!HK12</f>
        <v>8</v>
      </c>
      <c r="DA12" s="397">
        <f>IF(ISERROR('raw data'!HJ12/'raw data'!HK12),0,'raw data'!HJ12/'raw data'!HK12)</f>
        <v>0.25</v>
      </c>
      <c r="DB12" s="394">
        <f>'raw data'!HL12</f>
        <v>0</v>
      </c>
      <c r="DC12" s="395">
        <f>'raw data'!HM12</f>
        <v>9</v>
      </c>
      <c r="DD12" s="397">
        <f>IF(ISERROR('raw data'!HL12/'raw data'!HM12),0,'raw data'!HL12/'raw data'!HM12)</f>
        <v>0</v>
      </c>
      <c r="DE12" s="394">
        <f>'raw data'!HN12</f>
        <v>4</v>
      </c>
      <c r="DF12" s="395">
        <f>'raw data'!HO12</f>
        <v>17</v>
      </c>
      <c r="DG12" s="397">
        <f>IF(ISERROR('raw data'!HN12/'raw data'!HO12),0,'raw data'!HN12/'raw data'!HO12)</f>
        <v>0.23529411764705882</v>
      </c>
      <c r="DH12" s="394">
        <f>'raw data'!HP12</f>
        <v>1</v>
      </c>
      <c r="DI12" s="395">
        <f>'raw data'!HQ12</f>
        <v>13</v>
      </c>
      <c r="DJ12" s="397">
        <f>IF(ISERROR('raw data'!HP12/'raw data'!HQ12),0,'raw data'!HP12/'raw data'!HQ12)</f>
        <v>7.6923076923076927E-2</v>
      </c>
      <c r="DK12" s="394">
        <f>'raw data'!HR12</f>
        <v>1</v>
      </c>
      <c r="DL12" s="395">
        <f>'raw data'!HS12</f>
        <v>13</v>
      </c>
      <c r="DM12" s="397">
        <f>IF(ISERROR('raw data'!HR12/'raw data'!HS12),0,'raw data'!HR12/'raw data'!HS12)</f>
        <v>7.6923076923076927E-2</v>
      </c>
      <c r="DN12" s="394">
        <f>'raw data'!HT12</f>
        <v>3</v>
      </c>
      <c r="DO12" s="395">
        <f>'raw data'!HU12</f>
        <v>13</v>
      </c>
      <c r="DP12" s="397">
        <f>IF(ISERROR('raw data'!HT12/'raw data'!HU12),0,'raw data'!HT12/'raw data'!HU12)</f>
        <v>0.23076923076923078</v>
      </c>
      <c r="DQ12" s="394">
        <f>'raw data'!HV12</f>
        <v>1</v>
      </c>
      <c r="DR12" s="395">
        <f>'raw data'!HW12</f>
        <v>6</v>
      </c>
      <c r="DS12" s="397">
        <f>IF(ISERROR('raw data'!HV12/'raw data'!HW12),0,'raw data'!HV12/'raw data'!HW12)</f>
        <v>0.16666666666666666</v>
      </c>
      <c r="DT12" s="394">
        <f>'raw data'!HX12</f>
        <v>1</v>
      </c>
      <c r="DU12" s="395">
        <f>'raw data'!HY12</f>
        <v>6</v>
      </c>
      <c r="DV12" s="397">
        <f>IF(ISERROR('raw data'!HX12/'raw data'!HY12),0,'raw data'!HX12/'raw data'!HY12)</f>
        <v>0.16666666666666666</v>
      </c>
      <c r="DW12" s="394">
        <f>'raw data'!HZ12</f>
        <v>1</v>
      </c>
      <c r="DX12" s="395">
        <f>'raw data'!IA12</f>
        <v>10</v>
      </c>
      <c r="DY12" s="397">
        <f>IF(ISERROR('raw data'!HZ12/'raw data'!IA12),0,'raw data'!HZ12/'raw data'!IA12)</f>
        <v>0.1</v>
      </c>
      <c r="DZ12" s="394">
        <f>'raw data'!IB12</f>
        <v>4</v>
      </c>
      <c r="EA12" s="395">
        <f>'raw data'!IC12</f>
        <v>13</v>
      </c>
      <c r="EB12" s="397">
        <f>IF(ISERROR('raw data'!IB12/'raw data'!IC12),0,'raw data'!IB12/'raw data'!IC12)</f>
        <v>0.30769230769230771</v>
      </c>
      <c r="EC12" s="394">
        <f>'raw data'!ID12</f>
        <v>2</v>
      </c>
      <c r="ED12" s="395">
        <f>'raw data'!IE12</f>
        <v>5</v>
      </c>
      <c r="EE12" s="397">
        <f>IF(ISERROR('raw data'!ID12/'raw data'!IE12),0,'raw data'!ID12/'raw data'!IE12)</f>
        <v>0.4</v>
      </c>
      <c r="EF12" s="394">
        <f>'raw data'!IF12</f>
        <v>0</v>
      </c>
      <c r="EG12" s="395">
        <f>'raw data'!IG12</f>
        <v>18</v>
      </c>
      <c r="EH12" s="397">
        <f>IF(ISERROR('raw data'!IF12/'raw data'!IG12),0,'raw data'!IF12/'raw data'!IG12)</f>
        <v>0</v>
      </c>
      <c r="EI12" s="394">
        <f>'raw data'!IH12</f>
        <v>0</v>
      </c>
      <c r="EJ12" s="395">
        <f>'raw data'!II12</f>
        <v>4</v>
      </c>
      <c r="EK12" s="397">
        <f>IF(ISERROR('raw data'!IH12/'raw data'!II12),0,'raw data'!IH12/'raw data'!II12)</f>
        <v>0</v>
      </c>
      <c r="EL12" s="394">
        <f>'raw data'!IJ12</f>
        <v>2</v>
      </c>
      <c r="EM12" s="395">
        <f>'raw data'!IK12</f>
        <v>9</v>
      </c>
      <c r="EN12" s="397">
        <f>IF(ISERROR('raw data'!IJ12/'raw data'!IK12),0,'raw data'!IJ12/'raw data'!IK12)</f>
        <v>0.22222222222222221</v>
      </c>
      <c r="EO12" s="394">
        <f>'raw data'!IL12</f>
        <v>1</v>
      </c>
      <c r="EP12" s="395">
        <f>'raw data'!IM12</f>
        <v>10</v>
      </c>
      <c r="EQ12" s="397">
        <f>IF(ISERROR('raw data'!IL12/'raw data'!IM12),0,'raw data'!IL12/'raw data'!IM12)</f>
        <v>0.1</v>
      </c>
      <c r="ER12" s="394">
        <f>'raw data'!IN12</f>
        <v>2</v>
      </c>
      <c r="ES12" s="395">
        <f>'raw data'!IO12</f>
        <v>6</v>
      </c>
      <c r="ET12" s="397">
        <f>IF(ISERROR('raw data'!IN12/'raw data'!IO12),0,'raw data'!IN12/'raw data'!IO12)</f>
        <v>0.33333333333333331</v>
      </c>
      <c r="EU12" s="394">
        <f>'raw data'!IP12</f>
        <v>2</v>
      </c>
      <c r="EV12" s="395">
        <f>'raw data'!IQ12</f>
        <v>7</v>
      </c>
      <c r="EW12" s="397">
        <f>IF(ISERROR('raw data'!IP12/'raw data'!IQ12),0,'raw data'!IP12/'raw data'!IQ12)</f>
        <v>0.2857142857142857</v>
      </c>
      <c r="EX12" s="394">
        <f>'raw data'!IR12</f>
        <v>6</v>
      </c>
      <c r="EY12" s="395">
        <f>'raw data'!IS12</f>
        <v>10</v>
      </c>
      <c r="EZ12" s="397">
        <f>IF(ISERROR('raw data'!IR12/'raw data'!IS12),0,'raw data'!IR12/'raw data'!IS12)</f>
        <v>0.6</v>
      </c>
      <c r="FA12" s="394">
        <f>'raw data'!IT12</f>
        <v>6</v>
      </c>
      <c r="FB12" s="395">
        <f>'raw data'!IU12</f>
        <v>12</v>
      </c>
      <c r="FC12" s="397">
        <f>IF(ISERROR('raw data'!IT12/'raw data'!IU12),0,'raw data'!IT12/'raw data'!IU12)</f>
        <v>0.5</v>
      </c>
      <c r="FD12" s="394">
        <f>'raw data'!IV12</f>
        <v>0</v>
      </c>
      <c r="FE12" s="395">
        <f>'raw data'!IW12</f>
        <v>4</v>
      </c>
      <c r="FF12" s="397">
        <f>IF(ISERROR('raw data'!IV12/'raw data'!IW12),0,'raw data'!IV12/'raw data'!IW12)</f>
        <v>0</v>
      </c>
      <c r="FG12" s="394">
        <f>'raw data'!IX12</f>
        <v>2</v>
      </c>
      <c r="FH12" s="395">
        <f>'raw data'!IY12</f>
        <v>10</v>
      </c>
      <c r="FI12" s="397">
        <f>IF(ISERROR('raw data'!IX12/'raw data'!IY12),0,'raw data'!IX12/'raw data'!IY12)</f>
        <v>0.2</v>
      </c>
      <c r="FJ12" s="394">
        <f>'raw data'!IZ12</f>
        <v>3</v>
      </c>
      <c r="FK12" s="395">
        <f>'raw data'!JA12</f>
        <v>12</v>
      </c>
      <c r="FL12" s="397">
        <f>IF(ISERROR('raw data'!IZ12/'raw data'!JA12),0,'raw data'!IZ12/'raw data'!JA12)</f>
        <v>0.25</v>
      </c>
      <c r="FM12" s="394">
        <f>'raw data'!JB12</f>
        <v>6</v>
      </c>
      <c r="FN12" s="395">
        <f>'raw data'!JC12</f>
        <v>15</v>
      </c>
      <c r="FO12" s="397">
        <f>IF(ISERROR('raw data'!JB12/'raw data'!JC12),0,'raw data'!JB12/'raw data'!JC12)</f>
        <v>0.4</v>
      </c>
      <c r="FP12" s="394">
        <f>'raw data'!JD12</f>
        <v>9</v>
      </c>
      <c r="FQ12" s="395">
        <f>'raw data'!JE12</f>
        <v>12</v>
      </c>
      <c r="FR12" s="397">
        <f>IF(ISERROR('raw data'!JD12/'raw data'!JE12),0,'raw data'!JD12/'raw data'!JE12)</f>
        <v>0.75</v>
      </c>
      <c r="FS12" s="388"/>
      <c r="FT12" s="398">
        <v>39</v>
      </c>
      <c r="FU12" s="399">
        <v>111</v>
      </c>
      <c r="FV12" s="400">
        <f t="shared" si="0"/>
        <v>0.35135135135135137</v>
      </c>
    </row>
    <row r="13" spans="1:179" ht="25.5" customHeight="1" x14ac:dyDescent="0.15">
      <c r="A13" s="392">
        <v>1.1399999999999999</v>
      </c>
      <c r="B13" s="382" t="str">
        <f>'raw data'!B13</f>
        <v xml:space="preserve">Flex accounts where 5+ branches used (CR) and transactions total £2k+ last month. </v>
      </c>
      <c r="C13" s="393" t="s">
        <v>264</v>
      </c>
      <c r="D13" s="394">
        <f>'raw data'!ET13</f>
        <v>48</v>
      </c>
      <c r="E13" s="395">
        <f>'raw data'!EU13</f>
        <v>93</v>
      </c>
      <c r="F13" s="396">
        <f>IF(ISERROR('raw data'!ET13/'raw data'!EU13),0,'raw data'!ET13/'raw data'!EU13)</f>
        <v>0.5161290322580645</v>
      </c>
      <c r="G13" s="394">
        <f>'raw data'!EV13</f>
        <v>35</v>
      </c>
      <c r="H13" s="395">
        <f>'raw data'!EW13</f>
        <v>69</v>
      </c>
      <c r="I13" s="396">
        <f>IF(ISERROR('raw data'!EV13/'raw data'!EW13),0,'raw data'!EV13/'raw data'!EW13)</f>
        <v>0.50724637681159424</v>
      </c>
      <c r="J13" s="394">
        <f>'raw data'!EX13</f>
        <v>58</v>
      </c>
      <c r="K13" s="395">
        <f>'raw data'!EY13</f>
        <v>96</v>
      </c>
      <c r="L13" s="396">
        <f>IF(ISERROR('raw data'!EX13/'raw data'!EY13),0,'raw data'!EX13/'raw data'!EY13)</f>
        <v>0.60416666666666663</v>
      </c>
      <c r="M13" s="394">
        <f>'raw data'!EZ13</f>
        <v>28</v>
      </c>
      <c r="N13" s="395">
        <f>'raw data'!FA13</f>
        <v>56</v>
      </c>
      <c r="O13" s="396">
        <f>IF(ISERROR('raw data'!EZ13/'raw data'!FA13),0,'raw data'!EZ13/'raw data'!FA13)</f>
        <v>0.5</v>
      </c>
      <c r="P13" s="394">
        <f>'raw data'!FB13</f>
        <v>51</v>
      </c>
      <c r="Q13" s="395">
        <f>'raw data'!FC13</f>
        <v>89</v>
      </c>
      <c r="R13" s="396">
        <f>IF(ISERROR('raw data'!FB13/'raw data'!FC13),0,'raw data'!FB13/'raw data'!FC13)</f>
        <v>0.5730337078651685</v>
      </c>
      <c r="S13" s="394">
        <f>'raw data'!FD13</f>
        <v>36</v>
      </c>
      <c r="T13" s="395">
        <f>'raw data'!FE13</f>
        <v>84</v>
      </c>
      <c r="U13" s="396">
        <f>IF(ISERROR('raw data'!FD13/'raw data'!FE13),0,'raw data'!FD13/'raw data'!FE13)</f>
        <v>0.42857142857142855</v>
      </c>
      <c r="V13" s="394">
        <f>'raw data'!FF13</f>
        <v>43</v>
      </c>
      <c r="W13" s="395">
        <f>'raw data'!FG13</f>
        <v>96</v>
      </c>
      <c r="X13" s="396">
        <f>IF(ISERROR('raw data'!FF13/'raw data'!FG13),0,'raw data'!FF13/'raw data'!FG13)</f>
        <v>0.44791666666666669</v>
      </c>
      <c r="Y13" s="394">
        <f>'raw data'!FH13</f>
        <v>51</v>
      </c>
      <c r="Z13" s="395">
        <f>'raw data'!FI13</f>
        <v>89</v>
      </c>
      <c r="AA13" s="396">
        <f>IF(ISERROR('raw data'!FH13/'raw data'!FI13),0,'raw data'!FH13/'raw data'!FI13)</f>
        <v>0.5730337078651685</v>
      </c>
      <c r="AB13" s="394">
        <f>'raw data'!FJ13</f>
        <v>38</v>
      </c>
      <c r="AC13" s="395">
        <f>'raw data'!FM13</f>
        <v>101</v>
      </c>
      <c r="AD13" s="396">
        <f>IF(ISERROR('raw data'!FJ13/'raw data'!FM13),0,'raw data'!FJ13/'raw data'!FM13)</f>
        <v>0.37623762376237624</v>
      </c>
      <c r="AE13" s="394">
        <f>'raw data'!FN13</f>
        <v>53</v>
      </c>
      <c r="AF13" s="395">
        <f>'raw data'!FO13</f>
        <v>108</v>
      </c>
      <c r="AG13" s="396">
        <f>IF(ISERROR('raw data'!FN13/'raw data'!FO13),0,'raw data'!FN13/'raw data'!FO13)</f>
        <v>0.49074074074074076</v>
      </c>
      <c r="AH13" s="394">
        <f>'raw data'!FP13</f>
        <v>32</v>
      </c>
      <c r="AI13" s="395">
        <f>'raw data'!FQ13</f>
        <v>78</v>
      </c>
      <c r="AJ13" s="396">
        <f>IF(ISERROR('raw data'!FP13/'raw data'!FQ13),0,'raw data'!FP13/'raw data'!FQ13)</f>
        <v>0.41025641025641024</v>
      </c>
      <c r="AK13" s="394">
        <f>'raw data'!FR13</f>
        <v>32</v>
      </c>
      <c r="AL13" s="395">
        <f>'raw data'!FS13</f>
        <v>61</v>
      </c>
      <c r="AM13" s="396">
        <f>IF(ISERROR('raw data'!FR13/'raw data'!FS13),0,'raw data'!FR13/'raw data'!FS13)</f>
        <v>0.52459016393442626</v>
      </c>
      <c r="AN13" s="394">
        <f>'raw data'!FT13</f>
        <v>57</v>
      </c>
      <c r="AO13" s="395">
        <f>'raw data'!FU13</f>
        <v>112</v>
      </c>
      <c r="AP13" s="396">
        <f>IF(ISERROR('raw data'!FT13/'raw data'!FU13),0,'raw data'!FT13/'raw data'!FU13)</f>
        <v>0.5089285714285714</v>
      </c>
      <c r="AQ13" s="394">
        <f>'raw data'!FV13</f>
        <v>35</v>
      </c>
      <c r="AR13" s="395">
        <f>'raw data'!FW13</f>
        <v>82</v>
      </c>
      <c r="AS13" s="397">
        <f>IF(ISERROR('raw data'!FV13/'raw data'!FW13),0,'raw data'!FV13/'raw data'!FW13)</f>
        <v>0.42682926829268292</v>
      </c>
      <c r="AT13" s="394">
        <f>'raw data'!FX13</f>
        <v>13</v>
      </c>
      <c r="AU13" s="395">
        <f>'raw data'!FY13</f>
        <v>28</v>
      </c>
      <c r="AV13" s="397">
        <f>IF(ISERROR('raw data'!FX13/'raw data'!FY13),0,'raw data'!FX13/'raw data'!FY13)</f>
        <v>0.4642857142857143</v>
      </c>
      <c r="AW13" s="394">
        <f>'raw data'!FZ13</f>
        <v>4</v>
      </c>
      <c r="AX13" s="395">
        <f>'raw data'!GA13</f>
        <v>19</v>
      </c>
      <c r="AY13" s="397">
        <f>IF(ISERROR('raw data'!FZ13/'raw data'!GA13),0,'raw data'!FZ13/'raw data'!GA13)</f>
        <v>0.21052631578947367</v>
      </c>
      <c r="AZ13" s="394">
        <f>'raw data'!GB13</f>
        <v>6</v>
      </c>
      <c r="BA13" s="395">
        <f>'raw data'!GC13</f>
        <v>14</v>
      </c>
      <c r="BB13" s="397">
        <f>IF(ISERROR('raw data'!GB13/'raw data'!GC13),0,'raw data'!GB13/'raw data'!GC13)</f>
        <v>0.42857142857142855</v>
      </c>
      <c r="BC13" s="394">
        <f>'raw data'!GD13</f>
        <v>7</v>
      </c>
      <c r="BD13" s="395">
        <f>'raw data'!GE13</f>
        <v>18</v>
      </c>
      <c r="BE13" s="397">
        <f>IF(ISERROR('raw data'!GD13/'raw data'!GE13),0,'raw data'!GD13/'raw data'!GE13)</f>
        <v>0.3888888888888889</v>
      </c>
      <c r="BF13" s="394">
        <f>'raw data'!GF13</f>
        <v>5</v>
      </c>
      <c r="BG13" s="395">
        <f>'raw data'!GG13</f>
        <v>16</v>
      </c>
      <c r="BH13" s="397">
        <f>IF(ISERROR('raw data'!GF13/'raw data'!GG13),0,'raw data'!GF13/'raw data'!GG13)</f>
        <v>0.3125</v>
      </c>
      <c r="BI13" s="394">
        <f>'raw data'!GH13</f>
        <v>3</v>
      </c>
      <c r="BJ13" s="395">
        <f>'raw data'!GI13</f>
        <v>15</v>
      </c>
      <c r="BK13" s="397">
        <f>IF(ISERROR('raw data'!GH13/'raw data'!GI13),0,'raw data'!GH13/'raw data'!GI13)</f>
        <v>0.2</v>
      </c>
      <c r="BL13" s="394">
        <f>'raw data'!GJ13</f>
        <v>3</v>
      </c>
      <c r="BM13" s="395">
        <f>'raw data'!GK13</f>
        <v>11</v>
      </c>
      <c r="BN13" s="397">
        <f>IF(ISERROR('raw data'!GJ13/'raw data'!GK13),0,'raw data'!GJ13/'raw data'!GK13)</f>
        <v>0.27272727272727271</v>
      </c>
      <c r="BO13" s="394">
        <f>'raw data'!GL13</f>
        <v>3</v>
      </c>
      <c r="BP13" s="395">
        <f>'raw data'!GM13</f>
        <v>16</v>
      </c>
      <c r="BQ13" s="397">
        <f>IF(ISERROR('raw data'!GL13/'raw data'!GM13),0,'raw data'!GL13/'raw data'!GM13)</f>
        <v>0.1875</v>
      </c>
      <c r="BR13" s="394">
        <f>'raw data'!GN13</f>
        <v>3</v>
      </c>
      <c r="BS13" s="395">
        <f>'raw data'!GO13</f>
        <v>13</v>
      </c>
      <c r="BT13" s="397">
        <f>IF(ISERROR('raw data'!GN13/'raw data'!GO13),0,'raw data'!GN13/'raw data'!GO13)</f>
        <v>0.23076923076923078</v>
      </c>
      <c r="BU13" s="394">
        <f>'raw data'!GP13</f>
        <v>5</v>
      </c>
      <c r="BV13" s="395">
        <f>'raw data'!GQ13</f>
        <v>12</v>
      </c>
      <c r="BW13" s="397">
        <f>IF(ISERROR('raw data'!GP13/'raw data'!GQ13),0,'raw data'!GP13/'raw data'!GQ13)</f>
        <v>0.41666666666666669</v>
      </c>
      <c r="BX13" s="394">
        <f>'raw data'!GR13</f>
        <v>6</v>
      </c>
      <c r="BY13" s="395">
        <f>'raw data'!GS13</f>
        <v>22</v>
      </c>
      <c r="BZ13" s="397">
        <f>IF(ISERROR('raw data'!GR13/'raw data'!GS13),0,'raw data'!GR13/'raw data'!GS13)</f>
        <v>0.27272727272727271</v>
      </c>
      <c r="CA13" s="394">
        <f>'raw data'!GT13</f>
        <v>2</v>
      </c>
      <c r="CB13" s="395">
        <f>'raw data'!GU13</f>
        <v>8</v>
      </c>
      <c r="CC13" s="397">
        <f>IF(ISERROR('raw data'!GT13/'raw data'!GU13),0,'raw data'!GT13/'raw data'!GU13)</f>
        <v>0.25</v>
      </c>
      <c r="CD13" s="394">
        <f>'raw data'!GV13</f>
        <v>5</v>
      </c>
      <c r="CE13" s="395">
        <f>'raw data'!GW13</f>
        <v>19</v>
      </c>
      <c r="CF13" s="397">
        <f>IF(ISERROR('raw data'!GV13/'raw data'!GW13),0,'raw data'!GV13/'raw data'!GW13)</f>
        <v>0.26315789473684209</v>
      </c>
      <c r="CG13" s="394">
        <f>'raw data'!GX13</f>
        <v>2</v>
      </c>
      <c r="CH13" s="395">
        <f>'raw data'!GY13</f>
        <v>11</v>
      </c>
      <c r="CI13" s="397">
        <f>IF(ISERROR('raw data'!GX13/'raw data'!GY13),0,'raw data'!GX13/'raw data'!GY13)</f>
        <v>0.18181818181818182</v>
      </c>
      <c r="CJ13" s="394">
        <f>'raw data'!GZ13</f>
        <v>2</v>
      </c>
      <c r="CK13" s="395">
        <f>'raw data'!HA13</f>
        <v>10</v>
      </c>
      <c r="CL13" s="397">
        <f>IF(ISERROR('raw data'!GZ13/'raw data'!HA13),0,'raw data'!GZ13/'raw data'!HA13)</f>
        <v>0.2</v>
      </c>
      <c r="CM13" s="394">
        <f>'raw data'!HB13</f>
        <v>3</v>
      </c>
      <c r="CN13" s="395">
        <f>'raw data'!HC13</f>
        <v>14</v>
      </c>
      <c r="CO13" s="397">
        <f>IF(ISERROR('raw data'!HB13/'raw data'!HC13),0,'raw data'!HB13/'raw data'!HC13)</f>
        <v>0.21428571428571427</v>
      </c>
      <c r="CP13" s="394">
        <f>'raw data'!HD13</f>
        <v>2</v>
      </c>
      <c r="CQ13" s="395">
        <f>'raw data'!HE13</f>
        <v>16</v>
      </c>
      <c r="CR13" s="397">
        <f>IF(ISERROR('raw data'!HD13/'raw data'!HE13),0,'raw data'!HD13/'raw data'!HE13)</f>
        <v>0.125</v>
      </c>
      <c r="CS13" s="394">
        <f>'raw data'!HF13</f>
        <v>5</v>
      </c>
      <c r="CT13" s="395">
        <f>'raw data'!HG13</f>
        <v>16</v>
      </c>
      <c r="CU13" s="397">
        <f>IF(ISERROR('raw data'!HF13/'raw data'!HG13),0,'raw data'!HF13/'raw data'!HG13)</f>
        <v>0.3125</v>
      </c>
      <c r="CV13" s="394">
        <f>'raw data'!HH13</f>
        <v>5</v>
      </c>
      <c r="CW13" s="395">
        <f>'raw data'!HI13</f>
        <v>14</v>
      </c>
      <c r="CX13" s="397">
        <f>IF(ISERROR('raw data'!HH13/'raw data'!HI13),0,'raw data'!HH13/'raw data'!HI13)</f>
        <v>0.35714285714285715</v>
      </c>
      <c r="CY13" s="394">
        <f>'raw data'!HJ13</f>
        <v>5</v>
      </c>
      <c r="CZ13" s="395">
        <f>'raw data'!HK13</f>
        <v>15</v>
      </c>
      <c r="DA13" s="397">
        <f>IF(ISERROR('raw data'!HJ13/'raw data'!HK13),0,'raw data'!HJ13/'raw data'!HK13)</f>
        <v>0.33333333333333331</v>
      </c>
      <c r="DB13" s="394">
        <f>'raw data'!HL13</f>
        <v>1</v>
      </c>
      <c r="DC13" s="395">
        <f>'raw data'!HM13</f>
        <v>11</v>
      </c>
      <c r="DD13" s="397">
        <f>IF(ISERROR('raw data'!HL13/'raw data'!HM13),0,'raw data'!HL13/'raw data'!HM13)</f>
        <v>9.0909090909090912E-2</v>
      </c>
      <c r="DE13" s="394">
        <f>'raw data'!HN13</f>
        <v>6</v>
      </c>
      <c r="DF13" s="395">
        <f>'raw data'!HO13</f>
        <v>17</v>
      </c>
      <c r="DG13" s="397">
        <f>IF(ISERROR('raw data'!HN13/'raw data'!HO13),0,'raw data'!HN13/'raw data'!HO13)</f>
        <v>0.35294117647058826</v>
      </c>
      <c r="DH13" s="394">
        <f>'raw data'!HP13</f>
        <v>5</v>
      </c>
      <c r="DI13" s="395">
        <f>'raw data'!HQ13</f>
        <v>16</v>
      </c>
      <c r="DJ13" s="397">
        <f>IF(ISERROR('raw data'!HP13/'raw data'!HQ13),0,'raw data'!HP13/'raw data'!HQ13)</f>
        <v>0.3125</v>
      </c>
      <c r="DK13" s="394">
        <f>'raw data'!HR13</f>
        <v>3</v>
      </c>
      <c r="DL13" s="395">
        <f>'raw data'!HS13</f>
        <v>14</v>
      </c>
      <c r="DM13" s="397">
        <f>IF(ISERROR('raw data'!HR13/'raw data'!HS13),0,'raw data'!HR13/'raw data'!HS13)</f>
        <v>0.21428571428571427</v>
      </c>
      <c r="DN13" s="394">
        <f>'raw data'!HT13</f>
        <v>1</v>
      </c>
      <c r="DO13" s="395">
        <f>'raw data'!HU13</f>
        <v>7</v>
      </c>
      <c r="DP13" s="397">
        <f>IF(ISERROR('raw data'!HT13/'raw data'!HU13),0,'raw data'!HT13/'raw data'!HU13)</f>
        <v>0.14285714285714285</v>
      </c>
      <c r="DQ13" s="394">
        <f>'raw data'!HV13</f>
        <v>1</v>
      </c>
      <c r="DR13" s="395">
        <f>'raw data'!HW13</f>
        <v>1</v>
      </c>
      <c r="DS13" s="397">
        <f>IF(ISERROR('raw data'!HV13/'raw data'!HW13),0,'raw data'!HV13/'raw data'!HW13)</f>
        <v>1</v>
      </c>
      <c r="DT13" s="394">
        <f>'raw data'!HX13</f>
        <v>0</v>
      </c>
      <c r="DU13" s="395">
        <f>'raw data'!HY13</f>
        <v>2</v>
      </c>
      <c r="DV13" s="397">
        <f>IF(ISERROR('raw data'!HX13/'raw data'!HY13),0,'raw data'!HX13/'raw data'!HY13)</f>
        <v>0</v>
      </c>
      <c r="DW13" s="394">
        <f>'raw data'!HZ13</f>
        <v>2</v>
      </c>
      <c r="DX13" s="395">
        <f>'raw data'!IA13</f>
        <v>7</v>
      </c>
      <c r="DY13" s="397">
        <f>IF(ISERROR('raw data'!HZ13/'raw data'!IA13),0,'raw data'!HZ13/'raw data'!IA13)</f>
        <v>0.2857142857142857</v>
      </c>
      <c r="DZ13" s="394">
        <f>'raw data'!IB13</f>
        <v>3</v>
      </c>
      <c r="EA13" s="395">
        <f>'raw data'!IC13</f>
        <v>7</v>
      </c>
      <c r="EB13" s="397">
        <f>IF(ISERROR('raw data'!IB13/'raw data'!IC13),0,'raw data'!IB13/'raw data'!IC13)</f>
        <v>0.42857142857142855</v>
      </c>
      <c r="EC13" s="394">
        <f>'raw data'!ID13</f>
        <v>1</v>
      </c>
      <c r="ED13" s="395">
        <f>'raw data'!IE13</f>
        <v>3</v>
      </c>
      <c r="EE13" s="397">
        <f>IF(ISERROR('raw data'!ID13/'raw data'!IE13),0,'raw data'!ID13/'raw data'!IE13)</f>
        <v>0.33333333333333331</v>
      </c>
      <c r="EF13" s="394">
        <f>'raw data'!IF13</f>
        <v>1</v>
      </c>
      <c r="EG13" s="395">
        <f>'raw data'!IG13</f>
        <v>5</v>
      </c>
      <c r="EH13" s="397">
        <f>IF(ISERROR('raw data'!IF13/'raw data'!IG13),0,'raw data'!IF13/'raw data'!IG13)</f>
        <v>0.2</v>
      </c>
      <c r="EI13" s="394">
        <f>'raw data'!IH13</f>
        <v>4</v>
      </c>
      <c r="EJ13" s="395">
        <f>'raw data'!II13</f>
        <v>5</v>
      </c>
      <c r="EK13" s="397">
        <f>IF(ISERROR('raw data'!IH13/'raw data'!II13),0,'raw data'!IH13/'raw data'!II13)</f>
        <v>0.8</v>
      </c>
      <c r="EL13" s="394">
        <f>'raw data'!IJ13</f>
        <v>1</v>
      </c>
      <c r="EM13" s="395">
        <f>'raw data'!IK13</f>
        <v>4</v>
      </c>
      <c r="EN13" s="397">
        <f>IF(ISERROR('raw data'!IJ13/'raw data'!IK13),0,'raw data'!IJ13/'raw data'!IK13)</f>
        <v>0.25</v>
      </c>
      <c r="EO13" s="394">
        <f>'raw data'!IL13</f>
        <v>1</v>
      </c>
      <c r="EP13" s="395">
        <f>'raw data'!IM13</f>
        <v>2</v>
      </c>
      <c r="EQ13" s="397">
        <f>IF(ISERROR('raw data'!IL13/'raw data'!IM13),0,'raw data'!IL13/'raw data'!IM13)</f>
        <v>0.5</v>
      </c>
      <c r="ER13" s="394">
        <f>'raw data'!IN13</f>
        <v>2</v>
      </c>
      <c r="ES13" s="395">
        <f>'raw data'!IO13</f>
        <v>4</v>
      </c>
      <c r="ET13" s="397">
        <f>IF(ISERROR('raw data'!IN13/'raw data'!IO13),0,'raw data'!IN13/'raw data'!IO13)</f>
        <v>0.5</v>
      </c>
      <c r="EU13" s="394">
        <f>'raw data'!IP13</f>
        <v>0</v>
      </c>
      <c r="EV13" s="395">
        <f>'raw data'!IQ13</f>
        <v>0</v>
      </c>
      <c r="EW13" s="397">
        <f>IF(ISERROR('raw data'!IP13/'raw data'!IQ13),0,'raw data'!IP13/'raw data'!IQ13)</f>
        <v>0</v>
      </c>
      <c r="EX13" s="394">
        <f>'raw data'!IR13</f>
        <v>0</v>
      </c>
      <c r="EY13" s="395">
        <f>'raw data'!IS13</f>
        <v>1</v>
      </c>
      <c r="EZ13" s="397">
        <f>IF(ISERROR('raw data'!IR13/'raw data'!IS13),0,'raw data'!IR13/'raw data'!IS13)</f>
        <v>0</v>
      </c>
      <c r="FA13" s="394">
        <f>'raw data'!IT13</f>
        <v>1</v>
      </c>
      <c r="FB13" s="395">
        <f>'raw data'!IU13</f>
        <v>3</v>
      </c>
      <c r="FC13" s="397">
        <f>IF(ISERROR('raw data'!IT13/'raw data'!IU13),0,'raw data'!IT13/'raw data'!IU13)</f>
        <v>0.33333333333333331</v>
      </c>
      <c r="FD13" s="394">
        <f>'raw data'!IV13</f>
        <v>2</v>
      </c>
      <c r="FE13" s="395">
        <f>'raw data'!IW13</f>
        <v>4</v>
      </c>
      <c r="FF13" s="397">
        <f>IF(ISERROR('raw data'!IV13/'raw data'!IW13),0,'raw data'!IV13/'raw data'!IW13)</f>
        <v>0.5</v>
      </c>
      <c r="FG13" s="394">
        <f>'raw data'!IX13</f>
        <v>5</v>
      </c>
      <c r="FH13" s="395">
        <f>'raw data'!IY13</f>
        <v>9</v>
      </c>
      <c r="FI13" s="397">
        <f>IF(ISERROR('raw data'!IX13/'raw data'!IY13),0,'raw data'!IX13/'raw data'!IY13)</f>
        <v>0.55555555555555558</v>
      </c>
      <c r="FJ13" s="394">
        <f>'raw data'!IZ13</f>
        <v>0</v>
      </c>
      <c r="FK13" s="395">
        <f>'raw data'!JA13</f>
        <v>5</v>
      </c>
      <c r="FL13" s="397">
        <f>IF(ISERROR('raw data'!IZ13/'raw data'!JA13),0,'raw data'!IZ13/'raw data'!JA13)</f>
        <v>0</v>
      </c>
      <c r="FM13" s="394">
        <f>'raw data'!JB13</f>
        <v>0</v>
      </c>
      <c r="FN13" s="395">
        <f>'raw data'!JC13</f>
        <v>0</v>
      </c>
      <c r="FO13" s="397">
        <f>IF(ISERROR('raw data'!JB13/'raw data'!JC13),0,'raw data'!JB13/'raw data'!JC13)</f>
        <v>0</v>
      </c>
      <c r="FP13" s="394">
        <f>'raw data'!JD13</f>
        <v>4</v>
      </c>
      <c r="FQ13" s="395">
        <f>'raw data'!JE13</f>
        <v>7</v>
      </c>
      <c r="FR13" s="397">
        <f>IF(ISERROR('raw data'!JD13/'raw data'!JE13),0,'raw data'!JD13/'raw data'!JE13)</f>
        <v>0.5714285714285714</v>
      </c>
      <c r="FS13" s="388"/>
      <c r="FT13" s="398">
        <v>20</v>
      </c>
      <c r="FU13" s="399">
        <v>44</v>
      </c>
      <c r="FV13" s="400">
        <f t="shared" si="0"/>
        <v>0.45454545454545453</v>
      </c>
    </row>
    <row r="14" spans="1:179" ht="25.5" customHeight="1" x14ac:dyDescent="0.15">
      <c r="A14" s="392">
        <v>1.1499999999999999</v>
      </c>
      <c r="B14" s="382" t="str">
        <f>'raw data'!B14</f>
        <v>Savings accounts where 5+ branches used (CR) and transactions total £2k+ last month.</v>
      </c>
      <c r="C14" s="393" t="s">
        <v>265</v>
      </c>
      <c r="D14" s="394">
        <f>'raw data'!ET14</f>
        <v>10</v>
      </c>
      <c r="E14" s="395">
        <f>'raw data'!EU14</f>
        <v>30</v>
      </c>
      <c r="F14" s="396">
        <f>IF(ISERROR('raw data'!ET14/'raw data'!EU14),0,'raw data'!ET14/'raw data'!EU14)</f>
        <v>0.33333333333333331</v>
      </c>
      <c r="G14" s="394">
        <f>'raw data'!EV14</f>
        <v>5</v>
      </c>
      <c r="H14" s="395">
        <f>'raw data'!EW14</f>
        <v>25</v>
      </c>
      <c r="I14" s="396">
        <f>IF(ISERROR('raw data'!EV14/'raw data'!EW14),0,'raw data'!EV14/'raw data'!EW14)</f>
        <v>0.2</v>
      </c>
      <c r="J14" s="394">
        <f>'raw data'!EX14</f>
        <v>11</v>
      </c>
      <c r="K14" s="395">
        <f>'raw data'!EY14</f>
        <v>38</v>
      </c>
      <c r="L14" s="396">
        <f>IF(ISERROR('raw data'!EX14/'raw data'!EY14),0,'raw data'!EX14/'raw data'!EY14)</f>
        <v>0.28947368421052633</v>
      </c>
      <c r="M14" s="394">
        <f>'raw data'!EZ14</f>
        <v>8</v>
      </c>
      <c r="N14" s="395">
        <f>'raw data'!FA14</f>
        <v>23</v>
      </c>
      <c r="O14" s="396">
        <f>IF(ISERROR('raw data'!EZ14/'raw data'!FA14),0,'raw data'!EZ14/'raw data'!FA14)</f>
        <v>0.34782608695652173</v>
      </c>
      <c r="P14" s="394">
        <f>'raw data'!FB14</f>
        <v>9</v>
      </c>
      <c r="Q14" s="395">
        <f>'raw data'!FC14</f>
        <v>39</v>
      </c>
      <c r="R14" s="396">
        <f>IF(ISERROR('raw data'!FB14/'raw data'!FC14),0,'raw data'!FB14/'raw data'!FC14)</f>
        <v>0.23076923076923078</v>
      </c>
      <c r="S14" s="394">
        <f>'raw data'!FD14</f>
        <v>14</v>
      </c>
      <c r="T14" s="395">
        <f>'raw data'!FE14</f>
        <v>36</v>
      </c>
      <c r="U14" s="396">
        <f>IF(ISERROR('raw data'!FD14/'raw data'!FE14),0,'raw data'!FD14/'raw data'!FE14)</f>
        <v>0.3888888888888889</v>
      </c>
      <c r="V14" s="394">
        <f>'raw data'!FF14</f>
        <v>10</v>
      </c>
      <c r="W14" s="395">
        <f>'raw data'!FG14</f>
        <v>43</v>
      </c>
      <c r="X14" s="396">
        <f>IF(ISERROR('raw data'!FF14/'raw data'!FG14),0,'raw data'!FF14/'raw data'!FG14)</f>
        <v>0.23255813953488372</v>
      </c>
      <c r="Y14" s="394">
        <f>'raw data'!FH14</f>
        <v>5</v>
      </c>
      <c r="Z14" s="395">
        <f>'raw data'!FI14</f>
        <v>24</v>
      </c>
      <c r="AA14" s="396">
        <f>IF(ISERROR('raw data'!FH14/'raw data'!FI14),0,'raw data'!FH14/'raw data'!FI14)</f>
        <v>0.20833333333333334</v>
      </c>
      <c r="AB14" s="394">
        <f>'raw data'!FJ14</f>
        <v>7</v>
      </c>
      <c r="AC14" s="395">
        <f>'raw data'!FM14</f>
        <v>28</v>
      </c>
      <c r="AD14" s="396">
        <f>IF(ISERROR('raw data'!FJ14/'raw data'!FM14),0,'raw data'!FJ14/'raw data'!FM14)</f>
        <v>0.25</v>
      </c>
      <c r="AE14" s="394">
        <f>'raw data'!FN14</f>
        <v>3</v>
      </c>
      <c r="AF14" s="395">
        <f>'raw data'!FO14</f>
        <v>27</v>
      </c>
      <c r="AG14" s="396">
        <f>IF(ISERROR('raw data'!FN14/'raw data'!FO14),0,'raw data'!FN14/'raw data'!FO14)</f>
        <v>0.1111111111111111</v>
      </c>
      <c r="AH14" s="394">
        <f>'raw data'!FP14</f>
        <v>3</v>
      </c>
      <c r="AI14" s="395">
        <f>'raw data'!FQ14</f>
        <v>8</v>
      </c>
      <c r="AJ14" s="396">
        <f>IF(ISERROR('raw data'!FP14/'raw data'!FQ14),0,'raw data'!FP14/'raw data'!FQ14)</f>
        <v>0.375</v>
      </c>
      <c r="AK14" s="394">
        <f>'raw data'!FR14</f>
        <v>1</v>
      </c>
      <c r="AL14" s="395">
        <f>'raw data'!FS14</f>
        <v>2</v>
      </c>
      <c r="AM14" s="396">
        <f>IF(ISERROR('raw data'!FR14/'raw data'!FS14),0,'raw data'!FR14/'raw data'!FS14)</f>
        <v>0.5</v>
      </c>
      <c r="AN14" s="394">
        <f>'raw data'!FT14</f>
        <v>2</v>
      </c>
      <c r="AO14" s="395">
        <f>'raw data'!FU14</f>
        <v>4</v>
      </c>
      <c r="AP14" s="396">
        <f>IF(ISERROR('raw data'!FT14/'raw data'!FU14),0,'raw data'!FT14/'raw data'!FU14)</f>
        <v>0.5</v>
      </c>
      <c r="AQ14" s="394">
        <f>'raw data'!FV14</f>
        <v>1</v>
      </c>
      <c r="AR14" s="395">
        <f>'raw data'!FW14</f>
        <v>4</v>
      </c>
      <c r="AS14" s="397">
        <f>IF(ISERROR('raw data'!FV14/'raw data'!FW14),0,'raw data'!FV14/'raw data'!FW14)</f>
        <v>0.25</v>
      </c>
      <c r="AT14" s="394">
        <f>'raw data'!FX14</f>
        <v>3</v>
      </c>
      <c r="AU14" s="395">
        <f>'raw data'!FY14</f>
        <v>3</v>
      </c>
      <c r="AV14" s="397">
        <f>IF(ISERROR('raw data'!FX14/'raw data'!FY14),0,'raw data'!FX14/'raw data'!FY14)</f>
        <v>1</v>
      </c>
      <c r="AW14" s="394">
        <f>'raw data'!FZ14</f>
        <v>0</v>
      </c>
      <c r="AX14" s="395">
        <f>'raw data'!GA14</f>
        <v>3</v>
      </c>
      <c r="AY14" s="397">
        <f>IF(ISERROR('raw data'!FZ14/'raw data'!GA14),0,'raw data'!FZ14/'raw data'!GA14)</f>
        <v>0</v>
      </c>
      <c r="AZ14" s="394">
        <f>'raw data'!GB14</f>
        <v>0</v>
      </c>
      <c r="BA14" s="395">
        <f>'raw data'!GC14</f>
        <v>2</v>
      </c>
      <c r="BB14" s="397">
        <f>IF(ISERROR('raw data'!GB14/'raw data'!GC14),0,'raw data'!GB14/'raw data'!GC14)</f>
        <v>0</v>
      </c>
      <c r="BC14" s="394">
        <f>'raw data'!GD14</f>
        <v>0</v>
      </c>
      <c r="BD14" s="395">
        <f>'raw data'!GE14</f>
        <v>2</v>
      </c>
      <c r="BE14" s="397">
        <f>IF(ISERROR('raw data'!GD14/'raw data'!GE14),0,'raw data'!GD14/'raw data'!GE14)</f>
        <v>0</v>
      </c>
      <c r="BF14" s="394">
        <f>'raw data'!GF14</f>
        <v>0</v>
      </c>
      <c r="BG14" s="395">
        <f>'raw data'!GG14</f>
        <v>4</v>
      </c>
      <c r="BH14" s="397">
        <f>IF(ISERROR('raw data'!GF14/'raw data'!GG14),0,'raw data'!GF14/'raw data'!GG14)</f>
        <v>0</v>
      </c>
      <c r="BI14" s="394">
        <f>'raw data'!GH14</f>
        <v>0</v>
      </c>
      <c r="BJ14" s="395">
        <f>'raw data'!GI14</f>
        <v>1</v>
      </c>
      <c r="BK14" s="397">
        <f>IF(ISERROR('raw data'!GH14/'raw data'!GI14),0,'raw data'!GH14/'raw data'!GI14)</f>
        <v>0</v>
      </c>
      <c r="BL14" s="394">
        <f>'raw data'!GJ14</f>
        <v>1</v>
      </c>
      <c r="BM14" s="395">
        <f>'raw data'!GK14</f>
        <v>2</v>
      </c>
      <c r="BN14" s="397">
        <f>IF(ISERROR('raw data'!GJ14/'raw data'!GK14),0,'raw data'!GJ14/'raw data'!GK14)</f>
        <v>0.5</v>
      </c>
      <c r="BO14" s="394">
        <f>'raw data'!GL14</f>
        <v>1</v>
      </c>
      <c r="BP14" s="395">
        <f>'raw data'!GM14</f>
        <v>3</v>
      </c>
      <c r="BQ14" s="397">
        <f>IF(ISERROR('raw data'!GL14/'raw data'!GM14),0,'raw data'!GL14/'raw data'!GM14)</f>
        <v>0.33333333333333331</v>
      </c>
      <c r="BR14" s="394">
        <f>'raw data'!GN14</f>
        <v>0</v>
      </c>
      <c r="BS14" s="395">
        <f>'raw data'!GO14</f>
        <v>5</v>
      </c>
      <c r="BT14" s="397">
        <f>IF(ISERROR('raw data'!GN14/'raw data'!GO14),0,'raw data'!GN14/'raw data'!GO14)</f>
        <v>0</v>
      </c>
      <c r="BU14" s="394">
        <f>'raw data'!GP14</f>
        <v>0</v>
      </c>
      <c r="BV14" s="395">
        <f>'raw data'!GQ14</f>
        <v>0</v>
      </c>
      <c r="BW14" s="397">
        <f>IF(ISERROR('raw data'!GP14/'raw data'!GQ14),0,'raw data'!GP14/'raw data'!GQ14)</f>
        <v>0</v>
      </c>
      <c r="BX14" s="394">
        <f>'raw data'!GR14</f>
        <v>1</v>
      </c>
      <c r="BY14" s="395">
        <f>'raw data'!GS14</f>
        <v>3</v>
      </c>
      <c r="BZ14" s="397">
        <f>IF(ISERROR('raw data'!GR14/'raw data'!GS14),0,'raw data'!GR14/'raw data'!GS14)</f>
        <v>0.33333333333333331</v>
      </c>
      <c r="CA14" s="394">
        <f>'raw data'!GT14</f>
        <v>0</v>
      </c>
      <c r="CB14" s="395">
        <f>'raw data'!GU14</f>
        <v>4</v>
      </c>
      <c r="CC14" s="397">
        <f>IF(ISERROR('raw data'!GT14/'raw data'!GU14),0,'raw data'!GT14/'raw data'!GU14)</f>
        <v>0</v>
      </c>
      <c r="CD14" s="394">
        <f>'raw data'!GV14</f>
        <v>1</v>
      </c>
      <c r="CE14" s="395">
        <f>'raw data'!GW14</f>
        <v>1</v>
      </c>
      <c r="CF14" s="397">
        <f>IF(ISERROR('raw data'!GV14/'raw data'!GW14),0,'raw data'!GV14/'raw data'!GW14)</f>
        <v>1</v>
      </c>
      <c r="CG14" s="394">
        <f>'raw data'!GX14</f>
        <v>0</v>
      </c>
      <c r="CH14" s="395">
        <f>'raw data'!GY14</f>
        <v>3</v>
      </c>
      <c r="CI14" s="397">
        <f>IF(ISERROR('raw data'!GX14/'raw data'!GY14),0,'raw data'!GX14/'raw data'!GY14)</f>
        <v>0</v>
      </c>
      <c r="CJ14" s="394">
        <f>'raw data'!GZ14</f>
        <v>0</v>
      </c>
      <c r="CK14" s="395">
        <f>'raw data'!HA14</f>
        <v>1</v>
      </c>
      <c r="CL14" s="397">
        <f>IF(ISERROR('raw data'!GZ14/'raw data'!HA14),0,'raw data'!GZ14/'raw data'!HA14)</f>
        <v>0</v>
      </c>
      <c r="CM14" s="394">
        <f>'raw data'!HB14</f>
        <v>0</v>
      </c>
      <c r="CN14" s="395">
        <f>'raw data'!HC14</f>
        <v>2</v>
      </c>
      <c r="CO14" s="397">
        <f>IF(ISERROR('raw data'!HB14/'raw data'!HC14),0,'raw data'!HB14/'raw data'!HC14)</f>
        <v>0</v>
      </c>
      <c r="CP14" s="394">
        <f>'raw data'!HD14</f>
        <v>3</v>
      </c>
      <c r="CQ14" s="395">
        <f>'raw data'!HE14</f>
        <v>3</v>
      </c>
      <c r="CR14" s="397">
        <f>IF(ISERROR('raw data'!HD14/'raw data'!HE14),0,'raw data'!HD14/'raw data'!HE14)</f>
        <v>1</v>
      </c>
      <c r="CS14" s="394">
        <f>'raw data'!HF14</f>
        <v>1</v>
      </c>
      <c r="CT14" s="395">
        <f>'raw data'!HG14</f>
        <v>5</v>
      </c>
      <c r="CU14" s="397">
        <f>IF(ISERROR('raw data'!HF14/'raw data'!HG14),0,'raw data'!HF14/'raw data'!HG14)</f>
        <v>0.2</v>
      </c>
      <c r="CV14" s="394">
        <f>'raw data'!HH14</f>
        <v>0</v>
      </c>
      <c r="CW14" s="395">
        <f>'raw data'!HI14</f>
        <v>2</v>
      </c>
      <c r="CX14" s="397">
        <f>IF(ISERROR('raw data'!HH14/'raw data'!HI14),0,'raw data'!HH14/'raw data'!HI14)</f>
        <v>0</v>
      </c>
      <c r="CY14" s="394">
        <f>'raw data'!HJ14</f>
        <v>3</v>
      </c>
      <c r="CZ14" s="395">
        <f>'raw data'!HK14</f>
        <v>4</v>
      </c>
      <c r="DA14" s="397">
        <f>IF(ISERROR('raw data'!HJ14/'raw data'!HK14),0,'raw data'!HJ14/'raw data'!HK14)</f>
        <v>0.75</v>
      </c>
      <c r="DB14" s="394">
        <f>'raw data'!HL14</f>
        <v>0</v>
      </c>
      <c r="DC14" s="395">
        <f>'raw data'!HM14</f>
        <v>2</v>
      </c>
      <c r="DD14" s="397">
        <f>IF(ISERROR('raw data'!HL14/'raw data'!HM14),0,'raw data'!HL14/'raw data'!HM14)</f>
        <v>0</v>
      </c>
      <c r="DE14" s="394">
        <f>'raw data'!HN14</f>
        <v>0</v>
      </c>
      <c r="DF14" s="395">
        <f>'raw data'!HO14</f>
        <v>1</v>
      </c>
      <c r="DG14" s="397">
        <f>IF(ISERROR('raw data'!HN14/'raw data'!HO14),0,'raw data'!HN14/'raw data'!HO14)</f>
        <v>0</v>
      </c>
      <c r="DH14" s="394">
        <f>'raw data'!HP14</f>
        <v>0</v>
      </c>
      <c r="DI14" s="395">
        <f>'raw data'!HQ14</f>
        <v>3</v>
      </c>
      <c r="DJ14" s="397">
        <f>IF(ISERROR('raw data'!HP14/'raw data'!HQ14),0,'raw data'!HP14/'raw data'!HQ14)</f>
        <v>0</v>
      </c>
      <c r="DK14" s="394">
        <f>'raw data'!HR14</f>
        <v>1</v>
      </c>
      <c r="DL14" s="395">
        <f>'raw data'!HS14</f>
        <v>2</v>
      </c>
      <c r="DM14" s="397">
        <f>IF(ISERROR('raw data'!HR14/'raw data'!HS14),0,'raw data'!HR14/'raw data'!HS14)</f>
        <v>0.5</v>
      </c>
      <c r="DN14" s="394">
        <f>'raw data'!HT14</f>
        <v>0</v>
      </c>
      <c r="DO14" s="395">
        <f>'raw data'!HU14</f>
        <v>1</v>
      </c>
      <c r="DP14" s="397">
        <f>IF(ISERROR('raw data'!HT14/'raw data'!HU14),0,'raw data'!HT14/'raw data'!HU14)</f>
        <v>0</v>
      </c>
      <c r="DQ14" s="394">
        <f>'raw data'!HV14</f>
        <v>0</v>
      </c>
      <c r="DR14" s="395">
        <f>'raw data'!HW14</f>
        <v>0</v>
      </c>
      <c r="DS14" s="397">
        <f>IF(ISERROR('raw data'!HV14/'raw data'!HW14),0,'raw data'!HV14/'raw data'!HW14)</f>
        <v>0</v>
      </c>
      <c r="DT14" s="394">
        <f>'raw data'!HX14</f>
        <v>0</v>
      </c>
      <c r="DU14" s="395">
        <f>'raw data'!HY14</f>
        <v>0</v>
      </c>
      <c r="DV14" s="397">
        <f>IF(ISERROR('raw data'!HX14/'raw data'!HY14),0,'raw data'!HX14/'raw data'!HY14)</f>
        <v>0</v>
      </c>
      <c r="DW14" s="394">
        <f>'raw data'!HZ14</f>
        <v>0</v>
      </c>
      <c r="DX14" s="395">
        <f>'raw data'!IA14</f>
        <v>0</v>
      </c>
      <c r="DY14" s="397">
        <f>IF(ISERROR('raw data'!HZ14/'raw data'!IA14),0,'raw data'!HZ14/'raw data'!IA14)</f>
        <v>0</v>
      </c>
      <c r="DZ14" s="394">
        <f>'raw data'!IB14</f>
        <v>0</v>
      </c>
      <c r="EA14" s="395">
        <f>'raw data'!IC14</f>
        <v>0</v>
      </c>
      <c r="EB14" s="397">
        <f>IF(ISERROR('raw data'!IB14/'raw data'!IC14),0,'raw data'!IB14/'raw data'!IC14)</f>
        <v>0</v>
      </c>
      <c r="EC14" s="394">
        <f>'raw data'!ID14</f>
        <v>0</v>
      </c>
      <c r="ED14" s="395">
        <f>'raw data'!IE14</f>
        <v>1</v>
      </c>
      <c r="EE14" s="397">
        <f>IF(ISERROR('raw data'!ID14/'raw data'!IE14),0,'raw data'!ID14/'raw data'!IE14)</f>
        <v>0</v>
      </c>
      <c r="EF14" s="394">
        <f>'raw data'!IF14</f>
        <v>1</v>
      </c>
      <c r="EG14" s="395">
        <f>'raw data'!IG14</f>
        <v>3</v>
      </c>
      <c r="EH14" s="397">
        <f>IF(ISERROR('raw data'!IF14/'raw data'!IG14),0,'raw data'!IF14/'raw data'!IG14)</f>
        <v>0.33333333333333331</v>
      </c>
      <c r="EI14" s="394">
        <f>'raw data'!IH14</f>
        <v>0</v>
      </c>
      <c r="EJ14" s="395">
        <f>'raw data'!II14</f>
        <v>0</v>
      </c>
      <c r="EK14" s="397">
        <f>IF(ISERROR('raw data'!IH14/'raw data'!II14),0,'raw data'!IH14/'raw data'!II14)</f>
        <v>0</v>
      </c>
      <c r="EL14" s="394">
        <f>'raw data'!IJ14</f>
        <v>0</v>
      </c>
      <c r="EM14" s="395">
        <f>'raw data'!IK14</f>
        <v>0</v>
      </c>
      <c r="EN14" s="397">
        <f>IF(ISERROR('raw data'!IJ14/'raw data'!IK14),0,'raw data'!IJ14/'raw data'!IK14)</f>
        <v>0</v>
      </c>
      <c r="EO14" s="394">
        <f>'raw data'!IL14</f>
        <v>0</v>
      </c>
      <c r="EP14" s="395">
        <f>'raw data'!IM14</f>
        <v>0</v>
      </c>
      <c r="EQ14" s="397">
        <f>IF(ISERROR('raw data'!IL14/'raw data'!IM14),0,'raw data'!IL14/'raw data'!IM14)</f>
        <v>0</v>
      </c>
      <c r="ER14" s="394">
        <f>'raw data'!IN14</f>
        <v>0</v>
      </c>
      <c r="ES14" s="395">
        <f>'raw data'!IO14</f>
        <v>0</v>
      </c>
      <c r="ET14" s="397">
        <f>IF(ISERROR('raw data'!IN14/'raw data'!IO14),0,'raw data'!IN14/'raw data'!IO14)</f>
        <v>0</v>
      </c>
      <c r="EU14" s="394">
        <f>'raw data'!IP14</f>
        <v>0</v>
      </c>
      <c r="EV14" s="395">
        <f>'raw data'!IQ14</f>
        <v>2</v>
      </c>
      <c r="EW14" s="397">
        <f>IF(ISERROR('raw data'!IP14/'raw data'!IQ14),0,'raw data'!IP14/'raw data'!IQ14)</f>
        <v>0</v>
      </c>
      <c r="EX14" s="394">
        <f>'raw data'!IR14</f>
        <v>0</v>
      </c>
      <c r="EY14" s="395">
        <f>'raw data'!IS14</f>
        <v>0</v>
      </c>
      <c r="EZ14" s="397">
        <f>IF(ISERROR('raw data'!IR14/'raw data'!IS14),0,'raw data'!IR14/'raw data'!IS14)</f>
        <v>0</v>
      </c>
      <c r="FA14" s="394">
        <f>'raw data'!IT14</f>
        <v>0</v>
      </c>
      <c r="FB14" s="395">
        <f>'raw data'!IU14</f>
        <v>0</v>
      </c>
      <c r="FC14" s="397">
        <f>IF(ISERROR('raw data'!IT14/'raw data'!IU14),0,'raw data'!IT14/'raw data'!IU14)</f>
        <v>0</v>
      </c>
      <c r="FD14" s="394">
        <f>'raw data'!IV14</f>
        <v>0</v>
      </c>
      <c r="FE14" s="395">
        <f>'raw data'!IW14</f>
        <v>0</v>
      </c>
      <c r="FF14" s="397">
        <f>IF(ISERROR('raw data'!IV14/'raw data'!IW14),0,'raw data'!IV14/'raw data'!IW14)</f>
        <v>0</v>
      </c>
      <c r="FG14" s="394">
        <f>'raw data'!IX14</f>
        <v>0</v>
      </c>
      <c r="FH14" s="395">
        <f>'raw data'!IY14</f>
        <v>0</v>
      </c>
      <c r="FI14" s="397">
        <f>IF(ISERROR('raw data'!IX14/'raw data'!IY14),0,'raw data'!IX14/'raw data'!IY14)</f>
        <v>0</v>
      </c>
      <c r="FJ14" s="394">
        <f>'raw data'!IZ14</f>
        <v>0</v>
      </c>
      <c r="FK14" s="395">
        <f>'raw data'!JA14</f>
        <v>0</v>
      </c>
      <c r="FL14" s="397">
        <f>IF(ISERROR('raw data'!IZ14/'raw data'!JA14),0,'raw data'!IZ14/'raw data'!JA14)</f>
        <v>0</v>
      </c>
      <c r="FM14" s="394">
        <f>'raw data'!JB14</f>
        <v>0</v>
      </c>
      <c r="FN14" s="395">
        <f>'raw data'!JC14</f>
        <v>0</v>
      </c>
      <c r="FO14" s="397">
        <f>IF(ISERROR('raw data'!JB14/'raw data'!JC14),0,'raw data'!JB14/'raw data'!JC14)</f>
        <v>0</v>
      </c>
      <c r="FP14" s="394">
        <f>'raw data'!JD14</f>
        <v>0</v>
      </c>
      <c r="FQ14" s="395">
        <f>'raw data'!JE14</f>
        <v>0</v>
      </c>
      <c r="FR14" s="397">
        <f>IF(ISERROR('raw data'!JD14/'raw data'!JE14),0,'raw data'!JD14/'raw data'!JE14)</f>
        <v>0</v>
      </c>
      <c r="FS14" s="388"/>
      <c r="FT14" s="398">
        <v>0</v>
      </c>
      <c r="FU14" s="399">
        <v>2</v>
      </c>
      <c r="FV14" s="400">
        <f t="shared" si="0"/>
        <v>0</v>
      </c>
    </row>
    <row r="15" spans="1:179" ht="25.5" customHeight="1" x14ac:dyDescent="0.15">
      <c r="A15" s="392">
        <v>1.1599999999999999</v>
      </c>
      <c r="B15" s="382" t="str">
        <f>'raw data'!B15</f>
        <v>Flex accounts receiving £40k+ last month by at least 2 cash credits (CR).</v>
      </c>
      <c r="C15" s="393" t="s">
        <v>29</v>
      </c>
      <c r="D15" s="394">
        <f>'raw data'!ET15</f>
        <v>1</v>
      </c>
      <c r="E15" s="395">
        <f>'raw data'!EU15</f>
        <v>12</v>
      </c>
      <c r="F15" s="396">
        <f>IF(ISERROR('raw data'!ET15/'raw data'!EU15),0,'raw data'!ET15/'raw data'!EU15)</f>
        <v>8.3333333333333329E-2</v>
      </c>
      <c r="G15" s="394">
        <f>'raw data'!EV15</f>
        <v>0</v>
      </c>
      <c r="H15" s="395">
        <f>'raw data'!EW15</f>
        <v>24</v>
      </c>
      <c r="I15" s="396">
        <f>IF(ISERROR('raw data'!EV15/'raw data'!EW15),0,'raw data'!EV15/'raw data'!EW15)</f>
        <v>0</v>
      </c>
      <c r="J15" s="394">
        <f>'raw data'!EX15</f>
        <v>4</v>
      </c>
      <c r="K15" s="395">
        <f>'raw data'!EY15</f>
        <v>36</v>
      </c>
      <c r="L15" s="396">
        <f>IF(ISERROR('raw data'!EX15/'raw data'!EY15),0,'raw data'!EX15/'raw data'!EY15)</f>
        <v>0.1111111111111111</v>
      </c>
      <c r="M15" s="394">
        <f>'raw data'!EZ15</f>
        <v>5</v>
      </c>
      <c r="N15" s="395">
        <f>'raw data'!FA15</f>
        <v>27</v>
      </c>
      <c r="O15" s="396">
        <f>IF(ISERROR('raw data'!EZ15/'raw data'!FA15),0,'raw data'!EZ15/'raw data'!FA15)</f>
        <v>0.18518518518518517</v>
      </c>
      <c r="P15" s="394">
        <f>'raw data'!FB15</f>
        <v>2</v>
      </c>
      <c r="Q15" s="395">
        <f>'raw data'!FC15</f>
        <v>22</v>
      </c>
      <c r="R15" s="396">
        <f>IF(ISERROR('raw data'!FB15/'raw data'!FC15),0,'raw data'!FB15/'raw data'!FC15)</f>
        <v>9.0909090909090912E-2</v>
      </c>
      <c r="S15" s="394">
        <f>'raw data'!FD15</f>
        <v>2</v>
      </c>
      <c r="T15" s="395">
        <f>'raw data'!FE15</f>
        <v>27</v>
      </c>
      <c r="U15" s="396">
        <f>IF(ISERROR('raw data'!FD15/'raw data'!FE15),0,'raw data'!FD15/'raw data'!FE15)</f>
        <v>7.407407407407407E-2</v>
      </c>
      <c r="V15" s="394">
        <f>'raw data'!FF15</f>
        <v>4</v>
      </c>
      <c r="W15" s="395">
        <f>'raw data'!FG15</f>
        <v>30</v>
      </c>
      <c r="X15" s="396">
        <f>IF(ISERROR('raw data'!FF15/'raw data'!FG15),0,'raw data'!FF15/'raw data'!FG15)</f>
        <v>0.13333333333333333</v>
      </c>
      <c r="Y15" s="394">
        <f>'raw data'!FH15</f>
        <v>0</v>
      </c>
      <c r="Z15" s="395">
        <f>'raw data'!FI15</f>
        <v>19</v>
      </c>
      <c r="AA15" s="396">
        <f>IF(ISERROR('raw data'!FH15/'raw data'!FI15),0,'raw data'!FH15/'raw data'!FI15)</f>
        <v>0</v>
      </c>
      <c r="AB15" s="394">
        <f>'raw data'!FJ15</f>
        <v>3</v>
      </c>
      <c r="AC15" s="395">
        <f>'raw data'!FM15</f>
        <v>16</v>
      </c>
      <c r="AD15" s="396">
        <f>IF(ISERROR('raw data'!FJ15/'raw data'!FM15),0,'raw data'!FJ15/'raw data'!FM15)</f>
        <v>0.1875</v>
      </c>
      <c r="AE15" s="394">
        <f>'raw data'!FN15</f>
        <v>1</v>
      </c>
      <c r="AF15" s="395">
        <f>'raw data'!FO15</f>
        <v>25</v>
      </c>
      <c r="AG15" s="396">
        <f>IF(ISERROR('raw data'!FN15/'raw data'!FO15),0,'raw data'!FN15/'raw data'!FO15)</f>
        <v>0.04</v>
      </c>
      <c r="AH15" s="394">
        <f>'raw data'!FP15</f>
        <v>2</v>
      </c>
      <c r="AI15" s="395">
        <f>'raw data'!FQ15</f>
        <v>10</v>
      </c>
      <c r="AJ15" s="396">
        <f>IF(ISERROR('raw data'!FP15/'raw data'!FQ15),0,'raw data'!FP15/'raw data'!FQ15)</f>
        <v>0.2</v>
      </c>
      <c r="AK15" s="394">
        <f>'raw data'!FR15</f>
        <v>0</v>
      </c>
      <c r="AL15" s="395">
        <f>'raw data'!FS15</f>
        <v>11</v>
      </c>
      <c r="AM15" s="396">
        <f>IF(ISERROR('raw data'!FR15/'raw data'!FS15),0,'raw data'!FR15/'raw data'!FS15)</f>
        <v>0</v>
      </c>
      <c r="AN15" s="394">
        <f>'raw data'!FT15</f>
        <v>4</v>
      </c>
      <c r="AO15" s="395">
        <f>'raw data'!FU15</f>
        <v>23</v>
      </c>
      <c r="AP15" s="396">
        <f>IF(ISERROR('raw data'!FT15/'raw data'!FU15),0,'raw data'!FT15/'raw data'!FU15)</f>
        <v>0.17391304347826086</v>
      </c>
      <c r="AQ15" s="394">
        <f>'raw data'!FV15</f>
        <v>4</v>
      </c>
      <c r="AR15" s="395">
        <f>'raw data'!FW15</f>
        <v>10</v>
      </c>
      <c r="AS15" s="397">
        <f>IF(ISERROR('raw data'!FV15/'raw data'!FW15),0,'raw data'!FV15/'raw data'!FW15)</f>
        <v>0.4</v>
      </c>
      <c r="AT15" s="394">
        <f>'raw data'!FX15</f>
        <v>1</v>
      </c>
      <c r="AU15" s="395">
        <f>'raw data'!FY15</f>
        <v>10</v>
      </c>
      <c r="AV15" s="397">
        <f>IF(ISERROR('raw data'!FX15/'raw data'!FY15),0,'raw data'!FX15/'raw data'!FY15)</f>
        <v>0.1</v>
      </c>
      <c r="AW15" s="394">
        <f>'raw data'!FZ15</f>
        <v>1</v>
      </c>
      <c r="AX15" s="395">
        <f>'raw data'!GA15</f>
        <v>11</v>
      </c>
      <c r="AY15" s="397">
        <f>IF(ISERROR('raw data'!FZ15/'raw data'!GA15),0,'raw data'!FZ15/'raw data'!GA15)</f>
        <v>9.0909090909090912E-2</v>
      </c>
      <c r="AZ15" s="394">
        <f>'raw data'!GB15</f>
        <v>4</v>
      </c>
      <c r="BA15" s="395">
        <f>'raw data'!GC15</f>
        <v>9</v>
      </c>
      <c r="BB15" s="397">
        <f>IF(ISERROR('raw data'!GB15/'raw data'!GC15),0,'raw data'!GB15/'raw data'!GC15)</f>
        <v>0.44444444444444442</v>
      </c>
      <c r="BC15" s="394">
        <f>'raw data'!GD15</f>
        <v>2</v>
      </c>
      <c r="BD15" s="395">
        <f>'raw data'!GE15</f>
        <v>16</v>
      </c>
      <c r="BE15" s="397">
        <f>IF(ISERROR('raw data'!GD15/'raw data'!GE15),0,'raw data'!GD15/'raw data'!GE15)</f>
        <v>0.125</v>
      </c>
      <c r="BF15" s="394">
        <f>'raw data'!GF15</f>
        <v>4</v>
      </c>
      <c r="BG15" s="395">
        <f>'raw data'!GG15</f>
        <v>11</v>
      </c>
      <c r="BH15" s="397">
        <f>IF(ISERROR('raw data'!GF15/'raw data'!GG15),0,'raw data'!GF15/'raw data'!GG15)</f>
        <v>0.36363636363636365</v>
      </c>
      <c r="BI15" s="394">
        <f>'raw data'!GH15</f>
        <v>2</v>
      </c>
      <c r="BJ15" s="395">
        <f>'raw data'!GI15</f>
        <v>14</v>
      </c>
      <c r="BK15" s="397">
        <f>IF(ISERROR('raw data'!GH15/'raw data'!GI15),0,'raw data'!GH15/'raw data'!GI15)</f>
        <v>0.14285714285714285</v>
      </c>
      <c r="BL15" s="394">
        <f>'raw data'!GJ15</f>
        <v>5</v>
      </c>
      <c r="BM15" s="395">
        <f>'raw data'!GK15</f>
        <v>10</v>
      </c>
      <c r="BN15" s="397">
        <f>IF(ISERROR('raw data'!GJ15/'raw data'!GK15),0,'raw data'!GJ15/'raw data'!GK15)</f>
        <v>0.5</v>
      </c>
      <c r="BO15" s="394">
        <f>'raw data'!GL15</f>
        <v>2</v>
      </c>
      <c r="BP15" s="395">
        <f>'raw data'!GM15</f>
        <v>19</v>
      </c>
      <c r="BQ15" s="397">
        <f>IF(ISERROR('raw data'!GL15/'raw data'!GM15),0,'raw data'!GL15/'raw data'!GM15)</f>
        <v>0.10526315789473684</v>
      </c>
      <c r="BR15" s="394">
        <f>'raw data'!GN15</f>
        <v>0</v>
      </c>
      <c r="BS15" s="395">
        <f>'raw data'!GO15</f>
        <v>7</v>
      </c>
      <c r="BT15" s="397">
        <f>IF(ISERROR('raw data'!GN15/'raw data'!GO15),0,'raw data'!GN15/'raw data'!GO15)</f>
        <v>0</v>
      </c>
      <c r="BU15" s="394">
        <f>'raw data'!GP15</f>
        <v>2</v>
      </c>
      <c r="BV15" s="395">
        <f>'raw data'!GQ15</f>
        <v>9</v>
      </c>
      <c r="BW15" s="397">
        <f>IF(ISERROR('raw data'!GP15/'raw data'!GQ15),0,'raw data'!GP15/'raw data'!GQ15)</f>
        <v>0.22222222222222221</v>
      </c>
      <c r="BX15" s="394">
        <f>'raw data'!GR15</f>
        <v>0</v>
      </c>
      <c r="BY15" s="395">
        <f>'raw data'!GS15</f>
        <v>5</v>
      </c>
      <c r="BZ15" s="397">
        <f>IF(ISERROR('raw data'!GR15/'raw data'!GS15),0,'raw data'!GR15/'raw data'!GS15)</f>
        <v>0</v>
      </c>
      <c r="CA15" s="394">
        <f>'raw data'!GT15</f>
        <v>2</v>
      </c>
      <c r="CB15" s="395">
        <f>'raw data'!GU15</f>
        <v>8</v>
      </c>
      <c r="CC15" s="397">
        <f>IF(ISERROR('raw data'!GT15/'raw data'!GU15),0,'raw data'!GT15/'raw data'!GU15)</f>
        <v>0.25</v>
      </c>
      <c r="CD15" s="394">
        <f>'raw data'!GV15</f>
        <v>1</v>
      </c>
      <c r="CE15" s="395">
        <f>'raw data'!GW15</f>
        <v>12</v>
      </c>
      <c r="CF15" s="397">
        <f>IF(ISERROR('raw data'!GV15/'raw data'!GW15),0,'raw data'!GV15/'raw data'!GW15)</f>
        <v>8.3333333333333329E-2</v>
      </c>
      <c r="CG15" s="394">
        <f>'raw data'!GX15</f>
        <v>3</v>
      </c>
      <c r="CH15" s="395">
        <f>'raw data'!GY15</f>
        <v>14</v>
      </c>
      <c r="CI15" s="397">
        <f>IF(ISERROR('raw data'!GX15/'raw data'!GY15),0,'raw data'!GX15/'raw data'!GY15)</f>
        <v>0.21428571428571427</v>
      </c>
      <c r="CJ15" s="394">
        <f>'raw data'!GZ15</f>
        <v>2</v>
      </c>
      <c r="CK15" s="395">
        <f>'raw data'!HA15</f>
        <v>16</v>
      </c>
      <c r="CL15" s="397">
        <f>IF(ISERROR('raw data'!GZ15/'raw data'!HA15),0,'raw data'!GZ15/'raw data'!HA15)</f>
        <v>0.125</v>
      </c>
      <c r="CM15" s="394">
        <f>'raw data'!HB15</f>
        <v>0</v>
      </c>
      <c r="CN15" s="395">
        <f>'raw data'!HC15</f>
        <v>4</v>
      </c>
      <c r="CO15" s="397">
        <f>IF(ISERROR('raw data'!HB15/'raw data'!HC15),0,'raw data'!HB15/'raw data'!HC15)</f>
        <v>0</v>
      </c>
      <c r="CP15" s="394">
        <f>'raw data'!HD15</f>
        <v>3</v>
      </c>
      <c r="CQ15" s="395">
        <f>'raw data'!HE15</f>
        <v>21</v>
      </c>
      <c r="CR15" s="397">
        <f>IF(ISERROR('raw data'!HD15/'raw data'!HE15),0,'raw data'!HD15/'raw data'!HE15)</f>
        <v>0.14285714285714285</v>
      </c>
      <c r="CS15" s="394">
        <f>'raw data'!HF15</f>
        <v>0</v>
      </c>
      <c r="CT15" s="395">
        <f>'raw data'!HG15</f>
        <v>12</v>
      </c>
      <c r="CU15" s="397">
        <f>IF(ISERROR('raw data'!HF15/'raw data'!HG15),0,'raw data'!HF15/'raw data'!HG15)</f>
        <v>0</v>
      </c>
      <c r="CV15" s="394">
        <f>'raw data'!HH15</f>
        <v>0</v>
      </c>
      <c r="CW15" s="395">
        <f>'raw data'!HI15</f>
        <v>5</v>
      </c>
      <c r="CX15" s="397">
        <f>IF(ISERROR('raw data'!HH15/'raw data'!HI15),0,'raw data'!HH15/'raw data'!HI15)</f>
        <v>0</v>
      </c>
      <c r="CY15" s="394">
        <f>'raw data'!HJ15</f>
        <v>8</v>
      </c>
      <c r="CZ15" s="395">
        <f>'raw data'!HK15</f>
        <v>37</v>
      </c>
      <c r="DA15" s="397">
        <f>IF(ISERROR('raw data'!HJ15/'raw data'!HK15),0,'raw data'!HJ15/'raw data'!HK15)</f>
        <v>0.21621621621621623</v>
      </c>
      <c r="DB15" s="394">
        <f>'raw data'!HL15</f>
        <v>4</v>
      </c>
      <c r="DC15" s="395">
        <f>'raw data'!HM15</f>
        <v>67</v>
      </c>
      <c r="DD15" s="397">
        <f>IF(ISERROR('raw data'!HL15/'raw data'!HM15),0,'raw data'!HL15/'raw data'!HM15)</f>
        <v>5.9701492537313432E-2</v>
      </c>
      <c r="DE15" s="394">
        <f>'raw data'!HN15</f>
        <v>9</v>
      </c>
      <c r="DF15" s="395">
        <f>'raw data'!HO15</f>
        <v>65</v>
      </c>
      <c r="DG15" s="397">
        <f>IF(ISERROR('raw data'!HN15/'raw data'!HO15),0,'raw data'!HN15/'raw data'!HO15)</f>
        <v>0.13846153846153847</v>
      </c>
      <c r="DH15" s="394">
        <f>'raw data'!HP15</f>
        <v>1</v>
      </c>
      <c r="DI15" s="395">
        <f>'raw data'!HQ15</f>
        <v>46</v>
      </c>
      <c r="DJ15" s="397">
        <f>IF(ISERROR('raw data'!HP15/'raw data'!HQ15),0,'raw data'!HP15/'raw data'!HQ15)</f>
        <v>2.1739130434782608E-2</v>
      </c>
      <c r="DK15" s="394">
        <f>'raw data'!HR15</f>
        <v>4</v>
      </c>
      <c r="DL15" s="395">
        <f>'raw data'!HS15</f>
        <v>56</v>
      </c>
      <c r="DM15" s="397">
        <f>IF(ISERROR('raw data'!HR15/'raw data'!HS15),0,'raw data'!HR15/'raw data'!HS15)</f>
        <v>7.1428571428571425E-2</v>
      </c>
      <c r="DN15" s="394">
        <f>'raw data'!HT15</f>
        <v>6</v>
      </c>
      <c r="DO15" s="395">
        <f>'raw data'!HU15</f>
        <v>56</v>
      </c>
      <c r="DP15" s="397">
        <f>IF(ISERROR('raw data'!HT15/'raw data'!HU15),0,'raw data'!HT15/'raw data'!HU15)</f>
        <v>0.10714285714285714</v>
      </c>
      <c r="DQ15" s="394">
        <f>'raw data'!HV15</f>
        <v>2</v>
      </c>
      <c r="DR15" s="395">
        <f>'raw data'!HW15</f>
        <v>45</v>
      </c>
      <c r="DS15" s="397">
        <f>IF(ISERROR('raw data'!HV15/'raw data'!HW15),0,'raw data'!HV15/'raw data'!HW15)</f>
        <v>4.4444444444444446E-2</v>
      </c>
      <c r="DT15" s="394">
        <f>'raw data'!HX15</f>
        <v>3</v>
      </c>
      <c r="DU15" s="395">
        <f>'raw data'!HY15</f>
        <v>56</v>
      </c>
      <c r="DV15" s="397">
        <f>IF(ISERROR('raw data'!HX15/'raw data'!HY15),0,'raw data'!HX15/'raw data'!HY15)</f>
        <v>5.3571428571428568E-2</v>
      </c>
      <c r="DW15" s="394">
        <f>'raw data'!HZ15</f>
        <v>3</v>
      </c>
      <c r="DX15" s="395">
        <f>'raw data'!IA15</f>
        <v>56</v>
      </c>
      <c r="DY15" s="397">
        <f>IF(ISERROR('raw data'!HZ15/'raw data'!IA15),0,'raw data'!HZ15/'raw data'!IA15)</f>
        <v>5.3571428571428568E-2</v>
      </c>
      <c r="DZ15" s="394">
        <f>'raw data'!IB15</f>
        <v>9</v>
      </c>
      <c r="EA15" s="395">
        <f>'raw data'!IC15</f>
        <v>68</v>
      </c>
      <c r="EB15" s="397">
        <f>IF(ISERROR('raw data'!IB15/'raw data'!IC15),0,'raw data'!IB15/'raw data'!IC15)</f>
        <v>0.13235294117647059</v>
      </c>
      <c r="EC15" s="394">
        <f>'raw data'!ID15</f>
        <v>8</v>
      </c>
      <c r="ED15" s="395">
        <f>'raw data'!IE15</f>
        <v>55</v>
      </c>
      <c r="EE15" s="397">
        <f>IF(ISERROR('raw data'!ID15/'raw data'!IE15),0,'raw data'!ID15/'raw data'!IE15)</f>
        <v>0.14545454545454545</v>
      </c>
      <c r="EF15" s="394">
        <f>'raw data'!IF15</f>
        <v>4</v>
      </c>
      <c r="EG15" s="395">
        <f>'raw data'!IG15</f>
        <v>65</v>
      </c>
      <c r="EH15" s="397">
        <f>IF(ISERROR('raw data'!IF15/'raw data'!IG15),0,'raw data'!IF15/'raw data'!IG15)</f>
        <v>6.1538461538461542E-2</v>
      </c>
      <c r="EI15" s="394">
        <f>'raw data'!IH15</f>
        <v>9</v>
      </c>
      <c r="EJ15" s="395">
        <f>'raw data'!II15</f>
        <v>43</v>
      </c>
      <c r="EK15" s="397">
        <f>IF(ISERROR('raw data'!IH15/'raw data'!II15),0,'raw data'!IH15/'raw data'!II15)</f>
        <v>0.20930232558139536</v>
      </c>
      <c r="EL15" s="394">
        <f>'raw data'!IJ15</f>
        <v>9</v>
      </c>
      <c r="EM15" s="395">
        <f>'raw data'!IK15</f>
        <v>41</v>
      </c>
      <c r="EN15" s="397">
        <f>IF(ISERROR('raw data'!IJ15/'raw data'!IK15),0,'raw data'!IJ15/'raw data'!IK15)</f>
        <v>0.21951219512195122</v>
      </c>
      <c r="EO15" s="394">
        <f>'raw data'!IL15</f>
        <v>3</v>
      </c>
      <c r="EP15" s="395">
        <f>'raw data'!IM15</f>
        <v>31</v>
      </c>
      <c r="EQ15" s="397">
        <f>IF(ISERROR('raw data'!IL15/'raw data'!IM15),0,'raw data'!IL15/'raw data'!IM15)</f>
        <v>9.6774193548387094E-2</v>
      </c>
      <c r="ER15" s="408" t="str">
        <f>'raw data'!IN15</f>
        <v>Suspended</v>
      </c>
      <c r="ES15" s="409" t="str">
        <f>'raw data'!IO15</f>
        <v>Suspended</v>
      </c>
      <c r="ET15" s="410" t="s">
        <v>30</v>
      </c>
      <c r="EU15" s="408" t="str">
        <f>'raw data'!IP15</f>
        <v>Suspended</v>
      </c>
      <c r="EV15" s="409" t="str">
        <f>'raw data'!IQ15</f>
        <v>Suspended</v>
      </c>
      <c r="EW15" s="410" t="s">
        <v>30</v>
      </c>
      <c r="EX15" s="408" t="str">
        <f>'raw data'!IR15</f>
        <v>Suspended</v>
      </c>
      <c r="EY15" s="409" t="str">
        <f>'raw data'!IS15</f>
        <v>Suspended</v>
      </c>
      <c r="EZ15" s="410" t="s">
        <v>30</v>
      </c>
      <c r="FA15" s="408" t="str">
        <f>'raw data'!IT15</f>
        <v>Suspended</v>
      </c>
      <c r="FB15" s="409" t="str">
        <f>'raw data'!IU15</f>
        <v>Suspended</v>
      </c>
      <c r="FC15" s="410" t="s">
        <v>30</v>
      </c>
      <c r="FD15" s="408" t="str">
        <f>'raw data'!IV15</f>
        <v>Suspended</v>
      </c>
      <c r="FE15" s="409" t="str">
        <f>'raw data'!IW15</f>
        <v>Suspended</v>
      </c>
      <c r="FF15" s="410" t="s">
        <v>30</v>
      </c>
      <c r="FG15" s="408" t="str">
        <f>'raw data'!IX15</f>
        <v>Suspended</v>
      </c>
      <c r="FH15" s="409" t="str">
        <f>'raw data'!IY15</f>
        <v>Suspended</v>
      </c>
      <c r="FI15" s="410" t="s">
        <v>30</v>
      </c>
      <c r="FJ15" s="408" t="str">
        <f>'raw data'!IZ15</f>
        <v>Suspended</v>
      </c>
      <c r="FK15" s="409" t="str">
        <f>'raw data'!JA15</f>
        <v>Suspended</v>
      </c>
      <c r="FL15" s="410" t="s">
        <v>30</v>
      </c>
      <c r="FM15" s="408" t="str">
        <f>'raw data'!JB15</f>
        <v>Suspended</v>
      </c>
      <c r="FN15" s="409" t="str">
        <f>'raw data'!JC15</f>
        <v>Suspended</v>
      </c>
      <c r="FO15" s="410" t="s">
        <v>30</v>
      </c>
      <c r="FP15" s="408" t="str">
        <f>'raw data'!JD15</f>
        <v>Suspended</v>
      </c>
      <c r="FQ15" s="409" t="str">
        <f>'raw data'!JE15</f>
        <v>Suspended</v>
      </c>
      <c r="FR15" s="410" t="s">
        <v>30</v>
      </c>
      <c r="FS15" s="388"/>
      <c r="FT15" s="398">
        <v>21</v>
      </c>
      <c r="FU15" s="399">
        <v>115</v>
      </c>
      <c r="FV15" s="400">
        <f>IF(ISERROR(FT15/FU15),0,FT15/FU15)</f>
        <v>0.18260869565217391</v>
      </c>
    </row>
    <row r="16" spans="1:179" ht="28" hidden="1" x14ac:dyDescent="0.15">
      <c r="A16" s="392">
        <v>1.17</v>
      </c>
      <c r="B16" s="382">
        <f>'raw data'!B16</f>
        <v>0</v>
      </c>
      <c r="C16" s="393" t="s">
        <v>31</v>
      </c>
      <c r="D16" s="394">
        <f>'raw data'!ET16</f>
        <v>0</v>
      </c>
      <c r="E16" s="395">
        <f>'raw data'!EU16</f>
        <v>0</v>
      </c>
      <c r="F16" s="396">
        <f>IF(ISERROR('raw data'!ET16/'raw data'!EU16),0,'raw data'!ET16/'raw data'!EU16)</f>
        <v>0</v>
      </c>
      <c r="G16" s="394">
        <f>'raw data'!EV16</f>
        <v>0</v>
      </c>
      <c r="H16" s="395">
        <f>'raw data'!EW16</f>
        <v>0</v>
      </c>
      <c r="I16" s="396">
        <f>IF(ISERROR('raw data'!EV16/'raw data'!EW16),0,'raw data'!EV16/'raw data'!EW16)</f>
        <v>0</v>
      </c>
      <c r="J16" s="394">
        <f>'raw data'!EX16</f>
        <v>0</v>
      </c>
      <c r="K16" s="395">
        <f>'raw data'!EY16</f>
        <v>0</v>
      </c>
      <c r="L16" s="396">
        <f>IF(ISERROR('raw data'!EX16/'raw data'!EY16),0,'raw data'!EX16/'raw data'!EY16)</f>
        <v>0</v>
      </c>
      <c r="M16" s="394">
        <f>'raw data'!EZ16</f>
        <v>0</v>
      </c>
      <c r="N16" s="395">
        <f>'raw data'!FA16</f>
        <v>0</v>
      </c>
      <c r="O16" s="396">
        <f>IF(ISERROR('raw data'!EZ16/'raw data'!FA16),0,'raw data'!EZ16/'raw data'!FA16)</f>
        <v>0</v>
      </c>
      <c r="P16" s="394">
        <f>'raw data'!FB16</f>
        <v>0</v>
      </c>
      <c r="Q16" s="395">
        <f>'raw data'!FC16</f>
        <v>0</v>
      </c>
      <c r="R16" s="396">
        <f>IF(ISERROR('raw data'!FB16/'raw data'!FC16),0,'raw data'!FB16/'raw data'!FC16)</f>
        <v>0</v>
      </c>
      <c r="S16" s="394">
        <f>'raw data'!FD16</f>
        <v>0</v>
      </c>
      <c r="T16" s="395">
        <f>'raw data'!FE16</f>
        <v>0</v>
      </c>
      <c r="U16" s="396">
        <f>IF(ISERROR('raw data'!FD16/'raw data'!FE16),0,'raw data'!FD16/'raw data'!FE16)</f>
        <v>0</v>
      </c>
      <c r="V16" s="394">
        <f>'raw data'!FF16</f>
        <v>0</v>
      </c>
      <c r="W16" s="395">
        <f>'raw data'!FG16</f>
        <v>0</v>
      </c>
      <c r="X16" s="396">
        <f>IF(ISERROR('raw data'!FF16/'raw data'!FG16),0,'raw data'!FF16/'raw data'!FG16)</f>
        <v>0</v>
      </c>
      <c r="Y16" s="394">
        <f>'raw data'!FH16</f>
        <v>0</v>
      </c>
      <c r="Z16" s="395">
        <f>'raw data'!FI16</f>
        <v>0</v>
      </c>
      <c r="AA16" s="396">
        <f>IF(ISERROR('raw data'!FH16/'raw data'!FI16),0,'raw data'!FH16/'raw data'!FI16)</f>
        <v>0</v>
      </c>
      <c r="AB16" s="394">
        <f>'raw data'!FJ16</f>
        <v>0</v>
      </c>
      <c r="AC16" s="395">
        <f>'raw data'!FM16</f>
        <v>0</v>
      </c>
      <c r="AD16" s="396">
        <f>IF(ISERROR('raw data'!FJ16/'raw data'!FM16),0,'raw data'!FJ16/'raw data'!FM16)</f>
        <v>0</v>
      </c>
      <c r="AE16" s="394">
        <f>'raw data'!FN16</f>
        <v>0</v>
      </c>
      <c r="AF16" s="395">
        <f>'raw data'!FO16</f>
        <v>0</v>
      </c>
      <c r="AG16" s="396">
        <f>IF(ISERROR('raw data'!FN16/'raw data'!FO16),0,'raw data'!FN16/'raw data'!FO16)</f>
        <v>0</v>
      </c>
      <c r="AH16" s="394">
        <f>'raw data'!FP16</f>
        <v>0</v>
      </c>
      <c r="AI16" s="395">
        <f>'raw data'!FQ16</f>
        <v>0</v>
      </c>
      <c r="AJ16" s="396">
        <f>IF(ISERROR('raw data'!FP16/'raw data'!FQ16),0,'raw data'!FP16/'raw data'!FQ16)</f>
        <v>0</v>
      </c>
      <c r="AK16" s="394">
        <f>'raw data'!FR16</f>
        <v>0</v>
      </c>
      <c r="AL16" s="395">
        <f>'raw data'!FS16</f>
        <v>0</v>
      </c>
      <c r="AM16" s="396">
        <f>IF(ISERROR('raw data'!FR16/'raw data'!FS16),0,'raw data'!FR16/'raw data'!FS16)</f>
        <v>0</v>
      </c>
      <c r="AN16" s="394">
        <f>'raw data'!FT16</f>
        <v>0</v>
      </c>
      <c r="AO16" s="395">
        <f>'raw data'!FU16</f>
        <v>0</v>
      </c>
      <c r="AP16" s="396">
        <f>IF(ISERROR('raw data'!FT16/'raw data'!FU16),0,'raw data'!FT16/'raw data'!FU16)</f>
        <v>0</v>
      </c>
      <c r="AQ16" s="394">
        <f>'raw data'!FV16</f>
        <v>0</v>
      </c>
      <c r="AR16" s="395">
        <f>'raw data'!FW16</f>
        <v>0</v>
      </c>
      <c r="AS16" s="397">
        <f>IF(ISERROR('raw data'!FV16/'raw data'!FW16),0,'raw data'!FV16/'raw data'!FW16)</f>
        <v>0</v>
      </c>
      <c r="AT16" s="394">
        <f>'raw data'!FX16</f>
        <v>0</v>
      </c>
      <c r="AU16" s="395">
        <f>'raw data'!FY16</f>
        <v>0</v>
      </c>
      <c r="AV16" s="397">
        <f>IF(ISERROR('raw data'!FX16/'raw data'!FY16),0,'raw data'!FX16/'raw data'!FY16)</f>
        <v>0</v>
      </c>
      <c r="AW16" s="394">
        <f>'raw data'!FZ16</f>
        <v>0</v>
      </c>
      <c r="AX16" s="395">
        <f>'raw data'!GA16</f>
        <v>0</v>
      </c>
      <c r="AY16" s="397">
        <f>IF(ISERROR('raw data'!FZ16/'raw data'!GA16),0,'raw data'!FZ16/'raw data'!GA16)</f>
        <v>0</v>
      </c>
      <c r="AZ16" s="394">
        <f>'raw data'!GB16</f>
        <v>0</v>
      </c>
      <c r="BA16" s="395">
        <f>'raw data'!GC16</f>
        <v>0</v>
      </c>
      <c r="BB16" s="397">
        <f>IF(ISERROR('raw data'!GB16/'raw data'!GC16),0,'raw data'!GB16/'raw data'!GC16)</f>
        <v>0</v>
      </c>
      <c r="BC16" s="394">
        <f>'raw data'!GD16</f>
        <v>0</v>
      </c>
      <c r="BD16" s="395">
        <f>'raw data'!GE16</f>
        <v>0</v>
      </c>
      <c r="BE16" s="397">
        <f>IF(ISERROR('raw data'!GD16/'raw data'!GE16),0,'raw data'!GD16/'raw data'!GE16)</f>
        <v>0</v>
      </c>
      <c r="BF16" s="394">
        <f>'raw data'!GF16</f>
        <v>0</v>
      </c>
      <c r="BG16" s="395">
        <f>'raw data'!GG16</f>
        <v>0</v>
      </c>
      <c r="BH16" s="397">
        <f>IF(ISERROR('raw data'!GF16/'raw data'!GG16),0,'raw data'!GF16/'raw data'!GG16)</f>
        <v>0</v>
      </c>
      <c r="BI16" s="394">
        <f>'raw data'!GH16</f>
        <v>0</v>
      </c>
      <c r="BJ16" s="395">
        <f>'raw data'!GI16</f>
        <v>0</v>
      </c>
      <c r="BK16" s="397">
        <f>IF(ISERROR('raw data'!GH16/'raw data'!GI16),0,'raw data'!GH16/'raw data'!GI16)</f>
        <v>0</v>
      </c>
      <c r="BL16" s="394">
        <f>'raw data'!GJ16</f>
        <v>0</v>
      </c>
      <c r="BM16" s="395">
        <f>'raw data'!GK16</f>
        <v>0</v>
      </c>
      <c r="BN16" s="397">
        <f>IF(ISERROR('raw data'!GJ16/'raw data'!GK16),0,'raw data'!GJ16/'raw data'!GK16)</f>
        <v>0</v>
      </c>
      <c r="BO16" s="394">
        <f>'raw data'!GL16</f>
        <v>0</v>
      </c>
      <c r="BP16" s="395">
        <f>'raw data'!GM16</f>
        <v>0</v>
      </c>
      <c r="BQ16" s="397">
        <f>IF(ISERROR('raw data'!GL16/'raw data'!GM16),0,'raw data'!GL16/'raw data'!GM16)</f>
        <v>0</v>
      </c>
      <c r="BR16" s="394">
        <f>'raw data'!GN16</f>
        <v>0</v>
      </c>
      <c r="BS16" s="395">
        <f>'raw data'!GO16</f>
        <v>0</v>
      </c>
      <c r="BT16" s="397">
        <f>IF(ISERROR('raw data'!GN16/'raw data'!GO16),0,'raw data'!GN16/'raw data'!GO16)</f>
        <v>0</v>
      </c>
      <c r="BU16" s="394">
        <f>'raw data'!GP16</f>
        <v>0</v>
      </c>
      <c r="BV16" s="395">
        <f>'raw data'!GQ16</f>
        <v>0</v>
      </c>
      <c r="BW16" s="397">
        <f>IF(ISERROR('raw data'!GP16/'raw data'!GQ16),0,'raw data'!GP16/'raw data'!GQ16)</f>
        <v>0</v>
      </c>
      <c r="BX16" s="394">
        <f>'raw data'!GR16</f>
        <v>0</v>
      </c>
      <c r="BY16" s="395">
        <f>'raw data'!GS16</f>
        <v>0</v>
      </c>
      <c r="BZ16" s="397">
        <f>IF(ISERROR('raw data'!GR16/'raw data'!GS16),0,'raw data'!GR16/'raw data'!GS16)</f>
        <v>0</v>
      </c>
      <c r="CA16" s="394">
        <f>'raw data'!GT16</f>
        <v>0</v>
      </c>
      <c r="CB16" s="395">
        <f>'raw data'!GU16</f>
        <v>0</v>
      </c>
      <c r="CC16" s="397">
        <f>IF(ISERROR('raw data'!GT16/'raw data'!GU16),0,'raw data'!GT16/'raw data'!GU16)</f>
        <v>0</v>
      </c>
      <c r="CD16" s="394">
        <f>'raw data'!GV16</f>
        <v>0</v>
      </c>
      <c r="CE16" s="395">
        <f>'raw data'!GW16</f>
        <v>0</v>
      </c>
      <c r="CF16" s="397">
        <f>IF(ISERROR('raw data'!GV16/'raw data'!GW16),0,'raw data'!GV16/'raw data'!GW16)</f>
        <v>0</v>
      </c>
      <c r="CG16" s="394">
        <f>'raw data'!GX16</f>
        <v>0</v>
      </c>
      <c r="CH16" s="395">
        <f>'raw data'!GY16</f>
        <v>0</v>
      </c>
      <c r="CI16" s="397">
        <f>IF(ISERROR('raw data'!GX16/'raw data'!GY16),0,'raw data'!GX16/'raw data'!GY16)</f>
        <v>0</v>
      </c>
      <c r="CJ16" s="394">
        <f>'raw data'!GZ16</f>
        <v>0</v>
      </c>
      <c r="CK16" s="395">
        <f>'raw data'!HA16</f>
        <v>0</v>
      </c>
      <c r="CL16" s="397">
        <f>IF(ISERROR('raw data'!GZ16/'raw data'!HA16),0,'raw data'!GZ16/'raw data'!HA16)</f>
        <v>0</v>
      </c>
      <c r="CM16" s="394">
        <f>'raw data'!HB16</f>
        <v>0</v>
      </c>
      <c r="CN16" s="395">
        <f>'raw data'!HC16</f>
        <v>0</v>
      </c>
      <c r="CO16" s="397">
        <f>IF(ISERROR('raw data'!HB16/'raw data'!HC16),0,'raw data'!HB16/'raw data'!HC16)</f>
        <v>0</v>
      </c>
      <c r="CP16" s="394">
        <f>'raw data'!HD16</f>
        <v>0</v>
      </c>
      <c r="CQ16" s="395">
        <f>'raw data'!HE16</f>
        <v>0</v>
      </c>
      <c r="CR16" s="397">
        <f>IF(ISERROR('raw data'!HD16/'raw data'!HE16),0,'raw data'!HD16/'raw data'!HE16)</f>
        <v>0</v>
      </c>
      <c r="CS16" s="394">
        <f>'raw data'!HF16</f>
        <v>0</v>
      </c>
      <c r="CT16" s="395">
        <f>'raw data'!HG16</f>
        <v>0</v>
      </c>
      <c r="CU16" s="397">
        <f>IF(ISERROR('raw data'!HF16/'raw data'!HG16),0,'raw data'!HF16/'raw data'!HG16)</f>
        <v>0</v>
      </c>
      <c r="CV16" s="394">
        <f>'raw data'!HH16</f>
        <v>0</v>
      </c>
      <c r="CW16" s="395">
        <f>'raw data'!HI16</f>
        <v>0</v>
      </c>
      <c r="CX16" s="397">
        <f>IF(ISERROR('raw data'!HH16/'raw data'!HI16),0,'raw data'!HH16/'raw data'!HI16)</f>
        <v>0</v>
      </c>
      <c r="CY16" s="394">
        <f>'raw data'!HJ16</f>
        <v>0</v>
      </c>
      <c r="CZ16" s="395">
        <f>'raw data'!HK16</f>
        <v>0</v>
      </c>
      <c r="DA16" s="397">
        <f>IF(ISERROR('raw data'!HJ16/'raw data'!HK16),0,'raw data'!HJ16/'raw data'!HK16)</f>
        <v>0</v>
      </c>
      <c r="DB16" s="394">
        <f>'raw data'!HL16</f>
        <v>0</v>
      </c>
      <c r="DC16" s="395">
        <f>'raw data'!HM16</f>
        <v>0</v>
      </c>
      <c r="DD16" s="397">
        <f>IF(ISERROR('raw data'!HL16/'raw data'!HM16),0,'raw data'!HL16/'raw data'!HM16)</f>
        <v>0</v>
      </c>
      <c r="DE16" s="394">
        <f>'raw data'!HN16</f>
        <v>0</v>
      </c>
      <c r="DF16" s="395">
        <f>'raw data'!HO16</f>
        <v>0</v>
      </c>
      <c r="DG16" s="397">
        <f>IF(ISERROR('raw data'!HN16/'raw data'!HO16),0,'raw data'!HN16/'raw data'!HO16)</f>
        <v>0</v>
      </c>
      <c r="DH16" s="394">
        <f>'raw data'!HP16</f>
        <v>0</v>
      </c>
      <c r="DI16" s="395">
        <f>'raw data'!HQ16</f>
        <v>0</v>
      </c>
      <c r="DJ16" s="397">
        <f>IF(ISERROR('raw data'!HP16/'raw data'!HQ16),0,'raw data'!HP16/'raw data'!HQ16)</f>
        <v>0</v>
      </c>
      <c r="DK16" s="394">
        <f>'raw data'!HR16</f>
        <v>0</v>
      </c>
      <c r="DL16" s="395">
        <f>'raw data'!HS16</f>
        <v>0</v>
      </c>
      <c r="DM16" s="397">
        <f>IF(ISERROR('raw data'!HR16/'raw data'!HS16),0,'raw data'!HR16/'raw data'!HS16)</f>
        <v>0</v>
      </c>
      <c r="DN16" s="394">
        <f>'raw data'!HT16</f>
        <v>0</v>
      </c>
      <c r="DO16" s="395">
        <f>'raw data'!HU16</f>
        <v>0</v>
      </c>
      <c r="DP16" s="397">
        <f>IF(ISERROR('raw data'!HT16/'raw data'!HU16),0,'raw data'!HT16/'raw data'!HU16)</f>
        <v>0</v>
      </c>
      <c r="DQ16" s="394">
        <f>'raw data'!HV16</f>
        <v>0</v>
      </c>
      <c r="DR16" s="395">
        <f>'raw data'!HW16</f>
        <v>0</v>
      </c>
      <c r="DS16" s="397">
        <f>IF(ISERROR('raw data'!HV16/'raw data'!HW16),0,'raw data'!HV16/'raw data'!HW16)</f>
        <v>0</v>
      </c>
      <c r="DT16" s="394">
        <f>'raw data'!HX16</f>
        <v>0</v>
      </c>
      <c r="DU16" s="395">
        <f>'raw data'!HY16</f>
        <v>0</v>
      </c>
      <c r="DV16" s="397">
        <f>IF(ISERROR('raw data'!HX16/'raw data'!HY16),0,'raw data'!HX16/'raw data'!HY16)</f>
        <v>0</v>
      </c>
      <c r="DW16" s="394">
        <f>'raw data'!HZ16</f>
        <v>0</v>
      </c>
      <c r="DX16" s="395">
        <f>'raw data'!IA16</f>
        <v>0</v>
      </c>
      <c r="DY16" s="397">
        <f>IF(ISERROR('raw data'!HZ16/'raw data'!IA16),0,'raw data'!HZ16/'raw data'!IA16)</f>
        <v>0</v>
      </c>
      <c r="DZ16" s="394">
        <f>'raw data'!IB16</f>
        <v>0</v>
      </c>
      <c r="EA16" s="395">
        <f>'raw data'!IC16</f>
        <v>0</v>
      </c>
      <c r="EB16" s="397">
        <f>IF(ISERROR('raw data'!IB16/'raw data'!IC16),0,'raw data'!IB16/'raw data'!IC16)</f>
        <v>0</v>
      </c>
      <c r="EC16" s="394">
        <f>'raw data'!ID16</f>
        <v>0</v>
      </c>
      <c r="ED16" s="395">
        <f>'raw data'!IE16</f>
        <v>0</v>
      </c>
      <c r="EE16" s="397">
        <f>IF(ISERROR('raw data'!ID16/'raw data'!IE16),0,'raw data'!ID16/'raw data'!IE16)</f>
        <v>0</v>
      </c>
      <c r="EF16" s="394">
        <f>'raw data'!IF16</f>
        <v>0</v>
      </c>
      <c r="EG16" s="395">
        <f>'raw data'!IG16</f>
        <v>0</v>
      </c>
      <c r="EH16" s="397">
        <f>IF(ISERROR('raw data'!IF16/'raw data'!IG16),0,'raw data'!IF16/'raw data'!IG16)</f>
        <v>0</v>
      </c>
      <c r="EI16" s="394">
        <f>'raw data'!IH16</f>
        <v>0</v>
      </c>
      <c r="EJ16" s="395">
        <f>'raw data'!II16</f>
        <v>0</v>
      </c>
      <c r="EK16" s="397">
        <f>IF(ISERROR('raw data'!IH16/'raw data'!II16),0,'raw data'!IH16/'raw data'!II16)</f>
        <v>0</v>
      </c>
      <c r="EL16" s="394">
        <f>'raw data'!IJ16</f>
        <v>0</v>
      </c>
      <c r="EM16" s="395">
        <f>'raw data'!IK16</f>
        <v>0</v>
      </c>
      <c r="EN16" s="397">
        <f>IF(ISERROR('raw data'!IJ16/'raw data'!IK16),0,'raw data'!IJ16/'raw data'!IK16)</f>
        <v>0</v>
      </c>
      <c r="EO16" s="394">
        <f>'raw data'!IL16</f>
        <v>0</v>
      </c>
      <c r="EP16" s="395">
        <f>'raw data'!IM16</f>
        <v>0</v>
      </c>
      <c r="EQ16" s="397">
        <f>IF(ISERROR('raw data'!IL16/'raw data'!IM16),0,'raw data'!IL16/'raw data'!IM16)</f>
        <v>0</v>
      </c>
      <c r="ER16" s="394">
        <f>'raw data'!IN16</f>
        <v>0</v>
      </c>
      <c r="ES16" s="395">
        <f>'raw data'!IO16</f>
        <v>0</v>
      </c>
      <c r="ET16" s="397">
        <f>IF(ISERROR('raw data'!IN16/'raw data'!IO16),0,'raw data'!IN16/'raw data'!IO16)</f>
        <v>0</v>
      </c>
      <c r="EU16" s="394">
        <f>'raw data'!IP16</f>
        <v>0</v>
      </c>
      <c r="EV16" s="395">
        <f>'raw data'!IQ16</f>
        <v>0</v>
      </c>
      <c r="EW16" s="397">
        <f>IF(ISERROR('raw data'!IP16/'raw data'!IQ16),0,'raw data'!IP16/'raw data'!IQ16)</f>
        <v>0</v>
      </c>
      <c r="EX16" s="394">
        <f>'raw data'!IR16</f>
        <v>0</v>
      </c>
      <c r="EY16" s="395">
        <f>'raw data'!IS16</f>
        <v>0</v>
      </c>
      <c r="EZ16" s="397">
        <f>IF(ISERROR('raw data'!IR16/'raw data'!IS16),0,'raw data'!IR16/'raw data'!IS16)</f>
        <v>0</v>
      </c>
      <c r="FA16" s="394">
        <f>'raw data'!IT16</f>
        <v>0</v>
      </c>
      <c r="FB16" s="395">
        <f>'raw data'!IU16</f>
        <v>0</v>
      </c>
      <c r="FC16" s="397">
        <f>IF(ISERROR('raw data'!IT16/'raw data'!IU16),0,'raw data'!IT16/'raw data'!IU16)</f>
        <v>0</v>
      </c>
      <c r="FD16" s="394">
        <f>'raw data'!IV16</f>
        <v>0</v>
      </c>
      <c r="FE16" s="395">
        <f>'raw data'!IW16</f>
        <v>0</v>
      </c>
      <c r="FF16" s="397">
        <f>IF(ISERROR('raw data'!IV16/'raw data'!IW16),0,'raw data'!IV16/'raw data'!IW16)</f>
        <v>0</v>
      </c>
      <c r="FG16" s="394">
        <f>'raw data'!IX16</f>
        <v>0</v>
      </c>
      <c r="FH16" s="395">
        <f>'raw data'!IY16</f>
        <v>0</v>
      </c>
      <c r="FI16" s="397">
        <f>IF(ISERROR('raw data'!IX16/'raw data'!IY16),0,'raw data'!IX16/'raw data'!IY16)</f>
        <v>0</v>
      </c>
      <c r="FJ16" s="394">
        <f>'raw data'!IZ16</f>
        <v>0</v>
      </c>
      <c r="FK16" s="395">
        <f>'raw data'!JA16</f>
        <v>0</v>
      </c>
      <c r="FL16" s="397">
        <f>IF(ISERROR('raw data'!IZ16/'raw data'!JA16),0,'raw data'!IZ16/'raw data'!JA16)</f>
        <v>0</v>
      </c>
      <c r="FM16" s="394">
        <f>'raw data'!JB16</f>
        <v>0</v>
      </c>
      <c r="FN16" s="395">
        <f>'raw data'!JC16</f>
        <v>0</v>
      </c>
      <c r="FO16" s="397">
        <f>IF(ISERROR('raw data'!JB16/'raw data'!JC16),0,'raw data'!JB16/'raw data'!JC16)</f>
        <v>0</v>
      </c>
      <c r="FP16" s="394">
        <f>'raw data'!JD16</f>
        <v>0</v>
      </c>
      <c r="FQ16" s="395">
        <f>'raw data'!JE16</f>
        <v>0</v>
      </c>
      <c r="FR16" s="397">
        <f>IF(ISERROR('raw data'!JD16/'raw data'!JE16),0,'raw data'!JD16/'raw data'!JE16)</f>
        <v>0</v>
      </c>
      <c r="FS16" s="388"/>
      <c r="FT16" s="398">
        <v>0</v>
      </c>
      <c r="FU16" s="399">
        <v>0</v>
      </c>
      <c r="FV16" s="400">
        <f t="shared" si="0"/>
        <v>0</v>
      </c>
    </row>
    <row r="17" spans="1:179" ht="14" hidden="1" x14ac:dyDescent="0.15">
      <c r="A17" s="392" t="s">
        <v>32</v>
      </c>
      <c r="B17" s="382">
        <f>'raw data'!B17</f>
        <v>0</v>
      </c>
      <c r="C17" s="393" t="s">
        <v>33</v>
      </c>
      <c r="D17" s="394">
        <f>'raw data'!ET17</f>
        <v>0</v>
      </c>
      <c r="E17" s="395">
        <f>'raw data'!EU17</f>
        <v>0</v>
      </c>
      <c r="F17" s="396">
        <f>IF(ISERROR('raw data'!ET17/'raw data'!EU17),0,'raw data'!ET17/'raw data'!EU17)</f>
        <v>0</v>
      </c>
      <c r="G17" s="394">
        <f>'raw data'!EV17</f>
        <v>0</v>
      </c>
      <c r="H17" s="395">
        <f>'raw data'!EW17</f>
        <v>0</v>
      </c>
      <c r="I17" s="396">
        <f>IF(ISERROR('raw data'!EV17/'raw data'!EW17),0,'raw data'!EV17/'raw data'!EW17)</f>
        <v>0</v>
      </c>
      <c r="J17" s="394">
        <f>'raw data'!EX17</f>
        <v>0</v>
      </c>
      <c r="K17" s="395">
        <f>'raw data'!EY17</f>
        <v>0</v>
      </c>
      <c r="L17" s="396">
        <f>IF(ISERROR('raw data'!EX17/'raw data'!EY17),0,'raw data'!EX17/'raw data'!EY17)</f>
        <v>0</v>
      </c>
      <c r="M17" s="394">
        <f>'raw data'!EZ17</f>
        <v>0</v>
      </c>
      <c r="N17" s="395">
        <f>'raw data'!FA17</f>
        <v>0</v>
      </c>
      <c r="O17" s="396">
        <f>IF(ISERROR('raw data'!EZ17/'raw data'!FA17),0,'raw data'!EZ17/'raw data'!FA17)</f>
        <v>0</v>
      </c>
      <c r="P17" s="394">
        <f>'raw data'!FB17</f>
        <v>0</v>
      </c>
      <c r="Q17" s="395">
        <f>'raw data'!FC17</f>
        <v>0</v>
      </c>
      <c r="R17" s="396">
        <f>IF(ISERROR('raw data'!FB17/'raw data'!FC17),0,'raw data'!FB17/'raw data'!FC17)</f>
        <v>0</v>
      </c>
      <c r="S17" s="394">
        <f>'raw data'!FD17</f>
        <v>0</v>
      </c>
      <c r="T17" s="395">
        <f>'raw data'!FE17</f>
        <v>0</v>
      </c>
      <c r="U17" s="396">
        <f>IF(ISERROR('raw data'!FD17/'raw data'!FE17),0,'raw data'!FD17/'raw data'!FE17)</f>
        <v>0</v>
      </c>
      <c r="V17" s="394">
        <f>'raw data'!FF17</f>
        <v>0</v>
      </c>
      <c r="W17" s="395">
        <f>'raw data'!FG17</f>
        <v>0</v>
      </c>
      <c r="X17" s="396">
        <f>IF(ISERROR('raw data'!FF17/'raw data'!FG17),0,'raw data'!FF17/'raw data'!FG17)</f>
        <v>0</v>
      </c>
      <c r="Y17" s="394">
        <f>'raw data'!FH17</f>
        <v>0</v>
      </c>
      <c r="Z17" s="395">
        <f>'raw data'!FI17</f>
        <v>0</v>
      </c>
      <c r="AA17" s="396">
        <f>IF(ISERROR('raw data'!FH17/'raw data'!FI17),0,'raw data'!FH17/'raw data'!FI17)</f>
        <v>0</v>
      </c>
      <c r="AB17" s="394">
        <f>'raw data'!FJ17</f>
        <v>0</v>
      </c>
      <c r="AC17" s="395">
        <f>'raw data'!FM17</f>
        <v>0</v>
      </c>
      <c r="AD17" s="396">
        <f>IF(ISERROR('raw data'!FJ17/'raw data'!FM17),0,'raw data'!FJ17/'raw data'!FM17)</f>
        <v>0</v>
      </c>
      <c r="AE17" s="394">
        <f>'raw data'!FN17</f>
        <v>0</v>
      </c>
      <c r="AF17" s="395">
        <f>'raw data'!FO17</f>
        <v>0</v>
      </c>
      <c r="AG17" s="396">
        <f>IF(ISERROR('raw data'!FN17/'raw data'!FO17),0,'raw data'!FN17/'raw data'!FO17)</f>
        <v>0</v>
      </c>
      <c r="AH17" s="394">
        <f>'raw data'!FP17</f>
        <v>0</v>
      </c>
      <c r="AI17" s="395">
        <f>'raw data'!FQ17</f>
        <v>0</v>
      </c>
      <c r="AJ17" s="396">
        <f>IF(ISERROR('raw data'!FP17/'raw data'!FQ17),0,'raw data'!FP17/'raw data'!FQ17)</f>
        <v>0</v>
      </c>
      <c r="AK17" s="394">
        <f>'raw data'!FR17</f>
        <v>0</v>
      </c>
      <c r="AL17" s="395">
        <f>'raw data'!FS17</f>
        <v>0</v>
      </c>
      <c r="AM17" s="396">
        <f>IF(ISERROR('raw data'!FR17/'raw data'!FS17),0,'raw data'!FR17/'raw data'!FS17)</f>
        <v>0</v>
      </c>
      <c r="AN17" s="394">
        <f>'raw data'!FT17</f>
        <v>0</v>
      </c>
      <c r="AO17" s="395">
        <f>'raw data'!FU17</f>
        <v>0</v>
      </c>
      <c r="AP17" s="396">
        <f>IF(ISERROR('raw data'!FT17/'raw data'!FU17),0,'raw data'!FT17/'raw data'!FU17)</f>
        <v>0</v>
      </c>
      <c r="AQ17" s="394">
        <f>'raw data'!FV17</f>
        <v>0</v>
      </c>
      <c r="AR17" s="395">
        <f>'raw data'!FW17</f>
        <v>0</v>
      </c>
      <c r="AS17" s="397">
        <f>IF(ISERROR('raw data'!FV17/'raw data'!FW17),0,'raw data'!FV17/'raw data'!FW17)</f>
        <v>0</v>
      </c>
      <c r="AT17" s="394">
        <f>'raw data'!FX17</f>
        <v>0</v>
      </c>
      <c r="AU17" s="395">
        <f>'raw data'!FY17</f>
        <v>0</v>
      </c>
      <c r="AV17" s="397">
        <f>IF(ISERROR('raw data'!FX17/'raw data'!FY17),0,'raw data'!FX17/'raw data'!FY17)</f>
        <v>0</v>
      </c>
      <c r="AW17" s="394">
        <f>'raw data'!FZ17</f>
        <v>0</v>
      </c>
      <c r="AX17" s="395">
        <f>'raw data'!GA17</f>
        <v>0</v>
      </c>
      <c r="AY17" s="397">
        <f>IF(ISERROR('raw data'!FZ17/'raw data'!GA17),0,'raw data'!FZ17/'raw data'!GA17)</f>
        <v>0</v>
      </c>
      <c r="AZ17" s="394">
        <f>'raw data'!GB17</f>
        <v>0</v>
      </c>
      <c r="BA17" s="395">
        <f>'raw data'!GC17</f>
        <v>0</v>
      </c>
      <c r="BB17" s="397">
        <f>IF(ISERROR('raw data'!GB17/'raw data'!GC17),0,'raw data'!GB17/'raw data'!GC17)</f>
        <v>0</v>
      </c>
      <c r="BC17" s="394">
        <f>'raw data'!GD17</f>
        <v>0</v>
      </c>
      <c r="BD17" s="395">
        <f>'raw data'!GE17</f>
        <v>0</v>
      </c>
      <c r="BE17" s="397">
        <f>IF(ISERROR('raw data'!GD17/'raw data'!GE17),0,'raw data'!GD17/'raw data'!GE17)</f>
        <v>0</v>
      </c>
      <c r="BF17" s="394">
        <f>'raw data'!GF17</f>
        <v>0</v>
      </c>
      <c r="BG17" s="395">
        <f>'raw data'!GG17</f>
        <v>0</v>
      </c>
      <c r="BH17" s="397">
        <f>IF(ISERROR('raw data'!GF17/'raw data'!GG17),0,'raw data'!GF17/'raw data'!GG17)</f>
        <v>0</v>
      </c>
      <c r="BI17" s="394">
        <f>'raw data'!GH17</f>
        <v>0</v>
      </c>
      <c r="BJ17" s="395">
        <f>'raw data'!GI17</f>
        <v>0</v>
      </c>
      <c r="BK17" s="397">
        <f>IF(ISERROR('raw data'!GH17/'raw data'!GI17),0,'raw data'!GH17/'raw data'!GI17)</f>
        <v>0</v>
      </c>
      <c r="BL17" s="394">
        <f>'raw data'!GJ17</f>
        <v>0</v>
      </c>
      <c r="BM17" s="395">
        <f>'raw data'!GK17</f>
        <v>0</v>
      </c>
      <c r="BN17" s="397">
        <f>IF(ISERROR('raw data'!GJ17/'raw data'!GK17),0,'raw data'!GJ17/'raw data'!GK17)</f>
        <v>0</v>
      </c>
      <c r="BO17" s="394">
        <f>'raw data'!GL17</f>
        <v>0</v>
      </c>
      <c r="BP17" s="395">
        <f>'raw data'!GM17</f>
        <v>0</v>
      </c>
      <c r="BQ17" s="397">
        <f>IF(ISERROR('raw data'!GL17/'raw data'!GM17),0,'raw data'!GL17/'raw data'!GM17)</f>
        <v>0</v>
      </c>
      <c r="BR17" s="394">
        <f>'raw data'!GN17</f>
        <v>0</v>
      </c>
      <c r="BS17" s="395">
        <f>'raw data'!GO17</f>
        <v>0</v>
      </c>
      <c r="BT17" s="397">
        <f>IF(ISERROR('raw data'!GN17/'raw data'!GO17),0,'raw data'!GN17/'raw data'!GO17)</f>
        <v>0</v>
      </c>
      <c r="BU17" s="394">
        <f>'raw data'!GP17</f>
        <v>0</v>
      </c>
      <c r="BV17" s="395">
        <f>'raw data'!GQ17</f>
        <v>0</v>
      </c>
      <c r="BW17" s="397">
        <f>IF(ISERROR('raw data'!GP17/'raw data'!GQ17),0,'raw data'!GP17/'raw data'!GQ17)</f>
        <v>0</v>
      </c>
      <c r="BX17" s="394">
        <f>'raw data'!GR17</f>
        <v>0</v>
      </c>
      <c r="BY17" s="395">
        <f>'raw data'!GS17</f>
        <v>0</v>
      </c>
      <c r="BZ17" s="397">
        <f>IF(ISERROR('raw data'!GR17/'raw data'!GS17),0,'raw data'!GR17/'raw data'!GS17)</f>
        <v>0</v>
      </c>
      <c r="CA17" s="394">
        <f>'raw data'!GT17</f>
        <v>0</v>
      </c>
      <c r="CB17" s="395">
        <f>'raw data'!GU17</f>
        <v>0</v>
      </c>
      <c r="CC17" s="397">
        <f>IF(ISERROR('raw data'!GT17/'raw data'!GU17),0,'raw data'!GT17/'raw data'!GU17)</f>
        <v>0</v>
      </c>
      <c r="CD17" s="394">
        <f>'raw data'!GV17</f>
        <v>0</v>
      </c>
      <c r="CE17" s="395">
        <f>'raw data'!GW17</f>
        <v>0</v>
      </c>
      <c r="CF17" s="397">
        <f>IF(ISERROR('raw data'!GV17/'raw data'!GW17),0,'raw data'!GV17/'raw data'!GW17)</f>
        <v>0</v>
      </c>
      <c r="CG17" s="394">
        <f>'raw data'!GX17</f>
        <v>0</v>
      </c>
      <c r="CH17" s="395">
        <f>'raw data'!GY17</f>
        <v>0</v>
      </c>
      <c r="CI17" s="397">
        <f>IF(ISERROR('raw data'!GX17/'raw data'!GY17),0,'raw data'!GX17/'raw data'!GY17)</f>
        <v>0</v>
      </c>
      <c r="CJ17" s="394">
        <f>'raw data'!GZ17</f>
        <v>0</v>
      </c>
      <c r="CK17" s="395">
        <f>'raw data'!HA17</f>
        <v>0</v>
      </c>
      <c r="CL17" s="397">
        <f>IF(ISERROR('raw data'!GZ17/'raw data'!HA17),0,'raw data'!GZ17/'raw data'!HA17)</f>
        <v>0</v>
      </c>
      <c r="CM17" s="394">
        <f>'raw data'!HB17</f>
        <v>0</v>
      </c>
      <c r="CN17" s="395">
        <f>'raw data'!HC17</f>
        <v>0</v>
      </c>
      <c r="CO17" s="397">
        <f>IF(ISERROR('raw data'!HB17/'raw data'!HC17),0,'raw data'!HB17/'raw data'!HC17)</f>
        <v>0</v>
      </c>
      <c r="CP17" s="394">
        <f>'raw data'!HD17</f>
        <v>0</v>
      </c>
      <c r="CQ17" s="395">
        <f>'raw data'!HE17</f>
        <v>0</v>
      </c>
      <c r="CR17" s="397">
        <f>IF(ISERROR('raw data'!HD17/'raw data'!HE17),0,'raw data'!HD17/'raw data'!HE17)</f>
        <v>0</v>
      </c>
      <c r="CS17" s="394">
        <f>'raw data'!HF17</f>
        <v>0</v>
      </c>
      <c r="CT17" s="395">
        <f>'raw data'!HG17</f>
        <v>0</v>
      </c>
      <c r="CU17" s="397">
        <f>IF(ISERROR('raw data'!HF17/'raw data'!HG17),0,'raw data'!HF17/'raw data'!HG17)</f>
        <v>0</v>
      </c>
      <c r="CV17" s="394">
        <f>'raw data'!HH17</f>
        <v>0</v>
      </c>
      <c r="CW17" s="395">
        <f>'raw data'!HI17</f>
        <v>0</v>
      </c>
      <c r="CX17" s="397">
        <f>IF(ISERROR('raw data'!HH17/'raw data'!HI17),0,'raw data'!HH17/'raw data'!HI17)</f>
        <v>0</v>
      </c>
      <c r="CY17" s="394">
        <f>'raw data'!HJ17</f>
        <v>0</v>
      </c>
      <c r="CZ17" s="395">
        <f>'raw data'!HK17</f>
        <v>0</v>
      </c>
      <c r="DA17" s="397">
        <f>IF(ISERROR('raw data'!HJ17/'raw data'!HK17),0,'raw data'!HJ17/'raw data'!HK17)</f>
        <v>0</v>
      </c>
      <c r="DB17" s="394">
        <f>'raw data'!HL17</f>
        <v>0</v>
      </c>
      <c r="DC17" s="395">
        <f>'raw data'!HM17</f>
        <v>0</v>
      </c>
      <c r="DD17" s="397">
        <f>IF(ISERROR('raw data'!HL17/'raw data'!HM17),0,'raw data'!HL17/'raw data'!HM17)</f>
        <v>0</v>
      </c>
      <c r="DE17" s="394">
        <f>'raw data'!HN17</f>
        <v>0</v>
      </c>
      <c r="DF17" s="395">
        <f>'raw data'!HO17</f>
        <v>0</v>
      </c>
      <c r="DG17" s="397">
        <f>IF(ISERROR('raw data'!HN17/'raw data'!HO17),0,'raw data'!HN17/'raw data'!HO17)</f>
        <v>0</v>
      </c>
      <c r="DH17" s="394">
        <f>'raw data'!HP17</f>
        <v>0</v>
      </c>
      <c r="DI17" s="395">
        <f>'raw data'!HQ17</f>
        <v>0</v>
      </c>
      <c r="DJ17" s="397">
        <f>IF(ISERROR('raw data'!HP17/'raw data'!HQ17),0,'raw data'!HP17/'raw data'!HQ17)</f>
        <v>0</v>
      </c>
      <c r="DK17" s="394">
        <f>'raw data'!HR17</f>
        <v>0</v>
      </c>
      <c r="DL17" s="395">
        <f>'raw data'!HS17</f>
        <v>0</v>
      </c>
      <c r="DM17" s="397">
        <f>IF(ISERROR('raw data'!HR17/'raw data'!HS17),0,'raw data'!HR17/'raw data'!HS17)</f>
        <v>0</v>
      </c>
      <c r="DN17" s="394">
        <f>'raw data'!HT17</f>
        <v>0</v>
      </c>
      <c r="DO17" s="395">
        <f>'raw data'!HU17</f>
        <v>0</v>
      </c>
      <c r="DP17" s="397">
        <f>IF(ISERROR('raw data'!HT17/'raw data'!HU17),0,'raw data'!HT17/'raw data'!HU17)</f>
        <v>0</v>
      </c>
      <c r="DQ17" s="394">
        <f>'raw data'!HV17</f>
        <v>0</v>
      </c>
      <c r="DR17" s="395">
        <f>'raw data'!HW17</f>
        <v>0</v>
      </c>
      <c r="DS17" s="397">
        <f>IF(ISERROR('raw data'!HV17/'raw data'!HW17),0,'raw data'!HV17/'raw data'!HW17)</f>
        <v>0</v>
      </c>
      <c r="DT17" s="394">
        <f>'raw data'!HX17</f>
        <v>0</v>
      </c>
      <c r="DU17" s="395">
        <f>'raw data'!HY17</f>
        <v>0</v>
      </c>
      <c r="DV17" s="397">
        <f>IF(ISERROR('raw data'!HX17/'raw data'!HY17),0,'raw data'!HX17/'raw data'!HY17)</f>
        <v>0</v>
      </c>
      <c r="DW17" s="394">
        <f>'raw data'!HZ17</f>
        <v>0</v>
      </c>
      <c r="DX17" s="395">
        <f>'raw data'!IA17</f>
        <v>0</v>
      </c>
      <c r="DY17" s="397">
        <f>IF(ISERROR('raw data'!HZ17/'raw data'!IA17),0,'raw data'!HZ17/'raw data'!IA17)</f>
        <v>0</v>
      </c>
      <c r="DZ17" s="394">
        <f>'raw data'!IB17</f>
        <v>0</v>
      </c>
      <c r="EA17" s="395">
        <f>'raw data'!IC17</f>
        <v>0</v>
      </c>
      <c r="EB17" s="397">
        <f>IF(ISERROR('raw data'!IB17/'raw data'!IC17),0,'raw data'!IB17/'raw data'!IC17)</f>
        <v>0</v>
      </c>
      <c r="EC17" s="394">
        <f>'raw data'!ID17</f>
        <v>0</v>
      </c>
      <c r="ED17" s="395">
        <f>'raw data'!IE17</f>
        <v>0</v>
      </c>
      <c r="EE17" s="397">
        <f>IF(ISERROR('raw data'!ID17/'raw data'!IE17),0,'raw data'!ID17/'raw data'!IE17)</f>
        <v>0</v>
      </c>
      <c r="EF17" s="394">
        <f>'raw data'!IF17</f>
        <v>0</v>
      </c>
      <c r="EG17" s="395">
        <f>'raw data'!IG17</f>
        <v>0</v>
      </c>
      <c r="EH17" s="397">
        <f>IF(ISERROR('raw data'!IF17/'raw data'!IG17),0,'raw data'!IF17/'raw data'!IG17)</f>
        <v>0</v>
      </c>
      <c r="EI17" s="394">
        <f>'raw data'!IH17</f>
        <v>0</v>
      </c>
      <c r="EJ17" s="395">
        <f>'raw data'!II17</f>
        <v>0</v>
      </c>
      <c r="EK17" s="397">
        <f>IF(ISERROR('raw data'!IH17/'raw data'!II17),0,'raw data'!IH17/'raw data'!II17)</f>
        <v>0</v>
      </c>
      <c r="EL17" s="394">
        <f>'raw data'!IJ17</f>
        <v>0</v>
      </c>
      <c r="EM17" s="395">
        <f>'raw data'!IK17</f>
        <v>0</v>
      </c>
      <c r="EN17" s="397">
        <f>IF(ISERROR('raw data'!IJ17/'raw data'!IK17),0,'raw data'!IJ17/'raw data'!IK17)</f>
        <v>0</v>
      </c>
      <c r="EO17" s="394">
        <f>'raw data'!IL17</f>
        <v>0</v>
      </c>
      <c r="EP17" s="395">
        <f>'raw data'!IM17</f>
        <v>0</v>
      </c>
      <c r="EQ17" s="397">
        <f>IF(ISERROR('raw data'!IL17/'raw data'!IM17),0,'raw data'!IL17/'raw data'!IM17)</f>
        <v>0</v>
      </c>
      <c r="ER17" s="394">
        <f>'raw data'!IN17</f>
        <v>0</v>
      </c>
      <c r="ES17" s="395">
        <f>'raw data'!IO17</f>
        <v>0</v>
      </c>
      <c r="ET17" s="397">
        <f>IF(ISERROR('raw data'!IN17/'raw data'!IO17),0,'raw data'!IN17/'raw data'!IO17)</f>
        <v>0</v>
      </c>
      <c r="EU17" s="394">
        <f>'raw data'!IP17</f>
        <v>0</v>
      </c>
      <c r="EV17" s="395">
        <f>'raw data'!IQ17</f>
        <v>0</v>
      </c>
      <c r="EW17" s="397">
        <f>IF(ISERROR('raw data'!IP17/'raw data'!IQ17),0,'raw data'!IP17/'raw data'!IQ17)</f>
        <v>0</v>
      </c>
      <c r="EX17" s="394">
        <f>'raw data'!IR17</f>
        <v>0</v>
      </c>
      <c r="EY17" s="395">
        <f>'raw data'!IS17</f>
        <v>0</v>
      </c>
      <c r="EZ17" s="397">
        <f>IF(ISERROR('raw data'!IR17/'raw data'!IS17),0,'raw data'!IR17/'raw data'!IS17)</f>
        <v>0</v>
      </c>
      <c r="FA17" s="394">
        <f>'raw data'!IT17</f>
        <v>0</v>
      </c>
      <c r="FB17" s="395">
        <f>'raw data'!IU17</f>
        <v>0</v>
      </c>
      <c r="FC17" s="397">
        <f>IF(ISERROR('raw data'!IT17/'raw data'!IU17),0,'raw data'!IT17/'raw data'!IU17)</f>
        <v>0</v>
      </c>
      <c r="FD17" s="394">
        <f>'raw data'!IV17</f>
        <v>0</v>
      </c>
      <c r="FE17" s="395">
        <f>'raw data'!IW17</f>
        <v>0</v>
      </c>
      <c r="FF17" s="397">
        <f>IF(ISERROR('raw data'!IV17/'raw data'!IW17),0,'raw data'!IV17/'raw data'!IW17)</f>
        <v>0</v>
      </c>
      <c r="FG17" s="394">
        <f>'raw data'!IX17</f>
        <v>0</v>
      </c>
      <c r="FH17" s="395">
        <f>'raw data'!IY17</f>
        <v>0</v>
      </c>
      <c r="FI17" s="397">
        <f>IF(ISERROR('raw data'!IX17/'raw data'!IY17),0,'raw data'!IX17/'raw data'!IY17)</f>
        <v>0</v>
      </c>
      <c r="FJ17" s="394">
        <f>'raw data'!IZ17</f>
        <v>0</v>
      </c>
      <c r="FK17" s="395">
        <f>'raw data'!JA17</f>
        <v>0</v>
      </c>
      <c r="FL17" s="397">
        <f>IF(ISERROR('raw data'!IZ17/'raw data'!JA17),0,'raw data'!IZ17/'raw data'!JA17)</f>
        <v>0</v>
      </c>
      <c r="FM17" s="394">
        <f>'raw data'!JB17</f>
        <v>0</v>
      </c>
      <c r="FN17" s="395">
        <f>'raw data'!JC17</f>
        <v>0</v>
      </c>
      <c r="FO17" s="397">
        <f>IF(ISERROR('raw data'!JB17/'raw data'!JC17),0,'raw data'!JB17/'raw data'!JC17)</f>
        <v>0</v>
      </c>
      <c r="FP17" s="394">
        <f>'raw data'!JD17</f>
        <v>0</v>
      </c>
      <c r="FQ17" s="395">
        <f>'raw data'!JE17</f>
        <v>0</v>
      </c>
      <c r="FR17" s="397">
        <f>IF(ISERROR('raw data'!JD17/'raw data'!JE17),0,'raw data'!JD17/'raw data'!JE17)</f>
        <v>0</v>
      </c>
      <c r="FS17" s="388"/>
      <c r="FT17" s="398">
        <v>0</v>
      </c>
      <c r="FU17" s="399">
        <v>0</v>
      </c>
      <c r="FV17" s="400">
        <f t="shared" si="0"/>
        <v>0</v>
      </c>
    </row>
    <row r="18" spans="1:179" ht="14" hidden="1" x14ac:dyDescent="0.15">
      <c r="A18" s="392" t="s">
        <v>34</v>
      </c>
      <c r="B18" s="382">
        <f>'raw data'!B18</f>
        <v>0</v>
      </c>
      <c r="C18" s="393" t="s">
        <v>35</v>
      </c>
      <c r="D18" s="394">
        <f>'raw data'!ET18</f>
        <v>0</v>
      </c>
      <c r="E18" s="395">
        <f>'raw data'!EU18</f>
        <v>0</v>
      </c>
      <c r="F18" s="396">
        <f>IF(ISERROR('raw data'!ET18/'raw data'!EU18),0,'raw data'!ET18/'raw data'!EU18)</f>
        <v>0</v>
      </c>
      <c r="G18" s="394">
        <f>'raw data'!EV18</f>
        <v>0</v>
      </c>
      <c r="H18" s="395">
        <f>'raw data'!EW18</f>
        <v>0</v>
      </c>
      <c r="I18" s="396">
        <f>IF(ISERROR('raw data'!EV18/'raw data'!EW18),0,'raw data'!EV18/'raw data'!EW18)</f>
        <v>0</v>
      </c>
      <c r="J18" s="394">
        <f>'raw data'!EX18</f>
        <v>0</v>
      </c>
      <c r="K18" s="395">
        <f>'raw data'!EY18</f>
        <v>0</v>
      </c>
      <c r="L18" s="396">
        <f>IF(ISERROR('raw data'!EX18/'raw data'!EY18),0,'raw data'!EX18/'raw data'!EY18)</f>
        <v>0</v>
      </c>
      <c r="M18" s="394">
        <f>'raw data'!EZ18</f>
        <v>0</v>
      </c>
      <c r="N18" s="395">
        <f>'raw data'!FA18</f>
        <v>0</v>
      </c>
      <c r="O18" s="396">
        <f>IF(ISERROR('raw data'!EZ18/'raw data'!FA18),0,'raw data'!EZ18/'raw data'!FA18)</f>
        <v>0</v>
      </c>
      <c r="P18" s="394">
        <f>'raw data'!FB18</f>
        <v>0</v>
      </c>
      <c r="Q18" s="395">
        <f>'raw data'!FC18</f>
        <v>0</v>
      </c>
      <c r="R18" s="396">
        <f>IF(ISERROR('raw data'!FB18/'raw data'!FC18),0,'raw data'!FB18/'raw data'!FC18)</f>
        <v>0</v>
      </c>
      <c r="S18" s="394">
        <f>'raw data'!FD18</f>
        <v>0</v>
      </c>
      <c r="T18" s="395">
        <f>'raw data'!FE18</f>
        <v>0</v>
      </c>
      <c r="U18" s="396">
        <f>IF(ISERROR('raw data'!FD18/'raw data'!FE18),0,'raw data'!FD18/'raw data'!FE18)</f>
        <v>0</v>
      </c>
      <c r="V18" s="394">
        <f>'raw data'!FF18</f>
        <v>0</v>
      </c>
      <c r="W18" s="395">
        <f>'raw data'!FG18</f>
        <v>0</v>
      </c>
      <c r="X18" s="396">
        <f>IF(ISERROR('raw data'!FF18/'raw data'!FG18),0,'raw data'!FF18/'raw data'!FG18)</f>
        <v>0</v>
      </c>
      <c r="Y18" s="394">
        <f>'raw data'!FH18</f>
        <v>0</v>
      </c>
      <c r="Z18" s="395">
        <f>'raw data'!FI18</f>
        <v>0</v>
      </c>
      <c r="AA18" s="396">
        <f>IF(ISERROR('raw data'!FH18/'raw data'!FI18),0,'raw data'!FH18/'raw data'!FI18)</f>
        <v>0</v>
      </c>
      <c r="AB18" s="394">
        <f>'raw data'!FJ18</f>
        <v>0</v>
      </c>
      <c r="AC18" s="395">
        <f>'raw data'!FM18</f>
        <v>0</v>
      </c>
      <c r="AD18" s="396">
        <f>IF(ISERROR('raw data'!FJ18/'raw data'!FM18),0,'raw data'!FJ18/'raw data'!FM18)</f>
        <v>0</v>
      </c>
      <c r="AE18" s="394">
        <f>'raw data'!FN18</f>
        <v>0</v>
      </c>
      <c r="AF18" s="395">
        <f>'raw data'!FO18</f>
        <v>0</v>
      </c>
      <c r="AG18" s="396">
        <f>IF(ISERROR('raw data'!FN18/'raw data'!FO18),0,'raw data'!FN18/'raw data'!FO18)</f>
        <v>0</v>
      </c>
      <c r="AH18" s="394">
        <f>'raw data'!FP18</f>
        <v>0</v>
      </c>
      <c r="AI18" s="395">
        <f>'raw data'!FQ18</f>
        <v>0</v>
      </c>
      <c r="AJ18" s="396">
        <f>IF(ISERROR('raw data'!FP18/'raw data'!FQ18),0,'raw data'!FP18/'raw data'!FQ18)</f>
        <v>0</v>
      </c>
      <c r="AK18" s="394">
        <f>'raw data'!FR18</f>
        <v>0</v>
      </c>
      <c r="AL18" s="395">
        <f>'raw data'!FS18</f>
        <v>0</v>
      </c>
      <c r="AM18" s="396">
        <f>IF(ISERROR('raw data'!FR18/'raw data'!FS18),0,'raw data'!FR18/'raw data'!FS18)</f>
        <v>0</v>
      </c>
      <c r="AN18" s="394">
        <f>'raw data'!FT18</f>
        <v>0</v>
      </c>
      <c r="AO18" s="395">
        <f>'raw data'!FU18</f>
        <v>0</v>
      </c>
      <c r="AP18" s="396">
        <f>IF(ISERROR('raw data'!FT18/'raw data'!FU18),0,'raw data'!FT18/'raw data'!FU18)</f>
        <v>0</v>
      </c>
      <c r="AQ18" s="394">
        <f>'raw data'!FV18</f>
        <v>0</v>
      </c>
      <c r="AR18" s="395">
        <f>'raw data'!FW18</f>
        <v>0</v>
      </c>
      <c r="AS18" s="397">
        <f>IF(ISERROR('raw data'!FV18/'raw data'!FW18),0,'raw data'!FV18/'raw data'!FW18)</f>
        <v>0</v>
      </c>
      <c r="AT18" s="394">
        <f>'raw data'!FX18</f>
        <v>0</v>
      </c>
      <c r="AU18" s="395">
        <f>'raw data'!FY18</f>
        <v>0</v>
      </c>
      <c r="AV18" s="397">
        <f>IF(ISERROR('raw data'!FX18/'raw data'!FY18),0,'raw data'!FX18/'raw data'!FY18)</f>
        <v>0</v>
      </c>
      <c r="AW18" s="394">
        <f>'raw data'!FZ18</f>
        <v>0</v>
      </c>
      <c r="AX18" s="395">
        <f>'raw data'!GA18</f>
        <v>0</v>
      </c>
      <c r="AY18" s="397">
        <f>IF(ISERROR('raw data'!FZ18/'raw data'!GA18),0,'raw data'!FZ18/'raw data'!GA18)</f>
        <v>0</v>
      </c>
      <c r="AZ18" s="394">
        <f>'raw data'!GB18</f>
        <v>0</v>
      </c>
      <c r="BA18" s="395">
        <f>'raw data'!GC18</f>
        <v>0</v>
      </c>
      <c r="BB18" s="397">
        <f>IF(ISERROR('raw data'!GB18/'raw data'!GC18),0,'raw data'!GB18/'raw data'!GC18)</f>
        <v>0</v>
      </c>
      <c r="BC18" s="394">
        <f>'raw data'!GD18</f>
        <v>0</v>
      </c>
      <c r="BD18" s="395">
        <f>'raw data'!GE18</f>
        <v>0</v>
      </c>
      <c r="BE18" s="397">
        <f>IF(ISERROR('raw data'!GD18/'raw data'!GE18),0,'raw data'!GD18/'raw data'!GE18)</f>
        <v>0</v>
      </c>
      <c r="BF18" s="394">
        <f>'raw data'!GF18</f>
        <v>0</v>
      </c>
      <c r="BG18" s="395">
        <f>'raw data'!GG18</f>
        <v>0</v>
      </c>
      <c r="BH18" s="397">
        <f>IF(ISERROR('raw data'!GF18/'raw data'!GG18),0,'raw data'!GF18/'raw data'!GG18)</f>
        <v>0</v>
      </c>
      <c r="BI18" s="394">
        <f>'raw data'!GH18</f>
        <v>0</v>
      </c>
      <c r="BJ18" s="395">
        <f>'raw data'!GI18</f>
        <v>0</v>
      </c>
      <c r="BK18" s="397">
        <f>IF(ISERROR('raw data'!GH18/'raw data'!GI18),0,'raw data'!GH18/'raw data'!GI18)</f>
        <v>0</v>
      </c>
      <c r="BL18" s="394">
        <f>'raw data'!GJ18</f>
        <v>0</v>
      </c>
      <c r="BM18" s="395">
        <f>'raw data'!GK18</f>
        <v>0</v>
      </c>
      <c r="BN18" s="397">
        <f>IF(ISERROR('raw data'!GJ18/'raw data'!GK18),0,'raw data'!GJ18/'raw data'!GK18)</f>
        <v>0</v>
      </c>
      <c r="BO18" s="394">
        <f>'raw data'!GL18</f>
        <v>0</v>
      </c>
      <c r="BP18" s="395">
        <f>'raw data'!GM18</f>
        <v>0</v>
      </c>
      <c r="BQ18" s="397">
        <f>IF(ISERROR('raw data'!GL18/'raw data'!GM18),0,'raw data'!GL18/'raw data'!GM18)</f>
        <v>0</v>
      </c>
      <c r="BR18" s="394">
        <f>'raw data'!GN18</f>
        <v>0</v>
      </c>
      <c r="BS18" s="395">
        <f>'raw data'!GO18</f>
        <v>0</v>
      </c>
      <c r="BT18" s="397">
        <f>IF(ISERROR('raw data'!GN18/'raw data'!GO18),0,'raw data'!GN18/'raw data'!GO18)</f>
        <v>0</v>
      </c>
      <c r="BU18" s="394">
        <f>'raw data'!GP18</f>
        <v>0</v>
      </c>
      <c r="BV18" s="395">
        <f>'raw data'!GQ18</f>
        <v>0</v>
      </c>
      <c r="BW18" s="397">
        <f>IF(ISERROR('raw data'!GP18/'raw data'!GQ18),0,'raw data'!GP18/'raw data'!GQ18)</f>
        <v>0</v>
      </c>
      <c r="BX18" s="394">
        <f>'raw data'!GR18</f>
        <v>0</v>
      </c>
      <c r="BY18" s="395">
        <f>'raw data'!GS18</f>
        <v>0</v>
      </c>
      <c r="BZ18" s="397">
        <f>IF(ISERROR('raw data'!GR18/'raw data'!GS18),0,'raw data'!GR18/'raw data'!GS18)</f>
        <v>0</v>
      </c>
      <c r="CA18" s="394">
        <f>'raw data'!GT18</f>
        <v>0</v>
      </c>
      <c r="CB18" s="395">
        <f>'raw data'!GU18</f>
        <v>0</v>
      </c>
      <c r="CC18" s="397">
        <f>IF(ISERROR('raw data'!GT18/'raw data'!GU18),0,'raw data'!GT18/'raw data'!GU18)</f>
        <v>0</v>
      </c>
      <c r="CD18" s="394">
        <f>'raw data'!GV18</f>
        <v>0</v>
      </c>
      <c r="CE18" s="395">
        <f>'raw data'!GW18</f>
        <v>0</v>
      </c>
      <c r="CF18" s="397">
        <f>IF(ISERROR('raw data'!GV18/'raw data'!GW18),0,'raw data'!GV18/'raw data'!GW18)</f>
        <v>0</v>
      </c>
      <c r="CG18" s="394">
        <f>'raw data'!GX18</f>
        <v>0</v>
      </c>
      <c r="CH18" s="395">
        <f>'raw data'!GY18</f>
        <v>0</v>
      </c>
      <c r="CI18" s="397">
        <f>IF(ISERROR('raw data'!GX18/'raw data'!GY18),0,'raw data'!GX18/'raw data'!GY18)</f>
        <v>0</v>
      </c>
      <c r="CJ18" s="394">
        <f>'raw data'!GZ18</f>
        <v>0</v>
      </c>
      <c r="CK18" s="395">
        <f>'raw data'!HA18</f>
        <v>0</v>
      </c>
      <c r="CL18" s="397">
        <f>IF(ISERROR('raw data'!GZ18/'raw data'!HA18),0,'raw data'!GZ18/'raw data'!HA18)</f>
        <v>0</v>
      </c>
      <c r="CM18" s="394">
        <f>'raw data'!HB18</f>
        <v>0</v>
      </c>
      <c r="CN18" s="395">
        <f>'raw data'!HC18</f>
        <v>0</v>
      </c>
      <c r="CO18" s="397">
        <f>IF(ISERROR('raw data'!HB18/'raw data'!HC18),0,'raw data'!HB18/'raw data'!HC18)</f>
        <v>0</v>
      </c>
      <c r="CP18" s="394">
        <f>'raw data'!HD18</f>
        <v>0</v>
      </c>
      <c r="CQ18" s="395">
        <f>'raw data'!HE18</f>
        <v>0</v>
      </c>
      <c r="CR18" s="397">
        <f>IF(ISERROR('raw data'!HD18/'raw data'!HE18),0,'raw data'!HD18/'raw data'!HE18)</f>
        <v>0</v>
      </c>
      <c r="CS18" s="394">
        <f>'raw data'!HF18</f>
        <v>0</v>
      </c>
      <c r="CT18" s="395">
        <f>'raw data'!HG18</f>
        <v>0</v>
      </c>
      <c r="CU18" s="397">
        <f>IF(ISERROR('raw data'!HF18/'raw data'!HG18),0,'raw data'!HF18/'raw data'!HG18)</f>
        <v>0</v>
      </c>
      <c r="CV18" s="394">
        <f>'raw data'!HH18</f>
        <v>0</v>
      </c>
      <c r="CW18" s="395">
        <f>'raw data'!HI18</f>
        <v>0</v>
      </c>
      <c r="CX18" s="397">
        <f>IF(ISERROR('raw data'!HH18/'raw data'!HI18),0,'raw data'!HH18/'raw data'!HI18)</f>
        <v>0</v>
      </c>
      <c r="CY18" s="394">
        <f>'raw data'!HJ18</f>
        <v>0</v>
      </c>
      <c r="CZ18" s="395">
        <f>'raw data'!HK18</f>
        <v>0</v>
      </c>
      <c r="DA18" s="397">
        <f>IF(ISERROR('raw data'!HJ18/'raw data'!HK18),0,'raw data'!HJ18/'raw data'!HK18)</f>
        <v>0</v>
      </c>
      <c r="DB18" s="394">
        <f>'raw data'!HL18</f>
        <v>0</v>
      </c>
      <c r="DC18" s="395">
        <f>'raw data'!HM18</f>
        <v>0</v>
      </c>
      <c r="DD18" s="397">
        <f>IF(ISERROR('raw data'!HL18/'raw data'!HM18),0,'raw data'!HL18/'raw data'!HM18)</f>
        <v>0</v>
      </c>
      <c r="DE18" s="394">
        <f>'raw data'!HN18</f>
        <v>0</v>
      </c>
      <c r="DF18" s="395">
        <f>'raw data'!HO18</f>
        <v>0</v>
      </c>
      <c r="DG18" s="397">
        <f>IF(ISERROR('raw data'!HN18/'raw data'!HO18),0,'raw data'!HN18/'raw data'!HO18)</f>
        <v>0</v>
      </c>
      <c r="DH18" s="394">
        <f>'raw data'!HP18</f>
        <v>0</v>
      </c>
      <c r="DI18" s="395">
        <f>'raw data'!HQ18</f>
        <v>0</v>
      </c>
      <c r="DJ18" s="397">
        <f>IF(ISERROR('raw data'!HP18/'raw data'!HQ18),0,'raw data'!HP18/'raw data'!HQ18)</f>
        <v>0</v>
      </c>
      <c r="DK18" s="394">
        <f>'raw data'!HR18</f>
        <v>0</v>
      </c>
      <c r="DL18" s="395">
        <f>'raw data'!HS18</f>
        <v>0</v>
      </c>
      <c r="DM18" s="397">
        <f>IF(ISERROR('raw data'!HR18/'raw data'!HS18),0,'raw data'!HR18/'raw data'!HS18)</f>
        <v>0</v>
      </c>
      <c r="DN18" s="394">
        <f>'raw data'!HT18</f>
        <v>0</v>
      </c>
      <c r="DO18" s="395">
        <f>'raw data'!HU18</f>
        <v>0</v>
      </c>
      <c r="DP18" s="397">
        <f>IF(ISERROR('raw data'!HT18/'raw data'!HU18),0,'raw data'!HT18/'raw data'!HU18)</f>
        <v>0</v>
      </c>
      <c r="DQ18" s="394">
        <f>'raw data'!HV18</f>
        <v>0</v>
      </c>
      <c r="DR18" s="395">
        <f>'raw data'!HW18</f>
        <v>0</v>
      </c>
      <c r="DS18" s="397">
        <f>IF(ISERROR('raw data'!HV18/'raw data'!HW18),0,'raw data'!HV18/'raw data'!HW18)</f>
        <v>0</v>
      </c>
      <c r="DT18" s="394">
        <f>'raw data'!HX18</f>
        <v>0</v>
      </c>
      <c r="DU18" s="395">
        <f>'raw data'!HY18</f>
        <v>0</v>
      </c>
      <c r="DV18" s="397">
        <f>IF(ISERROR('raw data'!HX18/'raw data'!HY18),0,'raw data'!HX18/'raw data'!HY18)</f>
        <v>0</v>
      </c>
      <c r="DW18" s="394">
        <f>'raw data'!HZ18</f>
        <v>0</v>
      </c>
      <c r="DX18" s="395">
        <f>'raw data'!IA18</f>
        <v>0</v>
      </c>
      <c r="DY18" s="397">
        <f>IF(ISERROR('raw data'!HZ18/'raw data'!IA18),0,'raw data'!HZ18/'raw data'!IA18)</f>
        <v>0</v>
      </c>
      <c r="DZ18" s="394">
        <f>'raw data'!IB18</f>
        <v>0</v>
      </c>
      <c r="EA18" s="395">
        <f>'raw data'!IC18</f>
        <v>0</v>
      </c>
      <c r="EB18" s="397">
        <f>IF(ISERROR('raw data'!IB18/'raw data'!IC18),0,'raw data'!IB18/'raw data'!IC18)</f>
        <v>0</v>
      </c>
      <c r="EC18" s="394">
        <f>'raw data'!ID18</f>
        <v>0</v>
      </c>
      <c r="ED18" s="395">
        <f>'raw data'!IE18</f>
        <v>0</v>
      </c>
      <c r="EE18" s="397">
        <f>IF(ISERROR('raw data'!ID18/'raw data'!IE18),0,'raw data'!ID18/'raw data'!IE18)</f>
        <v>0</v>
      </c>
      <c r="EF18" s="394">
        <f>'raw data'!IF18</f>
        <v>0</v>
      </c>
      <c r="EG18" s="395">
        <f>'raw data'!IG18</f>
        <v>0</v>
      </c>
      <c r="EH18" s="397">
        <f>IF(ISERROR('raw data'!IF18/'raw data'!IG18),0,'raw data'!IF18/'raw data'!IG18)</f>
        <v>0</v>
      </c>
      <c r="EI18" s="394">
        <f>'raw data'!IH18</f>
        <v>0</v>
      </c>
      <c r="EJ18" s="395">
        <f>'raw data'!II18</f>
        <v>0</v>
      </c>
      <c r="EK18" s="397">
        <f>IF(ISERROR('raw data'!IH18/'raw data'!II18),0,'raw data'!IH18/'raw data'!II18)</f>
        <v>0</v>
      </c>
      <c r="EL18" s="394">
        <f>'raw data'!IJ18</f>
        <v>0</v>
      </c>
      <c r="EM18" s="395">
        <f>'raw data'!IK18</f>
        <v>0</v>
      </c>
      <c r="EN18" s="397">
        <f>IF(ISERROR('raw data'!IJ18/'raw data'!IK18),0,'raw data'!IJ18/'raw data'!IK18)</f>
        <v>0</v>
      </c>
      <c r="EO18" s="394">
        <f>'raw data'!IL18</f>
        <v>0</v>
      </c>
      <c r="EP18" s="395">
        <f>'raw data'!IM18</f>
        <v>0</v>
      </c>
      <c r="EQ18" s="397">
        <f>IF(ISERROR('raw data'!IL18/'raw data'!IM18),0,'raw data'!IL18/'raw data'!IM18)</f>
        <v>0</v>
      </c>
      <c r="ER18" s="394">
        <f>'raw data'!IN18</f>
        <v>0</v>
      </c>
      <c r="ES18" s="395">
        <f>'raw data'!IO18</f>
        <v>0</v>
      </c>
      <c r="ET18" s="397">
        <f>IF(ISERROR('raw data'!IN18/'raw data'!IO18),0,'raw data'!IN18/'raw data'!IO18)</f>
        <v>0</v>
      </c>
      <c r="EU18" s="394">
        <f>'raw data'!IP18</f>
        <v>0</v>
      </c>
      <c r="EV18" s="395">
        <f>'raw data'!IQ18</f>
        <v>0</v>
      </c>
      <c r="EW18" s="397">
        <f>IF(ISERROR('raw data'!IP18/'raw data'!IQ18),0,'raw data'!IP18/'raw data'!IQ18)</f>
        <v>0</v>
      </c>
      <c r="EX18" s="394">
        <f>'raw data'!IR18</f>
        <v>0</v>
      </c>
      <c r="EY18" s="395">
        <f>'raw data'!IS18</f>
        <v>0</v>
      </c>
      <c r="EZ18" s="397">
        <f>IF(ISERROR('raw data'!IR18/'raw data'!IS18),0,'raw data'!IR18/'raw data'!IS18)</f>
        <v>0</v>
      </c>
      <c r="FA18" s="394">
        <f>'raw data'!IT18</f>
        <v>0</v>
      </c>
      <c r="FB18" s="395">
        <f>'raw data'!IU18</f>
        <v>0</v>
      </c>
      <c r="FC18" s="397">
        <f>IF(ISERROR('raw data'!IT18/'raw data'!IU18),0,'raw data'!IT18/'raw data'!IU18)</f>
        <v>0</v>
      </c>
      <c r="FD18" s="394">
        <f>'raw data'!IV18</f>
        <v>0</v>
      </c>
      <c r="FE18" s="395">
        <f>'raw data'!IW18</f>
        <v>0</v>
      </c>
      <c r="FF18" s="397">
        <f>IF(ISERROR('raw data'!IV18/'raw data'!IW18),0,'raw data'!IV18/'raw data'!IW18)</f>
        <v>0</v>
      </c>
      <c r="FG18" s="394">
        <f>'raw data'!IX18</f>
        <v>0</v>
      </c>
      <c r="FH18" s="395">
        <f>'raw data'!IY18</f>
        <v>0</v>
      </c>
      <c r="FI18" s="397">
        <f>IF(ISERROR('raw data'!IX18/'raw data'!IY18),0,'raw data'!IX18/'raw data'!IY18)</f>
        <v>0</v>
      </c>
      <c r="FJ18" s="394">
        <f>'raw data'!IZ18</f>
        <v>0</v>
      </c>
      <c r="FK18" s="395">
        <f>'raw data'!JA18</f>
        <v>0</v>
      </c>
      <c r="FL18" s="397">
        <f>IF(ISERROR('raw data'!IZ18/'raw data'!JA18),0,'raw data'!IZ18/'raw data'!JA18)</f>
        <v>0</v>
      </c>
      <c r="FM18" s="394">
        <f>'raw data'!JB18</f>
        <v>0</v>
      </c>
      <c r="FN18" s="395">
        <f>'raw data'!JC18</f>
        <v>0</v>
      </c>
      <c r="FO18" s="397">
        <f>IF(ISERROR('raw data'!JB18/'raw data'!JC18),0,'raw data'!JB18/'raw data'!JC18)</f>
        <v>0</v>
      </c>
      <c r="FP18" s="394">
        <f>'raw data'!JD18</f>
        <v>0</v>
      </c>
      <c r="FQ18" s="395">
        <f>'raw data'!JE18</f>
        <v>0</v>
      </c>
      <c r="FR18" s="397">
        <f>IF(ISERROR('raw data'!JD18/'raw data'!JE18),0,'raw data'!JD18/'raw data'!JE18)</f>
        <v>0</v>
      </c>
      <c r="FS18" s="388"/>
      <c r="FT18" s="398">
        <v>0</v>
      </c>
      <c r="FU18" s="399">
        <v>0</v>
      </c>
      <c r="FV18" s="400">
        <f t="shared" si="0"/>
        <v>0</v>
      </c>
    </row>
    <row r="19" spans="1:179" ht="25.5" customHeight="1" x14ac:dyDescent="0.15">
      <c r="A19" s="392">
        <v>1.18</v>
      </c>
      <c r="B19" s="382" t="str">
        <f>'raw data'!B19</f>
        <v xml:space="preserve">Flex accounts receiving &gt;=30 LAs (each £100+) last month. </v>
      </c>
      <c r="C19" s="393" t="s">
        <v>37</v>
      </c>
      <c r="D19" s="394">
        <f>'raw data'!ET19</f>
        <v>29</v>
      </c>
      <c r="E19" s="395">
        <f>'raw data'!EU19</f>
        <v>206</v>
      </c>
      <c r="F19" s="396">
        <f>IF(ISERROR('raw data'!ET19/'raw data'!EU19),0,'raw data'!ET19/'raw data'!EU19)</f>
        <v>0.14077669902912621</v>
      </c>
      <c r="G19" s="394">
        <f>'raw data'!EV19</f>
        <v>30</v>
      </c>
      <c r="H19" s="395">
        <f>'raw data'!EW19</f>
        <v>135</v>
      </c>
      <c r="I19" s="396">
        <f>IF(ISERROR('raw data'!EV19/'raw data'!EW19),0,'raw data'!EV19/'raw data'!EW19)</f>
        <v>0.22222222222222221</v>
      </c>
      <c r="J19" s="394">
        <f>'raw data'!EX19</f>
        <v>47</v>
      </c>
      <c r="K19" s="395">
        <f>'raw data'!EY19</f>
        <v>279</v>
      </c>
      <c r="L19" s="396">
        <f>IF(ISERROR('raw data'!EX19/'raw data'!EY19),0,'raw data'!EX19/'raw data'!EY19)</f>
        <v>0.16845878136200718</v>
      </c>
      <c r="M19" s="394">
        <f>'raw data'!EZ19</f>
        <v>35</v>
      </c>
      <c r="N19" s="395">
        <f>'raw data'!FA19</f>
        <v>183</v>
      </c>
      <c r="O19" s="396">
        <f>IF(ISERROR('raw data'!EZ19/'raw data'!FA19),0,'raw data'!EZ19/'raw data'!FA19)</f>
        <v>0.19125683060109289</v>
      </c>
      <c r="P19" s="394">
        <f>'raw data'!FB19</f>
        <v>47</v>
      </c>
      <c r="Q19" s="395">
        <f>'raw data'!FC19</f>
        <v>263</v>
      </c>
      <c r="R19" s="396">
        <f>IF(ISERROR('raw data'!FB19/'raw data'!FC19),0,'raw data'!FB19/'raw data'!FC19)</f>
        <v>0.17870722433460076</v>
      </c>
      <c r="S19" s="394">
        <f>'raw data'!FD19</f>
        <v>41</v>
      </c>
      <c r="T19" s="395">
        <f>'raw data'!FE19</f>
        <v>241</v>
      </c>
      <c r="U19" s="396">
        <f>IF(ISERROR('raw data'!FD19/'raw data'!FE19),0,'raw data'!FD19/'raw data'!FE19)</f>
        <v>0.17012448132780084</v>
      </c>
      <c r="V19" s="394">
        <f>'raw data'!FF19</f>
        <v>47</v>
      </c>
      <c r="W19" s="395">
        <f>'raw data'!FG19</f>
        <v>240</v>
      </c>
      <c r="X19" s="396">
        <f>IF(ISERROR('raw data'!FF19/'raw data'!FG19),0,'raw data'!FF19/'raw data'!FG19)</f>
        <v>0.19583333333333333</v>
      </c>
      <c r="Y19" s="394">
        <f>'raw data'!FH19</f>
        <v>49</v>
      </c>
      <c r="Z19" s="395">
        <f>'raw data'!FI19</f>
        <v>282</v>
      </c>
      <c r="AA19" s="396">
        <f>IF(ISERROR('raw data'!FH19/'raw data'!FI19),0,'raw data'!FH19/'raw data'!FI19)</f>
        <v>0.17375886524822695</v>
      </c>
      <c r="AB19" s="394">
        <f>'raw data'!FJ19</f>
        <v>38</v>
      </c>
      <c r="AC19" s="395">
        <f>'raw data'!FM19</f>
        <v>236</v>
      </c>
      <c r="AD19" s="396">
        <f>IF(ISERROR('raw data'!FJ19/'raw data'!FM19),0,'raw data'!FJ19/'raw data'!FM19)</f>
        <v>0.16101694915254236</v>
      </c>
      <c r="AE19" s="394">
        <f>'raw data'!FN19</f>
        <v>50</v>
      </c>
      <c r="AF19" s="395">
        <f>'raw data'!FO19</f>
        <v>254</v>
      </c>
      <c r="AG19" s="396">
        <f>IF(ISERROR('raw data'!FN19/'raw data'!FO19),0,'raw data'!FN19/'raw data'!FO19)</f>
        <v>0.19685039370078741</v>
      </c>
      <c r="AH19" s="394">
        <f>'raw data'!FP19</f>
        <v>55</v>
      </c>
      <c r="AI19" s="395">
        <f>'raw data'!FQ19</f>
        <v>302</v>
      </c>
      <c r="AJ19" s="396">
        <f>IF(ISERROR('raw data'!FP19/'raw data'!FQ19),0,'raw data'!FP19/'raw data'!FQ19)</f>
        <v>0.18211920529801323</v>
      </c>
      <c r="AK19" s="394">
        <f>'raw data'!FR19</f>
        <v>41</v>
      </c>
      <c r="AL19" s="395">
        <f>'raw data'!FS19</f>
        <v>256</v>
      </c>
      <c r="AM19" s="396">
        <f>IF(ISERROR('raw data'!FR19/'raw data'!FS19),0,'raw data'!FR19/'raw data'!FS19)</f>
        <v>0.16015625</v>
      </c>
      <c r="AN19" s="394">
        <f>'raw data'!FT19</f>
        <v>54</v>
      </c>
      <c r="AO19" s="395">
        <f>'raw data'!FU19</f>
        <v>342</v>
      </c>
      <c r="AP19" s="396">
        <f>IF(ISERROR('raw data'!FT19/'raw data'!FU19),0,'raw data'!FT19/'raw data'!FU19)</f>
        <v>0.15789473684210525</v>
      </c>
      <c r="AQ19" s="394">
        <f>'raw data'!FV19</f>
        <v>27</v>
      </c>
      <c r="AR19" s="395">
        <f>'raw data'!FW19</f>
        <v>196</v>
      </c>
      <c r="AS19" s="397">
        <f>IF(ISERROR('raw data'!FV19/'raw data'!FW19),0,'raw data'!FV19/'raw data'!FW19)</f>
        <v>0.13775510204081631</v>
      </c>
      <c r="AT19" s="394">
        <f>'raw data'!FX19</f>
        <v>59</v>
      </c>
      <c r="AU19" s="395">
        <f>'raw data'!FY19</f>
        <v>320</v>
      </c>
      <c r="AV19" s="397">
        <f>IF(ISERROR('raw data'!FX19/'raw data'!FY19),0,'raw data'!FX19/'raw data'!FY19)</f>
        <v>0.18437500000000001</v>
      </c>
      <c r="AW19" s="394">
        <f>'raw data'!FZ19</f>
        <v>60</v>
      </c>
      <c r="AX19" s="395">
        <f>'raw data'!GA19</f>
        <v>287</v>
      </c>
      <c r="AY19" s="397">
        <f>IF(ISERROR('raw data'!FZ19/'raw data'!GA19),0,'raw data'!FZ19/'raw data'!GA19)</f>
        <v>0.20905923344947736</v>
      </c>
      <c r="AZ19" s="394">
        <f>'raw data'!GB19</f>
        <v>67</v>
      </c>
      <c r="BA19" s="395">
        <f>'raw data'!GC19</f>
        <v>370</v>
      </c>
      <c r="BB19" s="397">
        <f>IF(ISERROR('raw data'!GB19/'raw data'!GC19),0,'raw data'!GB19/'raw data'!GC19)</f>
        <v>0.18108108108108109</v>
      </c>
      <c r="BC19" s="394">
        <f>'raw data'!GD19</f>
        <v>51</v>
      </c>
      <c r="BD19" s="395">
        <f>'raw data'!GE19</f>
        <v>278</v>
      </c>
      <c r="BE19" s="397">
        <f>IF(ISERROR('raw data'!GD19/'raw data'!GE19),0,'raw data'!GD19/'raw data'!GE19)</f>
        <v>0.18345323741007194</v>
      </c>
      <c r="BF19" s="394">
        <f>'raw data'!GF19</f>
        <v>71</v>
      </c>
      <c r="BG19" s="395">
        <f>'raw data'!GG19</f>
        <v>282</v>
      </c>
      <c r="BH19" s="397">
        <f>IF(ISERROR('raw data'!GF19/'raw data'!GG19),0,'raw data'!GF19/'raw data'!GG19)</f>
        <v>0.25177304964539005</v>
      </c>
      <c r="BI19" s="394">
        <f>'raw data'!GH19</f>
        <v>60</v>
      </c>
      <c r="BJ19" s="395">
        <f>'raw data'!GI19</f>
        <v>265</v>
      </c>
      <c r="BK19" s="397">
        <f>IF(ISERROR('raw data'!GH19/'raw data'!GI19),0,'raw data'!GH19/'raw data'!GI19)</f>
        <v>0.22641509433962265</v>
      </c>
      <c r="BL19" s="394">
        <f>'raw data'!GJ19</f>
        <v>49</v>
      </c>
      <c r="BM19" s="395">
        <f>'raw data'!GK19</f>
        <v>218</v>
      </c>
      <c r="BN19" s="397">
        <f>IF(ISERROR('raw data'!GJ19/'raw data'!GK19),0,'raw data'!GJ19/'raw data'!GK19)</f>
        <v>0.22477064220183487</v>
      </c>
      <c r="BO19" s="394">
        <f>'raw data'!GL19</f>
        <v>79</v>
      </c>
      <c r="BP19" s="395">
        <f>'raw data'!GM19</f>
        <v>335</v>
      </c>
      <c r="BQ19" s="397">
        <f>IF(ISERROR('raw data'!GL19/'raw data'!GM19),0,'raw data'!GL19/'raw data'!GM19)</f>
        <v>0.23582089552238805</v>
      </c>
      <c r="BR19" s="394">
        <f>'raw data'!GN19</f>
        <v>69</v>
      </c>
      <c r="BS19" s="395">
        <f>'raw data'!GO19</f>
        <v>268</v>
      </c>
      <c r="BT19" s="397">
        <f>IF(ISERROR('raw data'!GN19/'raw data'!GO19),0,'raw data'!GN19/'raw data'!GO19)</f>
        <v>0.2574626865671642</v>
      </c>
      <c r="BU19" s="394">
        <f>'raw data'!GP19</f>
        <v>47</v>
      </c>
      <c r="BV19" s="395">
        <f>'raw data'!GQ19</f>
        <v>230</v>
      </c>
      <c r="BW19" s="397">
        <f>IF(ISERROR('raw data'!GP19/'raw data'!GQ19),0,'raw data'!GP19/'raw data'!GQ19)</f>
        <v>0.20434782608695654</v>
      </c>
      <c r="BX19" s="394">
        <f>'raw data'!GR19</f>
        <v>61</v>
      </c>
      <c r="BY19" s="395">
        <f>'raw data'!GS19</f>
        <v>286</v>
      </c>
      <c r="BZ19" s="397">
        <f>IF(ISERROR('raw data'!GR19/'raw data'!GS19),0,'raw data'!GR19/'raw data'!GS19)</f>
        <v>0.21328671328671328</v>
      </c>
      <c r="CA19" s="394">
        <f>'raw data'!GT19</f>
        <v>47</v>
      </c>
      <c r="CB19" s="395">
        <f>'raw data'!GU19</f>
        <v>199</v>
      </c>
      <c r="CC19" s="397">
        <f>IF(ISERROR('raw data'!GT19/'raw data'!GU19),0,'raw data'!GT19/'raw data'!GU19)</f>
        <v>0.23618090452261306</v>
      </c>
      <c r="CD19" s="394">
        <f>'raw data'!GV19</f>
        <v>93</v>
      </c>
      <c r="CE19" s="395">
        <f>'raw data'!GW19</f>
        <v>318</v>
      </c>
      <c r="CF19" s="397">
        <f>IF(ISERROR('raw data'!GV19/'raw data'!GW19),0,'raw data'!GV19/'raw data'!GW19)</f>
        <v>0.29245283018867924</v>
      </c>
      <c r="CG19" s="394">
        <f>'raw data'!GX19</f>
        <v>84</v>
      </c>
      <c r="CH19" s="395">
        <f>'raw data'!GY19</f>
        <v>340</v>
      </c>
      <c r="CI19" s="397">
        <f>IF(ISERROR('raw data'!GX19/'raw data'!GY19),0,'raw data'!GX19/'raw data'!GY19)</f>
        <v>0.24705882352941178</v>
      </c>
      <c r="CJ19" s="394">
        <f>'raw data'!GZ19</f>
        <v>92</v>
      </c>
      <c r="CK19" s="395">
        <f>'raw data'!HA19</f>
        <v>345</v>
      </c>
      <c r="CL19" s="397">
        <f>IF(ISERROR('raw data'!GZ19/'raw data'!HA19),0,'raw data'!GZ19/'raw data'!HA19)</f>
        <v>0.26666666666666666</v>
      </c>
      <c r="CM19" s="394">
        <f>'raw data'!HB19</f>
        <v>66</v>
      </c>
      <c r="CN19" s="395">
        <f>'raw data'!HC19</f>
        <v>217</v>
      </c>
      <c r="CO19" s="397">
        <f>IF(ISERROR('raw data'!HB19/'raw data'!HC19),0,'raw data'!HB19/'raw data'!HC19)</f>
        <v>0.30414746543778803</v>
      </c>
      <c r="CP19" s="394">
        <f>'raw data'!HD19</f>
        <v>97</v>
      </c>
      <c r="CQ19" s="395">
        <f>'raw data'!HE19</f>
        <v>324</v>
      </c>
      <c r="CR19" s="397">
        <f>IF(ISERROR('raw data'!HD19/'raw data'!HE19),0,'raw data'!HD19/'raw data'!HE19)</f>
        <v>0.29938271604938271</v>
      </c>
      <c r="CS19" s="394">
        <f>'raw data'!HF19</f>
        <v>82</v>
      </c>
      <c r="CT19" s="395">
        <f>'raw data'!HG19</f>
        <v>239</v>
      </c>
      <c r="CU19" s="397">
        <f>IF(ISERROR('raw data'!HF19/'raw data'!HG19),0,'raw data'!HF19/'raw data'!HG19)</f>
        <v>0.34309623430962344</v>
      </c>
      <c r="CV19" s="394">
        <f>'raw data'!HH19</f>
        <v>48</v>
      </c>
      <c r="CW19" s="395">
        <f>'raw data'!HI19</f>
        <v>234</v>
      </c>
      <c r="CX19" s="397">
        <f>IF(ISERROR('raw data'!HH19/'raw data'!HI19),0,'raw data'!HH19/'raw data'!HI19)</f>
        <v>0.20512820512820512</v>
      </c>
      <c r="CY19" s="394">
        <f>'raw data'!HJ19</f>
        <v>70</v>
      </c>
      <c r="CZ19" s="395">
        <f>'raw data'!HK19</f>
        <v>252</v>
      </c>
      <c r="DA19" s="397">
        <f>IF(ISERROR('raw data'!HJ19/'raw data'!HK19),0,'raw data'!HJ19/'raw data'!HK19)</f>
        <v>0.27777777777777779</v>
      </c>
      <c r="DB19" s="394">
        <f>'raw data'!HL19</f>
        <v>64</v>
      </c>
      <c r="DC19" s="395">
        <f>'raw data'!HM19</f>
        <v>211</v>
      </c>
      <c r="DD19" s="397">
        <f>IF(ISERROR('raw data'!HL19/'raw data'!HM19),0,'raw data'!HL19/'raw data'!HM19)</f>
        <v>0.30331753554502372</v>
      </c>
      <c r="DE19" s="394">
        <f>'raw data'!HN19</f>
        <v>82</v>
      </c>
      <c r="DF19" s="395">
        <f>'raw data'!HO19</f>
        <v>222</v>
      </c>
      <c r="DG19" s="397">
        <f>IF(ISERROR('raw data'!HN19/'raw data'!HO19),0,'raw data'!HN19/'raw data'!HO19)</f>
        <v>0.36936936936936937</v>
      </c>
      <c r="DH19" s="394">
        <f>'raw data'!HP19</f>
        <v>48</v>
      </c>
      <c r="DI19" s="395">
        <f>'raw data'!HQ19</f>
        <v>228</v>
      </c>
      <c r="DJ19" s="397">
        <f>IF(ISERROR('raw data'!HP19/'raw data'!HQ19),0,'raw data'!HP19/'raw data'!HQ19)</f>
        <v>0.21052631578947367</v>
      </c>
      <c r="DK19" s="394">
        <f>'raw data'!HR19</f>
        <v>49</v>
      </c>
      <c r="DL19" s="395">
        <f>'raw data'!HS19</f>
        <v>180</v>
      </c>
      <c r="DM19" s="397">
        <f>IF(ISERROR('raw data'!HR19/'raw data'!HS19),0,'raw data'!HR19/'raw data'!HS19)</f>
        <v>0.2722222222222222</v>
      </c>
      <c r="DN19" s="394">
        <f>'raw data'!HT19</f>
        <v>61</v>
      </c>
      <c r="DO19" s="395">
        <f>'raw data'!HU19</f>
        <v>204</v>
      </c>
      <c r="DP19" s="397">
        <f>IF(ISERROR('raw data'!HT19/'raw data'!HU19),0,'raw data'!HT19/'raw data'!HU19)</f>
        <v>0.29901960784313725</v>
      </c>
      <c r="DQ19" s="394">
        <f>'raw data'!HV19</f>
        <v>96</v>
      </c>
      <c r="DR19" s="395">
        <f>'raw data'!HW19</f>
        <v>337</v>
      </c>
      <c r="DS19" s="397">
        <f>IF(ISERROR('raw data'!HV19/'raw data'!HW19),0,'raw data'!HV19/'raw data'!HW19)</f>
        <v>0.28486646884272998</v>
      </c>
      <c r="DT19" s="394">
        <f>'raw data'!HX19</f>
        <v>135</v>
      </c>
      <c r="DU19" s="395">
        <f>'raw data'!HY19</f>
        <v>423</v>
      </c>
      <c r="DV19" s="397">
        <f>IF(ISERROR('raw data'!HX19/'raw data'!HY19),0,'raw data'!HX19/'raw data'!HY19)</f>
        <v>0.31914893617021278</v>
      </c>
      <c r="DW19" s="394">
        <f>'raw data'!HZ19</f>
        <v>130</v>
      </c>
      <c r="DX19" s="395">
        <f>'raw data'!IA19</f>
        <v>413</v>
      </c>
      <c r="DY19" s="397">
        <f>IF(ISERROR('raw data'!HZ19/'raw data'!IA19),0,'raw data'!HZ19/'raw data'!IA19)</f>
        <v>0.31476997578692495</v>
      </c>
      <c r="DZ19" s="394">
        <f>'raw data'!IB19</f>
        <v>179</v>
      </c>
      <c r="EA19" s="395">
        <f>'raw data'!IC19</f>
        <v>484</v>
      </c>
      <c r="EB19" s="397">
        <f>IF(ISERROR('raw data'!IB19/'raw data'!IC19),0,'raw data'!IB19/'raw data'!IC19)</f>
        <v>0.36983471074380164</v>
      </c>
      <c r="EC19" s="394">
        <f>'raw data'!ID19</f>
        <v>141</v>
      </c>
      <c r="ED19" s="395">
        <f>'raw data'!IE19</f>
        <v>357</v>
      </c>
      <c r="EE19" s="397">
        <f>IF(ISERROR('raw data'!ID19/'raw data'!IE19),0,'raw data'!ID19/'raw data'!IE19)</f>
        <v>0.3949579831932773</v>
      </c>
      <c r="EF19" s="394">
        <f>'raw data'!IF19</f>
        <v>122</v>
      </c>
      <c r="EG19" s="395">
        <f>'raw data'!IG19</f>
        <v>395</v>
      </c>
      <c r="EH19" s="397">
        <f>IF(ISERROR('raw data'!IF19/'raw data'!IG19),0,'raw data'!IF19/'raw data'!IG19)</f>
        <v>0.30886075949367087</v>
      </c>
      <c r="EI19" s="394">
        <f>'raw data'!IH19</f>
        <v>176</v>
      </c>
      <c r="EJ19" s="395">
        <f>'raw data'!II19</f>
        <v>452</v>
      </c>
      <c r="EK19" s="397">
        <f>IF(ISERROR('raw data'!IH19/'raw data'!II19),0,'raw data'!IH19/'raw data'!II19)</f>
        <v>0.38938053097345132</v>
      </c>
      <c r="EL19" s="394">
        <f>'raw data'!IJ19</f>
        <v>222</v>
      </c>
      <c r="EM19" s="395">
        <f>'raw data'!IK19</f>
        <v>453</v>
      </c>
      <c r="EN19" s="397">
        <f>IF(ISERROR('raw data'!IJ19/'raw data'!IK19),0,'raw data'!IJ19/'raw data'!IK19)</f>
        <v>0.49006622516556292</v>
      </c>
      <c r="EO19" s="394">
        <f>'raw data'!IL19</f>
        <v>220</v>
      </c>
      <c r="EP19" s="395">
        <f>'raw data'!IM19</f>
        <v>487</v>
      </c>
      <c r="EQ19" s="397">
        <f>IF(ISERROR('raw data'!IL19/'raw data'!IM19),0,'raw data'!IL19/'raw data'!IM19)</f>
        <v>0.45174537987679669</v>
      </c>
      <c r="ER19" s="394">
        <f>'raw data'!IN19</f>
        <v>193</v>
      </c>
      <c r="ES19" s="395">
        <f>'raw data'!IO19</f>
        <v>413</v>
      </c>
      <c r="ET19" s="397">
        <f>IF(ISERROR('raw data'!IN19/'raw data'!IO19),0,'raw data'!IN19/'raw data'!IO19)</f>
        <v>0.46731234866828086</v>
      </c>
      <c r="EU19" s="394">
        <f>'raw data'!IP19</f>
        <v>169</v>
      </c>
      <c r="EV19" s="395">
        <f>'raw data'!IQ19</f>
        <v>352</v>
      </c>
      <c r="EW19" s="397">
        <f>IF(ISERROR('raw data'!IP19/'raw data'!IQ19),0,'raw data'!IP19/'raw data'!IQ19)</f>
        <v>0.48011363636363635</v>
      </c>
      <c r="EX19" s="394">
        <f>'raw data'!IR19</f>
        <v>284</v>
      </c>
      <c r="EY19" s="395">
        <f>'raw data'!IS19</f>
        <v>601</v>
      </c>
      <c r="EZ19" s="397">
        <f>IF(ISERROR('raw data'!IR19/'raw data'!IS19),0,'raw data'!IR19/'raw data'!IS19)</f>
        <v>0.47254575707154745</v>
      </c>
      <c r="FA19" s="394">
        <f>'raw data'!IT19</f>
        <v>229</v>
      </c>
      <c r="FB19" s="395">
        <f>'raw data'!IU19</f>
        <v>488</v>
      </c>
      <c r="FC19" s="397">
        <f>IF(ISERROR('raw data'!IT19/'raw data'!IU19),0,'raw data'!IT19/'raw data'!IU19)</f>
        <v>0.46926229508196721</v>
      </c>
      <c r="FD19" s="394">
        <f>'raw data'!IV19</f>
        <v>189</v>
      </c>
      <c r="FE19" s="395">
        <f>'raw data'!IW19</f>
        <v>426</v>
      </c>
      <c r="FF19" s="397">
        <f>IF(ISERROR('raw data'!IV19/'raw data'!IW19),0,'raw data'!IV19/'raw data'!IW19)</f>
        <v>0.44366197183098594</v>
      </c>
      <c r="FG19" s="394">
        <f>'raw data'!IX19</f>
        <v>151</v>
      </c>
      <c r="FH19" s="395">
        <f>'raw data'!IY19</f>
        <v>367</v>
      </c>
      <c r="FI19" s="397">
        <f>IF(ISERROR('raw data'!IX19/'raw data'!IY19),0,'raw data'!IX19/'raw data'!IY19)</f>
        <v>0.41144414168937332</v>
      </c>
      <c r="FJ19" s="394">
        <f>'raw data'!IZ19</f>
        <v>200</v>
      </c>
      <c r="FK19" s="395">
        <f>'raw data'!JA19</f>
        <v>478</v>
      </c>
      <c r="FL19" s="397">
        <f>IF(ISERROR('raw data'!IZ19/'raw data'!JA19),0,'raw data'!IZ19/'raw data'!JA19)</f>
        <v>0.41841004184100417</v>
      </c>
      <c r="FM19" s="394">
        <f>'raw data'!JB19</f>
        <v>176</v>
      </c>
      <c r="FN19" s="395">
        <f>'raw data'!JC19</f>
        <v>446</v>
      </c>
      <c r="FO19" s="397">
        <f>IF(ISERROR('raw data'!JB19/'raw data'!JC19),0,'raw data'!JB19/'raw data'!JC19)</f>
        <v>0.39461883408071746</v>
      </c>
      <c r="FP19" s="394">
        <f>'raw data'!JD19</f>
        <v>168</v>
      </c>
      <c r="FQ19" s="395">
        <f>'raw data'!JE19</f>
        <v>383</v>
      </c>
      <c r="FR19" s="397">
        <f>IF(ISERROR('raw data'!JD19/'raw data'!JE19),0,'raw data'!JD19/'raw data'!JE19)</f>
        <v>0.43864229765013057</v>
      </c>
      <c r="FS19" s="388"/>
      <c r="FT19" s="398">
        <v>2377</v>
      </c>
      <c r="FU19" s="399">
        <v>5346</v>
      </c>
      <c r="FV19" s="400">
        <f t="shared" si="0"/>
        <v>0.44463150018705572</v>
      </c>
    </row>
    <row r="20" spans="1:179" ht="25.5" customHeight="1" x14ac:dyDescent="0.15">
      <c r="A20" s="392">
        <v>1.19</v>
      </c>
      <c r="B20" s="382" t="str">
        <f>'raw data'!B20</f>
        <v xml:space="preserve">Transfers via Chitoro (Zimbabwean money-transfer buisness). </v>
      </c>
      <c r="C20" s="393" t="s">
        <v>39</v>
      </c>
      <c r="D20" s="402" t="s">
        <v>243</v>
      </c>
      <c r="E20" s="403" t="s">
        <v>243</v>
      </c>
      <c r="F20" s="404" t="s">
        <v>243</v>
      </c>
      <c r="G20" s="402" t="s">
        <v>243</v>
      </c>
      <c r="H20" s="403" t="s">
        <v>243</v>
      </c>
      <c r="I20" s="404" t="s">
        <v>243</v>
      </c>
      <c r="J20" s="402" t="s">
        <v>243</v>
      </c>
      <c r="K20" s="403" t="s">
        <v>243</v>
      </c>
      <c r="L20" s="404" t="s">
        <v>243</v>
      </c>
      <c r="M20" s="402" t="s">
        <v>243</v>
      </c>
      <c r="N20" s="403" t="s">
        <v>243</v>
      </c>
      <c r="O20" s="404" t="s">
        <v>243</v>
      </c>
      <c r="P20" s="402" t="s">
        <v>243</v>
      </c>
      <c r="Q20" s="403" t="s">
        <v>243</v>
      </c>
      <c r="R20" s="404" t="s">
        <v>243</v>
      </c>
      <c r="S20" s="402" t="s">
        <v>243</v>
      </c>
      <c r="T20" s="403" t="s">
        <v>243</v>
      </c>
      <c r="U20" s="404" t="s">
        <v>243</v>
      </c>
      <c r="V20" s="402" t="s">
        <v>243</v>
      </c>
      <c r="W20" s="403" t="s">
        <v>243</v>
      </c>
      <c r="X20" s="404" t="s">
        <v>243</v>
      </c>
      <c r="Y20" s="402" t="s">
        <v>243</v>
      </c>
      <c r="Z20" s="403" t="s">
        <v>243</v>
      </c>
      <c r="AA20" s="404" t="s">
        <v>243</v>
      </c>
      <c r="AB20" s="402" t="s">
        <v>243</v>
      </c>
      <c r="AC20" s="403" t="s">
        <v>243</v>
      </c>
      <c r="AD20" s="404" t="s">
        <v>243</v>
      </c>
      <c r="AE20" s="402" t="s">
        <v>243</v>
      </c>
      <c r="AF20" s="403" t="s">
        <v>243</v>
      </c>
      <c r="AG20" s="404" t="s">
        <v>243</v>
      </c>
      <c r="AH20" s="402" t="s">
        <v>243</v>
      </c>
      <c r="AI20" s="403" t="s">
        <v>243</v>
      </c>
      <c r="AJ20" s="404" t="s">
        <v>243</v>
      </c>
      <c r="AK20" s="402" t="s">
        <v>243</v>
      </c>
      <c r="AL20" s="403" t="s">
        <v>243</v>
      </c>
      <c r="AM20" s="404" t="s">
        <v>243</v>
      </c>
      <c r="AN20" s="402" t="s">
        <v>243</v>
      </c>
      <c r="AO20" s="403" t="s">
        <v>243</v>
      </c>
      <c r="AP20" s="404" t="s">
        <v>243</v>
      </c>
      <c r="AQ20" s="402" t="s">
        <v>243</v>
      </c>
      <c r="AR20" s="403" t="s">
        <v>243</v>
      </c>
      <c r="AS20" s="405" t="s">
        <v>243</v>
      </c>
      <c r="AT20" s="402" t="s">
        <v>243</v>
      </c>
      <c r="AU20" s="403" t="s">
        <v>243</v>
      </c>
      <c r="AV20" s="405" t="s">
        <v>243</v>
      </c>
      <c r="AW20" s="402" t="s">
        <v>243</v>
      </c>
      <c r="AX20" s="403" t="s">
        <v>243</v>
      </c>
      <c r="AY20" s="405" t="s">
        <v>243</v>
      </c>
      <c r="AZ20" s="402" t="s">
        <v>243</v>
      </c>
      <c r="BA20" s="403" t="s">
        <v>243</v>
      </c>
      <c r="BB20" s="405" t="s">
        <v>243</v>
      </c>
      <c r="BC20" s="402" t="s">
        <v>243</v>
      </c>
      <c r="BD20" s="403" t="s">
        <v>243</v>
      </c>
      <c r="BE20" s="405" t="s">
        <v>243</v>
      </c>
      <c r="BF20" s="402" t="s">
        <v>243</v>
      </c>
      <c r="BG20" s="403" t="s">
        <v>243</v>
      </c>
      <c r="BH20" s="405" t="s">
        <v>243</v>
      </c>
      <c r="BI20" s="402" t="s">
        <v>243</v>
      </c>
      <c r="BJ20" s="403" t="s">
        <v>243</v>
      </c>
      <c r="BK20" s="405" t="s">
        <v>243</v>
      </c>
      <c r="BL20" s="402" t="s">
        <v>243</v>
      </c>
      <c r="BM20" s="403" t="s">
        <v>243</v>
      </c>
      <c r="BN20" s="405" t="s">
        <v>243</v>
      </c>
      <c r="BO20" s="402" t="s">
        <v>243</v>
      </c>
      <c r="BP20" s="403" t="s">
        <v>243</v>
      </c>
      <c r="BQ20" s="405" t="s">
        <v>243</v>
      </c>
      <c r="BR20" s="402" t="s">
        <v>243</v>
      </c>
      <c r="BS20" s="403" t="s">
        <v>243</v>
      </c>
      <c r="BT20" s="405" t="s">
        <v>243</v>
      </c>
      <c r="BU20" s="402" t="s">
        <v>243</v>
      </c>
      <c r="BV20" s="403" t="s">
        <v>243</v>
      </c>
      <c r="BW20" s="405" t="s">
        <v>243</v>
      </c>
      <c r="BX20" s="402" t="s">
        <v>243</v>
      </c>
      <c r="BY20" s="403" t="s">
        <v>243</v>
      </c>
      <c r="BZ20" s="405" t="s">
        <v>243</v>
      </c>
      <c r="CA20" s="402" t="s">
        <v>243</v>
      </c>
      <c r="CB20" s="403" t="s">
        <v>243</v>
      </c>
      <c r="CC20" s="405" t="s">
        <v>243</v>
      </c>
      <c r="CD20" s="402" t="s">
        <v>243</v>
      </c>
      <c r="CE20" s="403" t="s">
        <v>243</v>
      </c>
      <c r="CF20" s="405" t="s">
        <v>243</v>
      </c>
      <c r="CG20" s="402" t="s">
        <v>243</v>
      </c>
      <c r="CH20" s="403" t="s">
        <v>243</v>
      </c>
      <c r="CI20" s="405" t="s">
        <v>243</v>
      </c>
      <c r="CJ20" s="402" t="s">
        <v>243</v>
      </c>
      <c r="CK20" s="403" t="s">
        <v>243</v>
      </c>
      <c r="CL20" s="405" t="s">
        <v>243</v>
      </c>
      <c r="CM20" s="402" t="s">
        <v>243</v>
      </c>
      <c r="CN20" s="403" t="s">
        <v>243</v>
      </c>
      <c r="CO20" s="405" t="s">
        <v>243</v>
      </c>
      <c r="CP20" s="402" t="s">
        <v>243</v>
      </c>
      <c r="CQ20" s="403" t="s">
        <v>243</v>
      </c>
      <c r="CR20" s="405" t="s">
        <v>243</v>
      </c>
      <c r="CS20" s="402" t="s">
        <v>243</v>
      </c>
      <c r="CT20" s="403" t="s">
        <v>243</v>
      </c>
      <c r="CU20" s="405" t="s">
        <v>243</v>
      </c>
      <c r="CV20" s="402" t="s">
        <v>243</v>
      </c>
      <c r="CW20" s="403" t="s">
        <v>243</v>
      </c>
      <c r="CX20" s="405" t="s">
        <v>243</v>
      </c>
      <c r="CY20" s="402" t="s">
        <v>243</v>
      </c>
      <c r="CZ20" s="403" t="s">
        <v>243</v>
      </c>
      <c r="DA20" s="405" t="s">
        <v>243</v>
      </c>
      <c r="DB20" s="402" t="s">
        <v>243</v>
      </c>
      <c r="DC20" s="403" t="s">
        <v>243</v>
      </c>
      <c r="DD20" s="405" t="s">
        <v>243</v>
      </c>
      <c r="DE20" s="402" t="s">
        <v>243</v>
      </c>
      <c r="DF20" s="403" t="s">
        <v>243</v>
      </c>
      <c r="DG20" s="405" t="s">
        <v>243</v>
      </c>
      <c r="DH20" s="402" t="s">
        <v>243</v>
      </c>
      <c r="DI20" s="403" t="s">
        <v>243</v>
      </c>
      <c r="DJ20" s="405" t="s">
        <v>243</v>
      </c>
      <c r="DK20" s="402" t="s">
        <v>243</v>
      </c>
      <c r="DL20" s="403" t="s">
        <v>243</v>
      </c>
      <c r="DM20" s="405" t="s">
        <v>243</v>
      </c>
      <c r="DN20" s="402" t="s">
        <v>243</v>
      </c>
      <c r="DO20" s="403" t="s">
        <v>243</v>
      </c>
      <c r="DP20" s="405" t="s">
        <v>243</v>
      </c>
      <c r="DQ20" s="402" t="s">
        <v>243</v>
      </c>
      <c r="DR20" s="403" t="s">
        <v>243</v>
      </c>
      <c r="DS20" s="405" t="s">
        <v>243</v>
      </c>
      <c r="DT20" s="402" t="s">
        <v>243</v>
      </c>
      <c r="DU20" s="403" t="s">
        <v>243</v>
      </c>
      <c r="DV20" s="405" t="s">
        <v>243</v>
      </c>
      <c r="DW20" s="402" t="s">
        <v>243</v>
      </c>
      <c r="DX20" s="403" t="s">
        <v>243</v>
      </c>
      <c r="DY20" s="405" t="s">
        <v>243</v>
      </c>
      <c r="DZ20" s="402" t="s">
        <v>243</v>
      </c>
      <c r="EA20" s="403" t="s">
        <v>243</v>
      </c>
      <c r="EB20" s="405" t="s">
        <v>243</v>
      </c>
      <c r="EC20" s="402" t="s">
        <v>243</v>
      </c>
      <c r="ED20" s="403" t="s">
        <v>243</v>
      </c>
      <c r="EE20" s="405" t="s">
        <v>243</v>
      </c>
      <c r="EF20" s="402" t="s">
        <v>243</v>
      </c>
      <c r="EG20" s="403" t="s">
        <v>243</v>
      </c>
      <c r="EH20" s="405" t="s">
        <v>243</v>
      </c>
      <c r="EI20" s="402" t="s">
        <v>243</v>
      </c>
      <c r="EJ20" s="403" t="s">
        <v>243</v>
      </c>
      <c r="EK20" s="405" t="s">
        <v>243</v>
      </c>
      <c r="EL20" s="402" t="s">
        <v>243</v>
      </c>
      <c r="EM20" s="403" t="s">
        <v>243</v>
      </c>
      <c r="EN20" s="405" t="s">
        <v>243</v>
      </c>
      <c r="EO20" s="402" t="s">
        <v>243</v>
      </c>
      <c r="EP20" s="403" t="s">
        <v>243</v>
      </c>
      <c r="EQ20" s="405" t="s">
        <v>243</v>
      </c>
      <c r="ER20" s="402" t="s">
        <v>243</v>
      </c>
      <c r="ES20" s="403" t="s">
        <v>243</v>
      </c>
      <c r="ET20" s="405" t="s">
        <v>243</v>
      </c>
      <c r="EU20" s="402" t="s">
        <v>243</v>
      </c>
      <c r="EV20" s="403" t="s">
        <v>243</v>
      </c>
      <c r="EW20" s="405" t="s">
        <v>243</v>
      </c>
      <c r="EX20" s="402" t="s">
        <v>243</v>
      </c>
      <c r="EY20" s="403" t="s">
        <v>243</v>
      </c>
      <c r="EZ20" s="405" t="s">
        <v>243</v>
      </c>
      <c r="FA20" s="402" t="s">
        <v>243</v>
      </c>
      <c r="FB20" s="403" t="s">
        <v>243</v>
      </c>
      <c r="FC20" s="405" t="s">
        <v>243</v>
      </c>
      <c r="FD20" s="402" t="s">
        <v>243</v>
      </c>
      <c r="FE20" s="403" t="s">
        <v>243</v>
      </c>
      <c r="FF20" s="405" t="s">
        <v>243</v>
      </c>
      <c r="FG20" s="402" t="s">
        <v>243</v>
      </c>
      <c r="FH20" s="403" t="s">
        <v>243</v>
      </c>
      <c r="FI20" s="405" t="s">
        <v>243</v>
      </c>
      <c r="FJ20" s="402" t="s">
        <v>243</v>
      </c>
      <c r="FK20" s="403" t="s">
        <v>243</v>
      </c>
      <c r="FL20" s="405" t="s">
        <v>243</v>
      </c>
      <c r="FM20" s="402" t="s">
        <v>243</v>
      </c>
      <c r="FN20" s="403" t="s">
        <v>243</v>
      </c>
      <c r="FO20" s="405" t="s">
        <v>243</v>
      </c>
      <c r="FP20" s="402" t="s">
        <v>243</v>
      </c>
      <c r="FQ20" s="403" t="s">
        <v>243</v>
      </c>
      <c r="FR20" s="405" t="s">
        <v>243</v>
      </c>
      <c r="FS20" s="388"/>
      <c r="FT20" s="398">
        <v>0</v>
      </c>
      <c r="FU20" s="399">
        <v>0</v>
      </c>
      <c r="FV20" s="400">
        <f t="shared" si="0"/>
        <v>0</v>
      </c>
    </row>
    <row r="21" spans="1:179" ht="14" hidden="1" x14ac:dyDescent="0.15">
      <c r="A21" s="411" t="s">
        <v>40</v>
      </c>
      <c r="B21" s="382">
        <f>'raw data'!B21</f>
        <v>0</v>
      </c>
      <c r="C21" s="393" t="s">
        <v>41</v>
      </c>
      <c r="D21" s="394">
        <f>'raw data'!ET21</f>
        <v>0</v>
      </c>
      <c r="E21" s="395">
        <f>'raw data'!EU21</f>
        <v>0</v>
      </c>
      <c r="F21" s="412">
        <f>IF(ISERROR('raw data'!ET21/'raw data'!EU21),0,'raw data'!ET21/'raw data'!EU21)</f>
        <v>0</v>
      </c>
      <c r="G21" s="394">
        <f>'raw data'!EV21</f>
        <v>0</v>
      </c>
      <c r="H21" s="395">
        <f>'raw data'!EW21</f>
        <v>0</v>
      </c>
      <c r="I21" s="412">
        <f>IF(ISERROR('raw data'!EV21/'raw data'!EW21),0,'raw data'!EV21/'raw data'!EW21)</f>
        <v>0</v>
      </c>
      <c r="J21" s="394">
        <f>'raw data'!EX21</f>
        <v>0</v>
      </c>
      <c r="K21" s="395">
        <f>'raw data'!EY21</f>
        <v>0</v>
      </c>
      <c r="L21" s="412">
        <f>IF(ISERROR('raw data'!EX21/'raw data'!EY21),0,'raw data'!EX21/'raw data'!EY21)</f>
        <v>0</v>
      </c>
      <c r="M21" s="394">
        <f>'raw data'!EZ21</f>
        <v>0</v>
      </c>
      <c r="N21" s="395">
        <f>'raw data'!FA21</f>
        <v>0</v>
      </c>
      <c r="O21" s="412">
        <f>IF(ISERROR('raw data'!EZ21/'raw data'!FA21),0,'raw data'!EZ21/'raw data'!FA21)</f>
        <v>0</v>
      </c>
      <c r="P21" s="394">
        <f>'raw data'!FB21</f>
        <v>0</v>
      </c>
      <c r="Q21" s="395">
        <f>'raw data'!FC21</f>
        <v>0</v>
      </c>
      <c r="R21" s="412">
        <f>IF(ISERROR('raw data'!FB21/'raw data'!FC21),0,'raw data'!FB21/'raw data'!FC21)</f>
        <v>0</v>
      </c>
      <c r="S21" s="394">
        <f>'raw data'!FD21</f>
        <v>0</v>
      </c>
      <c r="T21" s="395">
        <f>'raw data'!FE21</f>
        <v>0</v>
      </c>
      <c r="U21" s="412">
        <f>IF(ISERROR('raw data'!FD21/'raw data'!FE21),0,'raw data'!FD21/'raw data'!FE21)</f>
        <v>0</v>
      </c>
      <c r="V21" s="394">
        <f>'raw data'!FF21</f>
        <v>0</v>
      </c>
      <c r="W21" s="395">
        <f>'raw data'!FG21</f>
        <v>0</v>
      </c>
      <c r="X21" s="412">
        <f>IF(ISERROR('raw data'!FF21/'raw data'!FG21),0,'raw data'!FF21/'raw data'!FG21)</f>
        <v>0</v>
      </c>
      <c r="Y21" s="394">
        <f>'raw data'!FH21</f>
        <v>0</v>
      </c>
      <c r="Z21" s="395">
        <f>'raw data'!FI21</f>
        <v>0</v>
      </c>
      <c r="AA21" s="412">
        <f>IF(ISERROR('raw data'!FH21/'raw data'!FI21),0,'raw data'!FH21/'raw data'!FI21)</f>
        <v>0</v>
      </c>
      <c r="AB21" s="394">
        <f>'raw data'!FJ21</f>
        <v>0</v>
      </c>
      <c r="AC21" s="395">
        <f>'raw data'!FM21</f>
        <v>0</v>
      </c>
      <c r="AD21" s="412">
        <f>IF(ISERROR('raw data'!FJ21/'raw data'!FM21),0,'raw data'!FJ21/'raw data'!FM21)</f>
        <v>0</v>
      </c>
      <c r="AE21" s="394">
        <f>'raw data'!FN21</f>
        <v>0</v>
      </c>
      <c r="AF21" s="395">
        <f>'raw data'!FO21</f>
        <v>0</v>
      </c>
      <c r="AG21" s="412">
        <f>IF(ISERROR('raw data'!FN21/'raw data'!FO21),0,'raw data'!FN21/'raw data'!FO21)</f>
        <v>0</v>
      </c>
      <c r="AH21" s="394">
        <f>'raw data'!FP21</f>
        <v>0</v>
      </c>
      <c r="AI21" s="395">
        <f>'raw data'!FQ21</f>
        <v>0</v>
      </c>
      <c r="AJ21" s="412">
        <f>IF(ISERROR('raw data'!FP21/'raw data'!FQ21),0,'raw data'!FP21/'raw data'!FQ21)</f>
        <v>0</v>
      </c>
      <c r="AK21" s="394">
        <f>'raw data'!FR21</f>
        <v>0</v>
      </c>
      <c r="AL21" s="395">
        <f>'raw data'!FS21</f>
        <v>0</v>
      </c>
      <c r="AM21" s="412">
        <f>IF(ISERROR('raw data'!FR21/'raw data'!FS21),0,'raw data'!FR21/'raw data'!FS21)</f>
        <v>0</v>
      </c>
      <c r="AN21" s="394">
        <f>'raw data'!FT21</f>
        <v>0</v>
      </c>
      <c r="AO21" s="395">
        <f>'raw data'!FU21</f>
        <v>0</v>
      </c>
      <c r="AP21" s="412">
        <f>IF(ISERROR('raw data'!FT21/'raw data'!FU21),0,'raw data'!FT21/'raw data'!FU21)</f>
        <v>0</v>
      </c>
      <c r="AQ21" s="394">
        <f>'raw data'!FV21</f>
        <v>0</v>
      </c>
      <c r="AR21" s="395">
        <f>'raw data'!FW21</f>
        <v>0</v>
      </c>
      <c r="AS21" s="413">
        <f>IF(ISERROR('raw data'!FV21/'raw data'!FW21),0,'raw data'!FV21/'raw data'!FW21)</f>
        <v>0</v>
      </c>
      <c r="AT21" s="394">
        <f>'raw data'!FX21</f>
        <v>0</v>
      </c>
      <c r="AU21" s="395">
        <f>'raw data'!FY21</f>
        <v>0</v>
      </c>
      <c r="AV21" s="397">
        <f>IF(ISERROR('raw data'!FX21/'raw data'!FY21),0,'raw data'!FX21/'raw data'!FY21)</f>
        <v>0</v>
      </c>
      <c r="AW21" s="394">
        <f>'raw data'!FZ21</f>
        <v>0</v>
      </c>
      <c r="AX21" s="395">
        <f>'raw data'!GA21</f>
        <v>0</v>
      </c>
      <c r="AY21" s="397">
        <f>IF(ISERROR('raw data'!FZ21/'raw data'!GA21),0,'raw data'!FZ21/'raw data'!GA21)</f>
        <v>0</v>
      </c>
      <c r="AZ21" s="394">
        <f>'raw data'!GB21</f>
        <v>0</v>
      </c>
      <c r="BA21" s="395">
        <f>'raw data'!GC21</f>
        <v>0</v>
      </c>
      <c r="BB21" s="397">
        <f>IF(ISERROR('raw data'!GB21/'raw data'!GC21),0,'raw data'!GB21/'raw data'!GC21)</f>
        <v>0</v>
      </c>
      <c r="BC21" s="394">
        <f>'raw data'!GD21</f>
        <v>0</v>
      </c>
      <c r="BD21" s="395">
        <f>'raw data'!GE21</f>
        <v>0</v>
      </c>
      <c r="BE21" s="397">
        <f>IF(ISERROR('raw data'!GD21/'raw data'!GE21),0,'raw data'!GD21/'raw data'!GE21)</f>
        <v>0</v>
      </c>
      <c r="BF21" s="394">
        <f>'raw data'!GF21</f>
        <v>0</v>
      </c>
      <c r="BG21" s="395">
        <f>'raw data'!GG21</f>
        <v>0</v>
      </c>
      <c r="BH21" s="397">
        <f>IF(ISERROR('raw data'!GF21/'raw data'!GG21),0,'raw data'!GF21/'raw data'!GG21)</f>
        <v>0</v>
      </c>
      <c r="BI21" s="394">
        <f>'raw data'!GH21</f>
        <v>0</v>
      </c>
      <c r="BJ21" s="395">
        <f>'raw data'!GI21</f>
        <v>0</v>
      </c>
      <c r="BK21" s="397">
        <f>IF(ISERROR('raw data'!GH21/'raw data'!GI21),0,'raw data'!GH21/'raw data'!GI21)</f>
        <v>0</v>
      </c>
      <c r="BL21" s="394">
        <f>'raw data'!GJ21</f>
        <v>0</v>
      </c>
      <c r="BM21" s="395">
        <f>'raw data'!GK21</f>
        <v>0</v>
      </c>
      <c r="BN21" s="397">
        <f>IF(ISERROR('raw data'!GJ21/'raw data'!GK21),0,'raw data'!GJ21/'raw data'!GK21)</f>
        <v>0</v>
      </c>
      <c r="BO21" s="394">
        <f>'raw data'!GL21</f>
        <v>0</v>
      </c>
      <c r="BP21" s="395">
        <f>'raw data'!GM21</f>
        <v>0</v>
      </c>
      <c r="BQ21" s="397">
        <f>IF(ISERROR('raw data'!GL21/'raw data'!GM21),0,'raw data'!GL21/'raw data'!GM21)</f>
        <v>0</v>
      </c>
      <c r="BR21" s="394">
        <f>'raw data'!GN21</f>
        <v>0</v>
      </c>
      <c r="BS21" s="395">
        <f>'raw data'!GO21</f>
        <v>0</v>
      </c>
      <c r="BT21" s="397">
        <f>IF(ISERROR('raw data'!GN21/'raw data'!GO21),0,'raw data'!GN21/'raw data'!GO21)</f>
        <v>0</v>
      </c>
      <c r="BU21" s="394">
        <f>'raw data'!GP21</f>
        <v>0</v>
      </c>
      <c r="BV21" s="395">
        <f>'raw data'!GQ21</f>
        <v>0</v>
      </c>
      <c r="BW21" s="397">
        <f>IF(ISERROR('raw data'!GP21/'raw data'!GQ21),0,'raw data'!GP21/'raw data'!GQ21)</f>
        <v>0</v>
      </c>
      <c r="BX21" s="394">
        <f>'raw data'!GR21</f>
        <v>0</v>
      </c>
      <c r="BY21" s="395">
        <f>'raw data'!GS21</f>
        <v>0</v>
      </c>
      <c r="BZ21" s="397">
        <f>IF(ISERROR('raw data'!GR21/'raw data'!GS21),0,'raw data'!GR21/'raw data'!GS21)</f>
        <v>0</v>
      </c>
      <c r="CA21" s="394">
        <f>'raw data'!GT21</f>
        <v>0</v>
      </c>
      <c r="CB21" s="395">
        <f>'raw data'!GU21</f>
        <v>0</v>
      </c>
      <c r="CC21" s="397">
        <f>IF(ISERROR('raw data'!GT21/'raw data'!GU21),0,'raw data'!GT21/'raw data'!GU21)</f>
        <v>0</v>
      </c>
      <c r="CD21" s="394">
        <f>'raw data'!GV21</f>
        <v>0</v>
      </c>
      <c r="CE21" s="395">
        <f>'raw data'!GW21</f>
        <v>0</v>
      </c>
      <c r="CF21" s="397">
        <f>IF(ISERROR('raw data'!GV21/'raw data'!GW21),0,'raw data'!GV21/'raw data'!GW21)</f>
        <v>0</v>
      </c>
      <c r="CG21" s="394">
        <f>'raw data'!GX21</f>
        <v>0</v>
      </c>
      <c r="CH21" s="395">
        <f>'raw data'!GY21</f>
        <v>0</v>
      </c>
      <c r="CI21" s="397">
        <f>IF(ISERROR('raw data'!GX21/'raw data'!GY21),0,'raw data'!GX21/'raw data'!GY21)</f>
        <v>0</v>
      </c>
      <c r="CJ21" s="394">
        <f>'raw data'!GZ21</f>
        <v>0</v>
      </c>
      <c r="CK21" s="395">
        <f>'raw data'!HA21</f>
        <v>0</v>
      </c>
      <c r="CL21" s="397">
        <f>IF(ISERROR('raw data'!GZ21/'raw data'!HA21),0,'raw data'!GZ21/'raw data'!HA21)</f>
        <v>0</v>
      </c>
      <c r="CM21" s="394">
        <f>'raw data'!HB21</f>
        <v>0</v>
      </c>
      <c r="CN21" s="395">
        <f>'raw data'!HC21</f>
        <v>0</v>
      </c>
      <c r="CO21" s="397">
        <f>IF(ISERROR('raw data'!HB21/'raw data'!HC21),0,'raw data'!HB21/'raw data'!HC21)</f>
        <v>0</v>
      </c>
      <c r="CP21" s="394">
        <f>'raw data'!HD21</f>
        <v>0</v>
      </c>
      <c r="CQ21" s="395">
        <f>'raw data'!HE21</f>
        <v>0</v>
      </c>
      <c r="CR21" s="397">
        <f>IF(ISERROR('raw data'!HD21/'raw data'!HE21),0,'raw data'!HD21/'raw data'!HE21)</f>
        <v>0</v>
      </c>
      <c r="CS21" s="394">
        <f>'raw data'!HF21</f>
        <v>0</v>
      </c>
      <c r="CT21" s="395">
        <f>'raw data'!HG21</f>
        <v>0</v>
      </c>
      <c r="CU21" s="397">
        <f>IF(ISERROR('raw data'!HF21/'raw data'!HG21),0,'raw data'!HF21/'raw data'!HG21)</f>
        <v>0</v>
      </c>
      <c r="CV21" s="394">
        <f>'raw data'!HH21</f>
        <v>0</v>
      </c>
      <c r="CW21" s="395">
        <f>'raw data'!HI21</f>
        <v>0</v>
      </c>
      <c r="CX21" s="397">
        <f>IF(ISERROR('raw data'!HH21/'raw data'!HI21),0,'raw data'!HH21/'raw data'!HI21)</f>
        <v>0</v>
      </c>
      <c r="CY21" s="394">
        <f>'raw data'!HJ21</f>
        <v>0</v>
      </c>
      <c r="CZ21" s="395">
        <f>'raw data'!HK21</f>
        <v>0</v>
      </c>
      <c r="DA21" s="397">
        <f>IF(ISERROR('raw data'!HJ21/'raw data'!HK21),0,'raw data'!HJ21/'raw data'!HK21)</f>
        <v>0</v>
      </c>
      <c r="DB21" s="394">
        <f>'raw data'!HL21</f>
        <v>0</v>
      </c>
      <c r="DC21" s="395">
        <f>'raw data'!HM21</f>
        <v>0</v>
      </c>
      <c r="DD21" s="397">
        <f>IF(ISERROR('raw data'!HL21/'raw data'!HM21),0,'raw data'!HL21/'raw data'!HM21)</f>
        <v>0</v>
      </c>
      <c r="DE21" s="394">
        <f>'raw data'!HN21</f>
        <v>0</v>
      </c>
      <c r="DF21" s="395">
        <f>'raw data'!HO21</f>
        <v>0</v>
      </c>
      <c r="DG21" s="397">
        <f>IF(ISERROR('raw data'!HN21/'raw data'!HO21),0,'raw data'!HN21/'raw data'!HO21)</f>
        <v>0</v>
      </c>
      <c r="DH21" s="394">
        <f>'raw data'!HP21</f>
        <v>0</v>
      </c>
      <c r="DI21" s="395">
        <f>'raw data'!HQ21</f>
        <v>0</v>
      </c>
      <c r="DJ21" s="397">
        <f>IF(ISERROR('raw data'!HP21/'raw data'!HQ21),0,'raw data'!HP21/'raw data'!HQ21)</f>
        <v>0</v>
      </c>
      <c r="DK21" s="394">
        <f>'raw data'!HR21</f>
        <v>0</v>
      </c>
      <c r="DL21" s="395">
        <f>'raw data'!HS21</f>
        <v>0</v>
      </c>
      <c r="DM21" s="397">
        <f>IF(ISERROR('raw data'!HR21/'raw data'!HS21),0,'raw data'!HR21/'raw data'!HS21)</f>
        <v>0</v>
      </c>
      <c r="DN21" s="394">
        <f>'raw data'!HT21</f>
        <v>0</v>
      </c>
      <c r="DO21" s="395">
        <f>'raw data'!HU21</f>
        <v>0</v>
      </c>
      <c r="DP21" s="397">
        <f>IF(ISERROR('raw data'!HT21/'raw data'!HU21),0,'raw data'!HT21/'raw data'!HU21)</f>
        <v>0</v>
      </c>
      <c r="DQ21" s="394">
        <f>'raw data'!HV21</f>
        <v>0</v>
      </c>
      <c r="DR21" s="395">
        <f>'raw data'!HW21</f>
        <v>0</v>
      </c>
      <c r="DS21" s="397">
        <f>IF(ISERROR('raw data'!HV21/'raw data'!HW21),0,'raw data'!HV21/'raw data'!HW21)</f>
        <v>0</v>
      </c>
      <c r="DT21" s="394">
        <f>'raw data'!HX21</f>
        <v>0</v>
      </c>
      <c r="DU21" s="395">
        <f>'raw data'!HY21</f>
        <v>0</v>
      </c>
      <c r="DV21" s="397">
        <f>IF(ISERROR('raw data'!HX21/'raw data'!HY21),0,'raw data'!HX21/'raw data'!HY21)</f>
        <v>0</v>
      </c>
      <c r="DW21" s="394">
        <f>'raw data'!HZ21</f>
        <v>0</v>
      </c>
      <c r="DX21" s="395">
        <f>'raw data'!IA21</f>
        <v>0</v>
      </c>
      <c r="DY21" s="397">
        <f>IF(ISERROR('raw data'!HZ21/'raw data'!IA21),0,'raw data'!HZ21/'raw data'!IA21)</f>
        <v>0</v>
      </c>
      <c r="DZ21" s="394">
        <f>'raw data'!IB21</f>
        <v>0</v>
      </c>
      <c r="EA21" s="395">
        <f>'raw data'!IC21</f>
        <v>0</v>
      </c>
      <c r="EB21" s="397">
        <f>IF(ISERROR('raw data'!IB21/'raw data'!IC21),0,'raw data'!IB21/'raw data'!IC21)</f>
        <v>0</v>
      </c>
      <c r="EC21" s="394">
        <f>'raw data'!ID21</f>
        <v>0</v>
      </c>
      <c r="ED21" s="395">
        <f>'raw data'!IE21</f>
        <v>0</v>
      </c>
      <c r="EE21" s="397">
        <f>IF(ISERROR('raw data'!ID21/'raw data'!IE21),0,'raw data'!ID21/'raw data'!IE21)</f>
        <v>0</v>
      </c>
      <c r="EF21" s="394">
        <f>'raw data'!IF21</f>
        <v>0</v>
      </c>
      <c r="EG21" s="395">
        <f>'raw data'!IG21</f>
        <v>0</v>
      </c>
      <c r="EH21" s="397">
        <f>IF(ISERROR('raw data'!IF21/'raw data'!IG21),0,'raw data'!IF21/'raw data'!IG21)</f>
        <v>0</v>
      </c>
      <c r="EI21" s="394">
        <f>'raw data'!IH21</f>
        <v>0</v>
      </c>
      <c r="EJ21" s="395">
        <f>'raw data'!II21</f>
        <v>0</v>
      </c>
      <c r="EK21" s="397">
        <f>IF(ISERROR('raw data'!IH21/'raw data'!II21),0,'raw data'!IH21/'raw data'!II21)</f>
        <v>0</v>
      </c>
      <c r="EL21" s="394">
        <f>'raw data'!IJ21</f>
        <v>0</v>
      </c>
      <c r="EM21" s="395">
        <f>'raw data'!IK21</f>
        <v>0</v>
      </c>
      <c r="EN21" s="397">
        <f>IF(ISERROR('raw data'!IJ21/'raw data'!IK21),0,'raw data'!IJ21/'raw data'!IK21)</f>
        <v>0</v>
      </c>
      <c r="EO21" s="394">
        <f>'raw data'!IL21</f>
        <v>0</v>
      </c>
      <c r="EP21" s="395">
        <f>'raw data'!IM21</f>
        <v>0</v>
      </c>
      <c r="EQ21" s="397">
        <f>IF(ISERROR('raw data'!IL21/'raw data'!IM21),0,'raw data'!IL21/'raw data'!IM21)</f>
        <v>0</v>
      </c>
      <c r="ER21" s="394">
        <f>'raw data'!IN21</f>
        <v>0</v>
      </c>
      <c r="ES21" s="395">
        <f>'raw data'!IO21</f>
        <v>0</v>
      </c>
      <c r="ET21" s="397">
        <f>IF(ISERROR('raw data'!IN21/'raw data'!IO21),0,'raw data'!IN21/'raw data'!IO21)</f>
        <v>0</v>
      </c>
      <c r="EU21" s="394">
        <f>'raw data'!IP21</f>
        <v>0</v>
      </c>
      <c r="EV21" s="395">
        <f>'raw data'!IQ21</f>
        <v>0</v>
      </c>
      <c r="EW21" s="397">
        <f>IF(ISERROR('raw data'!IP21/'raw data'!IQ21),0,'raw data'!IP21/'raw data'!IQ21)</f>
        <v>0</v>
      </c>
      <c r="EX21" s="394">
        <f>'raw data'!IR21</f>
        <v>0</v>
      </c>
      <c r="EY21" s="395">
        <f>'raw data'!IS21</f>
        <v>0</v>
      </c>
      <c r="EZ21" s="397">
        <f>IF(ISERROR('raw data'!IR21/'raw data'!IS21),0,'raw data'!IR21/'raw data'!IS21)</f>
        <v>0</v>
      </c>
      <c r="FA21" s="394">
        <f>'raw data'!IT21</f>
        <v>0</v>
      </c>
      <c r="FB21" s="395">
        <f>'raw data'!IU21</f>
        <v>0</v>
      </c>
      <c r="FC21" s="397">
        <f>IF(ISERROR('raw data'!IT21/'raw data'!IU21),0,'raw data'!IT21/'raw data'!IU21)</f>
        <v>0</v>
      </c>
      <c r="FD21" s="394">
        <f>'raw data'!IV21</f>
        <v>0</v>
      </c>
      <c r="FE21" s="395">
        <f>'raw data'!IW21</f>
        <v>0</v>
      </c>
      <c r="FF21" s="397">
        <f>IF(ISERROR('raw data'!IV21/'raw data'!IW21),0,'raw data'!IV21/'raw data'!IW21)</f>
        <v>0</v>
      </c>
      <c r="FG21" s="394">
        <f>'raw data'!IX21</f>
        <v>0</v>
      </c>
      <c r="FH21" s="395">
        <f>'raw data'!IY21</f>
        <v>0</v>
      </c>
      <c r="FI21" s="397">
        <f>IF(ISERROR('raw data'!IX21/'raw data'!IY21),0,'raw data'!IX21/'raw data'!IY21)</f>
        <v>0</v>
      </c>
      <c r="FJ21" s="394">
        <f>'raw data'!IZ21</f>
        <v>0</v>
      </c>
      <c r="FK21" s="395">
        <f>'raw data'!JA21</f>
        <v>0</v>
      </c>
      <c r="FL21" s="397">
        <f>IF(ISERROR('raw data'!IZ21/'raw data'!JA21),0,'raw data'!IZ21/'raw data'!JA21)</f>
        <v>0</v>
      </c>
      <c r="FM21" s="394">
        <f>'raw data'!JB21</f>
        <v>0</v>
      </c>
      <c r="FN21" s="395">
        <f>'raw data'!JC21</f>
        <v>0</v>
      </c>
      <c r="FO21" s="397">
        <f>IF(ISERROR('raw data'!JB21/'raw data'!JC21),0,'raw data'!JB21/'raw data'!JC21)</f>
        <v>0</v>
      </c>
      <c r="FP21" s="394">
        <f>'raw data'!JD21</f>
        <v>0</v>
      </c>
      <c r="FQ21" s="395">
        <f>'raw data'!JE21</f>
        <v>0</v>
      </c>
      <c r="FR21" s="397">
        <f>IF(ISERROR('raw data'!JD21/'raw data'!JE21),0,'raw data'!JD21/'raw data'!JE21)</f>
        <v>0</v>
      </c>
      <c r="FS21" s="388"/>
      <c r="FT21" s="398">
        <v>0</v>
      </c>
      <c r="FU21" s="399">
        <v>0</v>
      </c>
      <c r="FV21" s="400">
        <f t="shared" si="0"/>
        <v>0</v>
      </c>
    </row>
    <row r="22" spans="1:179" ht="25.5" customHeight="1" x14ac:dyDescent="0.15">
      <c r="A22" s="411">
        <v>1.21</v>
      </c>
      <c r="B22" s="382" t="str">
        <f>'raw data'!B22</f>
        <v xml:space="preserve">Flex accounts with 40 or more bill payments (WPs), totalling £4.5k or more, last month. </v>
      </c>
      <c r="C22" s="393" t="s">
        <v>43</v>
      </c>
      <c r="D22" s="394">
        <f>'raw data'!ET22</f>
        <v>41</v>
      </c>
      <c r="E22" s="395">
        <f>'raw data'!EU22</f>
        <v>198</v>
      </c>
      <c r="F22" s="396">
        <f>IF(ISERROR('raw data'!ET22/'raw data'!EU22),0,'raw data'!ET22/'raw data'!EU22)</f>
        <v>0.20707070707070707</v>
      </c>
      <c r="G22" s="394">
        <f>'raw data'!EV22</f>
        <v>30</v>
      </c>
      <c r="H22" s="395">
        <f>'raw data'!EW22</f>
        <v>159</v>
      </c>
      <c r="I22" s="396">
        <f>IF(ISERROR('raw data'!EV22/'raw data'!EW22),0,'raw data'!EV22/'raw data'!EW22)</f>
        <v>0.18867924528301888</v>
      </c>
      <c r="J22" s="394">
        <f>'raw data'!EX22</f>
        <v>39</v>
      </c>
      <c r="K22" s="395">
        <f>'raw data'!EY22</f>
        <v>280</v>
      </c>
      <c r="L22" s="396">
        <f>IF(ISERROR('raw data'!EX22/'raw data'!EY22),0,'raw data'!EX22/'raw data'!EY22)</f>
        <v>0.13928571428571429</v>
      </c>
      <c r="M22" s="394">
        <f>'raw data'!EZ22</f>
        <v>37</v>
      </c>
      <c r="N22" s="395">
        <f>'raw data'!FA22</f>
        <v>216</v>
      </c>
      <c r="O22" s="396">
        <f>IF(ISERROR('raw data'!EZ22/'raw data'!FA22),0,'raw data'!EZ22/'raw data'!FA22)</f>
        <v>0.17129629629629631</v>
      </c>
      <c r="P22" s="394">
        <f>'raw data'!FB22</f>
        <v>46</v>
      </c>
      <c r="Q22" s="395">
        <f>'raw data'!FC22</f>
        <v>282</v>
      </c>
      <c r="R22" s="396">
        <f>IF(ISERROR('raw data'!FB22/'raw data'!FC22),0,'raw data'!FB22/'raw data'!FC22)</f>
        <v>0.16312056737588654</v>
      </c>
      <c r="S22" s="394">
        <f>'raw data'!FD22</f>
        <v>35</v>
      </c>
      <c r="T22" s="395">
        <f>'raw data'!FE22</f>
        <v>226</v>
      </c>
      <c r="U22" s="396">
        <f>IF(ISERROR('raw data'!FD22/'raw data'!FE22),0,'raw data'!FD22/'raw data'!FE22)</f>
        <v>0.15486725663716813</v>
      </c>
      <c r="V22" s="394">
        <f>'raw data'!FF22</f>
        <v>55</v>
      </c>
      <c r="W22" s="395">
        <f>'raw data'!FG22</f>
        <v>261</v>
      </c>
      <c r="X22" s="396">
        <f>IF(ISERROR('raw data'!FF22/'raw data'!FG22),0,'raw data'!FF22/'raw data'!FG22)</f>
        <v>0.21072796934865901</v>
      </c>
      <c r="Y22" s="394">
        <f>'raw data'!FH22</f>
        <v>61</v>
      </c>
      <c r="Z22" s="395">
        <f>'raw data'!FI22</f>
        <v>305</v>
      </c>
      <c r="AA22" s="396">
        <f>IF(ISERROR('raw data'!FH22/'raw data'!FI22),0,'raw data'!FH22/'raw data'!FI22)</f>
        <v>0.2</v>
      </c>
      <c r="AB22" s="394">
        <f>'raw data'!FJ22</f>
        <v>43</v>
      </c>
      <c r="AC22" s="395">
        <f>'raw data'!FM22</f>
        <v>316</v>
      </c>
      <c r="AD22" s="396">
        <f>IF(ISERROR('raw data'!FJ22/'raw data'!FM22),0,'raw data'!FJ22/'raw data'!FM22)</f>
        <v>0.13607594936708861</v>
      </c>
      <c r="AE22" s="394">
        <f>'raw data'!FN22</f>
        <v>46</v>
      </c>
      <c r="AF22" s="395">
        <f>'raw data'!FO22</f>
        <v>304</v>
      </c>
      <c r="AG22" s="396">
        <f>IF(ISERROR('raw data'!FN22/'raw data'!FO22),0,'raw data'!FN22/'raw data'!FO22)</f>
        <v>0.15131578947368421</v>
      </c>
      <c r="AH22" s="394">
        <f>'raw data'!FP22</f>
        <v>56</v>
      </c>
      <c r="AI22" s="395">
        <f>'raw data'!FQ22</f>
        <v>316</v>
      </c>
      <c r="AJ22" s="396">
        <f>IF(ISERROR('raw data'!FP22/'raw data'!FQ22),0,'raw data'!FP22/'raw data'!FQ22)</f>
        <v>0.17721518987341772</v>
      </c>
      <c r="AK22" s="394">
        <f>'raw data'!FR22</f>
        <v>40</v>
      </c>
      <c r="AL22" s="395">
        <f>'raw data'!FS22</f>
        <v>269</v>
      </c>
      <c r="AM22" s="396">
        <f>IF(ISERROR('raw data'!FR22/'raw data'!FS22),0,'raw data'!FR22/'raw data'!FS22)</f>
        <v>0.14869888475836432</v>
      </c>
      <c r="AN22" s="394">
        <f>'raw data'!FT22</f>
        <v>72</v>
      </c>
      <c r="AO22" s="395">
        <f>'raw data'!FU22</f>
        <v>342</v>
      </c>
      <c r="AP22" s="396">
        <f>IF(ISERROR('raw data'!FT22/'raw data'!FU22),0,'raw data'!FT22/'raw data'!FU22)</f>
        <v>0.21052631578947367</v>
      </c>
      <c r="AQ22" s="394">
        <f>'raw data'!FV22</f>
        <v>23</v>
      </c>
      <c r="AR22" s="395">
        <f>'raw data'!FW22</f>
        <v>245</v>
      </c>
      <c r="AS22" s="397">
        <f>IF(ISERROR('raw data'!FV22/'raw data'!FW22),0,'raw data'!FV22/'raw data'!FW22)</f>
        <v>9.3877551020408165E-2</v>
      </c>
      <c r="AT22" s="394">
        <f>'raw data'!FX22</f>
        <v>70</v>
      </c>
      <c r="AU22" s="395">
        <f>'raw data'!FY22</f>
        <v>395</v>
      </c>
      <c r="AV22" s="397">
        <f>IF(ISERROR('raw data'!FX22/'raw data'!FY22),0,'raw data'!FX22/'raw data'!FY22)</f>
        <v>0.17721518987341772</v>
      </c>
      <c r="AW22" s="394">
        <f>'raw data'!FZ22</f>
        <v>47</v>
      </c>
      <c r="AX22" s="395">
        <f>'raw data'!GA22</f>
        <v>300</v>
      </c>
      <c r="AY22" s="397">
        <f>IF(ISERROR('raw data'!FZ22/'raw data'!GA22),0,'raw data'!FZ22/'raw data'!GA22)</f>
        <v>0.15666666666666668</v>
      </c>
      <c r="AZ22" s="394">
        <f>'raw data'!GB22</f>
        <v>73</v>
      </c>
      <c r="BA22" s="395">
        <f>'raw data'!GC22</f>
        <v>363</v>
      </c>
      <c r="BB22" s="397">
        <f>IF(ISERROR('raw data'!GB22/'raw data'!GC22),0,'raw data'!GB22/'raw data'!GC22)</f>
        <v>0.20110192837465565</v>
      </c>
      <c r="BC22" s="394">
        <f>'raw data'!GD22</f>
        <v>58</v>
      </c>
      <c r="BD22" s="395">
        <f>'raw data'!GE22</f>
        <v>366</v>
      </c>
      <c r="BE22" s="397">
        <f>IF(ISERROR('raw data'!GD22/'raw data'!GE22),0,'raw data'!GD22/'raw data'!GE22)</f>
        <v>0.15846994535519127</v>
      </c>
      <c r="BF22" s="394">
        <f>'raw data'!GF22</f>
        <v>63</v>
      </c>
      <c r="BG22" s="395">
        <f>'raw data'!GG22</f>
        <v>301</v>
      </c>
      <c r="BH22" s="397">
        <f>IF(ISERROR('raw data'!GF22/'raw data'!GG22),0,'raw data'!GF22/'raw data'!GG22)</f>
        <v>0.20930232558139536</v>
      </c>
      <c r="BI22" s="394">
        <f>'raw data'!GH22</f>
        <v>55</v>
      </c>
      <c r="BJ22" s="395">
        <f>'raw data'!GI22</f>
        <v>306</v>
      </c>
      <c r="BK22" s="397">
        <f>IF(ISERROR('raw data'!GH22/'raw data'!GI22),0,'raw data'!GH22/'raw data'!GI22)</f>
        <v>0.17973856209150327</v>
      </c>
      <c r="BL22" s="394">
        <f>'raw data'!GJ22</f>
        <v>52</v>
      </c>
      <c r="BM22" s="395">
        <f>'raw data'!GK22</f>
        <v>241</v>
      </c>
      <c r="BN22" s="397">
        <f>IF(ISERROR('raw data'!GJ22/'raw data'!GK22),0,'raw data'!GJ22/'raw data'!GK22)</f>
        <v>0.21576763485477179</v>
      </c>
      <c r="BO22" s="394">
        <f>'raw data'!GL22</f>
        <v>70</v>
      </c>
      <c r="BP22" s="395">
        <f>'raw data'!GM22</f>
        <v>380</v>
      </c>
      <c r="BQ22" s="397">
        <f>IF(ISERROR('raw data'!GL22/'raw data'!GM22),0,'raw data'!GL22/'raw data'!GM22)</f>
        <v>0.18421052631578946</v>
      </c>
      <c r="BR22" s="394">
        <f>'raw data'!GN22</f>
        <v>64</v>
      </c>
      <c r="BS22" s="395">
        <f>'raw data'!GO22</f>
        <v>311</v>
      </c>
      <c r="BT22" s="397">
        <f>IF(ISERROR('raw data'!GN22/'raw data'!GO22),0,'raw data'!GN22/'raw data'!GO22)</f>
        <v>0.20578778135048231</v>
      </c>
      <c r="BU22" s="394">
        <f>'raw data'!GP22</f>
        <v>56</v>
      </c>
      <c r="BV22" s="395">
        <f>'raw data'!GQ22</f>
        <v>288</v>
      </c>
      <c r="BW22" s="397">
        <f>IF(ISERROR('raw data'!GP22/'raw data'!GQ22),0,'raw data'!GP22/'raw data'!GQ22)</f>
        <v>0.19444444444444445</v>
      </c>
      <c r="BX22" s="394">
        <f>'raw data'!GR22</f>
        <v>57</v>
      </c>
      <c r="BY22" s="395">
        <f>'raw data'!GS22</f>
        <v>268</v>
      </c>
      <c r="BZ22" s="397">
        <f>IF(ISERROR('raw data'!GR22/'raw data'!GS22),0,'raw data'!GR22/'raw data'!GS22)</f>
        <v>0.21268656716417911</v>
      </c>
      <c r="CA22" s="394">
        <f>'raw data'!GT22</f>
        <v>31</v>
      </c>
      <c r="CB22" s="395">
        <f>'raw data'!GU22</f>
        <v>143</v>
      </c>
      <c r="CC22" s="397">
        <f>IF(ISERROR('raw data'!GT22/'raw data'!GU22),0,'raw data'!GT22/'raw data'!GU22)</f>
        <v>0.21678321678321677</v>
      </c>
      <c r="CD22" s="394">
        <f>'raw data'!GV22</f>
        <v>79</v>
      </c>
      <c r="CE22" s="395">
        <f>'raw data'!GW22</f>
        <v>304</v>
      </c>
      <c r="CF22" s="397">
        <f>IF(ISERROR('raw data'!GV22/'raw data'!GW22),0,'raw data'!GV22/'raw data'!GW22)</f>
        <v>0.25986842105263158</v>
      </c>
      <c r="CG22" s="394">
        <f>'raw data'!GX22</f>
        <v>74</v>
      </c>
      <c r="CH22" s="395">
        <f>'raw data'!GY22</f>
        <v>293</v>
      </c>
      <c r="CI22" s="397">
        <f>IF(ISERROR('raw data'!GX22/'raw data'!GY22),0,'raw data'!GX22/'raw data'!GY22)</f>
        <v>0.25255972696245732</v>
      </c>
      <c r="CJ22" s="394">
        <f>'raw data'!GZ22</f>
        <v>80</v>
      </c>
      <c r="CK22" s="395">
        <f>'raw data'!HA22</f>
        <v>282</v>
      </c>
      <c r="CL22" s="397">
        <f>IF(ISERROR('raw data'!GZ22/'raw data'!HA22),0,'raw data'!GZ22/'raw data'!HA22)</f>
        <v>0.28368794326241137</v>
      </c>
      <c r="CM22" s="394">
        <f>'raw data'!HB22</f>
        <v>60</v>
      </c>
      <c r="CN22" s="395">
        <f>'raw data'!HC22</f>
        <v>231</v>
      </c>
      <c r="CO22" s="397">
        <f>IF(ISERROR('raw data'!HB22/'raw data'!HC22),0,'raw data'!HB22/'raw data'!HC22)</f>
        <v>0.25974025974025972</v>
      </c>
      <c r="CP22" s="394">
        <f>'raw data'!HD22</f>
        <v>90</v>
      </c>
      <c r="CQ22" s="395">
        <f>'raw data'!HE22</f>
        <v>277</v>
      </c>
      <c r="CR22" s="397">
        <f>IF(ISERROR('raw data'!HD22/'raw data'!HE22),0,'raw data'!HD22/'raw data'!HE22)</f>
        <v>0.32490974729241878</v>
      </c>
      <c r="CS22" s="394">
        <f>'raw data'!HF22</f>
        <v>103</v>
      </c>
      <c r="CT22" s="395">
        <f>'raw data'!HG22</f>
        <v>260</v>
      </c>
      <c r="CU22" s="397">
        <f>IF(ISERROR('raw data'!HF22/'raw data'!HG22),0,'raw data'!HF22/'raw data'!HG22)</f>
        <v>0.39615384615384613</v>
      </c>
      <c r="CV22" s="394">
        <f>'raw data'!HH22</f>
        <v>74</v>
      </c>
      <c r="CW22" s="395">
        <f>'raw data'!HI22</f>
        <v>239</v>
      </c>
      <c r="CX22" s="397">
        <f>IF(ISERROR('raw data'!HH22/'raw data'!HI22),0,'raw data'!HH22/'raw data'!HI22)</f>
        <v>0.30962343096234307</v>
      </c>
      <c r="CY22" s="394">
        <f>'raw data'!HJ22</f>
        <v>74</v>
      </c>
      <c r="CZ22" s="395">
        <f>'raw data'!HK22</f>
        <v>195</v>
      </c>
      <c r="DA22" s="397">
        <f>IF(ISERROR('raw data'!HJ22/'raw data'!HK22),0,'raw data'!HJ22/'raw data'!HK22)</f>
        <v>0.37948717948717947</v>
      </c>
      <c r="DB22" s="394">
        <f>'raw data'!HL22</f>
        <v>55</v>
      </c>
      <c r="DC22" s="395">
        <f>'raw data'!HM22</f>
        <v>226</v>
      </c>
      <c r="DD22" s="397">
        <f>IF(ISERROR('raw data'!HL22/'raw data'!HM22),0,'raw data'!HL22/'raw data'!HM22)</f>
        <v>0.24336283185840707</v>
      </c>
      <c r="DE22" s="394">
        <f>'raw data'!HN22</f>
        <v>77</v>
      </c>
      <c r="DF22" s="395">
        <f>'raw data'!HO22</f>
        <v>252</v>
      </c>
      <c r="DG22" s="397">
        <f>IF(ISERROR('raw data'!HN22/'raw data'!HO22),0,'raw data'!HN22/'raw data'!HO22)</f>
        <v>0.30555555555555558</v>
      </c>
      <c r="DH22" s="394">
        <f>'raw data'!HP22</f>
        <v>49</v>
      </c>
      <c r="DI22" s="395">
        <f>'raw data'!HQ22</f>
        <v>279</v>
      </c>
      <c r="DJ22" s="397">
        <f>IF(ISERROR('raw data'!HP22/'raw data'!HQ22),0,'raw data'!HP22/'raw data'!HQ22)</f>
        <v>0.17562724014336917</v>
      </c>
      <c r="DK22" s="394">
        <f>'raw data'!HR22</f>
        <v>70</v>
      </c>
      <c r="DL22" s="395">
        <f>'raw data'!HS22</f>
        <v>187</v>
      </c>
      <c r="DM22" s="397">
        <f>IF(ISERROR('raw data'!HR22/'raw data'!HS22),0,'raw data'!HR22/'raw data'!HS22)</f>
        <v>0.37433155080213903</v>
      </c>
      <c r="DN22" s="394">
        <f>'raw data'!HT22</f>
        <v>90</v>
      </c>
      <c r="DO22" s="395">
        <f>'raw data'!HU22</f>
        <v>237</v>
      </c>
      <c r="DP22" s="397">
        <f>IF(ISERROR('raw data'!HT22/'raw data'!HU22),0,'raw data'!HT22/'raw data'!HU22)</f>
        <v>0.379746835443038</v>
      </c>
      <c r="DQ22" s="394">
        <f>'raw data'!HV22</f>
        <v>124</v>
      </c>
      <c r="DR22" s="395">
        <f>'raw data'!HW22</f>
        <v>327</v>
      </c>
      <c r="DS22" s="397">
        <f>IF(ISERROR('raw data'!HV22/'raw data'!HW22),0,'raw data'!HV22/'raw data'!HW22)</f>
        <v>0.37920489296636084</v>
      </c>
      <c r="DT22" s="394">
        <f>'raw data'!HX22</f>
        <v>139</v>
      </c>
      <c r="DU22" s="395">
        <f>'raw data'!HY22</f>
        <v>423</v>
      </c>
      <c r="DV22" s="397">
        <f>IF(ISERROR('raw data'!HX22/'raw data'!HY22),0,'raw data'!HX22/'raw data'!HY22)</f>
        <v>0.32860520094562645</v>
      </c>
      <c r="DW22" s="394">
        <f>'raw data'!HZ22</f>
        <v>141</v>
      </c>
      <c r="DX22" s="395">
        <f>'raw data'!IA22</f>
        <v>429</v>
      </c>
      <c r="DY22" s="397">
        <f>IF(ISERROR('raw data'!HZ22/'raw data'!IA22),0,'raw data'!HZ22/'raw data'!IA22)</f>
        <v>0.32867132867132864</v>
      </c>
      <c r="DZ22" s="394">
        <f>'raw data'!IB22</f>
        <v>202</v>
      </c>
      <c r="EA22" s="395">
        <f>'raw data'!IC22</f>
        <v>494</v>
      </c>
      <c r="EB22" s="397">
        <f>IF(ISERROR('raw data'!IB22/'raw data'!IC22),0,'raw data'!IB22/'raw data'!IC22)</f>
        <v>0.40890688259109309</v>
      </c>
      <c r="EC22" s="394">
        <f>'raw data'!ID22</f>
        <v>172</v>
      </c>
      <c r="ED22" s="395">
        <f>'raw data'!IE22</f>
        <v>409</v>
      </c>
      <c r="EE22" s="397">
        <f>IF(ISERROR('raw data'!ID22/'raw data'!IE22),0,'raw data'!ID22/'raw data'!IE22)</f>
        <v>0.42053789731051344</v>
      </c>
      <c r="EF22" s="394">
        <f>'raw data'!IF22</f>
        <v>164</v>
      </c>
      <c r="EG22" s="395">
        <f>'raw data'!IG22</f>
        <v>407</v>
      </c>
      <c r="EH22" s="397">
        <f>IF(ISERROR('raw data'!IF22/'raw data'!IG22),0,'raw data'!IF22/'raw data'!IG22)</f>
        <v>0.40294840294840295</v>
      </c>
      <c r="EI22" s="394">
        <f>'raw data'!IH22</f>
        <v>207</v>
      </c>
      <c r="EJ22" s="395">
        <f>'raw data'!II22</f>
        <v>490</v>
      </c>
      <c r="EK22" s="397">
        <f>IF(ISERROR('raw data'!IH22/'raw data'!II22),0,'raw data'!IH22/'raw data'!II22)</f>
        <v>0.42244897959183675</v>
      </c>
      <c r="EL22" s="394">
        <f>'raw data'!IJ22</f>
        <v>275</v>
      </c>
      <c r="EM22" s="395">
        <f>'raw data'!IK22</f>
        <v>530</v>
      </c>
      <c r="EN22" s="397">
        <f>IF(ISERROR('raw data'!IJ22/'raw data'!IK22),0,'raw data'!IJ22/'raw data'!IK22)</f>
        <v>0.51886792452830188</v>
      </c>
      <c r="EO22" s="394">
        <f>'raw data'!IL22</f>
        <v>292</v>
      </c>
      <c r="EP22" s="395">
        <f>'raw data'!IM22</f>
        <v>635</v>
      </c>
      <c r="EQ22" s="397">
        <f>IF(ISERROR('raw data'!IL22/'raw data'!IM22),0,'raw data'!IL22/'raw data'!IM22)</f>
        <v>0.45984251968503936</v>
      </c>
      <c r="ER22" s="394">
        <f>'raw data'!IN22</f>
        <v>257</v>
      </c>
      <c r="ES22" s="395">
        <f>'raw data'!IO22</f>
        <v>485</v>
      </c>
      <c r="ET22" s="397">
        <f>IF(ISERROR('raw data'!IN22/'raw data'!IO22),0,'raw data'!IN22/'raw data'!IO22)</f>
        <v>0.52989690721649485</v>
      </c>
      <c r="EU22" s="394">
        <f>'raw data'!IP22</f>
        <v>264</v>
      </c>
      <c r="EV22" s="395">
        <f>'raw data'!IQ22</f>
        <v>509</v>
      </c>
      <c r="EW22" s="397">
        <f>IF(ISERROR('raw data'!IP22/'raw data'!IQ22),0,'raw data'!IP22/'raw data'!IQ22)</f>
        <v>0.51866404715127701</v>
      </c>
      <c r="EX22" s="394">
        <f>'raw data'!IR22</f>
        <v>389</v>
      </c>
      <c r="EY22" s="395">
        <f>'raw data'!IS22</f>
        <v>773</v>
      </c>
      <c r="EZ22" s="397">
        <f>IF(ISERROR('raw data'!IR22/'raw data'!IS22),0,'raw data'!IR22/'raw data'!IS22)</f>
        <v>0.50323415265200522</v>
      </c>
      <c r="FA22" s="394">
        <f>'raw data'!IT22</f>
        <v>294</v>
      </c>
      <c r="FB22" s="395">
        <f>'raw data'!IU22</f>
        <v>666</v>
      </c>
      <c r="FC22" s="397">
        <f>IF(ISERROR('raw data'!IT22/'raw data'!IU22),0,'raw data'!IT22/'raw data'!IU22)</f>
        <v>0.44144144144144143</v>
      </c>
      <c r="FD22" s="394">
        <f>'raw data'!IV22</f>
        <v>283</v>
      </c>
      <c r="FE22" s="395">
        <f>'raw data'!IW22</f>
        <v>566</v>
      </c>
      <c r="FF22" s="397">
        <f>IF(ISERROR('raw data'!IV22/'raw data'!IW22),0,'raw data'!IV22/'raw data'!IW22)</f>
        <v>0.5</v>
      </c>
      <c r="FG22" s="394">
        <f>'raw data'!IX22</f>
        <v>268</v>
      </c>
      <c r="FH22" s="395">
        <f>'raw data'!IY22</f>
        <v>522</v>
      </c>
      <c r="FI22" s="397">
        <f>IF(ISERROR('raw data'!IX22/'raw data'!IY22),0,'raw data'!IX22/'raw data'!IY22)</f>
        <v>0.51340996168582376</v>
      </c>
      <c r="FJ22" s="394">
        <f>'raw data'!IZ22</f>
        <v>282</v>
      </c>
      <c r="FK22" s="395">
        <f>'raw data'!JA22</f>
        <v>625</v>
      </c>
      <c r="FL22" s="397">
        <f>IF(ISERROR('raw data'!IZ22/'raw data'!JA22),0,'raw data'!IZ22/'raw data'!JA22)</f>
        <v>0.45119999999999999</v>
      </c>
      <c r="FM22" s="394">
        <f>'raw data'!JB22</f>
        <v>242</v>
      </c>
      <c r="FN22" s="395">
        <f>'raw data'!JC22</f>
        <v>578</v>
      </c>
      <c r="FO22" s="397">
        <f>IF(ISERROR('raw data'!JB22/'raw data'!JC22),0,'raw data'!JB22/'raw data'!JC22)</f>
        <v>0.41868512110726641</v>
      </c>
      <c r="FP22" s="394">
        <f>'raw data'!JD22</f>
        <v>266</v>
      </c>
      <c r="FQ22" s="395">
        <f>'raw data'!JE22</f>
        <v>569</v>
      </c>
      <c r="FR22" s="397">
        <f>IF(ISERROR('raw data'!JD22/'raw data'!JE22),0,'raw data'!JD22/'raw data'!JE22)</f>
        <v>0.46748681898066785</v>
      </c>
      <c r="FS22" s="388"/>
      <c r="FT22" s="398">
        <v>3319</v>
      </c>
      <c r="FU22" s="399">
        <v>6948</v>
      </c>
      <c r="FV22" s="400">
        <f t="shared" si="0"/>
        <v>0.47769142199194015</v>
      </c>
    </row>
    <row r="23" spans="1:179" ht="25.5" customHeight="1" x14ac:dyDescent="0.15">
      <c r="A23" s="411">
        <v>1.22</v>
      </c>
      <c r="B23" s="382" t="str">
        <f>'raw data'!B23</f>
        <v>Multiple (4+) Chaps/Swifts received totalling £10k or more.</v>
      </c>
      <c r="C23" s="393" t="s">
        <v>45</v>
      </c>
      <c r="D23" s="394">
        <f>'raw data'!ET23</f>
        <v>14</v>
      </c>
      <c r="E23" s="395">
        <f>'raw data'!EU23</f>
        <v>116</v>
      </c>
      <c r="F23" s="396">
        <f>IF(ISERROR('raw data'!ET23/'raw data'!EU23),0,'raw data'!ET23/'raw data'!EU23)</f>
        <v>0.1206896551724138</v>
      </c>
      <c r="G23" s="394">
        <f>'raw data'!EV23</f>
        <v>15</v>
      </c>
      <c r="H23" s="395">
        <f>'raw data'!EW23</f>
        <v>106</v>
      </c>
      <c r="I23" s="396">
        <f>IF(ISERROR('raw data'!EV23/'raw data'!EW23),0,'raw data'!EV23/'raw data'!EW23)</f>
        <v>0.14150943396226415</v>
      </c>
      <c r="J23" s="394">
        <f>'raw data'!EX23</f>
        <v>11</v>
      </c>
      <c r="K23" s="395">
        <f>'raw data'!EY23</f>
        <v>143</v>
      </c>
      <c r="L23" s="396">
        <f>IF(ISERROR('raw data'!EX23/'raw data'!EY23),0,'raw data'!EX23/'raw data'!EY23)</f>
        <v>7.6923076923076927E-2</v>
      </c>
      <c r="M23" s="394">
        <f>'raw data'!EZ23</f>
        <v>11</v>
      </c>
      <c r="N23" s="395">
        <f>'raw data'!FA23</f>
        <v>77</v>
      </c>
      <c r="O23" s="396">
        <f>IF(ISERROR('raw data'!EZ23/'raw data'!FA23),0,'raw data'!EZ23/'raw data'!FA23)</f>
        <v>0.14285714285714285</v>
      </c>
      <c r="P23" s="394">
        <f>'raw data'!FB23</f>
        <v>19</v>
      </c>
      <c r="Q23" s="395">
        <f>'raw data'!FC23</f>
        <v>175</v>
      </c>
      <c r="R23" s="396">
        <f>IF(ISERROR('raw data'!FB23/'raw data'!FC23),0,'raw data'!FB23/'raw data'!FC23)</f>
        <v>0.10857142857142857</v>
      </c>
      <c r="S23" s="394">
        <f>'raw data'!FD23</f>
        <v>12</v>
      </c>
      <c r="T23" s="395">
        <f>'raw data'!FE23</f>
        <v>150</v>
      </c>
      <c r="U23" s="396">
        <f>IF(ISERROR('raw data'!FD23/'raw data'!FE23),0,'raw data'!FD23/'raw data'!FE23)</f>
        <v>0.08</v>
      </c>
      <c r="V23" s="394">
        <f>'raw data'!FF23</f>
        <v>7</v>
      </c>
      <c r="W23" s="395">
        <f>'raw data'!FG23</f>
        <v>109</v>
      </c>
      <c r="X23" s="396">
        <f>IF(ISERROR('raw data'!FF23/'raw data'!FG23),0,'raw data'!FF23/'raw data'!FG23)</f>
        <v>6.4220183486238536E-2</v>
      </c>
      <c r="Y23" s="394">
        <f>'raw data'!FH23</f>
        <v>11</v>
      </c>
      <c r="Z23" s="395">
        <f>'raw data'!FI23</f>
        <v>127</v>
      </c>
      <c r="AA23" s="396">
        <f>IF(ISERROR('raw data'!FH23/'raw data'!FI23),0,'raw data'!FH23/'raw data'!FI23)</f>
        <v>8.6614173228346455E-2</v>
      </c>
      <c r="AB23" s="394">
        <f>'raw data'!FJ23</f>
        <v>4</v>
      </c>
      <c r="AC23" s="395">
        <f>'raw data'!FM23</f>
        <v>105</v>
      </c>
      <c r="AD23" s="396">
        <f>IF(ISERROR('raw data'!FJ23/'raw data'!FM23),0,'raw data'!FJ23/'raw data'!FM23)</f>
        <v>3.8095238095238099E-2</v>
      </c>
      <c r="AE23" s="394">
        <f>'raw data'!FN23</f>
        <v>10</v>
      </c>
      <c r="AF23" s="395">
        <f>'raw data'!FO23</f>
        <v>115</v>
      </c>
      <c r="AG23" s="396">
        <f>IF(ISERROR('raw data'!FN23/'raw data'!FO23),0,'raw data'!FN23/'raw data'!FO23)</f>
        <v>8.6956521739130432E-2</v>
      </c>
      <c r="AH23" s="394">
        <f>'raw data'!FP23</f>
        <v>17</v>
      </c>
      <c r="AI23" s="395">
        <f>'raw data'!FQ23</f>
        <v>139</v>
      </c>
      <c r="AJ23" s="396">
        <f>IF(ISERROR('raw data'!FP23/'raw data'!FQ23),0,'raw data'!FP23/'raw data'!FQ23)</f>
        <v>0.1223021582733813</v>
      </c>
      <c r="AK23" s="394">
        <f>'raw data'!FR23</f>
        <v>11</v>
      </c>
      <c r="AL23" s="395">
        <f>'raw data'!FS23</f>
        <v>139</v>
      </c>
      <c r="AM23" s="396">
        <f>IF(ISERROR('raw data'!FR23/'raw data'!FS23),0,'raw data'!FR23/'raw data'!FS23)</f>
        <v>7.9136690647482008E-2</v>
      </c>
      <c r="AN23" s="394">
        <f>'raw data'!FT23</f>
        <v>14</v>
      </c>
      <c r="AO23" s="395">
        <f>'raw data'!FU23</f>
        <v>144</v>
      </c>
      <c r="AP23" s="396">
        <f>IF(ISERROR('raw data'!FT23/'raw data'!FU23),0,'raw data'!FT23/'raw data'!FU23)</f>
        <v>9.7222222222222224E-2</v>
      </c>
      <c r="AQ23" s="394">
        <f>'raw data'!FV23</f>
        <v>8</v>
      </c>
      <c r="AR23" s="395">
        <f>'raw data'!FW23</f>
        <v>97</v>
      </c>
      <c r="AS23" s="397">
        <f>IF(ISERROR('raw data'!FV23/'raw data'!FW23),0,'raw data'!FV23/'raw data'!FW23)</f>
        <v>8.247422680412371E-2</v>
      </c>
      <c r="AT23" s="394">
        <f>'raw data'!FX23</f>
        <v>19</v>
      </c>
      <c r="AU23" s="395">
        <f>'raw data'!FY23</f>
        <v>130</v>
      </c>
      <c r="AV23" s="397">
        <f>IF(ISERROR('raw data'!FX23/'raw data'!FY23),0,'raw data'!FX23/'raw data'!FY23)</f>
        <v>0.14615384615384616</v>
      </c>
      <c r="AW23" s="394">
        <f>'raw data'!FZ23</f>
        <v>19</v>
      </c>
      <c r="AX23" s="395">
        <f>'raw data'!GA23</f>
        <v>138</v>
      </c>
      <c r="AY23" s="397">
        <f>IF(ISERROR('raw data'!FZ23/'raw data'!GA23),0,'raw data'!FZ23/'raw data'!GA23)</f>
        <v>0.13768115942028986</v>
      </c>
      <c r="AZ23" s="394">
        <f>'raw data'!GB23</f>
        <v>15</v>
      </c>
      <c r="BA23" s="395">
        <f>'raw data'!GC23</f>
        <v>158</v>
      </c>
      <c r="BB23" s="397">
        <f>IF(ISERROR('raw data'!GB23/'raw data'!GC23),0,'raw data'!GB23/'raw data'!GC23)</f>
        <v>9.49367088607595E-2</v>
      </c>
      <c r="BC23" s="394">
        <f>'raw data'!GD23</f>
        <v>13</v>
      </c>
      <c r="BD23" s="395">
        <f>'raw data'!GE23</f>
        <v>117</v>
      </c>
      <c r="BE23" s="397">
        <f>IF(ISERROR('raw data'!GD23/'raw data'!GE23),0,'raw data'!GD23/'raw data'!GE23)</f>
        <v>0.1111111111111111</v>
      </c>
      <c r="BF23" s="394">
        <f>'raw data'!GF23</f>
        <v>13</v>
      </c>
      <c r="BG23" s="395">
        <f>'raw data'!GG23</f>
        <v>86</v>
      </c>
      <c r="BH23" s="397">
        <f>IF(ISERROR('raw data'!GF23/'raw data'!GG23),0,'raw data'!GF23/'raw data'!GG23)</f>
        <v>0.15116279069767441</v>
      </c>
      <c r="BI23" s="394">
        <f>'raw data'!GH23</f>
        <v>14</v>
      </c>
      <c r="BJ23" s="395">
        <f>'raw data'!GI23</f>
        <v>82</v>
      </c>
      <c r="BK23" s="397">
        <f>IF(ISERROR('raw data'!GH23/'raw data'!GI23),0,'raw data'!GH23/'raw data'!GI23)</f>
        <v>0.17073170731707318</v>
      </c>
      <c r="BL23" s="394">
        <f>'raw data'!GJ23</f>
        <v>9</v>
      </c>
      <c r="BM23" s="395">
        <f>'raw data'!GK23</f>
        <v>57</v>
      </c>
      <c r="BN23" s="397">
        <f>IF(ISERROR('raw data'!GJ23/'raw data'!GK23),0,'raw data'!GJ23/'raw data'!GK23)</f>
        <v>0.15789473684210525</v>
      </c>
      <c r="BO23" s="394">
        <f>'raw data'!GL23</f>
        <v>9</v>
      </c>
      <c r="BP23" s="395">
        <f>'raw data'!GM23</f>
        <v>80</v>
      </c>
      <c r="BQ23" s="397">
        <f>IF(ISERROR('raw data'!GL23/'raw data'!GM23),0,'raw data'!GL23/'raw data'!GM23)</f>
        <v>0.1125</v>
      </c>
      <c r="BR23" s="394">
        <f>'raw data'!GN23</f>
        <v>19</v>
      </c>
      <c r="BS23" s="395">
        <f>'raw data'!GO23</f>
        <v>106</v>
      </c>
      <c r="BT23" s="397">
        <f>IF(ISERROR('raw data'!GN23/'raw data'!GO23),0,'raw data'!GN23/'raw data'!GO23)</f>
        <v>0.17924528301886791</v>
      </c>
      <c r="BU23" s="394">
        <f>'raw data'!GP23</f>
        <v>7</v>
      </c>
      <c r="BV23" s="395">
        <f>'raw data'!GQ23</f>
        <v>75</v>
      </c>
      <c r="BW23" s="397">
        <f>IF(ISERROR('raw data'!GP23/'raw data'!GQ23),0,'raw data'!GP23/'raw data'!GQ23)</f>
        <v>9.3333333333333338E-2</v>
      </c>
      <c r="BX23" s="394">
        <f>'raw data'!GR23</f>
        <v>5</v>
      </c>
      <c r="BY23" s="395">
        <f>'raw data'!GS23</f>
        <v>58</v>
      </c>
      <c r="BZ23" s="397">
        <f>IF(ISERROR('raw data'!GR23/'raw data'!GS23),0,'raw data'!GR23/'raw data'!GS23)</f>
        <v>8.6206896551724144E-2</v>
      </c>
      <c r="CA23" s="394">
        <f>'raw data'!GT23</f>
        <v>8</v>
      </c>
      <c r="CB23" s="395">
        <f>'raw data'!GU23</f>
        <v>59</v>
      </c>
      <c r="CC23" s="397">
        <f>IF(ISERROR('raw data'!GT23/'raw data'!GU23),0,'raw data'!GT23/'raw data'!GU23)</f>
        <v>0.13559322033898305</v>
      </c>
      <c r="CD23" s="394">
        <f>'raw data'!GV23</f>
        <v>18</v>
      </c>
      <c r="CE23" s="395">
        <f>'raw data'!GW23</f>
        <v>72</v>
      </c>
      <c r="CF23" s="397">
        <f>IF(ISERROR('raw data'!GV23/'raw data'!GW23),0,'raw data'!GV23/'raw data'!GW23)</f>
        <v>0.25</v>
      </c>
      <c r="CG23" s="394">
        <f>'raw data'!GX23</f>
        <v>9</v>
      </c>
      <c r="CH23" s="395">
        <f>'raw data'!GY23</f>
        <v>89</v>
      </c>
      <c r="CI23" s="397">
        <f>IF(ISERROR('raw data'!GX23/'raw data'!GY23),0,'raw data'!GX23/'raw data'!GY23)</f>
        <v>0.10112359550561797</v>
      </c>
      <c r="CJ23" s="394">
        <f>'raw data'!GZ23</f>
        <v>16</v>
      </c>
      <c r="CK23" s="395">
        <f>'raw data'!HA23</f>
        <v>93</v>
      </c>
      <c r="CL23" s="397">
        <f>IF(ISERROR('raw data'!GZ23/'raw data'!HA23),0,'raw data'!GZ23/'raw data'!HA23)</f>
        <v>0.17204301075268819</v>
      </c>
      <c r="CM23" s="394">
        <f>'raw data'!HB23</f>
        <v>8</v>
      </c>
      <c r="CN23" s="395">
        <f>'raw data'!HC23</f>
        <v>64</v>
      </c>
      <c r="CO23" s="397">
        <f>IF(ISERROR('raw data'!HB23/'raw data'!HC23),0,'raw data'!HB23/'raw data'!HC23)</f>
        <v>0.125</v>
      </c>
      <c r="CP23" s="394">
        <f>'raw data'!HD23</f>
        <v>9</v>
      </c>
      <c r="CQ23" s="395">
        <f>'raw data'!HE23</f>
        <v>53</v>
      </c>
      <c r="CR23" s="397">
        <f>IF(ISERROR('raw data'!HD23/'raw data'!HE23),0,'raw data'!HD23/'raw data'!HE23)</f>
        <v>0.16981132075471697</v>
      </c>
      <c r="CS23" s="394">
        <f>'raw data'!HF23</f>
        <v>5</v>
      </c>
      <c r="CT23" s="395">
        <f>'raw data'!HG23</f>
        <v>35</v>
      </c>
      <c r="CU23" s="397">
        <f>IF(ISERROR('raw data'!HF23/'raw data'!HG23),0,'raw data'!HF23/'raw data'!HG23)</f>
        <v>0.14285714285714285</v>
      </c>
      <c r="CV23" s="394">
        <f>'raw data'!HH23</f>
        <v>7</v>
      </c>
      <c r="CW23" s="395">
        <f>'raw data'!HI23</f>
        <v>31</v>
      </c>
      <c r="CX23" s="397">
        <f>IF(ISERROR('raw data'!HH23/'raw data'!HI23),0,'raw data'!HH23/'raw data'!HI23)</f>
        <v>0.22580645161290322</v>
      </c>
      <c r="CY23" s="394">
        <f>'raw data'!HJ23</f>
        <v>7</v>
      </c>
      <c r="CZ23" s="395">
        <f>'raw data'!HK23</f>
        <v>29</v>
      </c>
      <c r="DA23" s="397">
        <f>IF(ISERROR('raw data'!HJ23/'raw data'!HK23),0,'raw data'!HJ23/'raw data'!HK23)</f>
        <v>0.2413793103448276</v>
      </c>
      <c r="DB23" s="394">
        <f>'raw data'!HL23</f>
        <v>8</v>
      </c>
      <c r="DC23" s="395">
        <f>'raw data'!HM23</f>
        <v>42</v>
      </c>
      <c r="DD23" s="397">
        <f>IF(ISERROR('raw data'!HL23/'raw data'!HM23),0,'raw data'!HL23/'raw data'!HM23)</f>
        <v>0.19047619047619047</v>
      </c>
      <c r="DE23" s="394">
        <f>'raw data'!HN23</f>
        <v>8</v>
      </c>
      <c r="DF23" s="395">
        <f>'raw data'!HO23</f>
        <v>31</v>
      </c>
      <c r="DG23" s="397">
        <f>IF(ISERROR('raw data'!HN23/'raw data'!HO23),0,'raw data'!HN23/'raw data'!HO23)</f>
        <v>0.25806451612903225</v>
      </c>
      <c r="DH23" s="394">
        <f>'raw data'!HP23</f>
        <v>9</v>
      </c>
      <c r="DI23" s="395">
        <f>'raw data'!HQ23</f>
        <v>38</v>
      </c>
      <c r="DJ23" s="397">
        <f>IF(ISERROR('raw data'!HP23/'raw data'!HQ23),0,'raw data'!HP23/'raw data'!HQ23)</f>
        <v>0.23684210526315788</v>
      </c>
      <c r="DK23" s="394">
        <f>'raw data'!HR23</f>
        <v>9</v>
      </c>
      <c r="DL23" s="395">
        <f>'raw data'!HS23</f>
        <v>34</v>
      </c>
      <c r="DM23" s="397">
        <f>IF(ISERROR('raw data'!HR23/'raw data'!HS23),0,'raw data'!HR23/'raw data'!HS23)</f>
        <v>0.26470588235294118</v>
      </c>
      <c r="DN23" s="394">
        <f>'raw data'!HT23</f>
        <v>10</v>
      </c>
      <c r="DO23" s="395">
        <f>'raw data'!HU23</f>
        <v>56</v>
      </c>
      <c r="DP23" s="397">
        <f>IF(ISERROR('raw data'!HT23/'raw data'!HU23),0,'raw data'!HT23/'raw data'!HU23)</f>
        <v>0.17857142857142858</v>
      </c>
      <c r="DQ23" s="394">
        <f>'raw data'!HV23</f>
        <v>5</v>
      </c>
      <c r="DR23" s="395">
        <f>'raw data'!HW23</f>
        <v>23</v>
      </c>
      <c r="DS23" s="397">
        <f>IF(ISERROR('raw data'!HV23/'raw data'!HW23),0,'raw data'!HV23/'raw data'!HW23)</f>
        <v>0.21739130434782608</v>
      </c>
      <c r="DT23" s="394">
        <f>'raw data'!HX23</f>
        <v>5</v>
      </c>
      <c r="DU23" s="395">
        <f>'raw data'!HY23</f>
        <v>24</v>
      </c>
      <c r="DV23" s="397">
        <f>IF(ISERROR('raw data'!HX23/'raw data'!HY23),0,'raw data'!HX23/'raw data'!HY23)</f>
        <v>0.20833333333333334</v>
      </c>
      <c r="DW23" s="394">
        <f>'raw data'!HZ23</f>
        <v>7</v>
      </c>
      <c r="DX23" s="395">
        <f>'raw data'!IA23</f>
        <v>31</v>
      </c>
      <c r="DY23" s="397">
        <f>IF(ISERROR('raw data'!HZ23/'raw data'!IA23),0,'raw data'!HZ23/'raw data'!IA23)</f>
        <v>0.22580645161290322</v>
      </c>
      <c r="DZ23" s="394">
        <f>'raw data'!IB23</f>
        <v>12</v>
      </c>
      <c r="EA23" s="395">
        <f>'raw data'!IC23</f>
        <v>49</v>
      </c>
      <c r="EB23" s="397">
        <f>IF(ISERROR('raw data'!IB23/'raw data'!IC23),0,'raw data'!IB23/'raw data'!IC23)</f>
        <v>0.24489795918367346</v>
      </c>
      <c r="EC23" s="394">
        <f>'raw data'!ID23</f>
        <v>6</v>
      </c>
      <c r="ED23" s="395">
        <f>'raw data'!IE23</f>
        <v>32</v>
      </c>
      <c r="EE23" s="397">
        <f>IF(ISERROR('raw data'!ID23/'raw data'!IE23),0,'raw data'!ID23/'raw data'!IE23)</f>
        <v>0.1875</v>
      </c>
      <c r="EF23" s="394">
        <f>'raw data'!IF23</f>
        <v>16</v>
      </c>
      <c r="EG23" s="395">
        <f>'raw data'!IG23</f>
        <v>60</v>
      </c>
      <c r="EH23" s="397">
        <f>IF(ISERROR('raw data'!IF23/'raw data'!IG23),0,'raw data'!IF23/'raw data'!IG23)</f>
        <v>0.26666666666666666</v>
      </c>
      <c r="EI23" s="394">
        <f>'raw data'!IH23</f>
        <v>8</v>
      </c>
      <c r="EJ23" s="395">
        <f>'raw data'!II23</f>
        <v>39</v>
      </c>
      <c r="EK23" s="397">
        <f>IF(ISERROR('raw data'!IH23/'raw data'!II23),0,'raw data'!IH23/'raw data'!II23)</f>
        <v>0.20512820512820512</v>
      </c>
      <c r="EL23" s="394">
        <f>'raw data'!IJ23</f>
        <v>10</v>
      </c>
      <c r="EM23" s="395">
        <f>'raw data'!IK23</f>
        <v>33</v>
      </c>
      <c r="EN23" s="397">
        <f>IF(ISERROR('raw data'!IJ23/'raw data'!IK23),0,'raw data'!IJ23/'raw data'!IK23)</f>
        <v>0.30303030303030304</v>
      </c>
      <c r="EO23" s="394">
        <f>'raw data'!IL23</f>
        <v>5</v>
      </c>
      <c r="EP23" s="395">
        <f>'raw data'!IM23</f>
        <v>38</v>
      </c>
      <c r="EQ23" s="397">
        <f>IF(ISERROR('raw data'!IL23/'raw data'!IM23),0,'raw data'!IL23/'raw data'!IM23)</f>
        <v>0.13157894736842105</v>
      </c>
      <c r="ER23" s="394">
        <f>'raw data'!IN23</f>
        <v>4</v>
      </c>
      <c r="ES23" s="395">
        <f>'raw data'!IO23</f>
        <v>21</v>
      </c>
      <c r="ET23" s="397">
        <f>IF(ISERROR('raw data'!IN23/'raw data'!IO23),0,'raw data'!IN23/'raw data'!IO23)</f>
        <v>0.19047619047619047</v>
      </c>
      <c r="EU23" s="394">
        <f>'raw data'!IP23</f>
        <v>9</v>
      </c>
      <c r="EV23" s="395">
        <f>'raw data'!IQ23</f>
        <v>13</v>
      </c>
      <c r="EW23" s="397">
        <f>IF(ISERROR('raw data'!IP23/'raw data'!IQ23),0,'raw data'!IP23/'raw data'!IQ23)</f>
        <v>0.69230769230769229</v>
      </c>
      <c r="EX23" s="394">
        <f>'raw data'!IR23</f>
        <v>6</v>
      </c>
      <c r="EY23" s="395">
        <f>'raw data'!IS23</f>
        <v>18</v>
      </c>
      <c r="EZ23" s="397">
        <f>IF(ISERROR('raw data'!IR23/'raw data'!IS23),0,'raw data'!IR23/'raw data'!IS23)</f>
        <v>0.33333333333333331</v>
      </c>
      <c r="FA23" s="394">
        <f>'raw data'!IT23</f>
        <v>6</v>
      </c>
      <c r="FB23" s="395">
        <f>'raw data'!IU23</f>
        <v>19</v>
      </c>
      <c r="FC23" s="397">
        <f>IF(ISERROR('raw data'!IT23/'raw data'!IU23),0,'raw data'!IT23/'raw data'!IU23)</f>
        <v>0.31578947368421051</v>
      </c>
      <c r="FD23" s="394">
        <f>'raw data'!IV23</f>
        <v>4</v>
      </c>
      <c r="FE23" s="395">
        <f>'raw data'!IW23</f>
        <v>12</v>
      </c>
      <c r="FF23" s="397">
        <f>IF(ISERROR('raw data'!IV23/'raw data'!IW23),0,'raw data'!IV23/'raw data'!IW23)</f>
        <v>0.33333333333333331</v>
      </c>
      <c r="FG23" s="394">
        <f>'raw data'!IX23</f>
        <v>8</v>
      </c>
      <c r="FH23" s="395">
        <f>'raw data'!IY23</f>
        <v>28</v>
      </c>
      <c r="FI23" s="397">
        <f>IF(ISERROR('raw data'!IX23/'raw data'!IY23),0,'raw data'!IX23/'raw data'!IY23)</f>
        <v>0.2857142857142857</v>
      </c>
      <c r="FJ23" s="394">
        <f>'raw data'!IZ23</f>
        <v>1</v>
      </c>
      <c r="FK23" s="395">
        <f>'raw data'!JA23</f>
        <v>19</v>
      </c>
      <c r="FL23" s="397">
        <f>IF(ISERROR('raw data'!IZ23/'raw data'!JA23),0,'raw data'!IZ23/'raw data'!JA23)</f>
        <v>5.2631578947368418E-2</v>
      </c>
      <c r="FM23" s="394">
        <f>'raw data'!JB23</f>
        <v>7</v>
      </c>
      <c r="FN23" s="395">
        <f>'raw data'!JC23</f>
        <v>27</v>
      </c>
      <c r="FO23" s="397">
        <f>IF(ISERROR('raw data'!JB23/'raw data'!JC23),0,'raw data'!JB23/'raw data'!JC23)</f>
        <v>0.25925925925925924</v>
      </c>
      <c r="FP23" s="394">
        <f>'raw data'!JD23</f>
        <v>6</v>
      </c>
      <c r="FQ23" s="395">
        <f>'raw data'!JE23</f>
        <v>31</v>
      </c>
      <c r="FR23" s="397">
        <f>IF(ISERROR('raw data'!JD23/'raw data'!JE23),0,'raw data'!JD23/'raw data'!JE23)</f>
        <v>0.19354838709677419</v>
      </c>
      <c r="FS23" s="388"/>
      <c r="FT23" s="398">
        <v>74</v>
      </c>
      <c r="FU23" s="399">
        <v>298</v>
      </c>
      <c r="FV23" s="400">
        <f t="shared" si="0"/>
        <v>0.24832214765100671</v>
      </c>
    </row>
    <row r="24" spans="1:179" ht="25.5" customHeight="1" x14ac:dyDescent="0.15">
      <c r="A24" s="411">
        <v>1.23</v>
      </c>
      <c r="B24" s="382" t="str">
        <f>'raw data'!B24</f>
        <v>10 or more WPs (totalling at least £4.5k) and 2+ Chaps/Swifts (C7s), totalling at least £10k, last month.</v>
      </c>
      <c r="C24" s="393" t="s">
        <v>47</v>
      </c>
      <c r="D24" s="394">
        <f>'raw data'!ET24</f>
        <v>10</v>
      </c>
      <c r="E24" s="395">
        <f>'raw data'!EU24</f>
        <v>110</v>
      </c>
      <c r="F24" s="396">
        <f>IF(ISERROR('raw data'!ET24/'raw data'!EU24),0,'raw data'!ET24/'raw data'!EU24)</f>
        <v>9.0909090909090912E-2</v>
      </c>
      <c r="G24" s="394">
        <f>'raw data'!EV24</f>
        <v>4</v>
      </c>
      <c r="H24" s="395">
        <f>'raw data'!EW24</f>
        <v>92</v>
      </c>
      <c r="I24" s="396">
        <f>IF(ISERROR('raw data'!EV24/'raw data'!EW24),0,'raw data'!EV24/'raw data'!EW24)</f>
        <v>4.3478260869565216E-2</v>
      </c>
      <c r="J24" s="394">
        <f>'raw data'!EX24</f>
        <v>9</v>
      </c>
      <c r="K24" s="395">
        <f>'raw data'!EY24</f>
        <v>116</v>
      </c>
      <c r="L24" s="396">
        <f>IF(ISERROR('raw data'!EX24/'raw data'!EY24),0,'raw data'!EX24/'raw data'!EY24)</f>
        <v>7.7586206896551727E-2</v>
      </c>
      <c r="M24" s="394">
        <f>'raw data'!EZ24</f>
        <v>7</v>
      </c>
      <c r="N24" s="395">
        <f>'raw data'!FA24</f>
        <v>81</v>
      </c>
      <c r="O24" s="396">
        <f>IF(ISERROR('raw data'!EZ24/'raw data'!FA24),0,'raw data'!EZ24/'raw data'!FA24)</f>
        <v>8.6419753086419748E-2</v>
      </c>
      <c r="P24" s="394">
        <f>'raw data'!FB24</f>
        <v>16</v>
      </c>
      <c r="Q24" s="395">
        <f>'raw data'!FC24</f>
        <v>142</v>
      </c>
      <c r="R24" s="396">
        <f>IF(ISERROR('raw data'!FB24/'raw data'!FC24),0,'raw data'!FB24/'raw data'!FC24)</f>
        <v>0.11267605633802817</v>
      </c>
      <c r="S24" s="394">
        <f>'raw data'!FD24</f>
        <v>9</v>
      </c>
      <c r="T24" s="395">
        <f>'raw data'!FE24</f>
        <v>111</v>
      </c>
      <c r="U24" s="396">
        <f>IF(ISERROR('raw data'!FD24/'raw data'!FE24),0,'raw data'!FD24/'raw data'!FE24)</f>
        <v>8.1081081081081086E-2</v>
      </c>
      <c r="V24" s="394">
        <f>'raw data'!FF24</f>
        <v>5</v>
      </c>
      <c r="W24" s="395">
        <f>'raw data'!FG24</f>
        <v>111</v>
      </c>
      <c r="X24" s="396">
        <f>IF(ISERROR('raw data'!FF24/'raw data'!FG24),0,'raw data'!FF24/'raw data'!FG24)</f>
        <v>4.5045045045045043E-2</v>
      </c>
      <c r="Y24" s="394">
        <f>'raw data'!FH24</f>
        <v>6</v>
      </c>
      <c r="Z24" s="395">
        <f>'raw data'!FI24</f>
        <v>97</v>
      </c>
      <c r="AA24" s="396">
        <f>IF(ISERROR('raw data'!FH24/'raw data'!FI24),0,'raw data'!FH24/'raw data'!FI24)</f>
        <v>6.1855670103092786E-2</v>
      </c>
      <c r="AB24" s="394">
        <f>'raw data'!FJ24</f>
        <v>0</v>
      </c>
      <c r="AC24" s="395">
        <f>'raw data'!FM24</f>
        <v>87</v>
      </c>
      <c r="AD24" s="396">
        <f>IF(ISERROR('raw data'!FJ24/'raw data'!FM24),0,'raw data'!FJ24/'raw data'!FM24)</f>
        <v>0</v>
      </c>
      <c r="AE24" s="402" t="s">
        <v>243</v>
      </c>
      <c r="AF24" s="403" t="s">
        <v>243</v>
      </c>
      <c r="AG24" s="404" t="s">
        <v>243</v>
      </c>
      <c r="AH24" s="402" t="s">
        <v>243</v>
      </c>
      <c r="AI24" s="403" t="s">
        <v>243</v>
      </c>
      <c r="AJ24" s="404" t="s">
        <v>243</v>
      </c>
      <c r="AK24" s="402" t="s">
        <v>243</v>
      </c>
      <c r="AL24" s="403" t="s">
        <v>243</v>
      </c>
      <c r="AM24" s="404" t="s">
        <v>243</v>
      </c>
      <c r="AN24" s="402" t="s">
        <v>243</v>
      </c>
      <c r="AO24" s="403" t="s">
        <v>243</v>
      </c>
      <c r="AP24" s="404" t="s">
        <v>243</v>
      </c>
      <c r="AQ24" s="402" t="s">
        <v>243</v>
      </c>
      <c r="AR24" s="403" t="s">
        <v>243</v>
      </c>
      <c r="AS24" s="405" t="s">
        <v>243</v>
      </c>
      <c r="AT24" s="402" t="s">
        <v>243</v>
      </c>
      <c r="AU24" s="403" t="s">
        <v>243</v>
      </c>
      <c r="AV24" s="405" t="s">
        <v>243</v>
      </c>
      <c r="AW24" s="402" t="s">
        <v>243</v>
      </c>
      <c r="AX24" s="403" t="s">
        <v>243</v>
      </c>
      <c r="AY24" s="405" t="s">
        <v>243</v>
      </c>
      <c r="AZ24" s="402" t="s">
        <v>243</v>
      </c>
      <c r="BA24" s="403" t="s">
        <v>243</v>
      </c>
      <c r="BB24" s="405" t="s">
        <v>243</v>
      </c>
      <c r="BC24" s="402" t="s">
        <v>243</v>
      </c>
      <c r="BD24" s="403" t="s">
        <v>243</v>
      </c>
      <c r="BE24" s="405" t="s">
        <v>243</v>
      </c>
      <c r="BF24" s="402" t="s">
        <v>243</v>
      </c>
      <c r="BG24" s="403" t="s">
        <v>243</v>
      </c>
      <c r="BH24" s="405" t="s">
        <v>243</v>
      </c>
      <c r="BI24" s="402" t="s">
        <v>243</v>
      </c>
      <c r="BJ24" s="403" t="s">
        <v>243</v>
      </c>
      <c r="BK24" s="405" t="s">
        <v>243</v>
      </c>
      <c r="BL24" s="402" t="s">
        <v>243</v>
      </c>
      <c r="BM24" s="403" t="s">
        <v>243</v>
      </c>
      <c r="BN24" s="405" t="s">
        <v>243</v>
      </c>
      <c r="BO24" s="402" t="s">
        <v>243</v>
      </c>
      <c r="BP24" s="403" t="s">
        <v>243</v>
      </c>
      <c r="BQ24" s="405" t="s">
        <v>243</v>
      </c>
      <c r="BR24" s="402" t="s">
        <v>243</v>
      </c>
      <c r="BS24" s="403" t="s">
        <v>243</v>
      </c>
      <c r="BT24" s="405" t="s">
        <v>243</v>
      </c>
      <c r="BU24" s="402" t="s">
        <v>243</v>
      </c>
      <c r="BV24" s="403" t="s">
        <v>243</v>
      </c>
      <c r="BW24" s="405" t="s">
        <v>243</v>
      </c>
      <c r="BX24" s="402" t="s">
        <v>243</v>
      </c>
      <c r="BY24" s="403" t="s">
        <v>243</v>
      </c>
      <c r="BZ24" s="405" t="s">
        <v>243</v>
      </c>
      <c r="CA24" s="402" t="s">
        <v>243</v>
      </c>
      <c r="CB24" s="403" t="s">
        <v>243</v>
      </c>
      <c r="CC24" s="405" t="s">
        <v>243</v>
      </c>
      <c r="CD24" s="402" t="s">
        <v>243</v>
      </c>
      <c r="CE24" s="403" t="s">
        <v>243</v>
      </c>
      <c r="CF24" s="405" t="s">
        <v>243</v>
      </c>
      <c r="CG24" s="402" t="s">
        <v>243</v>
      </c>
      <c r="CH24" s="403" t="s">
        <v>243</v>
      </c>
      <c r="CI24" s="405" t="s">
        <v>243</v>
      </c>
      <c r="CJ24" s="402" t="s">
        <v>243</v>
      </c>
      <c r="CK24" s="403" t="s">
        <v>243</v>
      </c>
      <c r="CL24" s="405" t="s">
        <v>243</v>
      </c>
      <c r="CM24" s="402" t="s">
        <v>243</v>
      </c>
      <c r="CN24" s="403" t="s">
        <v>243</v>
      </c>
      <c r="CO24" s="405" t="s">
        <v>243</v>
      </c>
      <c r="CP24" s="402" t="s">
        <v>243</v>
      </c>
      <c r="CQ24" s="403" t="s">
        <v>243</v>
      </c>
      <c r="CR24" s="405" t="s">
        <v>243</v>
      </c>
      <c r="CS24" s="402" t="s">
        <v>243</v>
      </c>
      <c r="CT24" s="403" t="s">
        <v>243</v>
      </c>
      <c r="CU24" s="405" t="s">
        <v>243</v>
      </c>
      <c r="CV24" s="402" t="s">
        <v>243</v>
      </c>
      <c r="CW24" s="403" t="s">
        <v>243</v>
      </c>
      <c r="CX24" s="405" t="s">
        <v>243</v>
      </c>
      <c r="CY24" s="402" t="s">
        <v>243</v>
      </c>
      <c r="CZ24" s="403" t="s">
        <v>243</v>
      </c>
      <c r="DA24" s="405" t="s">
        <v>243</v>
      </c>
      <c r="DB24" s="402" t="s">
        <v>243</v>
      </c>
      <c r="DC24" s="403" t="s">
        <v>243</v>
      </c>
      <c r="DD24" s="405" t="s">
        <v>243</v>
      </c>
      <c r="DE24" s="402" t="s">
        <v>243</v>
      </c>
      <c r="DF24" s="403" t="s">
        <v>243</v>
      </c>
      <c r="DG24" s="405" t="s">
        <v>243</v>
      </c>
      <c r="DH24" s="402" t="s">
        <v>243</v>
      </c>
      <c r="DI24" s="403" t="s">
        <v>243</v>
      </c>
      <c r="DJ24" s="405" t="s">
        <v>243</v>
      </c>
      <c r="DK24" s="402" t="s">
        <v>243</v>
      </c>
      <c r="DL24" s="403" t="s">
        <v>243</v>
      </c>
      <c r="DM24" s="405" t="s">
        <v>243</v>
      </c>
      <c r="DN24" s="402" t="s">
        <v>243</v>
      </c>
      <c r="DO24" s="403" t="s">
        <v>243</v>
      </c>
      <c r="DP24" s="405" t="s">
        <v>243</v>
      </c>
      <c r="DQ24" s="402" t="s">
        <v>243</v>
      </c>
      <c r="DR24" s="403" t="s">
        <v>243</v>
      </c>
      <c r="DS24" s="405" t="s">
        <v>243</v>
      </c>
      <c r="DT24" s="402" t="s">
        <v>243</v>
      </c>
      <c r="DU24" s="403" t="s">
        <v>243</v>
      </c>
      <c r="DV24" s="405" t="s">
        <v>243</v>
      </c>
      <c r="DW24" s="402" t="s">
        <v>243</v>
      </c>
      <c r="DX24" s="403" t="s">
        <v>243</v>
      </c>
      <c r="DY24" s="405" t="s">
        <v>243</v>
      </c>
      <c r="DZ24" s="402" t="s">
        <v>243</v>
      </c>
      <c r="EA24" s="403" t="s">
        <v>243</v>
      </c>
      <c r="EB24" s="405" t="s">
        <v>243</v>
      </c>
      <c r="EC24" s="402" t="s">
        <v>243</v>
      </c>
      <c r="ED24" s="403" t="s">
        <v>243</v>
      </c>
      <c r="EE24" s="405" t="s">
        <v>243</v>
      </c>
      <c r="EF24" s="402" t="s">
        <v>243</v>
      </c>
      <c r="EG24" s="403" t="s">
        <v>243</v>
      </c>
      <c r="EH24" s="405" t="s">
        <v>243</v>
      </c>
      <c r="EI24" s="402" t="s">
        <v>243</v>
      </c>
      <c r="EJ24" s="403" t="s">
        <v>243</v>
      </c>
      <c r="EK24" s="405" t="s">
        <v>243</v>
      </c>
      <c r="EL24" s="402" t="s">
        <v>243</v>
      </c>
      <c r="EM24" s="403" t="s">
        <v>243</v>
      </c>
      <c r="EN24" s="405" t="s">
        <v>243</v>
      </c>
      <c r="EO24" s="402" t="s">
        <v>243</v>
      </c>
      <c r="EP24" s="403" t="s">
        <v>243</v>
      </c>
      <c r="EQ24" s="405" t="s">
        <v>243</v>
      </c>
      <c r="ER24" s="402" t="s">
        <v>243</v>
      </c>
      <c r="ES24" s="403" t="s">
        <v>243</v>
      </c>
      <c r="ET24" s="405" t="s">
        <v>243</v>
      </c>
      <c r="EU24" s="402" t="s">
        <v>243</v>
      </c>
      <c r="EV24" s="403" t="s">
        <v>243</v>
      </c>
      <c r="EW24" s="405" t="s">
        <v>243</v>
      </c>
      <c r="EX24" s="402" t="s">
        <v>243</v>
      </c>
      <c r="EY24" s="403" t="s">
        <v>243</v>
      </c>
      <c r="EZ24" s="405" t="s">
        <v>243</v>
      </c>
      <c r="FA24" s="402" t="s">
        <v>243</v>
      </c>
      <c r="FB24" s="403" t="s">
        <v>243</v>
      </c>
      <c r="FC24" s="405" t="s">
        <v>243</v>
      </c>
      <c r="FD24" s="402" t="s">
        <v>243</v>
      </c>
      <c r="FE24" s="403" t="s">
        <v>243</v>
      </c>
      <c r="FF24" s="405" t="s">
        <v>243</v>
      </c>
      <c r="FG24" s="402" t="s">
        <v>243</v>
      </c>
      <c r="FH24" s="403" t="s">
        <v>243</v>
      </c>
      <c r="FI24" s="405" t="s">
        <v>243</v>
      </c>
      <c r="FJ24" s="402" t="s">
        <v>243</v>
      </c>
      <c r="FK24" s="403" t="s">
        <v>243</v>
      </c>
      <c r="FL24" s="405" t="s">
        <v>243</v>
      </c>
      <c r="FM24" s="402" t="s">
        <v>243</v>
      </c>
      <c r="FN24" s="403" t="s">
        <v>243</v>
      </c>
      <c r="FO24" s="405" t="s">
        <v>243</v>
      </c>
      <c r="FP24" s="402" t="s">
        <v>243</v>
      </c>
      <c r="FQ24" s="403" t="s">
        <v>243</v>
      </c>
      <c r="FR24" s="405" t="s">
        <v>243</v>
      </c>
      <c r="FS24" s="388"/>
      <c r="FT24" s="398">
        <v>0</v>
      </c>
      <c r="FU24" s="399">
        <v>0</v>
      </c>
      <c r="FV24" s="400">
        <f t="shared" si="0"/>
        <v>0</v>
      </c>
      <c r="FW24" s="229"/>
    </row>
    <row r="25" spans="1:179" ht="25.5" customHeight="1" x14ac:dyDescent="0.15">
      <c r="A25" s="411">
        <v>1.24</v>
      </c>
      <c r="B25" s="382" t="str">
        <f>'raw data'!B25</f>
        <v>New (2 months or less) and sole account with NW, with CQ paid in and closed.</v>
      </c>
      <c r="C25" s="393" t="s">
        <v>49</v>
      </c>
      <c r="D25" s="394">
        <f>'raw data'!ET25</f>
        <v>1</v>
      </c>
      <c r="E25" s="395">
        <f>'raw data'!EU25</f>
        <v>21</v>
      </c>
      <c r="F25" s="396">
        <f>IF(ISERROR('raw data'!ET25/'raw data'!EU25),0,'raw data'!ET25/'raw data'!EU25)</f>
        <v>4.7619047619047616E-2</v>
      </c>
      <c r="G25" s="394">
        <f>'raw data'!EV25</f>
        <v>0</v>
      </c>
      <c r="H25" s="395">
        <f>'raw data'!EW25</f>
        <v>27</v>
      </c>
      <c r="I25" s="396">
        <f>IF(ISERROR('raw data'!EV25/'raw data'!EW25),0,'raw data'!EV25/'raw data'!EW25)</f>
        <v>0</v>
      </c>
      <c r="J25" s="394">
        <f>'raw data'!EX25</f>
        <v>0</v>
      </c>
      <c r="K25" s="395">
        <f>'raw data'!EY25</f>
        <v>27</v>
      </c>
      <c r="L25" s="396">
        <f>IF(ISERROR('raw data'!EX25/'raw data'!EY25),0,'raw data'!EX25/'raw data'!EY25)</f>
        <v>0</v>
      </c>
      <c r="M25" s="394">
        <f>'raw data'!EZ25</f>
        <v>0</v>
      </c>
      <c r="N25" s="395">
        <f>'raw data'!FA25</f>
        <v>53</v>
      </c>
      <c r="O25" s="396">
        <f>IF(ISERROR('raw data'!EZ25/'raw data'!FA25),0,'raw data'!EZ25/'raw data'!FA25)</f>
        <v>0</v>
      </c>
      <c r="P25" s="394">
        <f>'raw data'!FB25</f>
        <v>1</v>
      </c>
      <c r="Q25" s="395">
        <f>'raw data'!FC25</f>
        <v>21</v>
      </c>
      <c r="R25" s="396">
        <f>IF(ISERROR('raw data'!FB25/'raw data'!FC25),0,'raw data'!FB25/'raw data'!FC25)</f>
        <v>4.7619047619047616E-2</v>
      </c>
      <c r="S25" s="394">
        <f>'raw data'!FD25</f>
        <v>2</v>
      </c>
      <c r="T25" s="395">
        <f>'raw data'!FE25</f>
        <v>11</v>
      </c>
      <c r="U25" s="396">
        <f>IF(ISERROR('raw data'!FD25/'raw data'!FE25),0,'raw data'!FD25/'raw data'!FE25)</f>
        <v>0.18181818181818182</v>
      </c>
      <c r="V25" s="394">
        <f>'raw data'!FF25</f>
        <v>0</v>
      </c>
      <c r="W25" s="395">
        <f>'raw data'!FG25</f>
        <v>26</v>
      </c>
      <c r="X25" s="396">
        <f>IF(ISERROR('raw data'!FF25/'raw data'!FG25),0,'raw data'!FF25/'raw data'!FG25)</f>
        <v>0</v>
      </c>
      <c r="Y25" s="394">
        <f>'raw data'!FH25</f>
        <v>1</v>
      </c>
      <c r="Z25" s="395">
        <f>'raw data'!FI25</f>
        <v>29</v>
      </c>
      <c r="AA25" s="396">
        <f>IF(ISERROR('raw data'!FH25/'raw data'!FI25),0,'raw data'!FH25/'raw data'!FI25)</f>
        <v>3.4482758620689655E-2</v>
      </c>
      <c r="AB25" s="394">
        <f>'raw data'!FJ25</f>
        <v>0</v>
      </c>
      <c r="AC25" s="395">
        <f>'raw data'!FM25</f>
        <v>32</v>
      </c>
      <c r="AD25" s="396">
        <f>IF(ISERROR('raw data'!FJ25/'raw data'!FM25),0,'raw data'!FJ25/'raw data'!FM25)</f>
        <v>0</v>
      </c>
      <c r="AE25" s="408" t="str">
        <f>'raw data'!FN25</f>
        <v>Suspended</v>
      </c>
      <c r="AF25" s="409" t="str">
        <f>'raw data'!FO25</f>
        <v>Suspended</v>
      </c>
      <c r="AG25" s="414" t="str">
        <f>'raw data'!FP25</f>
        <v>Suspended</v>
      </c>
      <c r="AH25" s="408" t="str">
        <f>'raw data'!FP25</f>
        <v>Suspended</v>
      </c>
      <c r="AI25" s="409" t="str">
        <f>'raw data'!FQ25</f>
        <v>Suspended</v>
      </c>
      <c r="AJ25" s="414" t="s">
        <v>30</v>
      </c>
      <c r="AK25" s="408" t="str">
        <f>'raw data'!FR25</f>
        <v>Suspended</v>
      </c>
      <c r="AL25" s="409" t="str">
        <f>'raw data'!FS25</f>
        <v>Suspended</v>
      </c>
      <c r="AM25" s="414" t="s">
        <v>30</v>
      </c>
      <c r="AN25" s="408" t="str">
        <f>'raw data'!FT25</f>
        <v>Suspended</v>
      </c>
      <c r="AO25" s="409" t="str">
        <f>'raw data'!FU25</f>
        <v>Suspended</v>
      </c>
      <c r="AP25" s="414" t="s">
        <v>30</v>
      </c>
      <c r="AQ25" s="408" t="str">
        <f>'raw data'!FV25</f>
        <v>Suspended</v>
      </c>
      <c r="AR25" s="409" t="str">
        <f>'raw data'!FW25</f>
        <v>Suspended</v>
      </c>
      <c r="AS25" s="410" t="s">
        <v>30</v>
      </c>
      <c r="AT25" s="408" t="str">
        <f>'raw data'!FX25</f>
        <v>Suspended</v>
      </c>
      <c r="AU25" s="409" t="str">
        <f>'raw data'!FY25</f>
        <v>Suspended</v>
      </c>
      <c r="AV25" s="410" t="s">
        <v>30</v>
      </c>
      <c r="AW25" s="408" t="str">
        <f>'raw data'!FZ25</f>
        <v>Suspended</v>
      </c>
      <c r="AX25" s="409" t="str">
        <f>'raw data'!GA25</f>
        <v>Suspended</v>
      </c>
      <c r="AY25" s="410" t="s">
        <v>30</v>
      </c>
      <c r="AZ25" s="408" t="str">
        <f>'raw data'!GB25</f>
        <v>Suspended</v>
      </c>
      <c r="BA25" s="409" t="str">
        <f>'raw data'!GC25</f>
        <v>Suspended</v>
      </c>
      <c r="BB25" s="410" t="s">
        <v>30</v>
      </c>
      <c r="BC25" s="408" t="str">
        <f>'raw data'!GD25</f>
        <v>Suspended</v>
      </c>
      <c r="BD25" s="409" t="str">
        <f>'raw data'!GE25</f>
        <v>Suspended</v>
      </c>
      <c r="BE25" s="410" t="s">
        <v>30</v>
      </c>
      <c r="BF25" s="408" t="str">
        <f>'raw data'!GF25</f>
        <v>Suspended</v>
      </c>
      <c r="BG25" s="409" t="str">
        <f>'raw data'!GG25</f>
        <v>Suspended</v>
      </c>
      <c r="BH25" s="410" t="s">
        <v>30</v>
      </c>
      <c r="BI25" s="408" t="str">
        <f>'raw data'!GH25</f>
        <v>Suspended</v>
      </c>
      <c r="BJ25" s="409" t="str">
        <f>'raw data'!GI25</f>
        <v>Suspended</v>
      </c>
      <c r="BK25" s="410" t="s">
        <v>30</v>
      </c>
      <c r="BL25" s="408" t="str">
        <f>'raw data'!GJ25</f>
        <v>Suspended</v>
      </c>
      <c r="BM25" s="409" t="str">
        <f>'raw data'!GK25</f>
        <v>Suspended</v>
      </c>
      <c r="BN25" s="410" t="s">
        <v>30</v>
      </c>
      <c r="BO25" s="408" t="str">
        <f>'raw data'!GL25</f>
        <v>Suspended</v>
      </c>
      <c r="BP25" s="409" t="str">
        <f>'raw data'!GM25</f>
        <v>Suspended</v>
      </c>
      <c r="BQ25" s="410" t="s">
        <v>30</v>
      </c>
      <c r="BR25" s="408" t="str">
        <f>'raw data'!GN25</f>
        <v>Suspended</v>
      </c>
      <c r="BS25" s="409" t="str">
        <f>'raw data'!GO25</f>
        <v>Suspended</v>
      </c>
      <c r="BT25" s="410" t="s">
        <v>30</v>
      </c>
      <c r="BU25" s="408" t="str">
        <f>'raw data'!GP25</f>
        <v>Suspended</v>
      </c>
      <c r="BV25" s="409" t="str">
        <f>'raw data'!GQ25</f>
        <v>Suspended</v>
      </c>
      <c r="BW25" s="410" t="s">
        <v>30</v>
      </c>
      <c r="BX25" s="408" t="str">
        <f>'raw data'!GR25</f>
        <v>Suspended</v>
      </c>
      <c r="BY25" s="409" t="str">
        <f>'raw data'!GS25</f>
        <v>Suspended</v>
      </c>
      <c r="BZ25" s="410" t="s">
        <v>30</v>
      </c>
      <c r="CA25" s="408" t="str">
        <f>'raw data'!GT25</f>
        <v>Suspended</v>
      </c>
      <c r="CB25" s="409" t="str">
        <f>'raw data'!GU25</f>
        <v>Suspended</v>
      </c>
      <c r="CC25" s="410" t="s">
        <v>30</v>
      </c>
      <c r="CD25" s="408" t="str">
        <f>'raw data'!GV25</f>
        <v>Suspended</v>
      </c>
      <c r="CE25" s="409" t="str">
        <f>'raw data'!GW25</f>
        <v>Suspended</v>
      </c>
      <c r="CF25" s="410" t="s">
        <v>30</v>
      </c>
      <c r="CG25" s="408" t="str">
        <f>'raw data'!GX25</f>
        <v>Suspended</v>
      </c>
      <c r="CH25" s="409" t="str">
        <f>'raw data'!GY25</f>
        <v>Suspended</v>
      </c>
      <c r="CI25" s="410" t="s">
        <v>30</v>
      </c>
      <c r="CJ25" s="408" t="str">
        <f>'raw data'!GZ25</f>
        <v>Suspended</v>
      </c>
      <c r="CK25" s="409" t="str">
        <f>'raw data'!HA25</f>
        <v>Suspended</v>
      </c>
      <c r="CL25" s="410" t="s">
        <v>30</v>
      </c>
      <c r="CM25" s="408" t="str">
        <f>'raw data'!HB25</f>
        <v>Suspended</v>
      </c>
      <c r="CN25" s="409" t="str">
        <f>'raw data'!HC25</f>
        <v>Suspended</v>
      </c>
      <c r="CO25" s="410" t="s">
        <v>30</v>
      </c>
      <c r="CP25" s="408" t="str">
        <f>'raw data'!HD25</f>
        <v>Suspended</v>
      </c>
      <c r="CQ25" s="409" t="str">
        <f>'raw data'!HE25</f>
        <v>Suspended</v>
      </c>
      <c r="CR25" s="410" t="s">
        <v>30</v>
      </c>
      <c r="CS25" s="408" t="str">
        <f>'raw data'!HF25</f>
        <v>Suspended</v>
      </c>
      <c r="CT25" s="409" t="str">
        <f>'raw data'!HG25</f>
        <v>Suspended</v>
      </c>
      <c r="CU25" s="410" t="s">
        <v>30</v>
      </c>
      <c r="CV25" s="408" t="str">
        <f>'raw data'!HH25</f>
        <v>Suspended</v>
      </c>
      <c r="CW25" s="409" t="str">
        <f>'raw data'!HI25</f>
        <v>Suspended</v>
      </c>
      <c r="CX25" s="410" t="s">
        <v>30</v>
      </c>
      <c r="CY25" s="408" t="str">
        <f>'raw data'!HJ25</f>
        <v>Suspended</v>
      </c>
      <c r="CZ25" s="409" t="str">
        <f>'raw data'!HK25</f>
        <v>Suspended</v>
      </c>
      <c r="DA25" s="410" t="s">
        <v>30</v>
      </c>
      <c r="DB25" s="408" t="str">
        <f>'raw data'!HL25</f>
        <v>Suspended</v>
      </c>
      <c r="DC25" s="409" t="str">
        <f>'raw data'!HM25</f>
        <v>Suspended</v>
      </c>
      <c r="DD25" s="410" t="s">
        <v>30</v>
      </c>
      <c r="DE25" s="408" t="str">
        <f>'raw data'!HN25</f>
        <v>Suspended</v>
      </c>
      <c r="DF25" s="409" t="str">
        <f>'raw data'!HO25</f>
        <v>Suspended</v>
      </c>
      <c r="DG25" s="410" t="s">
        <v>30</v>
      </c>
      <c r="DH25" s="408" t="str">
        <f>'raw data'!HP25</f>
        <v>Suspended</v>
      </c>
      <c r="DI25" s="409" t="str">
        <f>'raw data'!HQ25</f>
        <v>Suspended</v>
      </c>
      <c r="DJ25" s="410" t="s">
        <v>30</v>
      </c>
      <c r="DK25" s="408" t="str">
        <f>'raw data'!HR25</f>
        <v>Suspended</v>
      </c>
      <c r="DL25" s="409" t="str">
        <f>'raw data'!HS25</f>
        <v>Suspended</v>
      </c>
      <c r="DM25" s="410" t="s">
        <v>30</v>
      </c>
      <c r="DN25" s="408" t="str">
        <f>'raw data'!HT25</f>
        <v>Suspended</v>
      </c>
      <c r="DO25" s="409" t="str">
        <f>'raw data'!HU25</f>
        <v>Suspended</v>
      </c>
      <c r="DP25" s="410" t="s">
        <v>30</v>
      </c>
      <c r="DQ25" s="408" t="str">
        <f>'raw data'!HV25</f>
        <v>Suspended</v>
      </c>
      <c r="DR25" s="409" t="str">
        <f>'raw data'!HW25</f>
        <v>Suspended</v>
      </c>
      <c r="DS25" s="410" t="s">
        <v>30</v>
      </c>
      <c r="DT25" s="408" t="str">
        <f>'raw data'!HX25</f>
        <v>Suspended</v>
      </c>
      <c r="DU25" s="409" t="str">
        <f>'raw data'!HY25</f>
        <v>Suspended</v>
      </c>
      <c r="DV25" s="410" t="s">
        <v>30</v>
      </c>
      <c r="DW25" s="408" t="str">
        <f>'raw data'!HZ25</f>
        <v>Suspended</v>
      </c>
      <c r="DX25" s="409" t="str">
        <f>'raw data'!IA25</f>
        <v>Suspended</v>
      </c>
      <c r="DY25" s="410" t="s">
        <v>30</v>
      </c>
      <c r="DZ25" s="408" t="str">
        <f>'raw data'!IB25</f>
        <v>Suspended</v>
      </c>
      <c r="EA25" s="409" t="str">
        <f>'raw data'!IC25</f>
        <v>Suspended</v>
      </c>
      <c r="EB25" s="410" t="s">
        <v>30</v>
      </c>
      <c r="EC25" s="408" t="str">
        <f>'raw data'!ID25</f>
        <v>Suspended</v>
      </c>
      <c r="ED25" s="409" t="str">
        <f>'raw data'!IE25</f>
        <v>Suspended</v>
      </c>
      <c r="EE25" s="410" t="s">
        <v>30</v>
      </c>
      <c r="EF25" s="408" t="str">
        <f>'raw data'!IF25</f>
        <v>Suspended</v>
      </c>
      <c r="EG25" s="409" t="str">
        <f>'raw data'!IG25</f>
        <v>Suspended</v>
      </c>
      <c r="EH25" s="410" t="s">
        <v>30</v>
      </c>
      <c r="EI25" s="408" t="str">
        <f>'raw data'!IH25</f>
        <v>Suspended</v>
      </c>
      <c r="EJ25" s="409" t="str">
        <f>'raw data'!II25</f>
        <v>Suspended</v>
      </c>
      <c r="EK25" s="410" t="s">
        <v>30</v>
      </c>
      <c r="EL25" s="408" t="str">
        <f>'raw data'!IJ25</f>
        <v>Suspended</v>
      </c>
      <c r="EM25" s="409" t="str">
        <f>'raw data'!IK25</f>
        <v>Suspended</v>
      </c>
      <c r="EN25" s="410" t="s">
        <v>30</v>
      </c>
      <c r="EO25" s="408" t="str">
        <f>'raw data'!IL25</f>
        <v>Suspended</v>
      </c>
      <c r="EP25" s="409" t="str">
        <f>'raw data'!IM25</f>
        <v>Suspended</v>
      </c>
      <c r="EQ25" s="410" t="s">
        <v>30</v>
      </c>
      <c r="ER25" s="408" t="str">
        <f>'raw data'!IN25</f>
        <v>Suspended</v>
      </c>
      <c r="ES25" s="409" t="str">
        <f>'raw data'!IO25</f>
        <v>Suspended</v>
      </c>
      <c r="ET25" s="410" t="s">
        <v>30</v>
      </c>
      <c r="EU25" s="408" t="str">
        <f>'raw data'!IP25</f>
        <v>Suspended</v>
      </c>
      <c r="EV25" s="409" t="str">
        <f>'raw data'!IQ25</f>
        <v>Suspended</v>
      </c>
      <c r="EW25" s="410" t="s">
        <v>30</v>
      </c>
      <c r="EX25" s="408" t="str">
        <f>'raw data'!IR25</f>
        <v>Suspended</v>
      </c>
      <c r="EY25" s="409" t="str">
        <f>'raw data'!IS25</f>
        <v>Suspended</v>
      </c>
      <c r="EZ25" s="410" t="s">
        <v>30</v>
      </c>
      <c r="FA25" s="408" t="str">
        <f>'raw data'!IT25</f>
        <v>Suspended</v>
      </c>
      <c r="FB25" s="409" t="str">
        <f>'raw data'!IU25</f>
        <v>Suspended</v>
      </c>
      <c r="FC25" s="410" t="s">
        <v>30</v>
      </c>
      <c r="FD25" s="408" t="str">
        <f>'raw data'!IV25</f>
        <v>Suspended</v>
      </c>
      <c r="FE25" s="409" t="str">
        <f>'raw data'!IW25</f>
        <v>Suspended</v>
      </c>
      <c r="FF25" s="410" t="s">
        <v>30</v>
      </c>
      <c r="FG25" s="408" t="str">
        <f>'raw data'!IX25</f>
        <v>Suspended</v>
      </c>
      <c r="FH25" s="409" t="str">
        <f>'raw data'!IY25</f>
        <v>Suspended</v>
      </c>
      <c r="FI25" s="410" t="s">
        <v>30</v>
      </c>
      <c r="FJ25" s="408" t="str">
        <f>'raw data'!IZ25</f>
        <v>Suspended</v>
      </c>
      <c r="FK25" s="409" t="str">
        <f>'raw data'!JA25</f>
        <v>Suspended</v>
      </c>
      <c r="FL25" s="410" t="s">
        <v>30</v>
      </c>
      <c r="FM25" s="408" t="str">
        <f>'raw data'!JB25</f>
        <v>Suspended</v>
      </c>
      <c r="FN25" s="409" t="str">
        <f>'raw data'!JC25</f>
        <v>Suspended</v>
      </c>
      <c r="FO25" s="410" t="s">
        <v>30</v>
      </c>
      <c r="FP25" s="408" t="str">
        <f>'raw data'!JD25</f>
        <v>Suspended</v>
      </c>
      <c r="FQ25" s="409" t="str">
        <f>'raw data'!JE25</f>
        <v>Suspended</v>
      </c>
      <c r="FR25" s="410" t="s">
        <v>30</v>
      </c>
      <c r="FS25" s="388"/>
      <c r="FT25" s="398">
        <v>0</v>
      </c>
      <c r="FU25" s="399">
        <v>0</v>
      </c>
      <c r="FV25" s="400">
        <f t="shared" si="0"/>
        <v>0</v>
      </c>
      <c r="FW25" s="229"/>
    </row>
    <row r="26" spans="1:179" ht="25.5" customHeight="1" x14ac:dyDescent="0.15">
      <c r="A26" s="411">
        <v>1.25</v>
      </c>
      <c r="B26" s="382" t="str">
        <f>'raw data'!B26</f>
        <v>Debit card purchase (£300+ per transaction and £2.5k+ in total) of large amount of booze/fags - Europe over past 3 months.</v>
      </c>
      <c r="C26" s="393" t="s">
        <v>51</v>
      </c>
      <c r="D26" s="394">
        <f>'raw data'!ET26</f>
        <v>0</v>
      </c>
      <c r="E26" s="395">
        <f>'raw data'!EU26</f>
        <v>0</v>
      </c>
      <c r="F26" s="396">
        <f>IF(ISERROR('raw data'!ET26/'raw data'!EU26),0,'raw data'!ET26/'raw data'!EU26)</f>
        <v>0</v>
      </c>
      <c r="G26" s="394">
        <f>'raw data'!EV26</f>
        <v>4</v>
      </c>
      <c r="H26" s="395">
        <f>'raw data'!EW26</f>
        <v>10</v>
      </c>
      <c r="I26" s="396">
        <f>IF(ISERROR('raw data'!EV26/'raw data'!EW26),0,'raw data'!EV26/'raw data'!EW26)</f>
        <v>0.4</v>
      </c>
      <c r="J26" s="394">
        <f>'raw data'!EX26</f>
        <v>4</v>
      </c>
      <c r="K26" s="395">
        <f>'raw data'!EY26</f>
        <v>6</v>
      </c>
      <c r="L26" s="396">
        <f>IF(ISERROR('raw data'!EX26/'raw data'!EY26),0,'raw data'!EX26/'raw data'!EY26)</f>
        <v>0.66666666666666663</v>
      </c>
      <c r="M26" s="394">
        <f>'raw data'!EZ26</f>
        <v>2</v>
      </c>
      <c r="N26" s="395">
        <f>'raw data'!FA26</f>
        <v>2</v>
      </c>
      <c r="O26" s="396">
        <f>IF(ISERROR('raw data'!EZ26/'raw data'!FA26),0,'raw data'!EZ26/'raw data'!FA26)</f>
        <v>1</v>
      </c>
      <c r="P26" s="394">
        <f>'raw data'!FB26</f>
        <v>1</v>
      </c>
      <c r="Q26" s="395">
        <f>'raw data'!FC26</f>
        <v>2</v>
      </c>
      <c r="R26" s="396">
        <f>IF(ISERROR('raw data'!FB26/'raw data'!FC26),0,'raw data'!FB26/'raw data'!FC26)</f>
        <v>0.5</v>
      </c>
      <c r="S26" s="394">
        <f>'raw data'!FD26</f>
        <v>2</v>
      </c>
      <c r="T26" s="395">
        <f>'raw data'!FE26</f>
        <v>2</v>
      </c>
      <c r="U26" s="396">
        <f>IF(ISERROR('raw data'!FD26/'raw data'!FE26),0,'raw data'!FD26/'raw data'!FE26)</f>
        <v>1</v>
      </c>
      <c r="V26" s="394">
        <f>'raw data'!FF26</f>
        <v>2</v>
      </c>
      <c r="W26" s="395">
        <f>'raw data'!FG26</f>
        <v>4</v>
      </c>
      <c r="X26" s="396">
        <f>IF(ISERROR('raw data'!FF26/'raw data'!FG26),0,'raw data'!FF26/'raw data'!FG26)</f>
        <v>0.5</v>
      </c>
      <c r="Y26" s="394">
        <f>'raw data'!FH26</f>
        <v>1</v>
      </c>
      <c r="Z26" s="395">
        <f>'raw data'!FI26</f>
        <v>2</v>
      </c>
      <c r="AA26" s="396">
        <f>IF(ISERROR('raw data'!FH26/'raw data'!FI26),0,'raw data'!FH26/'raw data'!FI26)</f>
        <v>0.5</v>
      </c>
      <c r="AB26" s="394">
        <f>'raw data'!FJ26</f>
        <v>4</v>
      </c>
      <c r="AC26" s="395">
        <f>'raw data'!FM26</f>
        <v>7</v>
      </c>
      <c r="AD26" s="396">
        <f>IF(ISERROR('raw data'!FJ26/'raw data'!FM26),0,'raw data'!FJ26/'raw data'!FM26)</f>
        <v>0.5714285714285714</v>
      </c>
      <c r="AE26" s="394">
        <f>'raw data'!FN26</f>
        <v>2</v>
      </c>
      <c r="AF26" s="395">
        <f>'raw data'!FO26</f>
        <v>2</v>
      </c>
      <c r="AG26" s="396">
        <f>IF(ISERROR('raw data'!FN26/'raw data'!FO26),0,'raw data'!FN26/'raw data'!FO26)</f>
        <v>1</v>
      </c>
      <c r="AH26" s="394">
        <f>'raw data'!FP26</f>
        <v>0</v>
      </c>
      <c r="AI26" s="395">
        <f>'raw data'!FQ26</f>
        <v>2</v>
      </c>
      <c r="AJ26" s="396">
        <f>IF(ISERROR('raw data'!FP26/'raw data'!FQ26),0,'raw data'!FP26/'raw data'!FQ26)</f>
        <v>0</v>
      </c>
      <c r="AK26" s="394">
        <f>'raw data'!FR26</f>
        <v>1</v>
      </c>
      <c r="AL26" s="395">
        <f>'raw data'!FS26</f>
        <v>1</v>
      </c>
      <c r="AM26" s="396">
        <f>IF(ISERROR('raw data'!FR26/'raw data'!FS26),0,'raw data'!FR26/'raw data'!FS26)</f>
        <v>1</v>
      </c>
      <c r="AN26" s="394">
        <f>'raw data'!FT26</f>
        <v>2</v>
      </c>
      <c r="AO26" s="395">
        <f>'raw data'!FU26</f>
        <v>4</v>
      </c>
      <c r="AP26" s="396">
        <f>IF(ISERROR('raw data'!FT26/'raw data'!FU26),0,'raw data'!FT26/'raw data'!FU26)</f>
        <v>0.5</v>
      </c>
      <c r="AQ26" s="394">
        <f>'raw data'!FV26</f>
        <v>2</v>
      </c>
      <c r="AR26" s="395">
        <f>'raw data'!FW26</f>
        <v>2</v>
      </c>
      <c r="AS26" s="397">
        <f>IF(ISERROR('raw data'!FV26/'raw data'!FW26),0,'raw data'!FV26/'raw data'!FW26)</f>
        <v>1</v>
      </c>
      <c r="AT26" s="394">
        <f>'raw data'!FX26</f>
        <v>0</v>
      </c>
      <c r="AU26" s="395">
        <f>'raw data'!FY26</f>
        <v>4</v>
      </c>
      <c r="AV26" s="397">
        <f>IF(ISERROR('raw data'!FX26/'raw data'!FY26),0,'raw data'!FX26/'raw data'!FY26)</f>
        <v>0</v>
      </c>
      <c r="AW26" s="394">
        <f>'raw data'!FZ26</f>
        <v>2</v>
      </c>
      <c r="AX26" s="395">
        <f>'raw data'!GA26</f>
        <v>2</v>
      </c>
      <c r="AY26" s="397">
        <f>IF(ISERROR('raw data'!FZ26/'raw data'!GA26),0,'raw data'!FZ26/'raw data'!GA26)</f>
        <v>1</v>
      </c>
      <c r="AZ26" s="394">
        <f>'raw data'!GB26</f>
        <v>0</v>
      </c>
      <c r="BA26" s="395">
        <f>'raw data'!GC26</f>
        <v>0</v>
      </c>
      <c r="BB26" s="397">
        <f>IF(ISERROR('raw data'!GB26/'raw data'!GC26),0,'raw data'!GB26/'raw data'!GC26)</f>
        <v>0</v>
      </c>
      <c r="BC26" s="394">
        <f>'raw data'!GD26</f>
        <v>1</v>
      </c>
      <c r="BD26" s="395">
        <f>'raw data'!GE26</f>
        <v>2</v>
      </c>
      <c r="BE26" s="397">
        <f>IF(ISERROR('raw data'!GD26/'raw data'!GE26),0,'raw data'!GD26/'raw data'!GE26)</f>
        <v>0.5</v>
      </c>
      <c r="BF26" s="394">
        <f>'raw data'!GF26</f>
        <v>1</v>
      </c>
      <c r="BG26" s="395">
        <f>'raw data'!GG26</f>
        <v>5</v>
      </c>
      <c r="BH26" s="397">
        <f>IF(ISERROR('raw data'!GF26/'raw data'!GG26),0,'raw data'!GF26/'raw data'!GG26)</f>
        <v>0.2</v>
      </c>
      <c r="BI26" s="394">
        <f>'raw data'!GH26</f>
        <v>1</v>
      </c>
      <c r="BJ26" s="395">
        <f>'raw data'!GI26</f>
        <v>4</v>
      </c>
      <c r="BK26" s="397">
        <f>IF(ISERROR('raw data'!GH26/'raw data'!GI26),0,'raw data'!GH26/'raw data'!GI26)</f>
        <v>0.25</v>
      </c>
      <c r="BL26" s="394">
        <f>'raw data'!GJ26</f>
        <v>0</v>
      </c>
      <c r="BM26" s="395">
        <f>'raw data'!GK26</f>
        <v>2</v>
      </c>
      <c r="BN26" s="397">
        <f>IF(ISERROR('raw data'!GJ26/'raw data'!GK26),0,'raw data'!GJ26/'raw data'!GK26)</f>
        <v>0</v>
      </c>
      <c r="BO26" s="394">
        <f>'raw data'!GL26</f>
        <v>3</v>
      </c>
      <c r="BP26" s="395">
        <f>'raw data'!GM26</f>
        <v>4</v>
      </c>
      <c r="BQ26" s="397">
        <f>IF(ISERROR('raw data'!GL26/'raw data'!GM26),0,'raw data'!GL26/'raw data'!GM26)</f>
        <v>0.75</v>
      </c>
      <c r="BR26" s="394">
        <f>'raw data'!GN26</f>
        <v>1</v>
      </c>
      <c r="BS26" s="395">
        <f>'raw data'!GO26</f>
        <v>4</v>
      </c>
      <c r="BT26" s="397">
        <f>IF(ISERROR('raw data'!GN26/'raw data'!GO26),0,'raw data'!GN26/'raw data'!GO26)</f>
        <v>0.25</v>
      </c>
      <c r="BU26" s="394">
        <f>'raw data'!GP26</f>
        <v>5</v>
      </c>
      <c r="BV26" s="395">
        <f>'raw data'!GQ26</f>
        <v>9</v>
      </c>
      <c r="BW26" s="397">
        <f>IF(ISERROR('raw data'!GP26/'raw data'!GQ26),0,'raw data'!GP26/'raw data'!GQ26)</f>
        <v>0.55555555555555558</v>
      </c>
      <c r="BX26" s="394">
        <f>'raw data'!GR26</f>
        <v>0</v>
      </c>
      <c r="BY26" s="395">
        <f>'raw data'!GS26</f>
        <v>0</v>
      </c>
      <c r="BZ26" s="397">
        <f>IF(ISERROR('raw data'!GR26/'raw data'!GS26),0,'raw data'!GR26/'raw data'!GS26)</f>
        <v>0</v>
      </c>
      <c r="CA26" s="394">
        <f>'raw data'!GT26</f>
        <v>1</v>
      </c>
      <c r="CB26" s="395">
        <f>'raw data'!GU26</f>
        <v>2</v>
      </c>
      <c r="CC26" s="397">
        <f>IF(ISERROR('raw data'!GT26/'raw data'!GU26),0,'raw data'!GT26/'raw data'!GU26)</f>
        <v>0.5</v>
      </c>
      <c r="CD26" s="394">
        <f>'raw data'!GV26</f>
        <v>1</v>
      </c>
      <c r="CE26" s="395">
        <f>'raw data'!GW26</f>
        <v>6</v>
      </c>
      <c r="CF26" s="397">
        <f>IF(ISERROR('raw data'!GV26/'raw data'!GW26),0,'raw data'!GV26/'raw data'!GW26)</f>
        <v>0.16666666666666666</v>
      </c>
      <c r="CG26" s="394">
        <f>'raw data'!GX26</f>
        <v>0</v>
      </c>
      <c r="CH26" s="395">
        <f>'raw data'!GY26</f>
        <v>1</v>
      </c>
      <c r="CI26" s="397">
        <f>IF(ISERROR('raw data'!GX26/'raw data'!GY26),0,'raw data'!GX26/'raw data'!GY26)</f>
        <v>0</v>
      </c>
      <c r="CJ26" s="394">
        <f>'raw data'!GZ26</f>
        <v>1</v>
      </c>
      <c r="CK26" s="395">
        <f>'raw data'!HA26</f>
        <v>4</v>
      </c>
      <c r="CL26" s="397">
        <f>IF(ISERROR('raw data'!GZ26/'raw data'!HA26),0,'raw data'!GZ26/'raw data'!HA26)</f>
        <v>0.25</v>
      </c>
      <c r="CM26" s="394">
        <f>'raw data'!HB26</f>
        <v>3</v>
      </c>
      <c r="CN26" s="395">
        <f>'raw data'!HC26</f>
        <v>4</v>
      </c>
      <c r="CO26" s="397">
        <f>IF(ISERROR('raw data'!HB26/'raw data'!HC26),0,'raw data'!HB26/'raw data'!HC26)</f>
        <v>0.75</v>
      </c>
      <c r="CP26" s="394">
        <f>'raw data'!HD26</f>
        <v>1</v>
      </c>
      <c r="CQ26" s="395">
        <f>'raw data'!HE26</f>
        <v>1</v>
      </c>
      <c r="CR26" s="397">
        <f>IF(ISERROR('raw data'!HD26/'raw data'!HE26),0,'raw data'!HD26/'raw data'!HE26)</f>
        <v>1</v>
      </c>
      <c r="CS26" s="394">
        <f>'raw data'!HF26</f>
        <v>0</v>
      </c>
      <c r="CT26" s="395">
        <f>'raw data'!HG26</f>
        <v>0</v>
      </c>
      <c r="CU26" s="397">
        <f>IF(ISERROR('raw data'!HF26/'raw data'!HG26),0,'raw data'!HF26/'raw data'!HG26)</f>
        <v>0</v>
      </c>
      <c r="CV26" s="394">
        <f>'raw data'!HH26</f>
        <v>0</v>
      </c>
      <c r="CW26" s="395">
        <f>'raw data'!HI26</f>
        <v>0</v>
      </c>
      <c r="CX26" s="397">
        <f>IF(ISERROR('raw data'!HH26/'raw data'!HI26),0,'raw data'!HH26/'raw data'!HI26)</f>
        <v>0</v>
      </c>
      <c r="CY26" s="394">
        <f>'raw data'!HJ26</f>
        <v>0</v>
      </c>
      <c r="CZ26" s="395">
        <f>'raw data'!HK26</f>
        <v>0</v>
      </c>
      <c r="DA26" s="397">
        <f>IF(ISERROR('raw data'!HJ26/'raw data'!HK26),0,'raw data'!HJ26/'raw data'!HK26)</f>
        <v>0</v>
      </c>
      <c r="DB26" s="394">
        <f>'raw data'!HL26</f>
        <v>0</v>
      </c>
      <c r="DC26" s="395">
        <f>'raw data'!HM26</f>
        <v>0</v>
      </c>
      <c r="DD26" s="397">
        <f>IF(ISERROR('raw data'!HL26/'raw data'!HM26),0,'raw data'!HL26/'raw data'!HM26)</f>
        <v>0</v>
      </c>
      <c r="DE26" s="394">
        <f>'raw data'!HN26</f>
        <v>0</v>
      </c>
      <c r="DF26" s="395">
        <f>'raw data'!HO26</f>
        <v>0</v>
      </c>
      <c r="DG26" s="397">
        <f>IF(ISERROR('raw data'!HN26/'raw data'!HO26),0,'raw data'!HN26/'raw data'!HO26)</f>
        <v>0</v>
      </c>
      <c r="DH26" s="394">
        <f>'raw data'!HP26</f>
        <v>0</v>
      </c>
      <c r="DI26" s="395">
        <f>'raw data'!HQ26</f>
        <v>0</v>
      </c>
      <c r="DJ26" s="397">
        <f>IF(ISERROR('raw data'!HP26/'raw data'!HQ26),0,'raw data'!HP26/'raw data'!HQ26)</f>
        <v>0</v>
      </c>
      <c r="DK26" s="394">
        <f>'raw data'!HR26</f>
        <v>0</v>
      </c>
      <c r="DL26" s="395">
        <f>'raw data'!HS26</f>
        <v>0</v>
      </c>
      <c r="DM26" s="397">
        <f>IF(ISERROR('raw data'!HR26/'raw data'!HS26),0,'raw data'!HR26/'raw data'!HS26)</f>
        <v>0</v>
      </c>
      <c r="DN26" s="394">
        <f>'raw data'!HT26</f>
        <v>0</v>
      </c>
      <c r="DO26" s="395">
        <f>'raw data'!HU26</f>
        <v>0</v>
      </c>
      <c r="DP26" s="397">
        <f>IF(ISERROR('raw data'!HT26/'raw data'!HU26),0,'raw data'!HT26/'raw data'!HU26)</f>
        <v>0</v>
      </c>
      <c r="DQ26" s="394">
        <f>'raw data'!HV26</f>
        <v>0</v>
      </c>
      <c r="DR26" s="395">
        <f>'raw data'!HW26</f>
        <v>0</v>
      </c>
      <c r="DS26" s="397">
        <f>IF(ISERROR('raw data'!HV26/'raw data'!HW26),0,'raw data'!HV26/'raw data'!HW26)</f>
        <v>0</v>
      </c>
      <c r="DT26" s="394">
        <f>'raw data'!HX26</f>
        <v>0</v>
      </c>
      <c r="DU26" s="395">
        <f>'raw data'!HY26</f>
        <v>0</v>
      </c>
      <c r="DV26" s="397">
        <f>IF(ISERROR('raw data'!HX26/'raw data'!HY26),0,'raw data'!HX26/'raw data'!HY26)</f>
        <v>0</v>
      </c>
      <c r="DW26" s="394">
        <f>'raw data'!HZ26</f>
        <v>0</v>
      </c>
      <c r="DX26" s="395">
        <f>'raw data'!IA26</f>
        <v>0</v>
      </c>
      <c r="DY26" s="397">
        <f>IF(ISERROR('raw data'!HZ26/'raw data'!IA26),0,'raw data'!HZ26/'raw data'!IA26)</f>
        <v>0</v>
      </c>
      <c r="DZ26" s="394">
        <f>'raw data'!IB26</f>
        <v>0</v>
      </c>
      <c r="EA26" s="395">
        <f>'raw data'!IC26</f>
        <v>0</v>
      </c>
      <c r="EB26" s="397">
        <f>IF(ISERROR('raw data'!IB26/'raw data'!IC26),0,'raw data'!IB26/'raw data'!IC26)</f>
        <v>0</v>
      </c>
      <c r="EC26" s="394">
        <f>'raw data'!ID26</f>
        <v>0</v>
      </c>
      <c r="ED26" s="395">
        <f>'raw data'!IE26</f>
        <v>0</v>
      </c>
      <c r="EE26" s="397">
        <f>IF(ISERROR('raw data'!ID26/'raw data'!IE26),0,'raw data'!ID26/'raw data'!IE26)</f>
        <v>0</v>
      </c>
      <c r="EF26" s="402" t="s">
        <v>243</v>
      </c>
      <c r="EG26" s="403" t="s">
        <v>243</v>
      </c>
      <c r="EH26" s="405" t="s">
        <v>243</v>
      </c>
      <c r="EI26" s="402" t="s">
        <v>243</v>
      </c>
      <c r="EJ26" s="403" t="s">
        <v>243</v>
      </c>
      <c r="EK26" s="405" t="s">
        <v>243</v>
      </c>
      <c r="EL26" s="402" t="s">
        <v>243</v>
      </c>
      <c r="EM26" s="403" t="s">
        <v>243</v>
      </c>
      <c r="EN26" s="405" t="s">
        <v>243</v>
      </c>
      <c r="EO26" s="402" t="s">
        <v>243</v>
      </c>
      <c r="EP26" s="403" t="s">
        <v>243</v>
      </c>
      <c r="EQ26" s="405" t="s">
        <v>243</v>
      </c>
      <c r="ER26" s="402" t="s">
        <v>243</v>
      </c>
      <c r="ES26" s="403" t="s">
        <v>243</v>
      </c>
      <c r="ET26" s="405" t="s">
        <v>243</v>
      </c>
      <c r="EU26" s="402" t="s">
        <v>243</v>
      </c>
      <c r="EV26" s="403" t="s">
        <v>243</v>
      </c>
      <c r="EW26" s="405" t="s">
        <v>243</v>
      </c>
      <c r="EX26" s="402" t="s">
        <v>243</v>
      </c>
      <c r="EY26" s="403" t="s">
        <v>243</v>
      </c>
      <c r="EZ26" s="405" t="s">
        <v>243</v>
      </c>
      <c r="FA26" s="402" t="s">
        <v>243</v>
      </c>
      <c r="FB26" s="403" t="s">
        <v>243</v>
      </c>
      <c r="FC26" s="405" t="s">
        <v>243</v>
      </c>
      <c r="FD26" s="402" t="s">
        <v>243</v>
      </c>
      <c r="FE26" s="403" t="s">
        <v>243</v>
      </c>
      <c r="FF26" s="405" t="s">
        <v>243</v>
      </c>
      <c r="FG26" s="402" t="s">
        <v>243</v>
      </c>
      <c r="FH26" s="403" t="s">
        <v>243</v>
      </c>
      <c r="FI26" s="405" t="s">
        <v>243</v>
      </c>
      <c r="FJ26" s="402" t="s">
        <v>243</v>
      </c>
      <c r="FK26" s="403" t="s">
        <v>243</v>
      </c>
      <c r="FL26" s="405" t="s">
        <v>243</v>
      </c>
      <c r="FM26" s="402" t="s">
        <v>243</v>
      </c>
      <c r="FN26" s="403" t="s">
        <v>243</v>
      </c>
      <c r="FO26" s="405" t="s">
        <v>243</v>
      </c>
      <c r="FP26" s="402" t="s">
        <v>243</v>
      </c>
      <c r="FQ26" s="403" t="s">
        <v>243</v>
      </c>
      <c r="FR26" s="405" t="s">
        <v>243</v>
      </c>
      <c r="FS26" s="388"/>
      <c r="FT26" s="398">
        <v>0</v>
      </c>
      <c r="FU26" s="399">
        <v>0</v>
      </c>
      <c r="FV26" s="400">
        <f t="shared" si="0"/>
        <v>0</v>
      </c>
      <c r="FW26" s="229"/>
    </row>
    <row r="27" spans="1:179" ht="25.5" customHeight="1" x14ac:dyDescent="0.15">
      <c r="A27" s="411">
        <v>1.26</v>
      </c>
      <c r="B27" s="382" t="str">
        <f>'raw data'!B27</f>
        <v>Treasurers Trust with high proportion (40% or greater) of cash WDs &amp; balance of £5k+.</v>
      </c>
      <c r="C27" s="393" t="s">
        <v>53</v>
      </c>
      <c r="D27" s="394">
        <f>'raw data'!ET27</f>
        <v>1</v>
      </c>
      <c r="E27" s="395">
        <f>'raw data'!EU27</f>
        <v>7</v>
      </c>
      <c r="F27" s="396">
        <f>IF(ISERROR('raw data'!ET27/'raw data'!EU27),0,'raw data'!ET27/'raw data'!EU27)</f>
        <v>0.14285714285714285</v>
      </c>
      <c r="G27" s="394">
        <f>'raw data'!EV27</f>
        <v>0</v>
      </c>
      <c r="H27" s="395">
        <f>'raw data'!EW27</f>
        <v>8</v>
      </c>
      <c r="I27" s="396">
        <f>IF(ISERROR('raw data'!EV27/'raw data'!EW27),0,'raw data'!EV27/'raw data'!EW27)</f>
        <v>0</v>
      </c>
      <c r="J27" s="394">
        <f>'raw data'!EX27</f>
        <v>0</v>
      </c>
      <c r="K27" s="395">
        <f>'raw data'!EY27</f>
        <v>8</v>
      </c>
      <c r="L27" s="396">
        <f>IF(ISERROR('raw data'!EX27/'raw data'!EY27),0,'raw data'!EX27/'raw data'!EY27)</f>
        <v>0</v>
      </c>
      <c r="M27" s="394">
        <f>'raw data'!EZ27</f>
        <v>0</v>
      </c>
      <c r="N27" s="395">
        <f>'raw data'!FA27</f>
        <v>3</v>
      </c>
      <c r="O27" s="396">
        <f>IF(ISERROR('raw data'!EZ27/'raw data'!FA27),0,'raw data'!EZ27/'raw data'!FA27)</f>
        <v>0</v>
      </c>
      <c r="P27" s="394">
        <f>'raw data'!FB27</f>
        <v>0</v>
      </c>
      <c r="Q27" s="395">
        <f>'raw data'!FC27</f>
        <v>9</v>
      </c>
      <c r="R27" s="396">
        <f>IF(ISERROR('raw data'!FB27/'raw data'!FC27),0,'raw data'!FB27/'raw data'!FC27)</f>
        <v>0</v>
      </c>
      <c r="S27" s="394">
        <f>'raw data'!FD27</f>
        <v>0</v>
      </c>
      <c r="T27" s="395">
        <f>'raw data'!FE27</f>
        <v>10</v>
      </c>
      <c r="U27" s="396">
        <f>IF(ISERROR('raw data'!FD27/'raw data'!FE27),0,'raw data'!FD27/'raw data'!FE27)</f>
        <v>0</v>
      </c>
      <c r="V27" s="394">
        <f>'raw data'!FF27</f>
        <v>0</v>
      </c>
      <c r="W27" s="395">
        <f>'raw data'!FG27</f>
        <v>14</v>
      </c>
      <c r="X27" s="396">
        <f>IF(ISERROR('raw data'!FF27/'raw data'!FG27),0,'raw data'!FF27/'raw data'!FG27)</f>
        <v>0</v>
      </c>
      <c r="Y27" s="394">
        <f>'raw data'!FH27</f>
        <v>0</v>
      </c>
      <c r="Z27" s="395">
        <f>'raw data'!FI27</f>
        <v>10</v>
      </c>
      <c r="AA27" s="396">
        <f>IF(ISERROR('raw data'!FH27/'raw data'!FI27),0,'raw data'!FH27/'raw data'!FI27)</f>
        <v>0</v>
      </c>
      <c r="AB27" s="394">
        <f>'raw data'!FJ27</f>
        <v>0</v>
      </c>
      <c r="AC27" s="395">
        <f>'raw data'!FM27</f>
        <v>7</v>
      </c>
      <c r="AD27" s="396">
        <f>IF(ISERROR('raw data'!FJ27/'raw data'!FM27),0,'raw data'!FJ27/'raw data'!FM27)</f>
        <v>0</v>
      </c>
      <c r="AE27" s="394">
        <f>'raw data'!FN27</f>
        <v>0</v>
      </c>
      <c r="AF27" s="395">
        <f>'raw data'!FO27</f>
        <v>11</v>
      </c>
      <c r="AG27" s="396">
        <f>IF(ISERROR('raw data'!FN27/'raw data'!FO27),0,'raw data'!FN27/'raw data'!FO27)</f>
        <v>0</v>
      </c>
      <c r="AH27" s="394">
        <f>'raw data'!FP27</f>
        <v>0</v>
      </c>
      <c r="AI27" s="395">
        <f>'raw data'!FQ27</f>
        <v>17</v>
      </c>
      <c r="AJ27" s="396">
        <f>IF(ISERROR('raw data'!FP27/'raw data'!FQ27),0,'raw data'!FP27/'raw data'!FQ27)</f>
        <v>0</v>
      </c>
      <c r="AK27" s="394">
        <f>'raw data'!FR27</f>
        <v>0</v>
      </c>
      <c r="AL27" s="395">
        <f>'raw data'!FS27</f>
        <v>12</v>
      </c>
      <c r="AM27" s="396">
        <f>IF(ISERROR('raw data'!FR27/'raw data'!FS27),0,'raw data'!FR27/'raw data'!FS27)</f>
        <v>0</v>
      </c>
      <c r="AN27" s="394">
        <f>'raw data'!FT27</f>
        <v>0</v>
      </c>
      <c r="AO27" s="395">
        <f>'raw data'!FU27</f>
        <v>2</v>
      </c>
      <c r="AP27" s="396">
        <f>IF(ISERROR('raw data'!FT27/'raw data'!FU27),0,'raw data'!FT27/'raw data'!FU27)</f>
        <v>0</v>
      </c>
      <c r="AQ27" s="394">
        <f>'raw data'!FV27</f>
        <v>0</v>
      </c>
      <c r="AR27" s="395">
        <f>'raw data'!FW27</f>
        <v>8</v>
      </c>
      <c r="AS27" s="397">
        <f>IF(ISERROR('raw data'!FV27/'raw data'!FW27),0,'raw data'!FV27/'raw data'!FW27)</f>
        <v>0</v>
      </c>
      <c r="AT27" s="394">
        <f>'raw data'!FX27</f>
        <v>0</v>
      </c>
      <c r="AU27" s="395">
        <f>'raw data'!FY27</f>
        <v>5</v>
      </c>
      <c r="AV27" s="397">
        <f>IF(ISERROR('raw data'!FX27/'raw data'!FY27),0,'raw data'!FX27/'raw data'!FY27)</f>
        <v>0</v>
      </c>
      <c r="AW27" s="394">
        <f>'raw data'!FZ27</f>
        <v>0</v>
      </c>
      <c r="AX27" s="395">
        <f>'raw data'!GA27</f>
        <v>10</v>
      </c>
      <c r="AY27" s="397">
        <f>IF(ISERROR('raw data'!FZ27/'raw data'!GA27),0,'raw data'!FZ27/'raw data'!GA27)</f>
        <v>0</v>
      </c>
      <c r="AZ27" s="394">
        <f>'raw data'!GB27</f>
        <v>0</v>
      </c>
      <c r="BA27" s="395">
        <f>'raw data'!GC27</f>
        <v>7</v>
      </c>
      <c r="BB27" s="397">
        <f>IF(ISERROR('raw data'!GB27/'raw data'!GC27),0,'raw data'!GB27/'raw data'!GC27)</f>
        <v>0</v>
      </c>
      <c r="BC27" s="394">
        <f>'raw data'!GD27</f>
        <v>0</v>
      </c>
      <c r="BD27" s="395">
        <f>'raw data'!GE27</f>
        <v>7</v>
      </c>
      <c r="BE27" s="397">
        <f>IF(ISERROR('raw data'!GD27/'raw data'!GE27),0,'raw data'!GD27/'raw data'!GE27)</f>
        <v>0</v>
      </c>
      <c r="BF27" s="394">
        <f>'raw data'!GF27</f>
        <v>0</v>
      </c>
      <c r="BG27" s="395">
        <f>'raw data'!GG27</f>
        <v>2</v>
      </c>
      <c r="BH27" s="397">
        <f>IF(ISERROR('raw data'!GF27/'raw data'!GG27),0,'raw data'!GF27/'raw data'!GG27)</f>
        <v>0</v>
      </c>
      <c r="BI27" s="394">
        <f>'raw data'!GH27</f>
        <v>1</v>
      </c>
      <c r="BJ27" s="395">
        <f>'raw data'!GI27</f>
        <v>6</v>
      </c>
      <c r="BK27" s="397">
        <f>IF(ISERROR('raw data'!GH27/'raw data'!GI27),0,'raw data'!GH27/'raw data'!GI27)</f>
        <v>0.16666666666666666</v>
      </c>
      <c r="BL27" s="394">
        <f>'raw data'!GJ27</f>
        <v>0</v>
      </c>
      <c r="BM27" s="395">
        <f>'raw data'!GK27</f>
        <v>7</v>
      </c>
      <c r="BN27" s="397">
        <f>IF(ISERROR('raw data'!GJ27/'raw data'!GK27),0,'raw data'!GJ27/'raw data'!GK27)</f>
        <v>0</v>
      </c>
      <c r="BO27" s="394">
        <f>'raw data'!GL27</f>
        <v>0</v>
      </c>
      <c r="BP27" s="395">
        <f>'raw data'!GM27</f>
        <v>11</v>
      </c>
      <c r="BQ27" s="397">
        <f>IF(ISERROR('raw data'!GL27/'raw data'!GM27),0,'raw data'!GL27/'raw data'!GM27)</f>
        <v>0</v>
      </c>
      <c r="BR27" s="394">
        <f>'raw data'!GN27</f>
        <v>0</v>
      </c>
      <c r="BS27" s="395">
        <f>'raw data'!GO27</f>
        <v>24</v>
      </c>
      <c r="BT27" s="397">
        <f>IF(ISERROR('raw data'!GN27/'raw data'!GO27),0,'raw data'!GN27/'raw data'!GO27)</f>
        <v>0</v>
      </c>
      <c r="BU27" s="394">
        <f>'raw data'!GP27</f>
        <v>0</v>
      </c>
      <c r="BV27" s="395">
        <f>'raw data'!GQ27</f>
        <v>6</v>
      </c>
      <c r="BW27" s="397">
        <f>IF(ISERROR('raw data'!GP27/'raw data'!GQ27),0,'raw data'!GP27/'raw data'!GQ27)</f>
        <v>0</v>
      </c>
      <c r="BX27" s="394">
        <f>'raw data'!GR27</f>
        <v>0</v>
      </c>
      <c r="BY27" s="395">
        <f>'raw data'!GS27</f>
        <v>4</v>
      </c>
      <c r="BZ27" s="397">
        <f>IF(ISERROR('raw data'!GR27/'raw data'!GS27),0,'raw data'!GR27/'raw data'!GS27)</f>
        <v>0</v>
      </c>
      <c r="CA27" s="394">
        <f>'raw data'!GT27</f>
        <v>0</v>
      </c>
      <c r="CB27" s="395">
        <f>'raw data'!GU27</f>
        <v>4</v>
      </c>
      <c r="CC27" s="397">
        <f>IF(ISERROR('raw data'!GT27/'raw data'!GU27),0,'raw data'!GT27/'raw data'!GU27)</f>
        <v>0</v>
      </c>
      <c r="CD27" s="394">
        <f>'raw data'!GV27</f>
        <v>0</v>
      </c>
      <c r="CE27" s="395">
        <f>'raw data'!GW27</f>
        <v>11</v>
      </c>
      <c r="CF27" s="397">
        <f>IF(ISERROR('raw data'!GV27/'raw data'!GW27),0,'raw data'!GV27/'raw data'!GW27)</f>
        <v>0</v>
      </c>
      <c r="CG27" s="394">
        <f>'raw data'!GX27</f>
        <v>0</v>
      </c>
      <c r="CH27" s="395">
        <f>'raw data'!GY27</f>
        <v>5</v>
      </c>
      <c r="CI27" s="397">
        <f>IF(ISERROR('raw data'!GX27/'raw data'!GY27),0,'raw data'!GX27/'raw data'!GY27)</f>
        <v>0</v>
      </c>
      <c r="CJ27" s="394">
        <f>'raw data'!GZ27</f>
        <v>0</v>
      </c>
      <c r="CK27" s="395">
        <f>'raw data'!HA27</f>
        <v>4</v>
      </c>
      <c r="CL27" s="397">
        <f>IF(ISERROR('raw data'!GZ27/'raw data'!HA27),0,'raw data'!GZ27/'raw data'!HA27)</f>
        <v>0</v>
      </c>
      <c r="CM27" s="394">
        <f>'raw data'!HB27</f>
        <v>0</v>
      </c>
      <c r="CN27" s="395">
        <f>'raw data'!HC27</f>
        <v>7</v>
      </c>
      <c r="CO27" s="397">
        <f>IF(ISERROR('raw data'!HB27/'raw data'!HC27),0,'raw data'!HB27/'raw data'!HC27)</f>
        <v>0</v>
      </c>
      <c r="CP27" s="394">
        <f>'raw data'!HD27</f>
        <v>0</v>
      </c>
      <c r="CQ27" s="395">
        <f>'raw data'!HE27</f>
        <v>9</v>
      </c>
      <c r="CR27" s="397">
        <f>IF(ISERROR('raw data'!HD27/'raw data'!HE27),0,'raw data'!HD27/'raw data'!HE27)</f>
        <v>0</v>
      </c>
      <c r="CS27" s="394">
        <f>'raw data'!HF27</f>
        <v>0</v>
      </c>
      <c r="CT27" s="395">
        <f>'raw data'!HG27</f>
        <v>5</v>
      </c>
      <c r="CU27" s="397">
        <f>IF(ISERROR('raw data'!HF27/'raw data'!HG27),0,'raw data'!HF27/'raw data'!HG27)</f>
        <v>0</v>
      </c>
      <c r="CV27" s="394">
        <f>'raw data'!HH27</f>
        <v>0</v>
      </c>
      <c r="CW27" s="395">
        <f>'raw data'!HI27</f>
        <v>6</v>
      </c>
      <c r="CX27" s="397">
        <f>IF(ISERROR('raw data'!HH27/'raw data'!HI27),0,'raw data'!HH27/'raw data'!HI27)</f>
        <v>0</v>
      </c>
      <c r="CY27" s="394">
        <f>'raw data'!HJ27</f>
        <v>0</v>
      </c>
      <c r="CZ27" s="395">
        <f>'raw data'!HK27</f>
        <v>4</v>
      </c>
      <c r="DA27" s="397">
        <f>IF(ISERROR('raw data'!HJ27/'raw data'!HK27),0,'raw data'!HJ27/'raw data'!HK27)</f>
        <v>0</v>
      </c>
      <c r="DB27" s="394">
        <f>'raw data'!HL27</f>
        <v>0</v>
      </c>
      <c r="DC27" s="395">
        <f>'raw data'!HM27</f>
        <v>9</v>
      </c>
      <c r="DD27" s="397">
        <f>IF(ISERROR('raw data'!HL27/'raw data'!HM27),0,'raw data'!HL27/'raw data'!HM27)</f>
        <v>0</v>
      </c>
      <c r="DE27" s="394">
        <f>'raw data'!HN27</f>
        <v>0</v>
      </c>
      <c r="DF27" s="395">
        <f>'raw data'!HO27</f>
        <v>11</v>
      </c>
      <c r="DG27" s="397">
        <f>IF(ISERROR('raw data'!HN27/'raw data'!HO27),0,'raw data'!HN27/'raw data'!HO27)</f>
        <v>0</v>
      </c>
      <c r="DH27" s="394">
        <f>'raw data'!HP27</f>
        <v>0</v>
      </c>
      <c r="DI27" s="395">
        <f>'raw data'!HQ27</f>
        <v>6</v>
      </c>
      <c r="DJ27" s="397">
        <f>IF(ISERROR('raw data'!HP27/'raw data'!HQ27),0,'raw data'!HP27/'raw data'!HQ27)</f>
        <v>0</v>
      </c>
      <c r="DK27" s="394">
        <f>'raw data'!HR27</f>
        <v>0</v>
      </c>
      <c r="DL27" s="395">
        <f>'raw data'!HS27</f>
        <v>4</v>
      </c>
      <c r="DM27" s="397">
        <f>IF(ISERROR('raw data'!HR27/'raw data'!HS27),0,'raw data'!HR27/'raw data'!HS27)</f>
        <v>0</v>
      </c>
      <c r="DN27" s="394">
        <f>'raw data'!HT27</f>
        <v>0</v>
      </c>
      <c r="DO27" s="395">
        <f>'raw data'!HU27</f>
        <v>5</v>
      </c>
      <c r="DP27" s="397">
        <f>IF(ISERROR('raw data'!HT27/'raw data'!HU27),0,'raw data'!HT27/'raw data'!HU27)</f>
        <v>0</v>
      </c>
      <c r="DQ27" s="394">
        <f>'raw data'!HV27</f>
        <v>0</v>
      </c>
      <c r="DR27" s="395">
        <f>'raw data'!HW27</f>
        <v>1</v>
      </c>
      <c r="DS27" s="397">
        <f>IF(ISERROR('raw data'!HV27/'raw data'!HW27),0,'raw data'!HV27/'raw data'!HW27)</f>
        <v>0</v>
      </c>
      <c r="DT27" s="394">
        <f>'raw data'!HX27</f>
        <v>0</v>
      </c>
      <c r="DU27" s="395">
        <f>'raw data'!HY27</f>
        <v>3</v>
      </c>
      <c r="DV27" s="397">
        <f>IF(ISERROR('raw data'!HX27/'raw data'!HY27),0,'raw data'!HX27/'raw data'!HY27)</f>
        <v>0</v>
      </c>
      <c r="DW27" s="394">
        <f>'raw data'!HZ27</f>
        <v>0</v>
      </c>
      <c r="DX27" s="395">
        <f>'raw data'!IA27</f>
        <v>2</v>
      </c>
      <c r="DY27" s="397">
        <f>IF(ISERROR('raw data'!HZ27/'raw data'!IA27),0,'raw data'!HZ27/'raw data'!IA27)</f>
        <v>0</v>
      </c>
      <c r="DZ27" s="394">
        <f>'raw data'!IB27</f>
        <v>0</v>
      </c>
      <c r="EA27" s="395">
        <f>'raw data'!IC27</f>
        <v>4</v>
      </c>
      <c r="EB27" s="397">
        <f>IF(ISERROR('raw data'!IB27/'raw data'!IC27),0,'raw data'!IB27/'raw data'!IC27)</f>
        <v>0</v>
      </c>
      <c r="EC27" s="394">
        <f>'raw data'!ID27</f>
        <v>0</v>
      </c>
      <c r="ED27" s="395">
        <f>'raw data'!IE27</f>
        <v>3</v>
      </c>
      <c r="EE27" s="397">
        <f>IF(ISERROR('raw data'!ID27/'raw data'!IE27),0,'raw data'!ID27/'raw data'!IE27)</f>
        <v>0</v>
      </c>
      <c r="EF27" s="394">
        <f>'raw data'!IF27</f>
        <v>0</v>
      </c>
      <c r="EG27" s="395">
        <f>'raw data'!IG27</f>
        <v>4</v>
      </c>
      <c r="EH27" s="397">
        <f>IF(ISERROR('raw data'!IF27/'raw data'!IG27),0,'raw data'!IF27/'raw data'!IG27)</f>
        <v>0</v>
      </c>
      <c r="EI27" s="394">
        <f>'raw data'!IH27</f>
        <v>0</v>
      </c>
      <c r="EJ27" s="395">
        <f>'raw data'!II27</f>
        <v>4</v>
      </c>
      <c r="EK27" s="397">
        <f>IF(ISERROR('raw data'!IH27/'raw data'!II27),0,'raw data'!IH27/'raw data'!II27)</f>
        <v>0</v>
      </c>
      <c r="EL27" s="394">
        <f>'raw data'!IJ27</f>
        <v>0</v>
      </c>
      <c r="EM27" s="395">
        <f>'raw data'!IK27</f>
        <v>6</v>
      </c>
      <c r="EN27" s="397">
        <f>IF(ISERROR('raw data'!IJ27/'raw data'!IK27),0,'raw data'!IJ27/'raw data'!IK27)</f>
        <v>0</v>
      </c>
      <c r="EO27" s="394">
        <f>'raw data'!IL27</f>
        <v>0</v>
      </c>
      <c r="EP27" s="395">
        <f>'raw data'!IM27</f>
        <v>6</v>
      </c>
      <c r="EQ27" s="397">
        <f>IF(ISERROR('raw data'!IL27/'raw data'!IM27),0,'raw data'!IL27/'raw data'!IM27)</f>
        <v>0</v>
      </c>
      <c r="ER27" s="394">
        <f>'raw data'!IN27</f>
        <v>0</v>
      </c>
      <c r="ES27" s="395">
        <f>'raw data'!IO27</f>
        <v>3</v>
      </c>
      <c r="ET27" s="397">
        <f>IF(ISERROR('raw data'!IN27/'raw data'!IO27),0,'raw data'!IN27/'raw data'!IO27)</f>
        <v>0</v>
      </c>
      <c r="EU27" s="394">
        <f>'raw data'!IP27</f>
        <v>0</v>
      </c>
      <c r="EV27" s="395">
        <f>'raw data'!IQ27</f>
        <v>1</v>
      </c>
      <c r="EW27" s="397">
        <f>IF(ISERROR('raw data'!IP27/'raw data'!IQ27),0,'raw data'!IP27/'raw data'!IQ27)</f>
        <v>0</v>
      </c>
      <c r="EX27" s="394">
        <f>'raw data'!IR27</f>
        <v>0</v>
      </c>
      <c r="EY27" s="395">
        <f>'raw data'!IS27</f>
        <v>3</v>
      </c>
      <c r="EZ27" s="397">
        <f>IF(ISERROR('raw data'!IR27/'raw data'!IS27),0,'raw data'!IR27/'raw data'!IS27)</f>
        <v>0</v>
      </c>
      <c r="FA27" s="394">
        <f>'raw data'!IT27</f>
        <v>0</v>
      </c>
      <c r="FB27" s="395">
        <f>'raw data'!IU27</f>
        <v>5</v>
      </c>
      <c r="FC27" s="397">
        <f>IF(ISERROR('raw data'!IT27/'raw data'!IU27),0,'raw data'!IT27/'raw data'!IU27)</f>
        <v>0</v>
      </c>
      <c r="FD27" s="394">
        <f>'raw data'!IV27</f>
        <v>0</v>
      </c>
      <c r="FE27" s="395">
        <f>'raw data'!IW27</f>
        <v>4</v>
      </c>
      <c r="FF27" s="397">
        <f>IF(ISERROR('raw data'!IV27/'raw data'!IW27),0,'raw data'!IV27/'raw data'!IW27)</f>
        <v>0</v>
      </c>
      <c r="FG27" s="394">
        <f>'raw data'!IX27</f>
        <v>1</v>
      </c>
      <c r="FH27" s="395">
        <f>'raw data'!IY27</f>
        <v>5</v>
      </c>
      <c r="FI27" s="397">
        <f>IF(ISERROR('raw data'!IX27/'raw data'!IY27),0,'raw data'!IX27/'raw data'!IY27)</f>
        <v>0.2</v>
      </c>
      <c r="FJ27" s="394">
        <f>'raw data'!IZ27</f>
        <v>0</v>
      </c>
      <c r="FK27" s="395">
        <f>'raw data'!JA27</f>
        <v>2</v>
      </c>
      <c r="FL27" s="397">
        <f>IF(ISERROR('raw data'!IZ27/'raw data'!JA27),0,'raw data'!IZ27/'raw data'!JA27)</f>
        <v>0</v>
      </c>
      <c r="FM27" s="394">
        <f>'raw data'!JB27</f>
        <v>0</v>
      </c>
      <c r="FN27" s="395">
        <f>'raw data'!JC27</f>
        <v>4</v>
      </c>
      <c r="FO27" s="397">
        <f>IF(ISERROR('raw data'!JB27/'raw data'!JC27),0,'raw data'!JB27/'raw data'!JC27)</f>
        <v>0</v>
      </c>
      <c r="FP27" s="394">
        <f>'raw data'!JD27</f>
        <v>0</v>
      </c>
      <c r="FQ27" s="395">
        <f>'raw data'!JE27</f>
        <v>3</v>
      </c>
      <c r="FR27" s="397">
        <f>IF(ISERROR('raw data'!JD27/'raw data'!JE27),0,'raw data'!JD27/'raw data'!JE27)</f>
        <v>0</v>
      </c>
      <c r="FS27" s="388"/>
      <c r="FT27" s="398">
        <v>1</v>
      </c>
      <c r="FU27" s="399">
        <v>46</v>
      </c>
      <c r="FV27" s="400">
        <f t="shared" si="0"/>
        <v>2.1739130434782608E-2</v>
      </c>
    </row>
    <row r="28" spans="1:179" ht="25.5" customHeight="1" x14ac:dyDescent="0.15">
      <c r="A28" s="411">
        <v>1.27</v>
      </c>
      <c r="B28" s="382" t="str">
        <f>'raw data'!B28</f>
        <v xml:space="preserve">Accounts with £50k+ in and out via LAs (between 10-29), WPs &amp; VPs (WP+VP 25 plus).   </v>
      </c>
      <c r="C28" s="393" t="s">
        <v>55</v>
      </c>
      <c r="D28" s="394">
        <f>'raw data'!ET28</f>
        <v>10</v>
      </c>
      <c r="E28" s="395">
        <f>'raw data'!EU28</f>
        <v>153</v>
      </c>
      <c r="F28" s="396">
        <f>IF(ISERROR('raw data'!ET28/'raw data'!EU28),0,'raw data'!ET28/'raw data'!EU28)</f>
        <v>6.535947712418301E-2</v>
      </c>
      <c r="G28" s="394">
        <f>'raw data'!EV28</f>
        <v>11</v>
      </c>
      <c r="H28" s="395">
        <f>'raw data'!EW28</f>
        <v>127</v>
      </c>
      <c r="I28" s="396">
        <f>IF(ISERROR('raw data'!EV28/'raw data'!EW28),0,'raw data'!EV28/'raw data'!EW28)</f>
        <v>8.6614173228346455E-2</v>
      </c>
      <c r="J28" s="394">
        <f>'raw data'!EX28</f>
        <v>8</v>
      </c>
      <c r="K28" s="395">
        <f>'raw data'!EY28</f>
        <v>208</v>
      </c>
      <c r="L28" s="396">
        <f>IF(ISERROR('raw data'!EX28/'raw data'!EY28),0,'raw data'!EX28/'raw data'!EY28)</f>
        <v>3.8461538461538464E-2</v>
      </c>
      <c r="M28" s="394">
        <f>'raw data'!EZ28</f>
        <v>13</v>
      </c>
      <c r="N28" s="395">
        <f>'raw data'!FA28</f>
        <v>141</v>
      </c>
      <c r="O28" s="396">
        <f>IF(ISERROR('raw data'!EZ28/'raw data'!FA28),0,'raw data'!EZ28/'raw data'!FA28)</f>
        <v>9.2198581560283682E-2</v>
      </c>
      <c r="P28" s="394">
        <f>'raw data'!FB28</f>
        <v>11</v>
      </c>
      <c r="Q28" s="395">
        <f>'raw data'!FC28</f>
        <v>181</v>
      </c>
      <c r="R28" s="396">
        <f>IF(ISERROR('raw data'!FB28/'raw data'!FC28),0,'raw data'!FB28/'raw data'!FC28)</f>
        <v>6.0773480662983423E-2</v>
      </c>
      <c r="S28" s="394">
        <f>'raw data'!FD28</f>
        <v>9</v>
      </c>
      <c r="T28" s="395">
        <f>'raw data'!FE28</f>
        <v>172</v>
      </c>
      <c r="U28" s="396">
        <f>IF(ISERROR('raw data'!FD28/'raw data'!FE28),0,'raw data'!FD28/'raw data'!FE28)</f>
        <v>5.232558139534884E-2</v>
      </c>
      <c r="V28" s="394">
        <f>'raw data'!FF28</f>
        <v>11</v>
      </c>
      <c r="W28" s="395">
        <f>'raw data'!FG28</f>
        <v>199</v>
      </c>
      <c r="X28" s="396">
        <f>IF(ISERROR('raw data'!FF28/'raw data'!FG28),0,'raw data'!FF28/'raw data'!FG28)</f>
        <v>5.5276381909547742E-2</v>
      </c>
      <c r="Y28" s="394">
        <f>'raw data'!FH28</f>
        <v>10</v>
      </c>
      <c r="Z28" s="395">
        <f>'raw data'!FI28</f>
        <v>193</v>
      </c>
      <c r="AA28" s="396">
        <f>IF(ISERROR('raw data'!FH28/'raw data'!FI28),0,'raw data'!FH28/'raw data'!FI28)</f>
        <v>5.181347150259067E-2</v>
      </c>
      <c r="AB28" s="394">
        <f>'raw data'!FJ28</f>
        <v>2</v>
      </c>
      <c r="AC28" s="395">
        <f>'raw data'!FM28</f>
        <v>206</v>
      </c>
      <c r="AD28" s="396">
        <f>IF(ISERROR('raw data'!FJ28/'raw data'!FM28),0,'raw data'!FJ28/'raw data'!FM28)</f>
        <v>9.7087378640776691E-3</v>
      </c>
      <c r="AE28" s="408" t="str">
        <f>'raw data'!FN28</f>
        <v>Suspended</v>
      </c>
      <c r="AF28" s="409" t="str">
        <f>'raw data'!FO28</f>
        <v>Suspended</v>
      </c>
      <c r="AG28" s="410" t="s">
        <v>30</v>
      </c>
      <c r="AH28" s="408" t="str">
        <f>'raw data'!FP28</f>
        <v>Suspended</v>
      </c>
      <c r="AI28" s="409" t="str">
        <f>'raw data'!FQ28</f>
        <v>Suspended</v>
      </c>
      <c r="AJ28" s="414" t="s">
        <v>30</v>
      </c>
      <c r="AK28" s="408" t="str">
        <f>'raw data'!FR28</f>
        <v>Suspended</v>
      </c>
      <c r="AL28" s="409" t="str">
        <f>'raw data'!FS28</f>
        <v>Suspended</v>
      </c>
      <c r="AM28" s="414" t="s">
        <v>30</v>
      </c>
      <c r="AN28" s="408" t="str">
        <f>'raw data'!FT28</f>
        <v>Suspended</v>
      </c>
      <c r="AO28" s="409" t="str">
        <f>'raw data'!FU28</f>
        <v>Suspended</v>
      </c>
      <c r="AP28" s="414" t="s">
        <v>30</v>
      </c>
      <c r="AQ28" s="408" t="str">
        <f>'raw data'!FV28</f>
        <v>Suspended</v>
      </c>
      <c r="AR28" s="409" t="str">
        <f>'raw data'!FW28</f>
        <v>Suspended</v>
      </c>
      <c r="AS28" s="410" t="s">
        <v>30</v>
      </c>
      <c r="AT28" s="408" t="str">
        <f>'raw data'!FX28</f>
        <v>Suspended</v>
      </c>
      <c r="AU28" s="409" t="str">
        <f>'raw data'!FY28</f>
        <v>Suspended</v>
      </c>
      <c r="AV28" s="410" t="s">
        <v>30</v>
      </c>
      <c r="AW28" s="408" t="str">
        <f>'raw data'!FZ28</f>
        <v>Suspended</v>
      </c>
      <c r="AX28" s="409" t="str">
        <f>'raw data'!GA28</f>
        <v>Suspended</v>
      </c>
      <c r="AY28" s="410" t="s">
        <v>30</v>
      </c>
      <c r="AZ28" s="408" t="str">
        <f>'raw data'!GB28</f>
        <v>Suspended</v>
      </c>
      <c r="BA28" s="409" t="str">
        <f>'raw data'!GC28</f>
        <v>Suspended</v>
      </c>
      <c r="BB28" s="410" t="s">
        <v>30</v>
      </c>
      <c r="BC28" s="408" t="str">
        <f>'raw data'!GD28</f>
        <v>Suspended</v>
      </c>
      <c r="BD28" s="409" t="str">
        <f>'raw data'!GE28</f>
        <v>Suspended</v>
      </c>
      <c r="BE28" s="410" t="s">
        <v>30</v>
      </c>
      <c r="BF28" s="408" t="str">
        <f>'raw data'!GF28</f>
        <v>Suspended</v>
      </c>
      <c r="BG28" s="409" t="str">
        <f>'raw data'!GG28</f>
        <v>Suspended</v>
      </c>
      <c r="BH28" s="410" t="s">
        <v>30</v>
      </c>
      <c r="BI28" s="408" t="str">
        <f>'raw data'!GH28</f>
        <v>Suspended</v>
      </c>
      <c r="BJ28" s="409" t="str">
        <f>'raw data'!GI28</f>
        <v>Suspended</v>
      </c>
      <c r="BK28" s="410" t="s">
        <v>30</v>
      </c>
      <c r="BL28" s="408" t="str">
        <f>'raw data'!GJ28</f>
        <v>Suspended</v>
      </c>
      <c r="BM28" s="409" t="str">
        <f>'raw data'!GK28</f>
        <v>Suspended</v>
      </c>
      <c r="BN28" s="410" t="s">
        <v>30</v>
      </c>
      <c r="BO28" s="408" t="str">
        <f>'raw data'!GL28</f>
        <v>Suspended</v>
      </c>
      <c r="BP28" s="409" t="str">
        <f>'raw data'!GM28</f>
        <v>Suspended</v>
      </c>
      <c r="BQ28" s="410" t="s">
        <v>30</v>
      </c>
      <c r="BR28" s="408" t="str">
        <f>'raw data'!GN28</f>
        <v>Suspended</v>
      </c>
      <c r="BS28" s="409" t="str">
        <f>'raw data'!GO28</f>
        <v>Suspended</v>
      </c>
      <c r="BT28" s="410" t="s">
        <v>30</v>
      </c>
      <c r="BU28" s="408" t="str">
        <f>'raw data'!GP28</f>
        <v>Suspended</v>
      </c>
      <c r="BV28" s="409" t="str">
        <f>'raw data'!GQ28</f>
        <v>Suspended</v>
      </c>
      <c r="BW28" s="410" t="s">
        <v>30</v>
      </c>
      <c r="BX28" s="408" t="str">
        <f>'raw data'!GR28</f>
        <v>Suspended</v>
      </c>
      <c r="BY28" s="409" t="str">
        <f>'raw data'!GS28</f>
        <v>Suspended</v>
      </c>
      <c r="BZ28" s="410" t="s">
        <v>30</v>
      </c>
      <c r="CA28" s="408" t="str">
        <f>'raw data'!GT28</f>
        <v>Suspended</v>
      </c>
      <c r="CB28" s="409" t="str">
        <f>'raw data'!GU28</f>
        <v>Suspended</v>
      </c>
      <c r="CC28" s="410" t="s">
        <v>30</v>
      </c>
      <c r="CD28" s="408" t="str">
        <f>'raw data'!GV28</f>
        <v>Suspended</v>
      </c>
      <c r="CE28" s="409" t="str">
        <f>'raw data'!GW28</f>
        <v>Suspended</v>
      </c>
      <c r="CF28" s="410" t="s">
        <v>30</v>
      </c>
      <c r="CG28" s="408" t="str">
        <f>'raw data'!GX28</f>
        <v>Suspended</v>
      </c>
      <c r="CH28" s="409" t="str">
        <f>'raw data'!GY28</f>
        <v>Suspended</v>
      </c>
      <c r="CI28" s="410" t="s">
        <v>30</v>
      </c>
      <c r="CJ28" s="408" t="str">
        <f>'raw data'!GZ28</f>
        <v>Suspended</v>
      </c>
      <c r="CK28" s="409" t="str">
        <f>'raw data'!HA28</f>
        <v>Suspended</v>
      </c>
      <c r="CL28" s="410" t="s">
        <v>30</v>
      </c>
      <c r="CM28" s="408" t="str">
        <f>'raw data'!HB28</f>
        <v>Suspended</v>
      </c>
      <c r="CN28" s="409" t="str">
        <f>'raw data'!HC28</f>
        <v>Suspended</v>
      </c>
      <c r="CO28" s="410" t="s">
        <v>30</v>
      </c>
      <c r="CP28" s="408" t="str">
        <f>'raw data'!HD28</f>
        <v>Suspended</v>
      </c>
      <c r="CQ28" s="409" t="str">
        <f>'raw data'!HE28</f>
        <v>Suspended</v>
      </c>
      <c r="CR28" s="410" t="s">
        <v>30</v>
      </c>
      <c r="CS28" s="408" t="str">
        <f>'raw data'!HF28</f>
        <v>Suspended</v>
      </c>
      <c r="CT28" s="409" t="str">
        <f>'raw data'!HG28</f>
        <v>Suspended</v>
      </c>
      <c r="CU28" s="410" t="s">
        <v>30</v>
      </c>
      <c r="CV28" s="408" t="str">
        <f>'raw data'!HH28</f>
        <v>Suspended</v>
      </c>
      <c r="CW28" s="409" t="str">
        <f>'raw data'!HI28</f>
        <v>Suspended</v>
      </c>
      <c r="CX28" s="410" t="s">
        <v>30</v>
      </c>
      <c r="CY28" s="408" t="str">
        <f>'raw data'!HJ28</f>
        <v>Suspended</v>
      </c>
      <c r="CZ28" s="409" t="str">
        <f>'raw data'!HK28</f>
        <v>Suspended</v>
      </c>
      <c r="DA28" s="410" t="s">
        <v>30</v>
      </c>
      <c r="DB28" s="408" t="str">
        <f>'raw data'!HL28</f>
        <v>Suspended</v>
      </c>
      <c r="DC28" s="409" t="str">
        <f>'raw data'!HM28</f>
        <v>Suspended</v>
      </c>
      <c r="DD28" s="410" t="s">
        <v>30</v>
      </c>
      <c r="DE28" s="408" t="str">
        <f>'raw data'!HN28</f>
        <v>Suspended</v>
      </c>
      <c r="DF28" s="409" t="str">
        <f>'raw data'!HO28</f>
        <v>Suspended</v>
      </c>
      <c r="DG28" s="410" t="s">
        <v>30</v>
      </c>
      <c r="DH28" s="408" t="str">
        <f>'raw data'!HP28</f>
        <v>Suspended</v>
      </c>
      <c r="DI28" s="409" t="str">
        <f>'raw data'!HQ28</f>
        <v>Suspended</v>
      </c>
      <c r="DJ28" s="410" t="s">
        <v>30</v>
      </c>
      <c r="DK28" s="408" t="str">
        <f>'raw data'!HR28</f>
        <v>Suspended</v>
      </c>
      <c r="DL28" s="409" t="str">
        <f>'raw data'!HS28</f>
        <v>Suspended</v>
      </c>
      <c r="DM28" s="410" t="s">
        <v>30</v>
      </c>
      <c r="DN28" s="408" t="str">
        <f>'raw data'!HT28</f>
        <v>Suspended</v>
      </c>
      <c r="DO28" s="409" t="str">
        <f>'raw data'!HU28</f>
        <v>Suspended</v>
      </c>
      <c r="DP28" s="410" t="s">
        <v>30</v>
      </c>
      <c r="DQ28" s="408" t="str">
        <f>'raw data'!HV28</f>
        <v>Suspended</v>
      </c>
      <c r="DR28" s="409" t="str">
        <f>'raw data'!HW28</f>
        <v>Suspended</v>
      </c>
      <c r="DS28" s="410" t="s">
        <v>30</v>
      </c>
      <c r="DT28" s="408" t="str">
        <f>'raw data'!HX28</f>
        <v>Suspended</v>
      </c>
      <c r="DU28" s="409" t="str">
        <f>'raw data'!HY28</f>
        <v>Suspended</v>
      </c>
      <c r="DV28" s="410" t="s">
        <v>30</v>
      </c>
      <c r="DW28" s="408" t="str">
        <f>'raw data'!HZ28</f>
        <v>Suspended</v>
      </c>
      <c r="DX28" s="409" t="str">
        <f>'raw data'!IA28</f>
        <v>Suspended</v>
      </c>
      <c r="DY28" s="410" t="s">
        <v>30</v>
      </c>
      <c r="DZ28" s="408" t="str">
        <f>'raw data'!IB28</f>
        <v>Suspended</v>
      </c>
      <c r="EA28" s="409" t="str">
        <f>'raw data'!IC28</f>
        <v>Suspended</v>
      </c>
      <c r="EB28" s="410" t="s">
        <v>30</v>
      </c>
      <c r="EC28" s="408" t="str">
        <f>'raw data'!ID28</f>
        <v>Suspended</v>
      </c>
      <c r="ED28" s="409" t="str">
        <f>'raw data'!IE28</f>
        <v>Suspended</v>
      </c>
      <c r="EE28" s="410" t="s">
        <v>30</v>
      </c>
      <c r="EF28" s="408" t="str">
        <f>'raw data'!IF28</f>
        <v>Suspended</v>
      </c>
      <c r="EG28" s="409" t="str">
        <f>'raw data'!IG28</f>
        <v>Suspended</v>
      </c>
      <c r="EH28" s="410" t="s">
        <v>30</v>
      </c>
      <c r="EI28" s="408" t="str">
        <f>'raw data'!IH28</f>
        <v>Suspended</v>
      </c>
      <c r="EJ28" s="409" t="str">
        <f>'raw data'!II28</f>
        <v>Suspended</v>
      </c>
      <c r="EK28" s="410" t="s">
        <v>30</v>
      </c>
      <c r="EL28" s="408" t="str">
        <f>'raw data'!IJ28</f>
        <v>Suspended</v>
      </c>
      <c r="EM28" s="409" t="str">
        <f>'raw data'!IK28</f>
        <v>Suspended</v>
      </c>
      <c r="EN28" s="410" t="s">
        <v>30</v>
      </c>
      <c r="EO28" s="408" t="str">
        <f>'raw data'!IL28</f>
        <v>Suspended</v>
      </c>
      <c r="EP28" s="409" t="str">
        <f>'raw data'!IM28</f>
        <v>Suspended</v>
      </c>
      <c r="EQ28" s="410" t="s">
        <v>30</v>
      </c>
      <c r="ER28" s="408" t="str">
        <f>'raw data'!IN28</f>
        <v>Suspended</v>
      </c>
      <c r="ES28" s="409" t="str">
        <f>'raw data'!IO28</f>
        <v>Suspended</v>
      </c>
      <c r="ET28" s="410" t="s">
        <v>30</v>
      </c>
      <c r="EU28" s="408" t="str">
        <f>'raw data'!IP28</f>
        <v>Suspended</v>
      </c>
      <c r="EV28" s="409" t="str">
        <f>'raw data'!IQ28</f>
        <v>Suspended</v>
      </c>
      <c r="EW28" s="410" t="s">
        <v>30</v>
      </c>
      <c r="EX28" s="408" t="str">
        <f>'raw data'!IR28</f>
        <v>Suspended</v>
      </c>
      <c r="EY28" s="409" t="str">
        <f>'raw data'!IS28</f>
        <v>Suspended</v>
      </c>
      <c r="EZ28" s="410" t="s">
        <v>30</v>
      </c>
      <c r="FA28" s="408" t="str">
        <f>'raw data'!IT28</f>
        <v>Suspended</v>
      </c>
      <c r="FB28" s="409" t="str">
        <f>'raw data'!IU28</f>
        <v>Suspended</v>
      </c>
      <c r="FC28" s="410" t="s">
        <v>30</v>
      </c>
      <c r="FD28" s="408" t="str">
        <f>'raw data'!IV28</f>
        <v>Suspended</v>
      </c>
      <c r="FE28" s="409" t="str">
        <f>'raw data'!IW28</f>
        <v>Suspended</v>
      </c>
      <c r="FF28" s="410" t="s">
        <v>30</v>
      </c>
      <c r="FG28" s="408" t="str">
        <f>'raw data'!IX28</f>
        <v>Suspended</v>
      </c>
      <c r="FH28" s="409" t="str">
        <f>'raw data'!IY28</f>
        <v>Suspended</v>
      </c>
      <c r="FI28" s="410" t="s">
        <v>30</v>
      </c>
      <c r="FJ28" s="408" t="str">
        <f>'raw data'!IZ28</f>
        <v>Suspended</v>
      </c>
      <c r="FK28" s="409" t="str">
        <f>'raw data'!JA28</f>
        <v>Suspended</v>
      </c>
      <c r="FL28" s="410" t="s">
        <v>30</v>
      </c>
      <c r="FM28" s="408" t="str">
        <f>'raw data'!JB28</f>
        <v>Suspended</v>
      </c>
      <c r="FN28" s="409" t="str">
        <f>'raw data'!JC28</f>
        <v>Suspended</v>
      </c>
      <c r="FO28" s="410" t="s">
        <v>30</v>
      </c>
      <c r="FP28" s="408" t="str">
        <f>'raw data'!JD28</f>
        <v>Suspended</v>
      </c>
      <c r="FQ28" s="409" t="str">
        <f>'raw data'!JE28</f>
        <v>Suspended</v>
      </c>
      <c r="FR28" s="410" t="s">
        <v>30</v>
      </c>
      <c r="FS28" s="388"/>
      <c r="FT28" s="398">
        <v>0</v>
      </c>
      <c r="FU28" s="399">
        <v>0</v>
      </c>
      <c r="FV28" s="400">
        <f t="shared" si="0"/>
        <v>0</v>
      </c>
    </row>
    <row r="29" spans="1:179" ht="25.5" customHeight="1" x14ac:dyDescent="0.15">
      <c r="A29" s="411">
        <v>1.28</v>
      </c>
      <c r="B29" s="382" t="str">
        <f>'raw data'!B29</f>
        <v>Treasurers Trust, Business Investor and Portfolio Investor accounts conducting Swifts.</v>
      </c>
      <c r="C29" s="407" t="s">
        <v>57</v>
      </c>
      <c r="D29" s="394">
        <f>'raw data'!ET29</f>
        <v>1</v>
      </c>
      <c r="E29" s="395">
        <f>'raw data'!EU29</f>
        <v>5</v>
      </c>
      <c r="F29" s="396">
        <f>IF(ISERROR('raw data'!ET29/'raw data'!EU29),0,'raw data'!ET29/'raw data'!EU29)</f>
        <v>0.2</v>
      </c>
      <c r="G29" s="394">
        <f>'raw data'!EV29</f>
        <v>0</v>
      </c>
      <c r="H29" s="395">
        <f>'raw data'!EW29</f>
        <v>5</v>
      </c>
      <c r="I29" s="396">
        <f>IF(ISERROR('raw data'!EV29/'raw data'!EW29),0,'raw data'!EV29/'raw data'!EW29)</f>
        <v>0</v>
      </c>
      <c r="J29" s="394">
        <f>'raw data'!EX29</f>
        <v>0</v>
      </c>
      <c r="K29" s="395">
        <f>'raw data'!EY29</f>
        <v>1</v>
      </c>
      <c r="L29" s="396">
        <f>IF(ISERROR('raw data'!EX29/'raw data'!EY29),0,'raw data'!EX29/'raw data'!EY29)</f>
        <v>0</v>
      </c>
      <c r="M29" s="394">
        <f>'raw data'!EZ29</f>
        <v>0</v>
      </c>
      <c r="N29" s="395">
        <f>'raw data'!FA29</f>
        <v>2</v>
      </c>
      <c r="O29" s="396">
        <f>IF(ISERROR('raw data'!EZ29/'raw data'!FA29),0,'raw data'!EZ29/'raw data'!FA29)</f>
        <v>0</v>
      </c>
      <c r="P29" s="394">
        <f>'raw data'!FB29</f>
        <v>0</v>
      </c>
      <c r="Q29" s="395">
        <f>'raw data'!FC29</f>
        <v>0</v>
      </c>
      <c r="R29" s="396">
        <f>IF(ISERROR('raw data'!FB29/'raw data'!FC29),0,'raw data'!FB29/'raw data'!FC29)</f>
        <v>0</v>
      </c>
      <c r="S29" s="394">
        <f>'raw data'!FD29</f>
        <v>0</v>
      </c>
      <c r="T29" s="395">
        <f>'raw data'!FE29</f>
        <v>2</v>
      </c>
      <c r="U29" s="396">
        <f>IF(ISERROR('raw data'!FD29/'raw data'!FE29),0,'raw data'!FD29/'raw data'!FE29)</f>
        <v>0</v>
      </c>
      <c r="V29" s="394">
        <f>'raw data'!FF29</f>
        <v>0</v>
      </c>
      <c r="W29" s="395">
        <f>'raw data'!FG29</f>
        <v>1</v>
      </c>
      <c r="X29" s="396">
        <f>IF(ISERROR('raw data'!FF29/'raw data'!FG29),0,'raw data'!FF29/'raw data'!FG29)</f>
        <v>0</v>
      </c>
      <c r="Y29" s="394">
        <f>'raw data'!FH29</f>
        <v>0</v>
      </c>
      <c r="Z29" s="395">
        <f>'raw data'!FI29</f>
        <v>1</v>
      </c>
      <c r="AA29" s="396">
        <f>IF(ISERROR('raw data'!FH29/'raw data'!FI29),0,'raw data'!FH29/'raw data'!FI29)</f>
        <v>0</v>
      </c>
      <c r="AB29" s="394">
        <f>'raw data'!FJ29</f>
        <v>0</v>
      </c>
      <c r="AC29" s="395">
        <f>'raw data'!FM29</f>
        <v>1</v>
      </c>
      <c r="AD29" s="396">
        <f>IF(ISERROR('raw data'!FJ29/'raw data'!FM29),0,'raw data'!FJ29/'raw data'!FM29)</f>
        <v>0</v>
      </c>
      <c r="AE29" s="394">
        <f>'raw data'!FN29</f>
        <v>0</v>
      </c>
      <c r="AF29" s="395">
        <f>'raw data'!FO29</f>
        <v>2</v>
      </c>
      <c r="AG29" s="396">
        <f>IF(ISERROR('raw data'!FN29/'raw data'!FO29),0,'raw data'!FN29/'raw data'!FO29)</f>
        <v>0</v>
      </c>
      <c r="AH29" s="394">
        <f>'raw data'!FP29</f>
        <v>0</v>
      </c>
      <c r="AI29" s="395">
        <f>'raw data'!FQ29</f>
        <v>2</v>
      </c>
      <c r="AJ29" s="396">
        <f>IF(ISERROR('raw data'!FP29/'raw data'!FQ29),0,'raw data'!FP29/'raw data'!FQ29)</f>
        <v>0</v>
      </c>
      <c r="AK29" s="394">
        <f>'raw data'!FR29</f>
        <v>0</v>
      </c>
      <c r="AL29" s="395">
        <f>'raw data'!FS29</f>
        <v>1</v>
      </c>
      <c r="AM29" s="396">
        <f>IF(ISERROR('raw data'!FR29/'raw data'!FS29),0,'raw data'!FR29/'raw data'!FS29)</f>
        <v>0</v>
      </c>
      <c r="AN29" s="394">
        <f>'raw data'!FT29</f>
        <v>0</v>
      </c>
      <c r="AO29" s="395">
        <f>'raw data'!FU29</f>
        <v>1</v>
      </c>
      <c r="AP29" s="396">
        <f>IF(ISERROR('raw data'!FT29/'raw data'!FU29),0,'raw data'!FT29/'raw data'!FU29)</f>
        <v>0</v>
      </c>
      <c r="AQ29" s="394">
        <f>'raw data'!FV29</f>
        <v>0</v>
      </c>
      <c r="AR29" s="395">
        <f>'raw data'!FW29</f>
        <v>0</v>
      </c>
      <c r="AS29" s="397">
        <f>IF(ISERROR('raw data'!FV29/'raw data'!FW29),0,'raw data'!FV29/'raw data'!FW29)</f>
        <v>0</v>
      </c>
      <c r="AT29" s="394">
        <f>'raw data'!FX29</f>
        <v>0</v>
      </c>
      <c r="AU29" s="395">
        <f>'raw data'!FY29</f>
        <v>0</v>
      </c>
      <c r="AV29" s="397">
        <f>IF(ISERROR('raw data'!FX29/'raw data'!FY29),0,'raw data'!FX29/'raw data'!FY29)</f>
        <v>0</v>
      </c>
      <c r="AW29" s="394">
        <f>'raw data'!FZ29</f>
        <v>0</v>
      </c>
      <c r="AX29" s="395">
        <f>'raw data'!GA29</f>
        <v>3</v>
      </c>
      <c r="AY29" s="397">
        <f>IF(ISERROR('raw data'!FZ29/'raw data'!GA29),0,'raw data'!FZ29/'raw data'!GA29)</f>
        <v>0</v>
      </c>
      <c r="AZ29" s="394">
        <f>'raw data'!GB29</f>
        <v>0</v>
      </c>
      <c r="BA29" s="395">
        <f>'raw data'!GC29</f>
        <v>0</v>
      </c>
      <c r="BB29" s="397">
        <f>IF(ISERROR('raw data'!GB29/'raw data'!GC29),0,'raw data'!GB29/'raw data'!GC29)</f>
        <v>0</v>
      </c>
      <c r="BC29" s="394">
        <f>'raw data'!GD29</f>
        <v>0</v>
      </c>
      <c r="BD29" s="395">
        <f>'raw data'!GE29</f>
        <v>1</v>
      </c>
      <c r="BE29" s="397">
        <f>IF(ISERROR('raw data'!GD29/'raw data'!GE29),0,'raw data'!GD29/'raw data'!GE29)</f>
        <v>0</v>
      </c>
      <c r="BF29" s="394">
        <f>'raw data'!GF29</f>
        <v>0</v>
      </c>
      <c r="BG29" s="395">
        <f>'raw data'!GG29</f>
        <v>0</v>
      </c>
      <c r="BH29" s="397">
        <f>IF(ISERROR('raw data'!GF29/'raw data'!GG29),0,'raw data'!GF29/'raw data'!GG29)</f>
        <v>0</v>
      </c>
      <c r="BI29" s="394">
        <f>'raw data'!GH29</f>
        <v>0</v>
      </c>
      <c r="BJ29" s="395">
        <f>'raw data'!GI29</f>
        <v>1</v>
      </c>
      <c r="BK29" s="397">
        <f>IF(ISERROR('raw data'!GH29/'raw data'!GI29),0,'raw data'!GH29/'raw data'!GI29)</f>
        <v>0</v>
      </c>
      <c r="BL29" s="394">
        <f>'raw data'!GJ29</f>
        <v>0</v>
      </c>
      <c r="BM29" s="395">
        <f>'raw data'!GK29</f>
        <v>1</v>
      </c>
      <c r="BN29" s="397">
        <f>IF(ISERROR('raw data'!GJ29/'raw data'!GK29),0,'raw data'!GJ29/'raw data'!GK29)</f>
        <v>0</v>
      </c>
      <c r="BO29" s="394">
        <f>'raw data'!GL29</f>
        <v>0</v>
      </c>
      <c r="BP29" s="395">
        <f>'raw data'!GM29</f>
        <v>0</v>
      </c>
      <c r="BQ29" s="397">
        <f>IF(ISERROR('raw data'!GL29/'raw data'!GM29),0,'raw data'!GL29/'raw data'!GM29)</f>
        <v>0</v>
      </c>
      <c r="BR29" s="394">
        <f>'raw data'!GN29</f>
        <v>0</v>
      </c>
      <c r="BS29" s="395">
        <f>'raw data'!GO29</f>
        <v>0</v>
      </c>
      <c r="BT29" s="397">
        <f>IF(ISERROR('raw data'!GN29/'raw data'!GO29),0,'raw data'!GN29/'raw data'!GO29)</f>
        <v>0</v>
      </c>
      <c r="BU29" s="394">
        <f>'raw data'!GP29</f>
        <v>0</v>
      </c>
      <c r="BV29" s="395">
        <f>'raw data'!GQ29</f>
        <v>1</v>
      </c>
      <c r="BW29" s="397">
        <f>IF(ISERROR('raw data'!GP29/'raw data'!GQ29),0,'raw data'!GP29/'raw data'!GQ29)</f>
        <v>0</v>
      </c>
      <c r="BX29" s="394">
        <f>'raw data'!GR29</f>
        <v>0</v>
      </c>
      <c r="BY29" s="395">
        <f>'raw data'!GS29</f>
        <v>1</v>
      </c>
      <c r="BZ29" s="397">
        <f>IF(ISERROR('raw data'!GR29/'raw data'!GS29),0,'raw data'!GR29/'raw data'!GS29)</f>
        <v>0</v>
      </c>
      <c r="CA29" s="394">
        <f>'raw data'!GT29</f>
        <v>0</v>
      </c>
      <c r="CB29" s="395">
        <f>'raw data'!GU29</f>
        <v>0</v>
      </c>
      <c r="CC29" s="397">
        <f>IF(ISERROR('raw data'!GT29/'raw data'!GU29),0,'raw data'!GT29/'raw data'!GU29)</f>
        <v>0</v>
      </c>
      <c r="CD29" s="394">
        <f>'raw data'!GV29</f>
        <v>0</v>
      </c>
      <c r="CE29" s="395">
        <f>'raw data'!GW29</f>
        <v>0</v>
      </c>
      <c r="CF29" s="397">
        <f>IF(ISERROR('raw data'!GV29/'raw data'!GW29),0,'raw data'!GV29/'raw data'!GW29)</f>
        <v>0</v>
      </c>
      <c r="CG29" s="394">
        <f>'raw data'!GX29</f>
        <v>0</v>
      </c>
      <c r="CH29" s="395">
        <f>'raw data'!GY29</f>
        <v>0</v>
      </c>
      <c r="CI29" s="397">
        <f>IF(ISERROR('raw data'!GX29/'raw data'!GY29),0,'raw data'!GX29/'raw data'!GY29)</f>
        <v>0</v>
      </c>
      <c r="CJ29" s="394">
        <f>'raw data'!GZ29</f>
        <v>0</v>
      </c>
      <c r="CK29" s="395">
        <f>'raw data'!HA29</f>
        <v>1</v>
      </c>
      <c r="CL29" s="397">
        <f>IF(ISERROR('raw data'!GZ29/'raw data'!HA29),0,'raw data'!GZ29/'raw data'!HA29)</f>
        <v>0</v>
      </c>
      <c r="CM29" s="394">
        <f>'raw data'!HB29</f>
        <v>0</v>
      </c>
      <c r="CN29" s="395">
        <f>'raw data'!HC29</f>
        <v>0</v>
      </c>
      <c r="CO29" s="397">
        <f>IF(ISERROR('raw data'!HB29/'raw data'!HC29),0,'raw data'!HB29/'raw data'!HC29)</f>
        <v>0</v>
      </c>
      <c r="CP29" s="394">
        <f>'raw data'!HD29</f>
        <v>0</v>
      </c>
      <c r="CQ29" s="395">
        <f>'raw data'!HE29</f>
        <v>1</v>
      </c>
      <c r="CR29" s="397">
        <f>IF(ISERROR('raw data'!HD29/'raw data'!HE29),0,'raw data'!HD29/'raw data'!HE29)</f>
        <v>0</v>
      </c>
      <c r="CS29" s="394">
        <f>'raw data'!HF29</f>
        <v>0</v>
      </c>
      <c r="CT29" s="395">
        <f>'raw data'!HG29</f>
        <v>1</v>
      </c>
      <c r="CU29" s="397">
        <f>IF(ISERROR('raw data'!HF29/'raw data'!HG29),0,'raw data'!HF29/'raw data'!HG29)</f>
        <v>0</v>
      </c>
      <c r="CV29" s="394">
        <f>'raw data'!HH29</f>
        <v>0</v>
      </c>
      <c r="CW29" s="395">
        <f>'raw data'!HI29</f>
        <v>0</v>
      </c>
      <c r="CX29" s="397">
        <f>IF(ISERROR('raw data'!HH29/'raw data'!HI29),0,'raw data'!HH29/'raw data'!HI29)</f>
        <v>0</v>
      </c>
      <c r="CY29" s="394">
        <f>'raw data'!HJ29</f>
        <v>0</v>
      </c>
      <c r="CZ29" s="395">
        <f>'raw data'!HK29</f>
        <v>1</v>
      </c>
      <c r="DA29" s="397">
        <f>IF(ISERROR('raw data'!HJ29/'raw data'!HK29),0,'raw data'!HJ29/'raw data'!HK29)</f>
        <v>0</v>
      </c>
      <c r="DB29" s="394">
        <f>'raw data'!HL29</f>
        <v>0</v>
      </c>
      <c r="DC29" s="395">
        <f>'raw data'!HM29</f>
        <v>1</v>
      </c>
      <c r="DD29" s="397">
        <f>IF(ISERROR('raw data'!HL29/'raw data'!HM29),0,'raw data'!HL29/'raw data'!HM29)</f>
        <v>0</v>
      </c>
      <c r="DE29" s="394">
        <f>'raw data'!HN29</f>
        <v>0</v>
      </c>
      <c r="DF29" s="395">
        <f>'raw data'!HO29</f>
        <v>0</v>
      </c>
      <c r="DG29" s="397">
        <f>IF(ISERROR('raw data'!HN29/'raw data'!HO29),0,'raw data'!HN29/'raw data'!HO29)</f>
        <v>0</v>
      </c>
      <c r="DH29" s="394">
        <f>'raw data'!HP29</f>
        <v>0</v>
      </c>
      <c r="DI29" s="395">
        <f>'raw data'!HQ29</f>
        <v>0</v>
      </c>
      <c r="DJ29" s="397">
        <f>IF(ISERROR('raw data'!HP29/'raw data'!HQ29),0,'raw data'!HP29/'raw data'!HQ29)</f>
        <v>0</v>
      </c>
      <c r="DK29" s="394">
        <f>'raw data'!HR29</f>
        <v>0</v>
      </c>
      <c r="DL29" s="395">
        <f>'raw data'!HS29</f>
        <v>0</v>
      </c>
      <c r="DM29" s="397">
        <f>IF(ISERROR('raw data'!HR29/'raw data'!HS29),0,'raw data'!HR29/'raw data'!HS29)</f>
        <v>0</v>
      </c>
      <c r="DN29" s="394">
        <f>'raw data'!HT29</f>
        <v>0</v>
      </c>
      <c r="DO29" s="395">
        <f>'raw data'!HU29</f>
        <v>1</v>
      </c>
      <c r="DP29" s="397">
        <f>IF(ISERROR('raw data'!HT29/'raw data'!HU29),0,'raw data'!HT29/'raw data'!HU29)</f>
        <v>0</v>
      </c>
      <c r="DQ29" s="394">
        <f>'raw data'!HV29</f>
        <v>0</v>
      </c>
      <c r="DR29" s="395">
        <f>'raw data'!HW29</f>
        <v>0</v>
      </c>
      <c r="DS29" s="397">
        <f>IF(ISERROR('raw data'!HV29/'raw data'!HW29),0,'raw data'!HV29/'raw data'!HW29)</f>
        <v>0</v>
      </c>
      <c r="DT29" s="394">
        <f>'raw data'!HX29</f>
        <v>0</v>
      </c>
      <c r="DU29" s="395">
        <f>'raw data'!HY29</f>
        <v>0</v>
      </c>
      <c r="DV29" s="397">
        <f>IF(ISERROR('raw data'!HX29/'raw data'!HY29),0,'raw data'!HX29/'raw data'!HY29)</f>
        <v>0</v>
      </c>
      <c r="DW29" s="394">
        <f>'raw data'!HZ29</f>
        <v>0</v>
      </c>
      <c r="DX29" s="395">
        <f>'raw data'!IA29</f>
        <v>0</v>
      </c>
      <c r="DY29" s="397">
        <f>IF(ISERROR('raw data'!HZ29/'raw data'!IA29),0,'raw data'!HZ29/'raw data'!IA29)</f>
        <v>0</v>
      </c>
      <c r="DZ29" s="394">
        <f>'raw data'!IB29</f>
        <v>0</v>
      </c>
      <c r="EA29" s="395">
        <f>'raw data'!IC29</f>
        <v>0</v>
      </c>
      <c r="EB29" s="397">
        <f>IF(ISERROR('raw data'!IB29/'raw data'!IC29),0,'raw data'!IB29/'raw data'!IC29)</f>
        <v>0</v>
      </c>
      <c r="EC29" s="394">
        <f>'raw data'!ID29</f>
        <v>0</v>
      </c>
      <c r="ED29" s="395">
        <f>'raw data'!IE29</f>
        <v>1</v>
      </c>
      <c r="EE29" s="397">
        <f>IF(ISERROR('raw data'!ID29/'raw data'!IE29),0,'raw data'!ID29/'raw data'!IE29)</f>
        <v>0</v>
      </c>
      <c r="EF29" s="394">
        <f>'raw data'!IF29</f>
        <v>0</v>
      </c>
      <c r="EG29" s="395">
        <f>'raw data'!IG29</f>
        <v>0</v>
      </c>
      <c r="EH29" s="397">
        <f>IF(ISERROR('raw data'!IF29/'raw data'!IG29),0,'raw data'!IF29/'raw data'!IG29)</f>
        <v>0</v>
      </c>
      <c r="EI29" s="394">
        <f>'raw data'!IH29</f>
        <v>0</v>
      </c>
      <c r="EJ29" s="395">
        <f>'raw data'!II29</f>
        <v>0</v>
      </c>
      <c r="EK29" s="397">
        <f>IF(ISERROR('raw data'!IH29/'raw data'!II29),0,'raw data'!IH29/'raw data'!II29)</f>
        <v>0</v>
      </c>
      <c r="EL29" s="394">
        <f>'raw data'!IJ29</f>
        <v>0</v>
      </c>
      <c r="EM29" s="395">
        <f>'raw data'!IK29</f>
        <v>0</v>
      </c>
      <c r="EN29" s="397">
        <f>IF(ISERROR('raw data'!IJ29/'raw data'!IK29),0,'raw data'!IJ29/'raw data'!IK29)</f>
        <v>0</v>
      </c>
      <c r="EO29" s="394">
        <f>'raw data'!IL29</f>
        <v>0</v>
      </c>
      <c r="EP29" s="395">
        <f>'raw data'!IM29</f>
        <v>0</v>
      </c>
      <c r="EQ29" s="397">
        <f>IF(ISERROR('raw data'!IL29/'raw data'!IM29),0,'raw data'!IL29/'raw data'!IM29)</f>
        <v>0</v>
      </c>
      <c r="ER29" s="394">
        <f>'raw data'!IN29</f>
        <v>0</v>
      </c>
      <c r="ES29" s="395">
        <f>'raw data'!IO29</f>
        <v>0</v>
      </c>
      <c r="ET29" s="397">
        <f>IF(ISERROR('raw data'!IN29/'raw data'!IO29),0,'raw data'!IN29/'raw data'!IO29)</f>
        <v>0</v>
      </c>
      <c r="EU29" s="394">
        <f>'raw data'!IP29</f>
        <v>0</v>
      </c>
      <c r="EV29" s="395">
        <f>'raw data'!IQ29</f>
        <v>0</v>
      </c>
      <c r="EW29" s="397">
        <f>IF(ISERROR('raw data'!IP29/'raw data'!IQ29),0,'raw data'!IP29/'raw data'!IQ29)</f>
        <v>0</v>
      </c>
      <c r="EX29" s="394">
        <f>'raw data'!IR29</f>
        <v>0</v>
      </c>
      <c r="EY29" s="395">
        <f>'raw data'!IS29</f>
        <v>0</v>
      </c>
      <c r="EZ29" s="397">
        <f>IF(ISERROR('raw data'!IR29/'raw data'!IS29),0,'raw data'!IR29/'raw data'!IS29)</f>
        <v>0</v>
      </c>
      <c r="FA29" s="394">
        <f>'raw data'!IT29</f>
        <v>0</v>
      </c>
      <c r="FB29" s="395">
        <f>'raw data'!IU29</f>
        <v>0</v>
      </c>
      <c r="FC29" s="397">
        <f>IF(ISERROR('raw data'!IT29/'raw data'!IU29),0,'raw data'!IT29/'raw data'!IU29)</f>
        <v>0</v>
      </c>
      <c r="FD29" s="394">
        <f>'raw data'!IV29</f>
        <v>0</v>
      </c>
      <c r="FE29" s="395">
        <f>'raw data'!IW29</f>
        <v>0</v>
      </c>
      <c r="FF29" s="397">
        <f>IF(ISERROR('raw data'!IV29/'raw data'!IW29),0,'raw data'!IV29/'raw data'!IW29)</f>
        <v>0</v>
      </c>
      <c r="FG29" s="394">
        <f>'raw data'!IX29</f>
        <v>0</v>
      </c>
      <c r="FH29" s="395">
        <f>'raw data'!IY29</f>
        <v>0</v>
      </c>
      <c r="FI29" s="397">
        <f>IF(ISERROR('raw data'!IX29/'raw data'!IY29),0,'raw data'!IX29/'raw data'!IY29)</f>
        <v>0</v>
      </c>
      <c r="FJ29" s="394">
        <f>'raw data'!IZ29</f>
        <v>0</v>
      </c>
      <c r="FK29" s="395">
        <f>'raw data'!JA29</f>
        <v>0</v>
      </c>
      <c r="FL29" s="397">
        <f>IF(ISERROR('raw data'!IZ29/'raw data'!JA29),0,'raw data'!IZ29/'raw data'!JA29)</f>
        <v>0</v>
      </c>
      <c r="FM29" s="394">
        <f>'raw data'!JB29</f>
        <v>0</v>
      </c>
      <c r="FN29" s="395">
        <f>'raw data'!JC29</f>
        <v>0</v>
      </c>
      <c r="FO29" s="397">
        <f>IF(ISERROR('raw data'!JB29/'raw data'!JC29),0,'raw data'!JB29/'raw data'!JC29)</f>
        <v>0</v>
      </c>
      <c r="FP29" s="394">
        <f>'raw data'!JD29</f>
        <v>0</v>
      </c>
      <c r="FQ29" s="395">
        <f>'raw data'!JE29</f>
        <v>0</v>
      </c>
      <c r="FR29" s="397">
        <f>IF(ISERROR('raw data'!JD29/'raw data'!JE29),0,'raw data'!JD29/'raw data'!JE29)</f>
        <v>0</v>
      </c>
      <c r="FS29" s="388"/>
      <c r="FT29" s="398">
        <v>0</v>
      </c>
      <c r="FU29" s="399">
        <v>0</v>
      </c>
      <c r="FV29" s="400">
        <f t="shared" si="0"/>
        <v>0</v>
      </c>
    </row>
    <row r="30" spans="1:179" ht="25.5" customHeight="1" x14ac:dyDescent="0.15">
      <c r="A30" s="411">
        <v>1.29</v>
      </c>
      <c r="B30" s="382" t="str">
        <f>'raw data'!B30</f>
        <v>Accounts with a £40k+ turnover, where 80%+ of debit value is withdrawn via WP or Cash, receiving 20+ credits (each £900+) last month.</v>
      </c>
      <c r="C30" s="407"/>
      <c r="D30" s="394">
        <f>'raw data'!ET30</f>
        <v>15</v>
      </c>
      <c r="E30" s="395">
        <f>'raw data'!EU30</f>
        <v>113</v>
      </c>
      <c r="F30" s="396">
        <f>IF(ISERROR('raw data'!ET30/'raw data'!EU30),0,'raw data'!ET30/'raw data'!EU30)</f>
        <v>0.13274336283185842</v>
      </c>
      <c r="G30" s="394">
        <f>'raw data'!EV30</f>
        <v>16</v>
      </c>
      <c r="H30" s="395">
        <f>'raw data'!EW30</f>
        <v>93</v>
      </c>
      <c r="I30" s="396">
        <f>IF(ISERROR('raw data'!EV30/'raw data'!EW30),0,'raw data'!EV30/'raw data'!EW30)</f>
        <v>0.17204301075268819</v>
      </c>
      <c r="J30" s="394">
        <f>'raw data'!EX30</f>
        <v>19</v>
      </c>
      <c r="K30" s="395">
        <f>'raw data'!EY30</f>
        <v>164</v>
      </c>
      <c r="L30" s="396">
        <f>IF(ISERROR('raw data'!EX30/'raw data'!EY30),0,'raw data'!EX30/'raw data'!EY30)</f>
        <v>0.11585365853658537</v>
      </c>
      <c r="M30" s="394">
        <f>'raw data'!EZ30</f>
        <v>14</v>
      </c>
      <c r="N30" s="395">
        <f>'raw data'!FA30</f>
        <v>137</v>
      </c>
      <c r="O30" s="396">
        <f>IF(ISERROR('raw data'!EZ30/'raw data'!FA30),0,'raw data'!EZ30/'raw data'!FA30)</f>
        <v>0.10218978102189781</v>
      </c>
      <c r="P30" s="394">
        <f>'raw data'!FB30</f>
        <v>20</v>
      </c>
      <c r="Q30" s="395">
        <f>'raw data'!FC30</f>
        <v>138</v>
      </c>
      <c r="R30" s="396">
        <f>IF(ISERROR('raw data'!FB30/'raw data'!FC30),0,'raw data'!FB30/'raw data'!FC30)</f>
        <v>0.14492753623188406</v>
      </c>
      <c r="S30" s="394">
        <f>'raw data'!FD30</f>
        <v>19</v>
      </c>
      <c r="T30" s="395">
        <f>'raw data'!FE30</f>
        <v>128</v>
      </c>
      <c r="U30" s="396">
        <f>IF(ISERROR('raw data'!FD30/'raw data'!FE30),0,'raw data'!FD30/'raw data'!FE30)</f>
        <v>0.1484375</v>
      </c>
      <c r="V30" s="394">
        <f>'raw data'!FF30</f>
        <v>15</v>
      </c>
      <c r="W30" s="395">
        <f>'raw data'!FG30</f>
        <v>130</v>
      </c>
      <c r="X30" s="396">
        <f>IF(ISERROR('raw data'!FF30/'raw data'!FG30),0,'raw data'!FF30/'raw data'!FG30)</f>
        <v>0.11538461538461539</v>
      </c>
      <c r="Y30" s="394">
        <f>'raw data'!FH30</f>
        <v>29</v>
      </c>
      <c r="Z30" s="395">
        <f>'raw data'!FI30</f>
        <v>189</v>
      </c>
      <c r="AA30" s="396">
        <f>IF(ISERROR('raw data'!FH30/'raw data'!FI30),0,'raw data'!FH30/'raw data'!FI30)</f>
        <v>0.15343915343915343</v>
      </c>
      <c r="AB30" s="394">
        <f>'raw data'!FJ30</f>
        <v>31</v>
      </c>
      <c r="AC30" s="395">
        <f>'raw data'!FM30</f>
        <v>200</v>
      </c>
      <c r="AD30" s="396">
        <f>IF(ISERROR('raw data'!FJ30/'raw data'!FM30),0,'raw data'!FJ30/'raw data'!FM30)</f>
        <v>0.155</v>
      </c>
      <c r="AE30" s="394">
        <f>'raw data'!FN30</f>
        <v>16</v>
      </c>
      <c r="AF30" s="395">
        <f>'raw data'!FO30</f>
        <v>94</v>
      </c>
      <c r="AG30" s="396">
        <f>IF(ISERROR('raw data'!FN30/'raw data'!FO30),0,'raw data'!FN30/'raw data'!FO30)</f>
        <v>0.1702127659574468</v>
      </c>
      <c r="AH30" s="394">
        <f>'raw data'!FP30</f>
        <v>13</v>
      </c>
      <c r="AI30" s="395">
        <f>'raw data'!FQ30</f>
        <v>83</v>
      </c>
      <c r="AJ30" s="396">
        <f>IF(ISERROR('raw data'!FP30/'raw data'!FQ30),0,'raw data'!FP30/'raw data'!FQ30)</f>
        <v>0.15662650602409639</v>
      </c>
      <c r="AK30" s="394">
        <f>'raw data'!FR30</f>
        <v>3</v>
      </c>
      <c r="AL30" s="395">
        <f>'raw data'!FS30</f>
        <v>83</v>
      </c>
      <c r="AM30" s="396">
        <f>IF(ISERROR('raw data'!FR30/'raw data'!FS30),0,'raw data'!FR30/'raw data'!FS30)</f>
        <v>3.614457831325301E-2</v>
      </c>
      <c r="AN30" s="394">
        <f>'raw data'!FT30</f>
        <v>13</v>
      </c>
      <c r="AO30" s="395">
        <f>'raw data'!FU30</f>
        <v>108</v>
      </c>
      <c r="AP30" s="396">
        <f>IF(ISERROR('raw data'!FT30/'raw data'!FU30),0,'raw data'!FT30/'raw data'!FU30)</f>
        <v>0.12037037037037036</v>
      </c>
      <c r="AQ30" s="394">
        <f>'raw data'!FV30</f>
        <v>8</v>
      </c>
      <c r="AR30" s="395">
        <f>'raw data'!FW30</f>
        <v>81</v>
      </c>
      <c r="AS30" s="397">
        <f>IF(ISERROR('raw data'!FV30/'raw data'!FW30),0,'raw data'!FV30/'raw data'!FW30)</f>
        <v>9.8765432098765427E-2</v>
      </c>
      <c r="AT30" s="394">
        <f>'raw data'!FX30</f>
        <v>25</v>
      </c>
      <c r="AU30" s="395">
        <f>'raw data'!FY30</f>
        <v>99</v>
      </c>
      <c r="AV30" s="397">
        <f>IF(ISERROR('raw data'!FX30/'raw data'!FY30),0,'raw data'!FX30/'raw data'!FY30)</f>
        <v>0.25252525252525254</v>
      </c>
      <c r="AW30" s="394">
        <f>'raw data'!FZ30</f>
        <v>14</v>
      </c>
      <c r="AX30" s="395">
        <f>'raw data'!GA30</f>
        <v>89</v>
      </c>
      <c r="AY30" s="397">
        <f>IF(ISERROR('raw data'!FZ30/'raw data'!GA30),0,'raw data'!FZ30/'raw data'!GA30)</f>
        <v>0.15730337078651685</v>
      </c>
      <c r="AZ30" s="394">
        <f>'raw data'!GB30</f>
        <v>25</v>
      </c>
      <c r="BA30" s="395">
        <f>'raw data'!GC30</f>
        <v>107</v>
      </c>
      <c r="BB30" s="397">
        <f>IF(ISERROR('raw data'!GB30/'raw data'!GC30),0,'raw data'!GB30/'raw data'!GC30)</f>
        <v>0.23364485981308411</v>
      </c>
      <c r="BC30" s="394">
        <f>'raw data'!GD30</f>
        <v>13</v>
      </c>
      <c r="BD30" s="395">
        <f>'raw data'!GE30</f>
        <v>87</v>
      </c>
      <c r="BE30" s="397">
        <f>IF(ISERROR('raw data'!GD30/'raw data'!GE30),0,'raw data'!GD30/'raw data'!GE30)</f>
        <v>0.14942528735632185</v>
      </c>
      <c r="BF30" s="394">
        <f>'raw data'!GF30</f>
        <v>13</v>
      </c>
      <c r="BG30" s="395">
        <f>'raw data'!GG30</f>
        <v>82</v>
      </c>
      <c r="BH30" s="397">
        <f>IF(ISERROR('raw data'!GF30/'raw data'!GG30),0,'raw data'!GF30/'raw data'!GG30)</f>
        <v>0.15853658536585366</v>
      </c>
      <c r="BI30" s="394">
        <f>'raw data'!GH30</f>
        <v>11</v>
      </c>
      <c r="BJ30" s="395">
        <f>'raw data'!GI30</f>
        <v>110</v>
      </c>
      <c r="BK30" s="397">
        <f>IF(ISERROR('raw data'!GH30/'raw data'!GI30),0,'raw data'!GH30/'raw data'!GI30)</f>
        <v>0.1</v>
      </c>
      <c r="BL30" s="394">
        <f>'raw data'!GJ30</f>
        <v>9</v>
      </c>
      <c r="BM30" s="395">
        <f>'raw data'!GK30</f>
        <v>66</v>
      </c>
      <c r="BN30" s="397">
        <f>IF(ISERROR('raw data'!GJ30/'raw data'!GK30),0,'raw data'!GJ30/'raw data'!GK30)</f>
        <v>0.13636363636363635</v>
      </c>
      <c r="BO30" s="394">
        <f>'raw data'!GL30</f>
        <v>16</v>
      </c>
      <c r="BP30" s="395">
        <f>'raw data'!GM30</f>
        <v>132</v>
      </c>
      <c r="BQ30" s="397">
        <f>IF(ISERROR('raw data'!GL30/'raw data'!GM30),0,'raw data'!GL30/'raw data'!GM30)</f>
        <v>0.12121212121212122</v>
      </c>
      <c r="BR30" s="394">
        <f>'raw data'!GN30</f>
        <v>11</v>
      </c>
      <c r="BS30" s="395">
        <f>'raw data'!GO30</f>
        <v>104</v>
      </c>
      <c r="BT30" s="397">
        <f>IF(ISERROR('raw data'!GN30/'raw data'!GO30),0,'raw data'!GN30/'raw data'!GO30)</f>
        <v>0.10576923076923077</v>
      </c>
      <c r="BU30" s="394">
        <f>'raw data'!GP30</f>
        <v>12</v>
      </c>
      <c r="BV30" s="395">
        <f>'raw data'!GQ30</f>
        <v>100</v>
      </c>
      <c r="BW30" s="397">
        <f>IF(ISERROR('raw data'!GP30/'raw data'!GQ30),0,'raw data'!GP30/'raw data'!GQ30)</f>
        <v>0.12</v>
      </c>
      <c r="BX30" s="394">
        <f>'raw data'!GR30</f>
        <v>19</v>
      </c>
      <c r="BY30" s="395">
        <f>'raw data'!GS30</f>
        <v>118</v>
      </c>
      <c r="BZ30" s="397">
        <f>IF(ISERROR('raw data'!GR30/'raw data'!GS30),0,'raw data'!GR30/'raw data'!GS30)</f>
        <v>0.16101694915254236</v>
      </c>
      <c r="CA30" s="394">
        <f>'raw data'!GT30</f>
        <v>10</v>
      </c>
      <c r="CB30" s="395">
        <f>'raw data'!GU30</f>
        <v>85</v>
      </c>
      <c r="CC30" s="397">
        <f>IF(ISERROR('raw data'!GT30/'raw data'!GU30),0,'raw data'!GT30/'raw data'!GU30)</f>
        <v>0.11764705882352941</v>
      </c>
      <c r="CD30" s="394">
        <f>'raw data'!GV30</f>
        <v>16</v>
      </c>
      <c r="CE30" s="395">
        <f>'raw data'!GW30</f>
        <v>94</v>
      </c>
      <c r="CF30" s="397">
        <f>IF(ISERROR('raw data'!GV30/'raw data'!GW30),0,'raw data'!GV30/'raw data'!GW30)</f>
        <v>0.1702127659574468</v>
      </c>
      <c r="CG30" s="394">
        <f>'raw data'!GX30</f>
        <v>11</v>
      </c>
      <c r="CH30" s="395">
        <f>'raw data'!GY30</f>
        <v>128</v>
      </c>
      <c r="CI30" s="397">
        <f>IF(ISERROR('raw data'!GX30/'raw data'!GY30),0,'raw data'!GX30/'raw data'!GY30)</f>
        <v>8.59375E-2</v>
      </c>
      <c r="CJ30" s="394">
        <f>'raw data'!GZ30</f>
        <v>17</v>
      </c>
      <c r="CK30" s="395">
        <f>'raw data'!HA30</f>
        <v>101</v>
      </c>
      <c r="CL30" s="397">
        <f>IF(ISERROR('raw data'!GZ30/'raw data'!HA30),0,'raw data'!GZ30/'raw data'!HA30)</f>
        <v>0.16831683168316833</v>
      </c>
      <c r="CM30" s="394">
        <f>'raw data'!HB30</f>
        <v>11</v>
      </c>
      <c r="CN30" s="395">
        <f>'raw data'!HC30</f>
        <v>91</v>
      </c>
      <c r="CO30" s="397">
        <f>IF(ISERROR('raw data'!HB30/'raw data'!HC30),0,'raw data'!HB30/'raw data'!HC30)</f>
        <v>0.12087912087912088</v>
      </c>
      <c r="CP30" s="394">
        <f>'raw data'!HD30</f>
        <v>17</v>
      </c>
      <c r="CQ30" s="395">
        <f>'raw data'!HE30</f>
        <v>94</v>
      </c>
      <c r="CR30" s="397">
        <f>IF(ISERROR('raw data'!HD30/'raw data'!HE30),0,'raw data'!HD30/'raw data'!HE30)</f>
        <v>0.18085106382978725</v>
      </c>
      <c r="CS30" s="394">
        <f>'raw data'!HF30</f>
        <v>11</v>
      </c>
      <c r="CT30" s="395">
        <f>'raw data'!HG30</f>
        <v>103</v>
      </c>
      <c r="CU30" s="397">
        <f>IF(ISERROR('raw data'!HF30/'raw data'!HG30),0,'raw data'!HF30/'raw data'!HG30)</f>
        <v>0.10679611650485436</v>
      </c>
      <c r="CV30" s="394">
        <f>'raw data'!HH30</f>
        <v>0</v>
      </c>
      <c r="CW30" s="395">
        <f>'raw data'!HI30</f>
        <v>25</v>
      </c>
      <c r="CX30" s="397">
        <f>IF(ISERROR('raw data'!HH30/'raw data'!HI30),0,'raw data'!HH30/'raw data'!HI30)</f>
        <v>0</v>
      </c>
      <c r="CY30" s="394">
        <f>'raw data'!HJ30</f>
        <v>0</v>
      </c>
      <c r="CZ30" s="395">
        <f>'raw data'!HK30</f>
        <v>27</v>
      </c>
      <c r="DA30" s="397">
        <f>IF(ISERROR('raw data'!HJ30/'raw data'!HK30),0,'raw data'!HJ30/'raw data'!HK30)</f>
        <v>0</v>
      </c>
      <c r="DB30" s="394">
        <f>'raw data'!HL30</f>
        <v>3</v>
      </c>
      <c r="DC30" s="395">
        <f>'raw data'!HM30</f>
        <v>40</v>
      </c>
      <c r="DD30" s="397">
        <f>IF(ISERROR('raw data'!HL30/'raw data'!HM30),0,'raw data'!HL30/'raw data'!HM30)</f>
        <v>7.4999999999999997E-2</v>
      </c>
      <c r="DE30" s="394">
        <f>'raw data'!HN30</f>
        <v>1</v>
      </c>
      <c r="DF30" s="395">
        <f>'raw data'!HO30</f>
        <v>32</v>
      </c>
      <c r="DG30" s="397">
        <f>IF(ISERROR('raw data'!HN30/'raw data'!HO30),0,'raw data'!HN30/'raw data'!HO30)</f>
        <v>3.125E-2</v>
      </c>
      <c r="DH30" s="394">
        <f>'raw data'!HP30</f>
        <v>4</v>
      </c>
      <c r="DI30" s="395">
        <f>'raw data'!HQ30</f>
        <v>31</v>
      </c>
      <c r="DJ30" s="397">
        <f>IF(ISERROR('raw data'!HP30/'raw data'!HQ30),0,'raw data'!HP30/'raw data'!HQ30)</f>
        <v>0.12903225806451613</v>
      </c>
      <c r="DK30" s="394">
        <f>'raw data'!HR30</f>
        <v>2</v>
      </c>
      <c r="DL30" s="395">
        <f>'raw data'!HS30</f>
        <v>17</v>
      </c>
      <c r="DM30" s="397">
        <f>IF(ISERROR('raw data'!HR30/'raw data'!HS30),0,'raw data'!HR30/'raw data'!HS30)</f>
        <v>0.11764705882352941</v>
      </c>
      <c r="DN30" s="394">
        <f>'raw data'!HT30</f>
        <v>6</v>
      </c>
      <c r="DO30" s="395">
        <f>'raw data'!HU30</f>
        <v>42</v>
      </c>
      <c r="DP30" s="397">
        <f>IF(ISERROR('raw data'!HT30/'raw data'!HU30),0,'raw data'!HT30/'raw data'!HU30)</f>
        <v>0.14285714285714285</v>
      </c>
      <c r="DQ30" s="394">
        <f>'raw data'!HV30</f>
        <v>7</v>
      </c>
      <c r="DR30" s="395">
        <f>'raw data'!HW30</f>
        <v>61</v>
      </c>
      <c r="DS30" s="397">
        <f>IF(ISERROR('raw data'!HV30/'raw data'!HW30),0,'raw data'!HV30/'raw data'!HW30)</f>
        <v>0.11475409836065574</v>
      </c>
      <c r="DT30" s="394">
        <f>'raw data'!HX30</f>
        <v>7</v>
      </c>
      <c r="DU30" s="395">
        <f>'raw data'!HY30</f>
        <v>61</v>
      </c>
      <c r="DV30" s="397">
        <f>IF(ISERROR('raw data'!HX30/'raw data'!HY30),0,'raw data'!HX30/'raw data'!HY30)</f>
        <v>0.11475409836065574</v>
      </c>
      <c r="DW30" s="394">
        <f>'raw data'!HZ30</f>
        <v>11</v>
      </c>
      <c r="DX30" s="395">
        <f>'raw data'!IA30</f>
        <v>52</v>
      </c>
      <c r="DY30" s="397">
        <f>IF(ISERROR('raw data'!HZ30/'raw data'!IA30),0,'raw data'!HZ30/'raw data'!IA30)</f>
        <v>0.21153846153846154</v>
      </c>
      <c r="DZ30" s="394">
        <f>'raw data'!IB30</f>
        <v>19</v>
      </c>
      <c r="EA30" s="395">
        <f>'raw data'!IC30</f>
        <v>67</v>
      </c>
      <c r="EB30" s="397">
        <f>IF(ISERROR('raw data'!IB30/'raw data'!IC30),0,'raw data'!IB30/'raw data'!IC30)</f>
        <v>0.28358208955223879</v>
      </c>
      <c r="EC30" s="394">
        <f>'raw data'!ID30</f>
        <v>15</v>
      </c>
      <c r="ED30" s="395">
        <f>'raw data'!IE30</f>
        <v>54</v>
      </c>
      <c r="EE30" s="397">
        <f>IF(ISERROR('raw data'!ID30/'raw data'!IE30),0,'raw data'!ID30/'raw data'!IE30)</f>
        <v>0.27777777777777779</v>
      </c>
      <c r="EF30" s="394">
        <f>'raw data'!IF30</f>
        <v>7</v>
      </c>
      <c r="EG30" s="395">
        <f>'raw data'!IG30</f>
        <v>41</v>
      </c>
      <c r="EH30" s="397">
        <f>IF(ISERROR('raw data'!IF30/'raw data'!IG30),0,'raw data'!IF30/'raw data'!IG30)</f>
        <v>0.17073170731707318</v>
      </c>
      <c r="EI30" s="394">
        <f>'raw data'!IH30</f>
        <v>20</v>
      </c>
      <c r="EJ30" s="395">
        <f>'raw data'!II30</f>
        <v>69</v>
      </c>
      <c r="EK30" s="397">
        <f>IF(ISERROR('raw data'!IH30/'raw data'!II30),0,'raw data'!IH30/'raw data'!II30)</f>
        <v>0.28985507246376813</v>
      </c>
      <c r="EL30" s="394">
        <f>'raw data'!IJ30</f>
        <v>10</v>
      </c>
      <c r="EM30" s="395">
        <f>'raw data'!IK30</f>
        <v>59</v>
      </c>
      <c r="EN30" s="397">
        <f>IF(ISERROR('raw data'!IJ30/'raw data'!IK30),0,'raw data'!IJ30/'raw data'!IK30)</f>
        <v>0.16949152542372881</v>
      </c>
      <c r="EO30" s="394">
        <f>'raw data'!IL30</f>
        <v>14</v>
      </c>
      <c r="EP30" s="395">
        <f>'raw data'!IM30</f>
        <v>54</v>
      </c>
      <c r="EQ30" s="397">
        <f>IF(ISERROR('raw data'!IL30/'raw data'!IM30),0,'raw data'!IL30/'raw data'!IM30)</f>
        <v>0.25925925925925924</v>
      </c>
      <c r="ER30" s="408" t="str">
        <f>'raw data'!IN30</f>
        <v>Suspended</v>
      </c>
      <c r="ES30" s="408" t="str">
        <f>'raw data'!IO30</f>
        <v>Suspended</v>
      </c>
      <c r="ET30" s="410" t="s">
        <v>30</v>
      </c>
      <c r="EU30" s="408" t="str">
        <f>'raw data'!IP30</f>
        <v>Suspended</v>
      </c>
      <c r="EV30" s="408" t="str">
        <f>'raw data'!IQ30</f>
        <v>Suspended</v>
      </c>
      <c r="EW30" s="410" t="s">
        <v>30</v>
      </c>
      <c r="EX30" s="408" t="str">
        <f>'raw data'!IR30</f>
        <v>Suspended</v>
      </c>
      <c r="EY30" s="408" t="str">
        <f>'raw data'!IS30</f>
        <v>Suspended</v>
      </c>
      <c r="EZ30" s="410" t="s">
        <v>30</v>
      </c>
      <c r="FA30" s="408" t="str">
        <f>'raw data'!IT30</f>
        <v>Suspended</v>
      </c>
      <c r="FB30" s="408" t="str">
        <f>'raw data'!IU30</f>
        <v>Suspended</v>
      </c>
      <c r="FC30" s="410" t="s">
        <v>30</v>
      </c>
      <c r="FD30" s="408" t="str">
        <f>'raw data'!IV30</f>
        <v>Suspended</v>
      </c>
      <c r="FE30" s="408" t="str">
        <f>'raw data'!IW30</f>
        <v>Suspended</v>
      </c>
      <c r="FF30" s="410" t="s">
        <v>30</v>
      </c>
      <c r="FG30" s="408" t="str">
        <f>'raw data'!IX30</f>
        <v>Suspended</v>
      </c>
      <c r="FH30" s="408" t="str">
        <f>'raw data'!IY30</f>
        <v>Suspended</v>
      </c>
      <c r="FI30" s="410" t="s">
        <v>30</v>
      </c>
      <c r="FJ30" s="408" t="str">
        <f>'raw data'!IZ30</f>
        <v>Suspended</v>
      </c>
      <c r="FK30" s="408" t="str">
        <f>'raw data'!JA30</f>
        <v>Suspended</v>
      </c>
      <c r="FL30" s="410" t="s">
        <v>30</v>
      </c>
      <c r="FM30" s="408" t="str">
        <f>'raw data'!JB30</f>
        <v>Suspended</v>
      </c>
      <c r="FN30" s="408" t="str">
        <f>'raw data'!JC30</f>
        <v>Suspended</v>
      </c>
      <c r="FO30" s="410" t="s">
        <v>30</v>
      </c>
      <c r="FP30" s="408" t="str">
        <f>'raw data'!JD30</f>
        <v>Suspended</v>
      </c>
      <c r="FQ30" s="408" t="str">
        <f>'raw data'!JE30</f>
        <v>Suspended</v>
      </c>
      <c r="FR30" s="410" t="s">
        <v>30</v>
      </c>
      <c r="FS30" s="388"/>
      <c r="FT30" s="398">
        <v>44</v>
      </c>
      <c r="FU30" s="399">
        <v>182</v>
      </c>
      <c r="FV30" s="400">
        <f t="shared" si="0"/>
        <v>0.24175824175824176</v>
      </c>
    </row>
    <row r="31" spans="1:179" ht="14" x14ac:dyDescent="0.15">
      <c r="A31" s="415"/>
      <c r="B31" s="416" t="s">
        <v>59</v>
      </c>
      <c r="C31" s="417" t="s">
        <v>59</v>
      </c>
      <c r="D31" s="418">
        <f>SUM(D3:D30)</f>
        <v>250</v>
      </c>
      <c r="E31" s="419">
        <f>SUM(E3:E30)</f>
        <v>1278</v>
      </c>
      <c r="F31" s="420">
        <f>IF(ISERROR('raw data'!ET31/'raw data'!EU31),0,'raw data'!ET31/'raw data'!EU31)</f>
        <v>0.19561815336463223</v>
      </c>
      <c r="G31" s="421">
        <f>SUM(G3:G30)</f>
        <v>212</v>
      </c>
      <c r="H31" s="422">
        <f>SUM(H3:H30)</f>
        <v>1080</v>
      </c>
      <c r="I31" s="420">
        <f>IF(ISERROR('raw data'!EV31/'raw data'!EW31),0,'raw data'!EV31/'raw data'!EW31)</f>
        <v>0.1962962962962963</v>
      </c>
      <c r="J31" s="423">
        <f>SUM(J3:J30)</f>
        <v>292</v>
      </c>
      <c r="K31" s="422">
        <f>SUM(K3:K30)</f>
        <v>1648</v>
      </c>
      <c r="L31" s="420">
        <f>IF(ISERROR('raw data'!EX31/'raw data'!EY31),0,'raw data'!EX31/'raw data'!EY31)</f>
        <v>0.17718446601941748</v>
      </c>
      <c r="M31" s="423">
        <f>SUM(M3:M30)</f>
        <v>220</v>
      </c>
      <c r="N31" s="422">
        <f>SUM(N3:N30)</f>
        <v>1178</v>
      </c>
      <c r="O31" s="420">
        <f>IF(ISERROR('raw data'!EZ31/'raw data'!FA31),0,'raw data'!EZ31/'raw data'!FA31)</f>
        <v>0.18675721561969441</v>
      </c>
      <c r="P31" s="423">
        <f>SUM(P3:P30)</f>
        <v>311</v>
      </c>
      <c r="Q31" s="422">
        <f>SUM(Q3:Q30)</f>
        <v>1621</v>
      </c>
      <c r="R31" s="420">
        <f>IF(ISERROR('raw data'!FB31/'raw data'!FC31),0,'raw data'!FB31/'raw data'!FC31)</f>
        <v>0.19185687847008021</v>
      </c>
      <c r="S31" s="423">
        <f>SUM(S3:S30)</f>
        <v>244</v>
      </c>
      <c r="T31" s="422">
        <f>SUM(T3:T30)</f>
        <v>1430</v>
      </c>
      <c r="U31" s="420">
        <f>IF(ISERROR('raw data'!FD31/'raw data'!FE31),0,'raw data'!FD31/'raw data'!FE31)</f>
        <v>0.17062937062937064</v>
      </c>
      <c r="V31" s="423">
        <f>SUM(V3:V30)</f>
        <v>296</v>
      </c>
      <c r="W31" s="422">
        <f>SUM(W3:W30)</f>
        <v>1503</v>
      </c>
      <c r="X31" s="420">
        <f>IF(ISERROR('raw data'!FF31/'raw data'!FG31),0,'raw data'!FF31/'raw data'!FG31)</f>
        <v>0.19693945442448438</v>
      </c>
      <c r="Y31" s="423">
        <f>SUM(Y3:Y30)</f>
        <v>284</v>
      </c>
      <c r="Z31" s="422">
        <f>SUM(Z3:Z30)</f>
        <v>1586</v>
      </c>
      <c r="AA31" s="420">
        <f>IF(ISERROR('raw data'!FH31/'raw data'!FI31),0,'raw data'!FH31/'raw data'!FI31)</f>
        <v>0.17906683480453972</v>
      </c>
      <c r="AB31" s="423">
        <f>SUM(AB3:AB30)</f>
        <v>235</v>
      </c>
      <c r="AC31" s="422">
        <f>SUM(AC3:AC30)</f>
        <v>1543</v>
      </c>
      <c r="AD31" s="420">
        <f>IF(ISERROR('raw data'!FJ31/'raw data'!FM31),0,'raw data'!FJ31/'raw data'!FM31)</f>
        <v>0.15230071289695399</v>
      </c>
      <c r="AE31" s="423">
        <f>SUM(AE3:AE30)</f>
        <v>230</v>
      </c>
      <c r="AF31" s="422">
        <f>SUM(AF3:AF30)</f>
        <v>1127</v>
      </c>
      <c r="AG31" s="420">
        <f>IF(ISERROR('raw data'!FN31/'raw data'!FO31),0,'raw data'!FN31/'raw data'!FO31)</f>
        <v>0.20408163265306123</v>
      </c>
      <c r="AH31" s="423">
        <f>SUM(AH3:AH30)</f>
        <v>211</v>
      </c>
      <c r="AI31" s="422">
        <f>SUM(AI3:AI30)</f>
        <v>1054</v>
      </c>
      <c r="AJ31" s="420">
        <f>IF(ISERROR('raw data'!FP31/'raw data'!FQ31),0,'raw data'!FP31/'raw data'!FQ31)</f>
        <v>0.20018975332068312</v>
      </c>
      <c r="AK31" s="423">
        <f>SUM(AK3:AK30)</f>
        <v>159</v>
      </c>
      <c r="AL31" s="422">
        <f>SUM(AL3:AL30)</f>
        <v>921</v>
      </c>
      <c r="AM31" s="420">
        <f>IF(ISERROR('raw data'!FR31/'raw data'!FS31),0,'raw data'!FR31/'raw data'!FS31)</f>
        <v>0.17263843648208468</v>
      </c>
      <c r="AN31" s="423">
        <f>SUM(AN3:AN30)</f>
        <v>243</v>
      </c>
      <c r="AO31" s="422">
        <f>SUM(AO3:AO30)</f>
        <v>1191</v>
      </c>
      <c r="AP31" s="420">
        <f>IF(ISERROR('raw data'!FT31/'raw data'!FU31),0,'raw data'!FT31/'raw data'!FU31)</f>
        <v>0.20403022670025189</v>
      </c>
      <c r="AQ31" s="423">
        <f>SUM(AQ3:AQ30)</f>
        <v>123</v>
      </c>
      <c r="AR31" s="422">
        <f>SUM(AR3:AR30)</f>
        <v>813</v>
      </c>
      <c r="AS31" s="424">
        <f>IF(ISERROR('raw data'!FV31/'raw data'!FW31),0,'raw data'!FV31/'raw data'!FW31)</f>
        <v>0.15129151291512916</v>
      </c>
      <c r="AT31" s="423">
        <f>SUM(AT3:AT30)</f>
        <v>200</v>
      </c>
      <c r="AU31" s="425">
        <f>SUM(AU3:AU30)</f>
        <v>1046</v>
      </c>
      <c r="AV31" s="426">
        <f>IF(ISERROR('raw data'!FX31/'raw data'!FY31),0,'raw data'!FX31/'raw data'!FY31)</f>
        <v>0.19120458891013384</v>
      </c>
      <c r="AW31" s="423">
        <f>SUM(AW3:AW30)</f>
        <v>152</v>
      </c>
      <c r="AX31" s="425">
        <f>SUM(AX3:AX30)</f>
        <v>914</v>
      </c>
      <c r="AY31" s="426">
        <f>IF(ISERROR('raw data'!FZ31/'raw data'!GA31),0,'raw data'!FZ31/'raw data'!GA31)</f>
        <v>0.16630196936542668</v>
      </c>
      <c r="AZ31" s="423">
        <f>SUM(AZ3:AZ30)</f>
        <v>195</v>
      </c>
      <c r="BA31" s="425">
        <f>SUM(BA3:BA30)</f>
        <v>1090</v>
      </c>
      <c r="BB31" s="426">
        <f>IF(ISERROR('raw data'!GB31/'raw data'!GC31),0,'raw data'!GB31/'raw data'!GC31)</f>
        <v>0.17889908256880735</v>
      </c>
      <c r="BC31" s="423">
        <f>SUM(BC3:BC30)</f>
        <v>157</v>
      </c>
      <c r="BD31" s="425">
        <f>SUM(BD3:BD30)</f>
        <v>948</v>
      </c>
      <c r="BE31" s="426">
        <f>IF(ISERROR('raw data'!GD31/'raw data'!GE31),0,'raw data'!GD31/'raw data'!GE31)</f>
        <v>0.16561181434599156</v>
      </c>
      <c r="BF31" s="423">
        <f>SUM(BF3:BF30)</f>
        <v>180</v>
      </c>
      <c r="BG31" s="425">
        <f>SUM(BG3:BG30)</f>
        <v>852</v>
      </c>
      <c r="BH31" s="426">
        <f>IF(ISERROR('raw data'!GF31/'raw data'!GG31),0,'raw data'!GF31/'raw data'!GG31)</f>
        <v>0.21126760563380281</v>
      </c>
      <c r="BI31" s="421">
        <f>SUM(BI3:BI30)</f>
        <v>159</v>
      </c>
      <c r="BJ31" s="425">
        <f>SUM(BJ3:BJ30)</f>
        <v>855</v>
      </c>
      <c r="BK31" s="426">
        <f>IF(ISERROR('raw data'!GH31/'raw data'!GI31),0,'raw data'!GH31/'raw data'!GI31)</f>
        <v>0.18596491228070175</v>
      </c>
      <c r="BL31" s="421">
        <f>SUM(BL3:BL30)</f>
        <v>134</v>
      </c>
      <c r="BM31" s="425">
        <f>SUM(BM3:BM30)</f>
        <v>661</v>
      </c>
      <c r="BN31" s="426">
        <f>IF(ISERROR('raw data'!GJ31/'raw data'!GK31),0,'raw data'!GJ31/'raw data'!GK31)</f>
        <v>0.20272314674735251</v>
      </c>
      <c r="BO31" s="421">
        <f>SUM(BO3:BO30)</f>
        <v>199</v>
      </c>
      <c r="BP31" s="425">
        <f>SUM(BP3:BP30)</f>
        <v>1053</v>
      </c>
      <c r="BQ31" s="426">
        <f>IF(ISERROR('raw data'!GL31/'raw data'!GM31),0,'raw data'!GL31/'raw data'!GM31)</f>
        <v>0.18898385565052231</v>
      </c>
      <c r="BR31" s="421">
        <f>SUM(BR3:BR30)</f>
        <v>172</v>
      </c>
      <c r="BS31" s="425">
        <f>SUM(BS3:BS30)</f>
        <v>894</v>
      </c>
      <c r="BT31" s="426">
        <f>IF(ISERROR('raw data'!GN31/'raw data'!GO31),0,'raw data'!GN31/'raw data'!GO31)</f>
        <v>0.19239373601789708</v>
      </c>
      <c r="BU31" s="421">
        <f>SUM(BU3:BU30)</f>
        <v>141</v>
      </c>
      <c r="BV31" s="425">
        <f>SUM(BV3:BV30)</f>
        <v>767</v>
      </c>
      <c r="BW31" s="426">
        <f>IF(ISERROR('raw data'!GP31/'raw data'!GQ31),0,'raw data'!GP31/'raw data'!GQ31)</f>
        <v>0.18383311603650587</v>
      </c>
      <c r="BX31" s="421">
        <f>SUM(BX3:BX30)</f>
        <v>159</v>
      </c>
      <c r="BY31" s="425">
        <f>SUM(BY3:BY30)</f>
        <v>813</v>
      </c>
      <c r="BZ31" s="426">
        <f>IF(ISERROR('raw data'!GR31/'raw data'!GS31),0,'raw data'!GR31/'raw data'!GS31)</f>
        <v>0.19557195571955718</v>
      </c>
      <c r="CA31" s="421">
        <f>SUM(CA3:CA30)</f>
        <v>107</v>
      </c>
      <c r="CB31" s="425">
        <f>SUM(CB3:CB30)</f>
        <v>551</v>
      </c>
      <c r="CC31" s="426">
        <f>IF(ISERROR('raw data'!GT31/'raw data'!GU31),0,'raw data'!GT31/'raw data'!GU31)</f>
        <v>0.19419237749546278</v>
      </c>
      <c r="CD31" s="421">
        <f>SUM(CD3:CD30)</f>
        <v>220</v>
      </c>
      <c r="CE31" s="425">
        <f>SUM(CE3:CE30)</f>
        <v>883</v>
      </c>
      <c r="CF31" s="426">
        <f>IF(ISERROR('raw data'!GV31/'raw data'!GW31),0,'raw data'!GV31/'raw data'!GW31)</f>
        <v>0.2491506228765572</v>
      </c>
      <c r="CG31" s="421">
        <f>SUM(CG3:CG30)</f>
        <v>192</v>
      </c>
      <c r="CH31" s="425">
        <f>SUM(CH3:CH30)</f>
        <v>944</v>
      </c>
      <c r="CI31" s="426">
        <f>IF(ISERROR('raw data'!GX31/'raw data'!GY31),0,'raw data'!GX31/'raw data'!GY31)</f>
        <v>0.20338983050847459</v>
      </c>
      <c r="CJ31" s="421">
        <f>SUM(CJ3:CJ30)</f>
        <v>217</v>
      </c>
      <c r="CK31" s="425">
        <f>SUM(CK3:CK30)</f>
        <v>894</v>
      </c>
      <c r="CL31" s="426">
        <f>IF(ISERROR('raw data'!GZ31/'raw data'!HA31),0,'raw data'!GZ31/'raw data'!HA31)</f>
        <v>0.24272930648769575</v>
      </c>
      <c r="CM31" s="421">
        <f>SUM(CM3:CM30)</f>
        <v>159</v>
      </c>
      <c r="CN31" s="425">
        <f>SUM(CN3:CN30)</f>
        <v>669</v>
      </c>
      <c r="CO31" s="426">
        <f>IF(ISERROR('raw data'!HB31/'raw data'!HC31),0,'raw data'!HB31/'raw data'!HC31)</f>
        <v>0.23766816143497757</v>
      </c>
      <c r="CP31" s="421">
        <f>SUM(CP3:CP30)</f>
        <v>232</v>
      </c>
      <c r="CQ31" s="425">
        <f>SUM(CQ3:CQ30)</f>
        <v>863</v>
      </c>
      <c r="CR31" s="426">
        <f>IF(ISERROR('raw data'!HD31/'raw data'!HE31),0,'raw data'!HD31/'raw data'!HE31)</f>
        <v>0.26882966396292007</v>
      </c>
      <c r="CS31" s="421">
        <f>SUM(CS3:CS30)</f>
        <v>211</v>
      </c>
      <c r="CT31" s="425">
        <f>SUM(CT3:CT30)</f>
        <v>720</v>
      </c>
      <c r="CU31" s="426">
        <f>IF(ISERROR('raw data'!HF31/'raw data'!HG31),0,'raw data'!HF31/'raw data'!HG31)</f>
        <v>0.29305555555555557</v>
      </c>
      <c r="CV31" s="421">
        <f>SUM(CV3:CV30)</f>
        <v>137</v>
      </c>
      <c r="CW31" s="425">
        <f>SUM(CW3:CW30)</f>
        <v>584</v>
      </c>
      <c r="CX31" s="426">
        <f>IF(ISERROR('raw data'!HH31/'raw data'!HI31),0,'raw data'!HH31/'raw data'!HI31)</f>
        <v>0.2345890410958904</v>
      </c>
      <c r="CY31" s="421">
        <f>SUM(CY3:CY30)</f>
        <v>176</v>
      </c>
      <c r="CZ31" s="425">
        <f>SUM(CZ3:CZ30)</f>
        <v>599</v>
      </c>
      <c r="DA31" s="426">
        <f>IF(ISERROR('raw data'!HJ31/'raw data'!HK31),0,'raw data'!HJ31/'raw data'!HK31)</f>
        <v>0.29382303839732887</v>
      </c>
      <c r="DB31" s="421">
        <f>SUM(DB3:DB30)</f>
        <v>136</v>
      </c>
      <c r="DC31" s="425">
        <f>SUM(DC3:DC30)</f>
        <v>638</v>
      </c>
      <c r="DD31" s="426">
        <f>IF(ISERROR('raw data'!HL31/'raw data'!HM31),0,'raw data'!HL31/'raw data'!HM31)</f>
        <v>0.21316614420062696</v>
      </c>
      <c r="DE31" s="421">
        <f>SUM(DE3:DE30)</f>
        <v>189</v>
      </c>
      <c r="DF31" s="425">
        <f>SUM(DF3:DF30)</f>
        <v>666</v>
      </c>
      <c r="DG31" s="426">
        <f>IF(ISERROR('raw data'!HN31/'raw data'!HO31),0,'raw data'!HN31/'raw data'!HO31)</f>
        <v>0.28378378378378377</v>
      </c>
      <c r="DH31" s="421">
        <f>SUM(DH3:DH30)</f>
        <v>122</v>
      </c>
      <c r="DI31" s="425">
        <f>SUM(DI3:DI30)</f>
        <v>681</v>
      </c>
      <c r="DJ31" s="426">
        <f>IF(ISERROR('raw data'!HP31/'raw data'!HQ31),0,'raw data'!HP31/'raw data'!HQ31)</f>
        <v>0.17914831130690162</v>
      </c>
      <c r="DK31" s="421">
        <f>SUM(DK3:DK30)</f>
        <v>143</v>
      </c>
      <c r="DL31" s="425">
        <f>SUM(DL3:DL30)</f>
        <v>519</v>
      </c>
      <c r="DM31" s="426">
        <f>IF(ISERROR('raw data'!HR31/'raw data'!HS31),0,'raw data'!HR31/'raw data'!HS31)</f>
        <v>0.27552986512524086</v>
      </c>
      <c r="DN31" s="421">
        <f>SUM(DN3:DN30)</f>
        <v>180</v>
      </c>
      <c r="DO31" s="425">
        <f>SUM(DO3:DO30)</f>
        <v>642</v>
      </c>
      <c r="DP31" s="426">
        <f>IF(ISERROR('raw data'!HT31/'raw data'!HU31),0,'raw data'!HT31/'raw data'!HU31)</f>
        <v>0.28037383177570091</v>
      </c>
      <c r="DQ31" s="421">
        <f>SUM(DQ3:DQ30)</f>
        <v>237</v>
      </c>
      <c r="DR31" s="425">
        <f>SUM(DR3:DR30)</f>
        <v>809</v>
      </c>
      <c r="DS31" s="426">
        <f>IF(ISERROR('raw data'!HV31/'raw data'!HW31),0,'raw data'!HV31/'raw data'!HW31)</f>
        <v>0.29295426452410384</v>
      </c>
      <c r="DT31" s="421">
        <f>SUM(DT3:DT30)</f>
        <v>291</v>
      </c>
      <c r="DU31" s="425">
        <f>SUM(DU3:DU30)</f>
        <v>1014</v>
      </c>
      <c r="DV31" s="426">
        <f>IF(ISERROR('raw data'!HX31/'raw data'!HY31),0,'raw data'!HX31/'raw data'!HY31)</f>
        <v>0.28698224852071008</v>
      </c>
      <c r="DW31" s="421">
        <f>SUM(DW3:DW30)</f>
        <v>296</v>
      </c>
      <c r="DX31" s="425">
        <f>SUM(DX3:DX30)</f>
        <v>1015</v>
      </c>
      <c r="DY31" s="426">
        <f>IF(ISERROR('raw data'!HZ31/'raw data'!IA31),0,'raw data'!HZ31/'raw data'!IA31)</f>
        <v>0.29162561576354679</v>
      </c>
      <c r="DZ31" s="421">
        <f>SUM(DZ3:DZ30)</f>
        <v>432</v>
      </c>
      <c r="EA31" s="425">
        <f>SUM(EA3:EA30)</f>
        <v>1207</v>
      </c>
      <c r="EB31" s="426">
        <f>IF(ISERROR('raw data'!IB31/'raw data'!IC31),0,'raw data'!IB31/'raw data'!IC31)</f>
        <v>0.35791217895608946</v>
      </c>
      <c r="EC31" s="421">
        <f>SUM(EC3:EC30)</f>
        <v>348</v>
      </c>
      <c r="ED31" s="425">
        <f>SUM(ED3:ED30)</f>
        <v>930</v>
      </c>
      <c r="EE31" s="426">
        <f>IF(ISERROR('raw data'!ID31/'raw data'!IE31),0,'raw data'!ID31/'raw data'!IE31)</f>
        <v>0.37419354838709679</v>
      </c>
      <c r="EF31" s="421">
        <f>SUM(EF3:EF30)</f>
        <v>323</v>
      </c>
      <c r="EG31" s="425">
        <f>SUM(EG3:EG30)</f>
        <v>1018</v>
      </c>
      <c r="EH31" s="426">
        <f>IF(ISERROR('raw data'!IF31/'raw data'!IG31),0,'raw data'!IF31/'raw data'!IG31)</f>
        <v>0.31728880157170924</v>
      </c>
      <c r="EI31" s="421">
        <f>SUM(EI3:EI30)</f>
        <v>426</v>
      </c>
      <c r="EJ31" s="425">
        <f>SUM(EJ3:EJ30)</f>
        <v>1120</v>
      </c>
      <c r="EK31" s="426">
        <f>IF(ISERROR('raw data'!IH31/'raw data'!II31),0,'raw data'!IH31/'raw data'!II31)</f>
        <v>0.38035714285714284</v>
      </c>
      <c r="EL31" s="421">
        <f>SUM(EL3:EL30)</f>
        <v>531</v>
      </c>
      <c r="EM31" s="425">
        <f>SUM(EM3:EM30)</f>
        <v>1144</v>
      </c>
      <c r="EN31" s="426">
        <f>IF(ISERROR('raw data'!IJ31/'raw data'!IK31),0,'raw data'!IJ31/'raw data'!IK31)</f>
        <v>0.46416083916083917</v>
      </c>
      <c r="EO31" s="421">
        <f>SUM(EO3:EO30)</f>
        <v>538</v>
      </c>
      <c r="EP31" s="425">
        <f>SUM(EP3:EP30)</f>
        <v>1273</v>
      </c>
      <c r="EQ31" s="426">
        <f>IF(ISERROR('raw data'!IL31/'raw data'!IM31),0,'raw data'!IL31/'raw data'!IM31)</f>
        <v>0.42262372348782401</v>
      </c>
      <c r="ER31" s="421">
        <f>SUM(ER3:ER30)</f>
        <v>461</v>
      </c>
      <c r="ES31" s="425">
        <f>SUM(ES3:ES30)</f>
        <v>935</v>
      </c>
      <c r="ET31" s="426">
        <f>IF(ISERROR('raw data'!IN31/'raw data'!IO31),0,'raw data'!IN31/'raw data'!IO31)</f>
        <v>0.49304812834224598</v>
      </c>
      <c r="EU31" s="421">
        <f>SUM(EU3:EU30)</f>
        <v>444</v>
      </c>
      <c r="EV31" s="425">
        <f>SUM(EV3:EV30)</f>
        <v>889</v>
      </c>
      <c r="EW31" s="426">
        <f>IF(ISERROR('raw data'!IP31/'raw data'!IQ31),0,'raw data'!IP31/'raw data'!IQ31)</f>
        <v>0.49943757030371205</v>
      </c>
      <c r="EX31" s="421">
        <f>SUM(EX3:EX30)</f>
        <v>689</v>
      </c>
      <c r="EY31" s="425">
        <f>SUM(EY3:EY30)</f>
        <v>1416</v>
      </c>
      <c r="EZ31" s="426">
        <f>IF(ISERROR('raw data'!IR31/'raw data'!IS31),0,'raw data'!IR31/'raw data'!IS31)</f>
        <v>0.4865819209039548</v>
      </c>
      <c r="FA31" s="421">
        <f>SUM(FA3:FA30)</f>
        <v>541</v>
      </c>
      <c r="FB31" s="425">
        <f>SUM(FB3:FB30)</f>
        <v>1203</v>
      </c>
      <c r="FC31" s="426">
        <f>IF(ISERROR('raw data'!IT31/'raw data'!IU31),0,'raw data'!IT31/'raw data'!IU31)</f>
        <v>0.44970906068162925</v>
      </c>
      <c r="FD31" s="421">
        <f>SUM(FD3:FD30)</f>
        <v>481</v>
      </c>
      <c r="FE31" s="425">
        <f>SUM(FE3:FE30)</f>
        <v>1028</v>
      </c>
      <c r="FF31" s="426">
        <f>IF(ISERROR('raw data'!IV31/'raw data'!IW31),0,'raw data'!IV31/'raw data'!IW31)</f>
        <v>0.46789883268482491</v>
      </c>
      <c r="FG31" s="421">
        <f>SUM(FG3:FG30)</f>
        <v>438</v>
      </c>
      <c r="FH31" s="425">
        <f>SUM(FH3:FH30)</f>
        <v>949</v>
      </c>
      <c r="FI31" s="426">
        <f>IF(ISERROR('raw data'!IX31/'raw data'!IY31),0,'raw data'!IX31/'raw data'!IY31)</f>
        <v>0.46153846153846156</v>
      </c>
      <c r="FJ31" s="421">
        <f>SUM(FJ3:FJ30)</f>
        <v>488</v>
      </c>
      <c r="FK31" s="425">
        <f>SUM(FK3:FK30)</f>
        <v>1147</v>
      </c>
      <c r="FL31" s="426">
        <f>IF(ISERROR('raw data'!IZ31/'raw data'!JA31),0,'raw data'!IZ31/'raw data'!JA31)</f>
        <v>0.42545771578029645</v>
      </c>
      <c r="FM31" s="421">
        <f>SUM(FM3:FM30)</f>
        <v>433</v>
      </c>
      <c r="FN31" s="425">
        <f>SUM(FN3:FN30)</f>
        <v>1078</v>
      </c>
      <c r="FO31" s="426">
        <f>IF(ISERROR('raw data'!JB31/'raw data'!JC31),0,'raw data'!JB31/'raw data'!JC31)</f>
        <v>0.40166975881261596</v>
      </c>
      <c r="FP31" s="421">
        <f>SUM(FP3:FP30)</f>
        <v>459</v>
      </c>
      <c r="FQ31" s="425">
        <f>SUM(FQ3:FQ30)</f>
        <v>1019</v>
      </c>
      <c r="FR31" s="426">
        <f>IF(ISERROR('raw data'!JD31/'raw data'!JE31),0,'raw data'!JD31/'raw data'!JE31)</f>
        <v>0.45044160942100098</v>
      </c>
      <c r="FS31" s="427"/>
      <c r="FT31" s="428">
        <f>SUM(FT3:FT30)</f>
        <v>5929</v>
      </c>
      <c r="FU31" s="429">
        <f>SUM(FU3:FU30)</f>
        <v>13201</v>
      </c>
      <c r="FV31" s="430">
        <f>IF(ISERROR(FT31/FU31),0,FT31/FU31)</f>
        <v>0.44913264146655557</v>
      </c>
      <c r="FW31" s="229"/>
    </row>
    <row r="32" spans="1:179" ht="28" x14ac:dyDescent="0.15">
      <c r="A32" s="431">
        <v>28</v>
      </c>
      <c r="B32" s="432" t="s">
        <v>60</v>
      </c>
      <c r="C32" s="432"/>
      <c r="D32" s="433"/>
      <c r="E32" s="434"/>
      <c r="F32" s="435"/>
      <c r="G32" s="436"/>
      <c r="H32" s="437"/>
      <c r="I32" s="435"/>
      <c r="J32" s="438"/>
      <c r="K32" s="437"/>
      <c r="L32" s="435"/>
      <c r="M32" s="438"/>
      <c r="N32" s="437"/>
      <c r="O32" s="435"/>
      <c r="P32" s="438"/>
      <c r="Q32" s="437"/>
      <c r="R32" s="435"/>
      <c r="S32" s="438"/>
      <c r="T32" s="437"/>
      <c r="U32" s="435"/>
      <c r="V32" s="438"/>
      <c r="W32" s="437"/>
      <c r="X32" s="435"/>
      <c r="Y32" s="438"/>
      <c r="Z32" s="437"/>
      <c r="AA32" s="435"/>
      <c r="AB32" s="438"/>
      <c r="AC32" s="437"/>
      <c r="AD32" s="435"/>
      <c r="AE32" s="438"/>
      <c r="AF32" s="437"/>
      <c r="AG32" s="435"/>
      <c r="AH32" s="438"/>
      <c r="AI32" s="437"/>
      <c r="AJ32" s="435"/>
      <c r="AK32" s="438"/>
      <c r="AL32" s="437"/>
      <c r="AM32" s="435"/>
      <c r="AN32" s="438"/>
      <c r="AO32" s="437"/>
      <c r="AP32" s="435"/>
      <c r="AQ32" s="438"/>
      <c r="AR32" s="437"/>
      <c r="AS32" s="439"/>
      <c r="AT32" s="438"/>
      <c r="AU32" s="440"/>
      <c r="AV32" s="441"/>
      <c r="AW32" s="438"/>
      <c r="AX32" s="440"/>
      <c r="AY32" s="441"/>
      <c r="AZ32" s="438"/>
      <c r="BA32" s="440"/>
      <c r="BB32" s="441"/>
      <c r="BC32" s="438"/>
      <c r="BD32" s="440"/>
      <c r="BE32" s="441"/>
      <c r="BF32" s="438"/>
      <c r="BG32" s="440"/>
      <c r="BH32" s="441"/>
      <c r="BI32" s="436"/>
      <c r="BJ32" s="440"/>
      <c r="BK32" s="441"/>
      <c r="BL32" s="436"/>
      <c r="BM32" s="440"/>
      <c r="BN32" s="441"/>
      <c r="BO32" s="436"/>
      <c r="BP32" s="440"/>
      <c r="BQ32" s="441"/>
      <c r="BR32" s="436"/>
      <c r="BS32" s="440"/>
      <c r="BT32" s="441"/>
      <c r="BU32" s="436"/>
      <c r="BV32" s="440"/>
      <c r="BW32" s="441"/>
      <c r="BX32" s="436"/>
      <c r="BY32" s="440"/>
      <c r="BZ32" s="441"/>
      <c r="CA32" s="436"/>
      <c r="CB32" s="440"/>
      <c r="CC32" s="441"/>
      <c r="CD32" s="436"/>
      <c r="CE32" s="440"/>
      <c r="CF32" s="441"/>
      <c r="CG32" s="436"/>
      <c r="CH32" s="440"/>
      <c r="CI32" s="441"/>
      <c r="CJ32" s="436"/>
      <c r="CK32" s="440"/>
      <c r="CL32" s="441"/>
      <c r="CM32" s="436"/>
      <c r="CN32" s="440"/>
      <c r="CO32" s="441"/>
      <c r="CP32" s="436"/>
      <c r="CQ32" s="440"/>
      <c r="CR32" s="441"/>
      <c r="CS32" s="436"/>
      <c r="CT32" s="440"/>
      <c r="CU32" s="441"/>
      <c r="CV32" s="436"/>
      <c r="CW32" s="440"/>
      <c r="CX32" s="441"/>
      <c r="CY32" s="436"/>
      <c r="CZ32" s="440"/>
      <c r="DA32" s="441"/>
      <c r="DB32" s="436"/>
      <c r="DC32" s="440"/>
      <c r="DD32" s="441"/>
      <c r="DE32" s="436"/>
      <c r="DF32" s="440"/>
      <c r="DG32" s="441"/>
      <c r="DH32" s="436"/>
      <c r="DI32" s="440"/>
      <c r="DJ32" s="441"/>
      <c r="DK32" s="436"/>
      <c r="DL32" s="440"/>
      <c r="DM32" s="441"/>
      <c r="DN32" s="436"/>
      <c r="DO32" s="440"/>
      <c r="DP32" s="441"/>
      <c r="DQ32" s="436"/>
      <c r="DR32" s="440"/>
      <c r="DS32" s="441"/>
      <c r="DT32" s="436"/>
      <c r="DU32" s="440"/>
      <c r="DV32" s="441"/>
      <c r="DW32" s="436"/>
      <c r="DX32" s="440"/>
      <c r="DY32" s="441"/>
      <c r="DZ32" s="436"/>
      <c r="EA32" s="440"/>
      <c r="EB32" s="441"/>
      <c r="EC32" s="436"/>
      <c r="ED32" s="440"/>
      <c r="EE32" s="441"/>
      <c r="EF32" s="436"/>
      <c r="EG32" s="440"/>
      <c r="EH32" s="441"/>
      <c r="EI32" s="436"/>
      <c r="EJ32" s="440"/>
      <c r="EK32" s="441"/>
      <c r="EL32" s="436"/>
      <c r="EM32" s="440"/>
      <c r="EN32" s="441"/>
      <c r="EO32" s="436"/>
      <c r="EP32" s="440"/>
      <c r="EQ32" s="441"/>
      <c r="ER32" s="436"/>
      <c r="ES32" s="440"/>
      <c r="ET32" s="441"/>
      <c r="EU32" s="436"/>
      <c r="EV32" s="440"/>
      <c r="EW32" s="441"/>
      <c r="EX32" s="436"/>
      <c r="EY32" s="440"/>
      <c r="EZ32" s="441"/>
      <c r="FA32" s="436"/>
      <c r="FB32" s="440"/>
      <c r="FC32" s="441"/>
      <c r="FD32" s="436"/>
      <c r="FE32" s="440"/>
      <c r="FF32" s="441"/>
      <c r="FG32" s="442">
        <f>'raw data'!IX32</f>
        <v>67</v>
      </c>
      <c r="FH32" s="443">
        <f>'raw data'!IY32</f>
        <v>124</v>
      </c>
      <c r="FI32" s="444">
        <f>IF(ISERROR('raw data'!IX32/'raw data'!IY32),0,'raw data'!IX32/'raw data'!IY32)</f>
        <v>0.54032258064516125</v>
      </c>
      <c r="FJ32" s="442">
        <f>'raw data'!IZ32</f>
        <v>37</v>
      </c>
      <c r="FK32" s="443">
        <f>'raw data'!JA32</f>
        <v>72</v>
      </c>
      <c r="FL32" s="444">
        <f>IF(ISERROR('raw data'!IZ32/'raw data'!JA32),0,'raw data'!IZ32/'raw data'!JA32)</f>
        <v>0.51388888888888884</v>
      </c>
      <c r="FM32" s="442">
        <f>'raw data'!JB32</f>
        <v>26</v>
      </c>
      <c r="FN32" s="443">
        <f>'raw data'!JC32</f>
        <v>77</v>
      </c>
      <c r="FO32" s="444">
        <f>IF(ISERROR('raw data'!JB32/'raw data'!JC32),0,'raw data'!JB32/'raw data'!JC32)</f>
        <v>0.33766233766233766</v>
      </c>
      <c r="FP32" s="442">
        <f>'raw data'!JD32</f>
        <v>20</v>
      </c>
      <c r="FQ32" s="443">
        <f>'raw data'!JE32</f>
        <v>69</v>
      </c>
      <c r="FR32" s="444">
        <f>IF(ISERROR('raw data'!JD32/'raw data'!JE32),0,'raw data'!JD32/'raw data'!JE32)</f>
        <v>0.28985507246376813</v>
      </c>
      <c r="FS32" s="427"/>
      <c r="FT32" s="445">
        <v>150</v>
      </c>
      <c r="FU32" s="446">
        <v>342</v>
      </c>
      <c r="FV32" s="447">
        <f>IF(ISERROR(FT32/FU32),0,FT32/FU32)</f>
        <v>0.43859649122807015</v>
      </c>
      <c r="FW32" s="229"/>
    </row>
    <row r="33" spans="1:179" ht="14" x14ac:dyDescent="0.15">
      <c r="A33" s="431">
        <v>44</v>
      </c>
      <c r="B33" s="432" t="s">
        <v>61</v>
      </c>
      <c r="C33" s="432"/>
      <c r="D33" s="433"/>
      <c r="E33" s="434"/>
      <c r="F33" s="435"/>
      <c r="G33" s="436"/>
      <c r="H33" s="437"/>
      <c r="I33" s="435"/>
      <c r="J33" s="438"/>
      <c r="K33" s="437"/>
      <c r="L33" s="435"/>
      <c r="M33" s="438"/>
      <c r="N33" s="437"/>
      <c r="O33" s="435"/>
      <c r="P33" s="438"/>
      <c r="Q33" s="437"/>
      <c r="R33" s="435"/>
      <c r="S33" s="438"/>
      <c r="T33" s="437"/>
      <c r="U33" s="435"/>
      <c r="V33" s="438"/>
      <c r="W33" s="437"/>
      <c r="X33" s="435"/>
      <c r="Y33" s="438"/>
      <c r="Z33" s="437"/>
      <c r="AA33" s="435"/>
      <c r="AB33" s="438"/>
      <c r="AC33" s="437"/>
      <c r="AD33" s="435"/>
      <c r="AE33" s="438"/>
      <c r="AF33" s="437"/>
      <c r="AG33" s="435"/>
      <c r="AH33" s="438"/>
      <c r="AI33" s="437"/>
      <c r="AJ33" s="435"/>
      <c r="AK33" s="438"/>
      <c r="AL33" s="437"/>
      <c r="AM33" s="435"/>
      <c r="AN33" s="438"/>
      <c r="AO33" s="437"/>
      <c r="AP33" s="435"/>
      <c r="AQ33" s="438"/>
      <c r="AR33" s="437"/>
      <c r="AS33" s="439"/>
      <c r="AT33" s="438"/>
      <c r="AU33" s="440"/>
      <c r="AV33" s="441"/>
      <c r="AW33" s="438"/>
      <c r="AX33" s="440"/>
      <c r="AY33" s="441"/>
      <c r="AZ33" s="438"/>
      <c r="BA33" s="440"/>
      <c r="BB33" s="441"/>
      <c r="BC33" s="438"/>
      <c r="BD33" s="440"/>
      <c r="BE33" s="441"/>
      <c r="BF33" s="438"/>
      <c r="BG33" s="440"/>
      <c r="BH33" s="441"/>
      <c r="BI33" s="436"/>
      <c r="BJ33" s="440"/>
      <c r="BK33" s="441"/>
      <c r="BL33" s="436"/>
      <c r="BM33" s="440"/>
      <c r="BN33" s="441"/>
      <c r="BO33" s="436"/>
      <c r="BP33" s="440"/>
      <c r="BQ33" s="441"/>
      <c r="BR33" s="436"/>
      <c r="BS33" s="440"/>
      <c r="BT33" s="441"/>
      <c r="BU33" s="436"/>
      <c r="BV33" s="440"/>
      <c r="BW33" s="441"/>
      <c r="BX33" s="436"/>
      <c r="BY33" s="440"/>
      <c r="BZ33" s="441"/>
      <c r="CA33" s="436"/>
      <c r="CB33" s="440"/>
      <c r="CC33" s="441"/>
      <c r="CD33" s="436"/>
      <c r="CE33" s="440"/>
      <c r="CF33" s="441"/>
      <c r="CG33" s="436"/>
      <c r="CH33" s="440"/>
      <c r="CI33" s="441"/>
      <c r="CJ33" s="436"/>
      <c r="CK33" s="440"/>
      <c r="CL33" s="441"/>
      <c r="CM33" s="436"/>
      <c r="CN33" s="440"/>
      <c r="CO33" s="441"/>
      <c r="CP33" s="436"/>
      <c r="CQ33" s="440"/>
      <c r="CR33" s="441"/>
      <c r="CS33" s="436"/>
      <c r="CT33" s="440"/>
      <c r="CU33" s="441"/>
      <c r="CV33" s="436"/>
      <c r="CW33" s="440"/>
      <c r="CX33" s="441"/>
      <c r="CY33" s="436"/>
      <c r="CZ33" s="440"/>
      <c r="DA33" s="441"/>
      <c r="DB33" s="436"/>
      <c r="DC33" s="440"/>
      <c r="DD33" s="441"/>
      <c r="DE33" s="436"/>
      <c r="DF33" s="440"/>
      <c r="DG33" s="441"/>
      <c r="DH33" s="436"/>
      <c r="DI33" s="440"/>
      <c r="DJ33" s="441"/>
      <c r="DK33" s="436"/>
      <c r="DL33" s="440"/>
      <c r="DM33" s="441"/>
      <c r="DN33" s="436"/>
      <c r="DO33" s="440"/>
      <c r="DP33" s="441"/>
      <c r="DQ33" s="436"/>
      <c r="DR33" s="440"/>
      <c r="DS33" s="441"/>
      <c r="DT33" s="436"/>
      <c r="DU33" s="440"/>
      <c r="DV33" s="441"/>
      <c r="DW33" s="436"/>
      <c r="DX33" s="440"/>
      <c r="DY33" s="441"/>
      <c r="DZ33" s="436"/>
      <c r="EA33" s="440"/>
      <c r="EB33" s="441"/>
      <c r="EC33" s="436"/>
      <c r="ED33" s="440"/>
      <c r="EE33" s="441"/>
      <c r="EF33" s="436"/>
      <c r="EG33" s="440"/>
      <c r="EH33" s="441"/>
      <c r="EI33" s="436"/>
      <c r="EJ33" s="440"/>
      <c r="EK33" s="441"/>
      <c r="EL33" s="436"/>
      <c r="EM33" s="440"/>
      <c r="EN33" s="441"/>
      <c r="EO33" s="436"/>
      <c r="EP33" s="440"/>
      <c r="EQ33" s="441"/>
      <c r="ER33" s="436"/>
      <c r="ES33" s="440"/>
      <c r="ET33" s="441"/>
      <c r="EU33" s="436"/>
      <c r="EV33" s="440"/>
      <c r="EW33" s="441"/>
      <c r="EX33" s="442">
        <f>'raw data'!IR33</f>
        <v>56</v>
      </c>
      <c r="EY33" s="443">
        <f>'raw data'!IS33</f>
        <v>300</v>
      </c>
      <c r="EZ33" s="444">
        <f>IF(ISERROR('raw data'!IR33/'raw data'!IS33),0,'raw data'!IR33/'raw data'!IS33)</f>
        <v>0.18666666666666668</v>
      </c>
      <c r="FA33" s="442">
        <f>'raw data'!IT33</f>
        <v>45</v>
      </c>
      <c r="FB33" s="443">
        <f>'raw data'!IU33</f>
        <v>234</v>
      </c>
      <c r="FC33" s="444">
        <f>IF(ISERROR('raw data'!IT33/'raw data'!IU33),0,'raw data'!IT33/'raw data'!IU33)</f>
        <v>0.19230769230769232</v>
      </c>
      <c r="FD33" s="442">
        <f>'raw data'!IV33</f>
        <v>43</v>
      </c>
      <c r="FE33" s="443">
        <f>'raw data'!IW33</f>
        <v>238</v>
      </c>
      <c r="FF33" s="444">
        <f>IF(ISERROR('raw data'!IV33/'raw data'!IW33),0,'raw data'!IV33/'raw data'!IW33)</f>
        <v>0.18067226890756302</v>
      </c>
      <c r="FG33" s="442">
        <f>'raw data'!IX33</f>
        <v>29</v>
      </c>
      <c r="FH33" s="443">
        <f>'raw data'!IY33</f>
        <v>232</v>
      </c>
      <c r="FI33" s="444">
        <f>IF(ISERROR('raw data'!IX33/'raw data'!IY33),0,'raw data'!IX33/'raw data'!IY33)</f>
        <v>0.125</v>
      </c>
      <c r="FJ33" s="442">
        <f>'raw data'!IZ33</f>
        <v>36</v>
      </c>
      <c r="FK33" s="443">
        <f>'raw data'!JA33</f>
        <v>212</v>
      </c>
      <c r="FL33" s="444">
        <f>IF(ISERROR('raw data'!IZ33/'raw data'!JA33),0,'raw data'!IZ33/'raw data'!JA33)</f>
        <v>0.16981132075471697</v>
      </c>
      <c r="FM33" s="442">
        <f>'raw data'!JB33</f>
        <v>35</v>
      </c>
      <c r="FN33" s="443">
        <f>'raw data'!JC33</f>
        <v>224</v>
      </c>
      <c r="FO33" s="444">
        <f>IF(ISERROR('raw data'!JB33/'raw data'!JC33),0,'raw data'!JB33/'raw data'!JC33)</f>
        <v>0.15625</v>
      </c>
      <c r="FP33" s="442">
        <f>'raw data'!JD33</f>
        <v>17</v>
      </c>
      <c r="FQ33" s="443">
        <f>'raw data'!JE33</f>
        <v>257</v>
      </c>
      <c r="FR33" s="444">
        <f>IF(ISERROR('raw data'!JD33/'raw data'!JE33),0,'raw data'!JD33/'raw data'!JE33)</f>
        <v>6.6147859922178989E-2</v>
      </c>
      <c r="FS33" s="427"/>
      <c r="FT33" s="445">
        <v>261</v>
      </c>
      <c r="FU33" s="446">
        <v>1697</v>
      </c>
      <c r="FV33" s="447">
        <f>IF(ISERROR(FT33/FU33),0,FT33/FU33)</f>
        <v>0.15380082498526812</v>
      </c>
      <c r="FW33" s="229"/>
    </row>
    <row r="34" spans="1:179" ht="28" x14ac:dyDescent="0.15">
      <c r="A34" s="431">
        <v>45</v>
      </c>
      <c r="B34" s="432" t="s">
        <v>62</v>
      </c>
      <c r="C34" s="432"/>
      <c r="D34" s="433"/>
      <c r="E34" s="434"/>
      <c r="F34" s="435"/>
      <c r="G34" s="436"/>
      <c r="H34" s="437"/>
      <c r="I34" s="435"/>
      <c r="J34" s="438"/>
      <c r="K34" s="437"/>
      <c r="L34" s="435"/>
      <c r="M34" s="438"/>
      <c r="N34" s="437"/>
      <c r="O34" s="435"/>
      <c r="P34" s="438"/>
      <c r="Q34" s="437"/>
      <c r="R34" s="435"/>
      <c r="S34" s="438"/>
      <c r="T34" s="437"/>
      <c r="U34" s="435"/>
      <c r="V34" s="438"/>
      <c r="W34" s="437"/>
      <c r="X34" s="435"/>
      <c r="Y34" s="438"/>
      <c r="Z34" s="437"/>
      <c r="AA34" s="435"/>
      <c r="AB34" s="438"/>
      <c r="AC34" s="437"/>
      <c r="AD34" s="435"/>
      <c r="AE34" s="438"/>
      <c r="AF34" s="437"/>
      <c r="AG34" s="435"/>
      <c r="AH34" s="438"/>
      <c r="AI34" s="437"/>
      <c r="AJ34" s="435"/>
      <c r="AK34" s="438"/>
      <c r="AL34" s="437"/>
      <c r="AM34" s="435"/>
      <c r="AN34" s="438"/>
      <c r="AO34" s="437"/>
      <c r="AP34" s="435"/>
      <c r="AQ34" s="438"/>
      <c r="AR34" s="437"/>
      <c r="AS34" s="439"/>
      <c r="AT34" s="438"/>
      <c r="AU34" s="440"/>
      <c r="AV34" s="441"/>
      <c r="AW34" s="438"/>
      <c r="AX34" s="440"/>
      <c r="AY34" s="441"/>
      <c r="AZ34" s="438"/>
      <c r="BA34" s="440"/>
      <c r="BB34" s="441"/>
      <c r="BC34" s="438"/>
      <c r="BD34" s="440"/>
      <c r="BE34" s="441"/>
      <c r="BF34" s="438"/>
      <c r="BG34" s="440"/>
      <c r="BH34" s="441"/>
      <c r="BI34" s="436"/>
      <c r="BJ34" s="440"/>
      <c r="BK34" s="441"/>
      <c r="BL34" s="436"/>
      <c r="BM34" s="440"/>
      <c r="BN34" s="441"/>
      <c r="BO34" s="436"/>
      <c r="BP34" s="440"/>
      <c r="BQ34" s="441"/>
      <c r="BR34" s="436"/>
      <c r="BS34" s="440"/>
      <c r="BT34" s="441"/>
      <c r="BU34" s="436"/>
      <c r="BV34" s="440"/>
      <c r="BW34" s="441"/>
      <c r="BX34" s="436"/>
      <c r="BY34" s="440"/>
      <c r="BZ34" s="441"/>
      <c r="CA34" s="436"/>
      <c r="CB34" s="440"/>
      <c r="CC34" s="441"/>
      <c r="CD34" s="436"/>
      <c r="CE34" s="440"/>
      <c r="CF34" s="441"/>
      <c r="CG34" s="436"/>
      <c r="CH34" s="440"/>
      <c r="CI34" s="441"/>
      <c r="CJ34" s="436"/>
      <c r="CK34" s="440"/>
      <c r="CL34" s="441"/>
      <c r="CM34" s="436"/>
      <c r="CN34" s="440"/>
      <c r="CO34" s="441"/>
      <c r="CP34" s="436"/>
      <c r="CQ34" s="440"/>
      <c r="CR34" s="441"/>
      <c r="CS34" s="436"/>
      <c r="CT34" s="440"/>
      <c r="CU34" s="441"/>
      <c r="CV34" s="436"/>
      <c r="CW34" s="440"/>
      <c r="CX34" s="441"/>
      <c r="CY34" s="436"/>
      <c r="CZ34" s="440"/>
      <c r="DA34" s="441"/>
      <c r="DB34" s="436"/>
      <c r="DC34" s="440"/>
      <c r="DD34" s="441"/>
      <c r="DE34" s="436"/>
      <c r="DF34" s="440"/>
      <c r="DG34" s="441"/>
      <c r="DH34" s="436"/>
      <c r="DI34" s="440"/>
      <c r="DJ34" s="441"/>
      <c r="DK34" s="436"/>
      <c r="DL34" s="440"/>
      <c r="DM34" s="441"/>
      <c r="DN34" s="436"/>
      <c r="DO34" s="440"/>
      <c r="DP34" s="441"/>
      <c r="DQ34" s="436"/>
      <c r="DR34" s="440"/>
      <c r="DS34" s="441"/>
      <c r="DT34" s="436"/>
      <c r="DU34" s="440"/>
      <c r="DV34" s="441"/>
      <c r="DW34" s="436"/>
      <c r="DX34" s="440"/>
      <c r="DY34" s="441"/>
      <c r="DZ34" s="436"/>
      <c r="EA34" s="440"/>
      <c r="EB34" s="441"/>
      <c r="EC34" s="436"/>
      <c r="ED34" s="440"/>
      <c r="EE34" s="441"/>
      <c r="EF34" s="436"/>
      <c r="EG34" s="440"/>
      <c r="EH34" s="441"/>
      <c r="EI34" s="436"/>
      <c r="EJ34" s="440"/>
      <c r="EK34" s="441"/>
      <c r="EL34" s="436"/>
      <c r="EM34" s="440"/>
      <c r="EN34" s="441"/>
      <c r="EO34" s="436"/>
      <c r="EP34" s="440"/>
      <c r="EQ34" s="441"/>
      <c r="ER34" s="436"/>
      <c r="ES34" s="440"/>
      <c r="ET34" s="441"/>
      <c r="EU34" s="436"/>
      <c r="EV34" s="440"/>
      <c r="EW34" s="441"/>
      <c r="EX34" s="442">
        <f>'raw data'!IR34</f>
        <v>49</v>
      </c>
      <c r="EY34" s="443">
        <f>'raw data'!IS34</f>
        <v>94</v>
      </c>
      <c r="EZ34" s="444">
        <f>IF(ISERROR('raw data'!IR34/'raw data'!IS34),0,'raw data'!IR34/'raw data'!IS34)</f>
        <v>0.52127659574468088</v>
      </c>
      <c r="FA34" s="442">
        <f>'raw data'!IT34</f>
        <v>52</v>
      </c>
      <c r="FB34" s="443">
        <f>'raw data'!IU34</f>
        <v>122</v>
      </c>
      <c r="FC34" s="444">
        <f>IF(ISERROR('raw data'!IT34/'raw data'!IU34),0,'raw data'!IT34/'raw data'!IU34)</f>
        <v>0.42622950819672129</v>
      </c>
      <c r="FD34" s="442">
        <f>'raw data'!IV34</f>
        <v>46</v>
      </c>
      <c r="FE34" s="443">
        <f>'raw data'!IW34</f>
        <v>89</v>
      </c>
      <c r="FF34" s="444">
        <f>IF(ISERROR('raw data'!IV34/'raw data'!IW34),0,'raw data'!IV34/'raw data'!IW34)</f>
        <v>0.5168539325842697</v>
      </c>
      <c r="FG34" s="442">
        <f>'raw data'!IX34</f>
        <v>42</v>
      </c>
      <c r="FH34" s="443">
        <f>'raw data'!IY34</f>
        <v>93</v>
      </c>
      <c r="FI34" s="444">
        <f>IF(ISERROR('raw data'!IX34/'raw data'!IY34),0,'raw data'!IX34/'raw data'!IY34)</f>
        <v>0.45161290322580644</v>
      </c>
      <c r="FJ34" s="442">
        <f>'raw data'!IZ34</f>
        <v>35</v>
      </c>
      <c r="FK34" s="443">
        <f>'raw data'!JA34</f>
        <v>95</v>
      </c>
      <c r="FL34" s="444">
        <f>IF(ISERROR('raw data'!IZ34/'raw data'!JA34),0,'raw data'!IZ34/'raw data'!JA34)</f>
        <v>0.36842105263157893</v>
      </c>
      <c r="FM34" s="442">
        <f>'raw data'!JB34</f>
        <v>28</v>
      </c>
      <c r="FN34" s="443">
        <f>'raw data'!JC34</f>
        <v>80</v>
      </c>
      <c r="FO34" s="444">
        <f>IF(ISERROR('raw data'!JB34/'raw data'!JC34),0,'raw data'!JB34/'raw data'!JC34)</f>
        <v>0.35</v>
      </c>
      <c r="FP34" s="442">
        <f>'raw data'!JD34</f>
        <v>12</v>
      </c>
      <c r="FQ34" s="443">
        <f>'raw data'!JE34</f>
        <v>103</v>
      </c>
      <c r="FR34" s="444">
        <f>IF(ISERROR('raw data'!JD34/'raw data'!JE34),0,'raw data'!JD34/'raw data'!JE34)</f>
        <v>0.11650485436893204</v>
      </c>
      <c r="FS34" s="427"/>
      <c r="FT34" s="445">
        <v>264</v>
      </c>
      <c r="FU34" s="446">
        <v>676</v>
      </c>
      <c r="FV34" s="447">
        <f t="shared" ref="FV34:FV43" si="1">IF(ISERROR(FT34/FU34),0,FT34/FU34)</f>
        <v>0.39053254437869822</v>
      </c>
      <c r="FW34" s="229"/>
    </row>
    <row r="35" spans="1:179" ht="25" customHeight="1" x14ac:dyDescent="0.15">
      <c r="A35" s="431">
        <v>46</v>
      </c>
      <c r="B35" s="432" t="s">
        <v>63</v>
      </c>
      <c r="C35" s="432"/>
      <c r="D35" s="433"/>
      <c r="E35" s="434"/>
      <c r="F35" s="435"/>
      <c r="G35" s="436"/>
      <c r="H35" s="437"/>
      <c r="I35" s="435"/>
      <c r="J35" s="438"/>
      <c r="K35" s="437"/>
      <c r="L35" s="435"/>
      <c r="M35" s="438"/>
      <c r="N35" s="437"/>
      <c r="O35" s="435"/>
      <c r="P35" s="438"/>
      <c r="Q35" s="437"/>
      <c r="R35" s="435"/>
      <c r="S35" s="438"/>
      <c r="T35" s="437"/>
      <c r="U35" s="435"/>
      <c r="V35" s="438"/>
      <c r="W35" s="437"/>
      <c r="X35" s="435"/>
      <c r="Y35" s="438"/>
      <c r="Z35" s="437"/>
      <c r="AA35" s="435"/>
      <c r="AB35" s="438"/>
      <c r="AC35" s="437"/>
      <c r="AD35" s="435"/>
      <c r="AE35" s="438"/>
      <c r="AF35" s="437"/>
      <c r="AG35" s="435"/>
      <c r="AH35" s="438"/>
      <c r="AI35" s="437"/>
      <c r="AJ35" s="435"/>
      <c r="AK35" s="438"/>
      <c r="AL35" s="437"/>
      <c r="AM35" s="435"/>
      <c r="AN35" s="438"/>
      <c r="AO35" s="437"/>
      <c r="AP35" s="435"/>
      <c r="AQ35" s="438"/>
      <c r="AR35" s="437"/>
      <c r="AS35" s="439"/>
      <c r="AT35" s="438"/>
      <c r="AU35" s="440"/>
      <c r="AV35" s="441"/>
      <c r="AW35" s="438"/>
      <c r="AX35" s="440"/>
      <c r="AY35" s="441"/>
      <c r="AZ35" s="438"/>
      <c r="BA35" s="440"/>
      <c r="BB35" s="441"/>
      <c r="BC35" s="438"/>
      <c r="BD35" s="440"/>
      <c r="BE35" s="441"/>
      <c r="BF35" s="438"/>
      <c r="BG35" s="440"/>
      <c r="BH35" s="441"/>
      <c r="BI35" s="436"/>
      <c r="BJ35" s="440"/>
      <c r="BK35" s="441"/>
      <c r="BL35" s="436"/>
      <c r="BM35" s="440"/>
      <c r="BN35" s="441"/>
      <c r="BO35" s="436"/>
      <c r="BP35" s="440"/>
      <c r="BQ35" s="441"/>
      <c r="BR35" s="436"/>
      <c r="BS35" s="440"/>
      <c r="BT35" s="441"/>
      <c r="BU35" s="436"/>
      <c r="BV35" s="440"/>
      <c r="BW35" s="441"/>
      <c r="BX35" s="436"/>
      <c r="BY35" s="440"/>
      <c r="BZ35" s="441"/>
      <c r="CA35" s="436"/>
      <c r="CB35" s="440"/>
      <c r="CC35" s="441"/>
      <c r="CD35" s="436"/>
      <c r="CE35" s="440"/>
      <c r="CF35" s="441"/>
      <c r="CG35" s="436"/>
      <c r="CH35" s="440"/>
      <c r="CI35" s="441"/>
      <c r="CJ35" s="436"/>
      <c r="CK35" s="440"/>
      <c r="CL35" s="441"/>
      <c r="CM35" s="436"/>
      <c r="CN35" s="440"/>
      <c r="CO35" s="441"/>
      <c r="CP35" s="436"/>
      <c r="CQ35" s="440"/>
      <c r="CR35" s="441"/>
      <c r="CS35" s="436"/>
      <c r="CT35" s="440"/>
      <c r="CU35" s="441"/>
      <c r="CV35" s="436"/>
      <c r="CW35" s="440"/>
      <c r="CX35" s="441"/>
      <c r="CY35" s="436"/>
      <c r="CZ35" s="440"/>
      <c r="DA35" s="441"/>
      <c r="DB35" s="436"/>
      <c r="DC35" s="440"/>
      <c r="DD35" s="441"/>
      <c r="DE35" s="436"/>
      <c r="DF35" s="440"/>
      <c r="DG35" s="441"/>
      <c r="DH35" s="436"/>
      <c r="DI35" s="440"/>
      <c r="DJ35" s="441"/>
      <c r="DK35" s="436"/>
      <c r="DL35" s="440"/>
      <c r="DM35" s="441"/>
      <c r="DN35" s="436"/>
      <c r="DO35" s="440"/>
      <c r="DP35" s="441"/>
      <c r="DQ35" s="436"/>
      <c r="DR35" s="440"/>
      <c r="DS35" s="441"/>
      <c r="DT35" s="436"/>
      <c r="DU35" s="440"/>
      <c r="DV35" s="441"/>
      <c r="DW35" s="436"/>
      <c r="DX35" s="440"/>
      <c r="DY35" s="441"/>
      <c r="DZ35" s="436"/>
      <c r="EA35" s="440"/>
      <c r="EB35" s="441"/>
      <c r="EC35" s="436"/>
      <c r="ED35" s="440"/>
      <c r="EE35" s="441"/>
      <c r="EF35" s="436"/>
      <c r="EG35" s="440"/>
      <c r="EH35" s="441"/>
      <c r="EI35" s="436"/>
      <c r="EJ35" s="440"/>
      <c r="EK35" s="441"/>
      <c r="EL35" s="436"/>
      <c r="EM35" s="440"/>
      <c r="EN35" s="441"/>
      <c r="EO35" s="436"/>
      <c r="EP35" s="440"/>
      <c r="EQ35" s="441"/>
      <c r="ER35" s="436"/>
      <c r="ES35" s="440"/>
      <c r="ET35" s="441"/>
      <c r="EU35" s="436"/>
      <c r="EV35" s="440"/>
      <c r="EW35" s="441"/>
      <c r="EX35" s="442">
        <f>'raw data'!IR35</f>
        <v>91</v>
      </c>
      <c r="EY35" s="443">
        <f>'raw data'!IS35</f>
        <v>158</v>
      </c>
      <c r="EZ35" s="444">
        <f>IF(ISERROR('raw data'!IR35/'raw data'!IS35),0,'raw data'!IR35/'raw data'!IS35)</f>
        <v>0.57594936708860756</v>
      </c>
      <c r="FA35" s="442">
        <f>'raw data'!IT35</f>
        <v>64</v>
      </c>
      <c r="FB35" s="443">
        <f>'raw data'!IU35</f>
        <v>123</v>
      </c>
      <c r="FC35" s="444">
        <f>IF(ISERROR('raw data'!IT35/'raw data'!IU35),0,'raw data'!IT35/'raw data'!IU35)</f>
        <v>0.52032520325203258</v>
      </c>
      <c r="FD35" s="442">
        <f>'raw data'!IV35</f>
        <v>61</v>
      </c>
      <c r="FE35" s="443">
        <f>'raw data'!IW35</f>
        <v>131</v>
      </c>
      <c r="FF35" s="444">
        <f>IF(ISERROR('raw data'!IV35/'raw data'!IW35),0,'raw data'!IV35/'raw data'!IW35)</f>
        <v>0.46564885496183206</v>
      </c>
      <c r="FG35" s="442">
        <f>'raw data'!IX35</f>
        <v>93</v>
      </c>
      <c r="FH35" s="443">
        <f>'raw data'!IY35</f>
        <v>161</v>
      </c>
      <c r="FI35" s="444">
        <f>IF(ISERROR('raw data'!IX35/'raw data'!IY35),0,'raw data'!IX35/'raw data'!IY35)</f>
        <v>0.57763975155279501</v>
      </c>
      <c r="FJ35" s="442">
        <f>'raw data'!IZ35</f>
        <v>54</v>
      </c>
      <c r="FK35" s="443">
        <f>'raw data'!JA35</f>
        <v>135</v>
      </c>
      <c r="FL35" s="444">
        <f>IF(ISERROR('raw data'!IZ35/'raw data'!JA35),0,'raw data'!IZ35/'raw data'!JA35)</f>
        <v>0.4</v>
      </c>
      <c r="FM35" s="442">
        <f>'raw data'!JB35</f>
        <v>56</v>
      </c>
      <c r="FN35" s="443">
        <f>'raw data'!JC35</f>
        <v>146</v>
      </c>
      <c r="FO35" s="444">
        <f>IF(ISERROR('raw data'!JB35/'raw data'!JC35),0,'raw data'!JB35/'raw data'!JC35)</f>
        <v>0.38356164383561642</v>
      </c>
      <c r="FP35" s="442">
        <f>'raw data'!JD35</f>
        <v>40</v>
      </c>
      <c r="FQ35" s="443">
        <f>'raw data'!JE35</f>
        <v>164</v>
      </c>
      <c r="FR35" s="444">
        <f>IF(ISERROR('raw data'!JD35/'raw data'!JE35),0,'raw data'!JD35/'raw data'!JE35)</f>
        <v>0.24390243902439024</v>
      </c>
      <c r="FS35" s="427"/>
      <c r="FT35" s="445">
        <v>459</v>
      </c>
      <c r="FU35" s="446">
        <v>1018</v>
      </c>
      <c r="FV35" s="447">
        <f t="shared" si="1"/>
        <v>0.45088408644400785</v>
      </c>
      <c r="FW35" s="229"/>
    </row>
    <row r="36" spans="1:179" ht="28" x14ac:dyDescent="0.15">
      <c r="A36" s="431" t="s">
        <v>64</v>
      </c>
      <c r="B36" s="432" t="s">
        <v>65</v>
      </c>
      <c r="C36" s="432"/>
      <c r="D36" s="433"/>
      <c r="E36" s="434"/>
      <c r="F36" s="435"/>
      <c r="G36" s="436"/>
      <c r="H36" s="437"/>
      <c r="I36" s="435"/>
      <c r="J36" s="438"/>
      <c r="K36" s="437"/>
      <c r="L36" s="435"/>
      <c r="M36" s="438"/>
      <c r="N36" s="437"/>
      <c r="O36" s="435"/>
      <c r="P36" s="438"/>
      <c r="Q36" s="437"/>
      <c r="R36" s="435"/>
      <c r="S36" s="438"/>
      <c r="T36" s="437"/>
      <c r="U36" s="435"/>
      <c r="V36" s="438"/>
      <c r="W36" s="437"/>
      <c r="X36" s="435"/>
      <c r="Y36" s="438"/>
      <c r="Z36" s="437"/>
      <c r="AA36" s="435"/>
      <c r="AB36" s="438"/>
      <c r="AC36" s="437"/>
      <c r="AD36" s="435"/>
      <c r="AE36" s="438"/>
      <c r="AF36" s="437"/>
      <c r="AG36" s="435"/>
      <c r="AH36" s="438"/>
      <c r="AI36" s="437"/>
      <c r="AJ36" s="435"/>
      <c r="AK36" s="438"/>
      <c r="AL36" s="437"/>
      <c r="AM36" s="435"/>
      <c r="AN36" s="438"/>
      <c r="AO36" s="437"/>
      <c r="AP36" s="435"/>
      <c r="AQ36" s="438"/>
      <c r="AR36" s="437"/>
      <c r="AS36" s="439"/>
      <c r="AT36" s="438"/>
      <c r="AU36" s="440"/>
      <c r="AV36" s="441"/>
      <c r="AW36" s="438"/>
      <c r="AX36" s="440"/>
      <c r="AY36" s="441"/>
      <c r="AZ36" s="438"/>
      <c r="BA36" s="440"/>
      <c r="BB36" s="441"/>
      <c r="BC36" s="438"/>
      <c r="BD36" s="440"/>
      <c r="BE36" s="441"/>
      <c r="BF36" s="438"/>
      <c r="BG36" s="440"/>
      <c r="BH36" s="441"/>
      <c r="BI36" s="436"/>
      <c r="BJ36" s="440"/>
      <c r="BK36" s="441"/>
      <c r="BL36" s="436"/>
      <c r="BM36" s="440"/>
      <c r="BN36" s="441"/>
      <c r="BO36" s="436"/>
      <c r="BP36" s="440"/>
      <c r="BQ36" s="441"/>
      <c r="BR36" s="436"/>
      <c r="BS36" s="440"/>
      <c r="BT36" s="441"/>
      <c r="BU36" s="436"/>
      <c r="BV36" s="440"/>
      <c r="BW36" s="441"/>
      <c r="BX36" s="436"/>
      <c r="BY36" s="440"/>
      <c r="BZ36" s="441"/>
      <c r="CA36" s="436"/>
      <c r="CB36" s="440"/>
      <c r="CC36" s="441"/>
      <c r="CD36" s="436"/>
      <c r="CE36" s="440"/>
      <c r="CF36" s="441"/>
      <c r="CG36" s="436"/>
      <c r="CH36" s="440"/>
      <c r="CI36" s="441"/>
      <c r="CJ36" s="436"/>
      <c r="CK36" s="440"/>
      <c r="CL36" s="441"/>
      <c r="CM36" s="436"/>
      <c r="CN36" s="440"/>
      <c r="CO36" s="441"/>
      <c r="CP36" s="436"/>
      <c r="CQ36" s="440"/>
      <c r="CR36" s="441"/>
      <c r="CS36" s="436"/>
      <c r="CT36" s="440"/>
      <c r="CU36" s="441"/>
      <c r="CV36" s="436"/>
      <c r="CW36" s="440"/>
      <c r="CX36" s="441"/>
      <c r="CY36" s="436"/>
      <c r="CZ36" s="440"/>
      <c r="DA36" s="441"/>
      <c r="DB36" s="436"/>
      <c r="DC36" s="440"/>
      <c r="DD36" s="441"/>
      <c r="DE36" s="436"/>
      <c r="DF36" s="440"/>
      <c r="DG36" s="441"/>
      <c r="DH36" s="436"/>
      <c r="DI36" s="440"/>
      <c r="DJ36" s="441"/>
      <c r="DK36" s="436"/>
      <c r="DL36" s="440"/>
      <c r="DM36" s="441"/>
      <c r="DN36" s="436"/>
      <c r="DO36" s="440"/>
      <c r="DP36" s="441"/>
      <c r="DQ36" s="436"/>
      <c r="DR36" s="440"/>
      <c r="DS36" s="441"/>
      <c r="DT36" s="436"/>
      <c r="DU36" s="440"/>
      <c r="DV36" s="441"/>
      <c r="DW36" s="436"/>
      <c r="DX36" s="440"/>
      <c r="DY36" s="441"/>
      <c r="DZ36" s="436"/>
      <c r="EA36" s="440"/>
      <c r="EB36" s="441"/>
      <c r="EC36" s="436"/>
      <c r="ED36" s="440"/>
      <c r="EE36" s="441"/>
      <c r="EF36" s="436"/>
      <c r="EG36" s="440"/>
      <c r="EH36" s="441"/>
      <c r="EI36" s="436"/>
      <c r="EJ36" s="440"/>
      <c r="EK36" s="441"/>
      <c r="EL36" s="436"/>
      <c r="EM36" s="440"/>
      <c r="EN36" s="441"/>
      <c r="EO36" s="436"/>
      <c r="EP36" s="440"/>
      <c r="EQ36" s="441"/>
      <c r="ER36" s="436"/>
      <c r="ES36" s="440"/>
      <c r="ET36" s="441"/>
      <c r="EU36" s="436"/>
      <c r="EV36" s="440"/>
      <c r="EW36" s="441"/>
      <c r="EX36" s="442">
        <f>'raw data'!IR36</f>
        <v>41</v>
      </c>
      <c r="EY36" s="443">
        <f>'raw data'!IS36</f>
        <v>139</v>
      </c>
      <c r="EZ36" s="444">
        <f>IF(ISERROR('raw data'!IR36/'raw data'!IS36),0,'raw data'!IR36/'raw data'!IS36)</f>
        <v>0.29496402877697842</v>
      </c>
      <c r="FA36" s="442">
        <f>'raw data'!IT36</f>
        <v>29</v>
      </c>
      <c r="FB36" s="443">
        <f>'raw data'!IU36</f>
        <v>137</v>
      </c>
      <c r="FC36" s="444">
        <f>IF(ISERROR('raw data'!IT36/'raw data'!IU36),0,'raw data'!IT36/'raw data'!IU36)</f>
        <v>0.21167883211678831</v>
      </c>
      <c r="FD36" s="442">
        <f>'raw data'!IV36</f>
        <v>29</v>
      </c>
      <c r="FE36" s="443">
        <f>'raw data'!IW36</f>
        <v>143</v>
      </c>
      <c r="FF36" s="444">
        <f>IF(ISERROR('raw data'!IV36/'raw data'!IW36),0,'raw data'!IV36/'raw data'!IW36)</f>
        <v>0.20279720279720279</v>
      </c>
      <c r="FG36" s="442">
        <f>'raw data'!IX36</f>
        <v>21</v>
      </c>
      <c r="FH36" s="443">
        <f>'raw data'!IY36</f>
        <v>116</v>
      </c>
      <c r="FI36" s="444">
        <f>IF(ISERROR('raw data'!IX36/'raw data'!IY36),0,'raw data'!IX36/'raw data'!IY36)</f>
        <v>0.18103448275862069</v>
      </c>
      <c r="FJ36" s="442">
        <f>'raw data'!IZ36</f>
        <v>27</v>
      </c>
      <c r="FK36" s="443">
        <f>'raw data'!JA36</f>
        <v>95</v>
      </c>
      <c r="FL36" s="444">
        <f>IF(ISERROR('raw data'!IZ36/'raw data'!JA36),0,'raw data'!IZ36/'raw data'!JA36)</f>
        <v>0.28421052631578947</v>
      </c>
      <c r="FM36" s="442">
        <f>'raw data'!JB36</f>
        <v>17</v>
      </c>
      <c r="FN36" s="443">
        <f>'raw data'!JC36</f>
        <v>110</v>
      </c>
      <c r="FO36" s="444">
        <f>IF(ISERROR('raw data'!JB36/'raw data'!JC36),0,'raw data'!JB36/'raw data'!JC36)</f>
        <v>0.15454545454545454</v>
      </c>
      <c r="FP36" s="442">
        <f>'raw data'!JD36</f>
        <v>10</v>
      </c>
      <c r="FQ36" s="443">
        <f>'raw data'!JE36</f>
        <v>132</v>
      </c>
      <c r="FR36" s="444">
        <f>IF(ISERROR('raw data'!JD36/'raw data'!JE36),0,'raw data'!JD36/'raw data'!JE36)</f>
        <v>7.575757575757576E-2</v>
      </c>
      <c r="FS36" s="427"/>
      <c r="FT36" s="445">
        <v>174</v>
      </c>
      <c r="FU36" s="446">
        <v>872</v>
      </c>
      <c r="FV36" s="447">
        <f t="shared" si="1"/>
        <v>0.19954128440366972</v>
      </c>
      <c r="FW36" s="229"/>
    </row>
    <row r="37" spans="1:179" ht="28" x14ac:dyDescent="0.15">
      <c r="A37" s="431" t="s">
        <v>66</v>
      </c>
      <c r="B37" s="432" t="s">
        <v>67</v>
      </c>
      <c r="C37" s="432"/>
      <c r="D37" s="433"/>
      <c r="E37" s="434"/>
      <c r="F37" s="435"/>
      <c r="G37" s="436"/>
      <c r="H37" s="437"/>
      <c r="I37" s="435"/>
      <c r="J37" s="438"/>
      <c r="K37" s="437"/>
      <c r="L37" s="435"/>
      <c r="M37" s="438"/>
      <c r="N37" s="437"/>
      <c r="O37" s="435"/>
      <c r="P37" s="438"/>
      <c r="Q37" s="437"/>
      <c r="R37" s="435"/>
      <c r="S37" s="438"/>
      <c r="T37" s="437"/>
      <c r="U37" s="435"/>
      <c r="V37" s="438"/>
      <c r="W37" s="437"/>
      <c r="X37" s="435"/>
      <c r="Y37" s="438"/>
      <c r="Z37" s="437"/>
      <c r="AA37" s="435"/>
      <c r="AB37" s="438"/>
      <c r="AC37" s="437"/>
      <c r="AD37" s="435"/>
      <c r="AE37" s="438"/>
      <c r="AF37" s="437"/>
      <c r="AG37" s="435"/>
      <c r="AH37" s="438"/>
      <c r="AI37" s="437"/>
      <c r="AJ37" s="435"/>
      <c r="AK37" s="438"/>
      <c r="AL37" s="437"/>
      <c r="AM37" s="435"/>
      <c r="AN37" s="438"/>
      <c r="AO37" s="437"/>
      <c r="AP37" s="435"/>
      <c r="AQ37" s="438"/>
      <c r="AR37" s="437"/>
      <c r="AS37" s="439"/>
      <c r="AT37" s="438"/>
      <c r="AU37" s="440"/>
      <c r="AV37" s="441"/>
      <c r="AW37" s="438"/>
      <c r="AX37" s="440"/>
      <c r="AY37" s="441"/>
      <c r="AZ37" s="438"/>
      <c r="BA37" s="440"/>
      <c r="BB37" s="441"/>
      <c r="BC37" s="438"/>
      <c r="BD37" s="440"/>
      <c r="BE37" s="441"/>
      <c r="BF37" s="438"/>
      <c r="BG37" s="440"/>
      <c r="BH37" s="441"/>
      <c r="BI37" s="436"/>
      <c r="BJ37" s="440"/>
      <c r="BK37" s="441"/>
      <c r="BL37" s="436"/>
      <c r="BM37" s="440"/>
      <c r="BN37" s="441"/>
      <c r="BO37" s="436"/>
      <c r="BP37" s="440"/>
      <c r="BQ37" s="441"/>
      <c r="BR37" s="436"/>
      <c r="BS37" s="440"/>
      <c r="BT37" s="441"/>
      <c r="BU37" s="436"/>
      <c r="BV37" s="440"/>
      <c r="BW37" s="441"/>
      <c r="BX37" s="436"/>
      <c r="BY37" s="440"/>
      <c r="BZ37" s="441"/>
      <c r="CA37" s="436"/>
      <c r="CB37" s="440"/>
      <c r="CC37" s="441"/>
      <c r="CD37" s="436"/>
      <c r="CE37" s="440"/>
      <c r="CF37" s="441"/>
      <c r="CG37" s="436"/>
      <c r="CH37" s="440"/>
      <c r="CI37" s="441"/>
      <c r="CJ37" s="436"/>
      <c r="CK37" s="440"/>
      <c r="CL37" s="441"/>
      <c r="CM37" s="436"/>
      <c r="CN37" s="440"/>
      <c r="CO37" s="441"/>
      <c r="CP37" s="436"/>
      <c r="CQ37" s="440"/>
      <c r="CR37" s="441"/>
      <c r="CS37" s="436"/>
      <c r="CT37" s="440"/>
      <c r="CU37" s="441"/>
      <c r="CV37" s="436"/>
      <c r="CW37" s="440"/>
      <c r="CX37" s="441"/>
      <c r="CY37" s="436"/>
      <c r="CZ37" s="440"/>
      <c r="DA37" s="441"/>
      <c r="DB37" s="436"/>
      <c r="DC37" s="440"/>
      <c r="DD37" s="441"/>
      <c r="DE37" s="436"/>
      <c r="DF37" s="440"/>
      <c r="DG37" s="441"/>
      <c r="DH37" s="436"/>
      <c r="DI37" s="440"/>
      <c r="DJ37" s="441"/>
      <c r="DK37" s="436"/>
      <c r="DL37" s="440"/>
      <c r="DM37" s="441"/>
      <c r="DN37" s="436"/>
      <c r="DO37" s="440"/>
      <c r="DP37" s="441"/>
      <c r="DQ37" s="436"/>
      <c r="DR37" s="440"/>
      <c r="DS37" s="441"/>
      <c r="DT37" s="436"/>
      <c r="DU37" s="440"/>
      <c r="DV37" s="441"/>
      <c r="DW37" s="436"/>
      <c r="DX37" s="440"/>
      <c r="DY37" s="441"/>
      <c r="DZ37" s="436"/>
      <c r="EA37" s="440"/>
      <c r="EB37" s="441"/>
      <c r="EC37" s="436"/>
      <c r="ED37" s="440"/>
      <c r="EE37" s="441"/>
      <c r="EF37" s="436"/>
      <c r="EG37" s="440"/>
      <c r="EH37" s="441"/>
      <c r="EI37" s="436"/>
      <c r="EJ37" s="440"/>
      <c r="EK37" s="441"/>
      <c r="EL37" s="436"/>
      <c r="EM37" s="440"/>
      <c r="EN37" s="441"/>
      <c r="EO37" s="436"/>
      <c r="EP37" s="440"/>
      <c r="EQ37" s="441"/>
      <c r="ER37" s="436"/>
      <c r="ES37" s="440"/>
      <c r="ET37" s="441"/>
      <c r="EU37" s="436"/>
      <c r="EV37" s="440"/>
      <c r="EW37" s="441"/>
      <c r="EX37" s="442">
        <f>'raw data'!IR37</f>
        <v>24</v>
      </c>
      <c r="EY37" s="443">
        <f>'raw data'!IS37</f>
        <v>86</v>
      </c>
      <c r="EZ37" s="444">
        <f>IF(ISERROR('raw data'!IR37/'raw data'!IS37),0,'raw data'!IR37/'raw data'!IS37)</f>
        <v>0.27906976744186046</v>
      </c>
      <c r="FA37" s="442">
        <f>'raw data'!IT37</f>
        <v>20</v>
      </c>
      <c r="FB37" s="443">
        <f>'raw data'!IU37</f>
        <v>83</v>
      </c>
      <c r="FC37" s="444">
        <f>IF(ISERROR('raw data'!IT37/'raw data'!IU37),0,'raw data'!IT37/'raw data'!IU37)</f>
        <v>0.24096385542168675</v>
      </c>
      <c r="FD37" s="442">
        <f>'raw data'!IV37</f>
        <v>20</v>
      </c>
      <c r="FE37" s="443">
        <f>'raw data'!IW37</f>
        <v>76</v>
      </c>
      <c r="FF37" s="444">
        <f>IF(ISERROR('raw data'!IV37/'raw data'!IW37),0,'raw data'!IV37/'raw data'!IW37)</f>
        <v>0.26315789473684209</v>
      </c>
      <c r="FG37" s="442">
        <f>'raw data'!IX37</f>
        <v>15</v>
      </c>
      <c r="FH37" s="443">
        <f>'raw data'!IY37</f>
        <v>61</v>
      </c>
      <c r="FI37" s="444">
        <f>IF(ISERROR('raw data'!IX37/'raw data'!IY37),0,'raw data'!IX37/'raw data'!IY37)</f>
        <v>0.24590163934426229</v>
      </c>
      <c r="FJ37" s="442">
        <f>'raw data'!IZ37</f>
        <v>15</v>
      </c>
      <c r="FK37" s="443">
        <f>'raw data'!JA37</f>
        <v>79</v>
      </c>
      <c r="FL37" s="444">
        <f>IF(ISERROR('raw data'!IZ37/'raw data'!JA37),0,'raw data'!IZ37/'raw data'!JA37)</f>
        <v>0.189873417721519</v>
      </c>
      <c r="FM37" s="442">
        <f>'raw data'!JB37</f>
        <v>13</v>
      </c>
      <c r="FN37" s="443">
        <f>'raw data'!JC37</f>
        <v>90</v>
      </c>
      <c r="FO37" s="444">
        <f>IF(ISERROR('raw data'!JB37/'raw data'!JC37),0,'raw data'!JB37/'raw data'!JC37)</f>
        <v>0.14444444444444443</v>
      </c>
      <c r="FP37" s="442">
        <f>'raw data'!JD37</f>
        <v>3</v>
      </c>
      <c r="FQ37" s="443">
        <f>'raw data'!JE37</f>
        <v>74</v>
      </c>
      <c r="FR37" s="444">
        <f>IF(ISERROR('raw data'!JD37/'raw data'!JE37),0,'raw data'!JD37/'raw data'!JE37)</f>
        <v>4.0540540540540543E-2</v>
      </c>
      <c r="FS37" s="427"/>
      <c r="FT37" s="445">
        <v>110</v>
      </c>
      <c r="FU37" s="446">
        <v>549</v>
      </c>
      <c r="FV37" s="447">
        <f t="shared" si="1"/>
        <v>0.20036429872495445</v>
      </c>
      <c r="FW37" s="229"/>
    </row>
    <row r="38" spans="1:179" ht="28" x14ac:dyDescent="0.15">
      <c r="A38" s="431">
        <v>48</v>
      </c>
      <c r="B38" s="432" t="s">
        <v>68</v>
      </c>
      <c r="C38" s="432"/>
      <c r="D38" s="433"/>
      <c r="E38" s="434"/>
      <c r="F38" s="435"/>
      <c r="G38" s="436"/>
      <c r="H38" s="437"/>
      <c r="I38" s="435"/>
      <c r="J38" s="438"/>
      <c r="K38" s="437"/>
      <c r="L38" s="435"/>
      <c r="M38" s="438"/>
      <c r="N38" s="437"/>
      <c r="O38" s="435"/>
      <c r="P38" s="438"/>
      <c r="Q38" s="437"/>
      <c r="R38" s="435"/>
      <c r="S38" s="438"/>
      <c r="T38" s="437"/>
      <c r="U38" s="435"/>
      <c r="V38" s="438"/>
      <c r="W38" s="437"/>
      <c r="X38" s="435"/>
      <c r="Y38" s="438"/>
      <c r="Z38" s="437"/>
      <c r="AA38" s="435"/>
      <c r="AB38" s="438"/>
      <c r="AC38" s="437"/>
      <c r="AD38" s="435"/>
      <c r="AE38" s="438"/>
      <c r="AF38" s="437"/>
      <c r="AG38" s="435"/>
      <c r="AH38" s="438"/>
      <c r="AI38" s="437"/>
      <c r="AJ38" s="435"/>
      <c r="AK38" s="438"/>
      <c r="AL38" s="437"/>
      <c r="AM38" s="435"/>
      <c r="AN38" s="438"/>
      <c r="AO38" s="437"/>
      <c r="AP38" s="435"/>
      <c r="AQ38" s="438"/>
      <c r="AR38" s="437"/>
      <c r="AS38" s="439"/>
      <c r="AT38" s="438"/>
      <c r="AU38" s="440"/>
      <c r="AV38" s="441"/>
      <c r="AW38" s="438"/>
      <c r="AX38" s="440"/>
      <c r="AY38" s="441"/>
      <c r="AZ38" s="438"/>
      <c r="BA38" s="440"/>
      <c r="BB38" s="441"/>
      <c r="BC38" s="438"/>
      <c r="BD38" s="440"/>
      <c r="BE38" s="441"/>
      <c r="BF38" s="438"/>
      <c r="BG38" s="440"/>
      <c r="BH38" s="441"/>
      <c r="BI38" s="436"/>
      <c r="BJ38" s="440"/>
      <c r="BK38" s="441"/>
      <c r="BL38" s="436"/>
      <c r="BM38" s="440"/>
      <c r="BN38" s="441"/>
      <c r="BO38" s="436"/>
      <c r="BP38" s="440"/>
      <c r="BQ38" s="441"/>
      <c r="BR38" s="436"/>
      <c r="BS38" s="440"/>
      <c r="BT38" s="441"/>
      <c r="BU38" s="436"/>
      <c r="BV38" s="440"/>
      <c r="BW38" s="441"/>
      <c r="BX38" s="436"/>
      <c r="BY38" s="440"/>
      <c r="BZ38" s="441"/>
      <c r="CA38" s="436"/>
      <c r="CB38" s="440"/>
      <c r="CC38" s="441"/>
      <c r="CD38" s="436"/>
      <c r="CE38" s="440"/>
      <c r="CF38" s="441"/>
      <c r="CG38" s="436"/>
      <c r="CH38" s="440"/>
      <c r="CI38" s="441"/>
      <c r="CJ38" s="436"/>
      <c r="CK38" s="440"/>
      <c r="CL38" s="441"/>
      <c r="CM38" s="436"/>
      <c r="CN38" s="440"/>
      <c r="CO38" s="441"/>
      <c r="CP38" s="436"/>
      <c r="CQ38" s="440"/>
      <c r="CR38" s="441"/>
      <c r="CS38" s="436"/>
      <c r="CT38" s="440"/>
      <c r="CU38" s="441"/>
      <c r="CV38" s="436"/>
      <c r="CW38" s="440"/>
      <c r="CX38" s="441"/>
      <c r="CY38" s="436"/>
      <c r="CZ38" s="440"/>
      <c r="DA38" s="441"/>
      <c r="DB38" s="436"/>
      <c r="DC38" s="440"/>
      <c r="DD38" s="441"/>
      <c r="DE38" s="436"/>
      <c r="DF38" s="440"/>
      <c r="DG38" s="441"/>
      <c r="DH38" s="436"/>
      <c r="DI38" s="440"/>
      <c r="DJ38" s="441"/>
      <c r="DK38" s="436"/>
      <c r="DL38" s="440"/>
      <c r="DM38" s="441"/>
      <c r="DN38" s="436"/>
      <c r="DO38" s="440"/>
      <c r="DP38" s="441"/>
      <c r="DQ38" s="436"/>
      <c r="DR38" s="440"/>
      <c r="DS38" s="441"/>
      <c r="DT38" s="436"/>
      <c r="DU38" s="440"/>
      <c r="DV38" s="441"/>
      <c r="DW38" s="436"/>
      <c r="DX38" s="440"/>
      <c r="DY38" s="441"/>
      <c r="DZ38" s="436"/>
      <c r="EA38" s="440"/>
      <c r="EB38" s="441"/>
      <c r="EC38" s="436"/>
      <c r="ED38" s="440"/>
      <c r="EE38" s="441"/>
      <c r="EF38" s="436"/>
      <c r="EG38" s="440"/>
      <c r="EH38" s="441"/>
      <c r="EI38" s="436"/>
      <c r="EJ38" s="440"/>
      <c r="EK38" s="441"/>
      <c r="EL38" s="436"/>
      <c r="EM38" s="440"/>
      <c r="EN38" s="441"/>
      <c r="EO38" s="436"/>
      <c r="EP38" s="440"/>
      <c r="EQ38" s="441"/>
      <c r="ER38" s="436"/>
      <c r="ES38" s="440"/>
      <c r="ET38" s="441"/>
      <c r="EU38" s="436"/>
      <c r="EV38" s="440"/>
      <c r="EW38" s="441"/>
      <c r="EX38" s="436"/>
      <c r="EY38" s="440"/>
      <c r="EZ38" s="441"/>
      <c r="FA38" s="436"/>
      <c r="FB38" s="440"/>
      <c r="FC38" s="441"/>
      <c r="FD38" s="442">
        <f>'raw data'!IV38</f>
        <v>126</v>
      </c>
      <c r="FE38" s="443">
        <f>'raw data'!IW38</f>
        <v>311</v>
      </c>
      <c r="FF38" s="444">
        <f>IF(ISERROR('raw data'!IV38/'raw data'!IW38),0,'raw data'!IV38/'raw data'!IW38)</f>
        <v>0.40514469453376206</v>
      </c>
      <c r="FG38" s="442">
        <f>'raw data'!IX38</f>
        <v>63</v>
      </c>
      <c r="FH38" s="443">
        <f>'raw data'!IY38</f>
        <v>299</v>
      </c>
      <c r="FI38" s="444">
        <f>IF(ISERROR('raw data'!IX38/'raw data'!IY38),0,'raw data'!IX38/'raw data'!IY38)</f>
        <v>0.21070234113712374</v>
      </c>
      <c r="FJ38" s="442">
        <f>'raw data'!IZ38</f>
        <v>66</v>
      </c>
      <c r="FK38" s="443">
        <f>'raw data'!JA38</f>
        <v>293</v>
      </c>
      <c r="FL38" s="444">
        <f>IF(ISERROR('raw data'!IZ38/'raw data'!JA38),0,'raw data'!IZ38/'raw data'!JA38)</f>
        <v>0.22525597269624573</v>
      </c>
      <c r="FM38" s="442">
        <f>'raw data'!JB38</f>
        <v>67</v>
      </c>
      <c r="FN38" s="443">
        <f>'raw data'!JC38</f>
        <v>271</v>
      </c>
      <c r="FO38" s="444">
        <f>IF(ISERROR('raw data'!JB38/'raw data'!JC38),0,'raw data'!JB38/'raw data'!JC38)</f>
        <v>0.24723247232472326</v>
      </c>
      <c r="FP38" s="442">
        <f>'raw data'!JD38</f>
        <v>16</v>
      </c>
      <c r="FQ38" s="443">
        <f>'raw data'!JE38</f>
        <v>260</v>
      </c>
      <c r="FR38" s="444">
        <f>IF(ISERROR('raw data'!JD38/'raw data'!JE38),0,'raw data'!JD38/'raw data'!JE38)</f>
        <v>6.1538461538461542E-2</v>
      </c>
      <c r="FS38" s="427"/>
      <c r="FT38" s="445">
        <v>338</v>
      </c>
      <c r="FU38" s="446">
        <v>1434</v>
      </c>
      <c r="FV38" s="447">
        <f t="shared" si="1"/>
        <v>0.23570432357043236</v>
      </c>
      <c r="FW38" s="229"/>
    </row>
    <row r="39" spans="1:179" ht="28" x14ac:dyDescent="0.15">
      <c r="A39" s="431" t="s">
        <v>69</v>
      </c>
      <c r="B39" s="432" t="s">
        <v>68</v>
      </c>
      <c r="C39" s="432"/>
      <c r="D39" s="433"/>
      <c r="E39" s="434"/>
      <c r="F39" s="435"/>
      <c r="G39" s="436"/>
      <c r="H39" s="437"/>
      <c r="I39" s="435"/>
      <c r="J39" s="438"/>
      <c r="K39" s="437"/>
      <c r="L39" s="435"/>
      <c r="M39" s="438"/>
      <c r="N39" s="437"/>
      <c r="O39" s="435"/>
      <c r="P39" s="438"/>
      <c r="Q39" s="437"/>
      <c r="R39" s="435"/>
      <c r="S39" s="438"/>
      <c r="T39" s="437"/>
      <c r="U39" s="435"/>
      <c r="V39" s="438"/>
      <c r="W39" s="437"/>
      <c r="X39" s="435"/>
      <c r="Y39" s="438"/>
      <c r="Z39" s="437"/>
      <c r="AA39" s="435"/>
      <c r="AB39" s="438"/>
      <c r="AC39" s="437"/>
      <c r="AD39" s="435"/>
      <c r="AE39" s="438"/>
      <c r="AF39" s="437"/>
      <c r="AG39" s="435"/>
      <c r="AH39" s="438"/>
      <c r="AI39" s="437"/>
      <c r="AJ39" s="435"/>
      <c r="AK39" s="438"/>
      <c r="AL39" s="437"/>
      <c r="AM39" s="435"/>
      <c r="AN39" s="438"/>
      <c r="AO39" s="437"/>
      <c r="AP39" s="435"/>
      <c r="AQ39" s="438"/>
      <c r="AR39" s="437"/>
      <c r="AS39" s="439"/>
      <c r="AT39" s="438"/>
      <c r="AU39" s="440"/>
      <c r="AV39" s="441"/>
      <c r="AW39" s="438"/>
      <c r="AX39" s="440"/>
      <c r="AY39" s="441"/>
      <c r="AZ39" s="438"/>
      <c r="BA39" s="440"/>
      <c r="BB39" s="441"/>
      <c r="BC39" s="438"/>
      <c r="BD39" s="440"/>
      <c r="BE39" s="441"/>
      <c r="BF39" s="438"/>
      <c r="BG39" s="440"/>
      <c r="BH39" s="441"/>
      <c r="BI39" s="436"/>
      <c r="BJ39" s="440"/>
      <c r="BK39" s="441"/>
      <c r="BL39" s="436"/>
      <c r="BM39" s="440"/>
      <c r="BN39" s="441"/>
      <c r="BO39" s="436"/>
      <c r="BP39" s="440"/>
      <c r="BQ39" s="441"/>
      <c r="BR39" s="436"/>
      <c r="BS39" s="440"/>
      <c r="BT39" s="441"/>
      <c r="BU39" s="436"/>
      <c r="BV39" s="440"/>
      <c r="BW39" s="441"/>
      <c r="BX39" s="436"/>
      <c r="BY39" s="440"/>
      <c r="BZ39" s="441"/>
      <c r="CA39" s="436"/>
      <c r="CB39" s="440"/>
      <c r="CC39" s="441"/>
      <c r="CD39" s="436"/>
      <c r="CE39" s="440"/>
      <c r="CF39" s="441"/>
      <c r="CG39" s="436"/>
      <c r="CH39" s="440"/>
      <c r="CI39" s="441"/>
      <c r="CJ39" s="436"/>
      <c r="CK39" s="440"/>
      <c r="CL39" s="441"/>
      <c r="CM39" s="436"/>
      <c r="CN39" s="440"/>
      <c r="CO39" s="441"/>
      <c r="CP39" s="436"/>
      <c r="CQ39" s="440"/>
      <c r="CR39" s="441"/>
      <c r="CS39" s="436"/>
      <c r="CT39" s="440"/>
      <c r="CU39" s="441"/>
      <c r="CV39" s="436"/>
      <c r="CW39" s="440"/>
      <c r="CX39" s="441"/>
      <c r="CY39" s="436"/>
      <c r="CZ39" s="440"/>
      <c r="DA39" s="441"/>
      <c r="DB39" s="436"/>
      <c r="DC39" s="440"/>
      <c r="DD39" s="441"/>
      <c r="DE39" s="436"/>
      <c r="DF39" s="440"/>
      <c r="DG39" s="441"/>
      <c r="DH39" s="436"/>
      <c r="DI39" s="440"/>
      <c r="DJ39" s="441"/>
      <c r="DK39" s="436"/>
      <c r="DL39" s="440"/>
      <c r="DM39" s="441"/>
      <c r="DN39" s="436"/>
      <c r="DO39" s="440"/>
      <c r="DP39" s="441"/>
      <c r="DQ39" s="436"/>
      <c r="DR39" s="440"/>
      <c r="DS39" s="441"/>
      <c r="DT39" s="436"/>
      <c r="DU39" s="440"/>
      <c r="DV39" s="441"/>
      <c r="DW39" s="436"/>
      <c r="DX39" s="440"/>
      <c r="DY39" s="441"/>
      <c r="DZ39" s="436"/>
      <c r="EA39" s="440"/>
      <c r="EB39" s="441"/>
      <c r="EC39" s="436"/>
      <c r="ED39" s="440"/>
      <c r="EE39" s="441"/>
      <c r="EF39" s="436"/>
      <c r="EG39" s="440"/>
      <c r="EH39" s="441"/>
      <c r="EI39" s="436"/>
      <c r="EJ39" s="440"/>
      <c r="EK39" s="441"/>
      <c r="EL39" s="436"/>
      <c r="EM39" s="440"/>
      <c r="EN39" s="441"/>
      <c r="EO39" s="436"/>
      <c r="EP39" s="440"/>
      <c r="EQ39" s="441"/>
      <c r="ER39" s="436"/>
      <c r="ES39" s="440"/>
      <c r="ET39" s="441"/>
      <c r="EU39" s="436"/>
      <c r="EV39" s="440"/>
      <c r="EW39" s="441"/>
      <c r="EX39" s="436"/>
      <c r="EY39" s="440"/>
      <c r="EZ39" s="441"/>
      <c r="FA39" s="436"/>
      <c r="FB39" s="440"/>
      <c r="FC39" s="441"/>
      <c r="FD39" s="436"/>
      <c r="FE39" s="440"/>
      <c r="FF39" s="441"/>
      <c r="FG39" s="436"/>
      <c r="FH39" s="440"/>
      <c r="FI39" s="441"/>
      <c r="FJ39" s="436"/>
      <c r="FK39" s="440"/>
      <c r="FL39" s="441"/>
      <c r="FM39" s="442">
        <f>'raw data'!JB39</f>
        <v>1</v>
      </c>
      <c r="FN39" s="443">
        <f>'raw data'!JC39</f>
        <v>14</v>
      </c>
      <c r="FO39" s="444">
        <f>IF(ISERROR('raw data'!JB39/'raw data'!JC39),0,'raw data'!JB39/'raw data'!JC39)</f>
        <v>7.1428571428571425E-2</v>
      </c>
      <c r="FP39" s="442">
        <f>'raw data'!JD39</f>
        <v>0</v>
      </c>
      <c r="FQ39" s="443">
        <f>'raw data'!JE39</f>
        <v>13</v>
      </c>
      <c r="FR39" s="444">
        <f>IF(ISERROR('raw data'!JD39/'raw data'!JE39),0,'raw data'!JD39/'raw data'!JE39)</f>
        <v>0</v>
      </c>
      <c r="FS39" s="427"/>
      <c r="FT39" s="445">
        <v>1</v>
      </c>
      <c r="FU39" s="446">
        <v>27</v>
      </c>
      <c r="FV39" s="447">
        <f t="shared" si="1"/>
        <v>3.7037037037037035E-2</v>
      </c>
      <c r="FW39" s="229"/>
    </row>
    <row r="40" spans="1:179" ht="28" x14ac:dyDescent="0.15">
      <c r="A40" s="431">
        <v>49</v>
      </c>
      <c r="B40" s="432" t="s">
        <v>70</v>
      </c>
      <c r="C40" s="432"/>
      <c r="D40" s="433"/>
      <c r="E40" s="434"/>
      <c r="F40" s="435"/>
      <c r="G40" s="436"/>
      <c r="H40" s="437"/>
      <c r="I40" s="435"/>
      <c r="J40" s="438"/>
      <c r="K40" s="437"/>
      <c r="L40" s="435"/>
      <c r="M40" s="438"/>
      <c r="N40" s="437"/>
      <c r="O40" s="435"/>
      <c r="P40" s="438"/>
      <c r="Q40" s="437"/>
      <c r="R40" s="435"/>
      <c r="S40" s="438"/>
      <c r="T40" s="437"/>
      <c r="U40" s="435"/>
      <c r="V40" s="438"/>
      <c r="W40" s="437"/>
      <c r="X40" s="435"/>
      <c r="Y40" s="438"/>
      <c r="Z40" s="437"/>
      <c r="AA40" s="435"/>
      <c r="AB40" s="438"/>
      <c r="AC40" s="437"/>
      <c r="AD40" s="435"/>
      <c r="AE40" s="438"/>
      <c r="AF40" s="437"/>
      <c r="AG40" s="435"/>
      <c r="AH40" s="438"/>
      <c r="AI40" s="437"/>
      <c r="AJ40" s="435"/>
      <c r="AK40" s="438"/>
      <c r="AL40" s="437"/>
      <c r="AM40" s="435"/>
      <c r="AN40" s="438"/>
      <c r="AO40" s="437"/>
      <c r="AP40" s="435"/>
      <c r="AQ40" s="438"/>
      <c r="AR40" s="437"/>
      <c r="AS40" s="439"/>
      <c r="AT40" s="438"/>
      <c r="AU40" s="440"/>
      <c r="AV40" s="441"/>
      <c r="AW40" s="438"/>
      <c r="AX40" s="440"/>
      <c r="AY40" s="441"/>
      <c r="AZ40" s="438"/>
      <c r="BA40" s="440"/>
      <c r="BB40" s="441"/>
      <c r="BC40" s="438"/>
      <c r="BD40" s="440"/>
      <c r="BE40" s="441"/>
      <c r="BF40" s="438"/>
      <c r="BG40" s="440"/>
      <c r="BH40" s="441"/>
      <c r="BI40" s="436"/>
      <c r="BJ40" s="440"/>
      <c r="BK40" s="441"/>
      <c r="BL40" s="436"/>
      <c r="BM40" s="440"/>
      <c r="BN40" s="441"/>
      <c r="BO40" s="436"/>
      <c r="BP40" s="440"/>
      <c r="BQ40" s="441"/>
      <c r="BR40" s="436"/>
      <c r="BS40" s="440"/>
      <c r="BT40" s="441"/>
      <c r="BU40" s="436"/>
      <c r="BV40" s="440"/>
      <c r="BW40" s="441"/>
      <c r="BX40" s="436"/>
      <c r="BY40" s="440"/>
      <c r="BZ40" s="441"/>
      <c r="CA40" s="436"/>
      <c r="CB40" s="440"/>
      <c r="CC40" s="441"/>
      <c r="CD40" s="436"/>
      <c r="CE40" s="440"/>
      <c r="CF40" s="441"/>
      <c r="CG40" s="436"/>
      <c r="CH40" s="440"/>
      <c r="CI40" s="441"/>
      <c r="CJ40" s="436"/>
      <c r="CK40" s="440"/>
      <c r="CL40" s="441"/>
      <c r="CM40" s="436"/>
      <c r="CN40" s="440"/>
      <c r="CO40" s="441"/>
      <c r="CP40" s="436"/>
      <c r="CQ40" s="440"/>
      <c r="CR40" s="441"/>
      <c r="CS40" s="436"/>
      <c r="CT40" s="440"/>
      <c r="CU40" s="441"/>
      <c r="CV40" s="436"/>
      <c r="CW40" s="440"/>
      <c r="CX40" s="441"/>
      <c r="CY40" s="436"/>
      <c r="CZ40" s="440"/>
      <c r="DA40" s="441"/>
      <c r="DB40" s="436"/>
      <c r="DC40" s="440"/>
      <c r="DD40" s="441"/>
      <c r="DE40" s="436"/>
      <c r="DF40" s="440"/>
      <c r="DG40" s="441"/>
      <c r="DH40" s="436"/>
      <c r="DI40" s="440"/>
      <c r="DJ40" s="441"/>
      <c r="DK40" s="436"/>
      <c r="DL40" s="440"/>
      <c r="DM40" s="441"/>
      <c r="DN40" s="436"/>
      <c r="DO40" s="440"/>
      <c r="DP40" s="441"/>
      <c r="DQ40" s="436"/>
      <c r="DR40" s="440"/>
      <c r="DS40" s="441"/>
      <c r="DT40" s="436"/>
      <c r="DU40" s="440"/>
      <c r="DV40" s="441"/>
      <c r="DW40" s="436"/>
      <c r="DX40" s="440"/>
      <c r="DY40" s="441"/>
      <c r="DZ40" s="436"/>
      <c r="EA40" s="440"/>
      <c r="EB40" s="441"/>
      <c r="EC40" s="436"/>
      <c r="ED40" s="440"/>
      <c r="EE40" s="441"/>
      <c r="EF40" s="436"/>
      <c r="EG40" s="440"/>
      <c r="EH40" s="441"/>
      <c r="EI40" s="436"/>
      <c r="EJ40" s="440"/>
      <c r="EK40" s="441"/>
      <c r="EL40" s="436"/>
      <c r="EM40" s="440"/>
      <c r="EN40" s="441"/>
      <c r="EO40" s="436"/>
      <c r="EP40" s="440"/>
      <c r="EQ40" s="441"/>
      <c r="ER40" s="436"/>
      <c r="ES40" s="440"/>
      <c r="ET40" s="441"/>
      <c r="EU40" s="436"/>
      <c r="EV40" s="440"/>
      <c r="EW40" s="441"/>
      <c r="EX40" s="436"/>
      <c r="EY40" s="440"/>
      <c r="EZ40" s="441"/>
      <c r="FA40" s="436"/>
      <c r="FB40" s="440"/>
      <c r="FC40" s="441"/>
      <c r="FD40" s="442">
        <f>'raw data'!IV40</f>
        <v>188</v>
      </c>
      <c r="FE40" s="443">
        <f>'raw data'!IW40</f>
        <v>331</v>
      </c>
      <c r="FF40" s="444">
        <f>IF(ISERROR('raw data'!IV40/'raw data'!IW40),0,'raw data'!IV40/'raw data'!IW40)</f>
        <v>0.56797583081571001</v>
      </c>
      <c r="FG40" s="442">
        <f>'raw data'!IX40</f>
        <v>123</v>
      </c>
      <c r="FH40" s="443">
        <f>'raw data'!IY40</f>
        <v>368</v>
      </c>
      <c r="FI40" s="444">
        <f>IF(ISERROR('raw data'!IX40/'raw data'!IY40),0,'raw data'!IX40/'raw data'!IY40)</f>
        <v>0.33423913043478259</v>
      </c>
      <c r="FJ40" s="442">
        <f>'raw data'!IZ40</f>
        <v>107</v>
      </c>
      <c r="FK40" s="443">
        <f>'raw data'!JA40</f>
        <v>332</v>
      </c>
      <c r="FL40" s="444">
        <f>IF(ISERROR('raw data'!IZ40/'raw data'!JA40),0,'raw data'!IZ40/'raw data'!JA40)</f>
        <v>0.32228915662650603</v>
      </c>
      <c r="FM40" s="442">
        <f>'raw data'!JB40</f>
        <v>108</v>
      </c>
      <c r="FN40" s="443">
        <f>'raw data'!JC40</f>
        <v>305</v>
      </c>
      <c r="FO40" s="444">
        <f>IF(ISERROR('raw data'!JB40/'raw data'!JC40),0,'raw data'!JB40/'raw data'!JC40)</f>
        <v>0.35409836065573769</v>
      </c>
      <c r="FP40" s="442">
        <f>'raw data'!JD40</f>
        <v>47</v>
      </c>
      <c r="FQ40" s="443">
        <f>'raw data'!JE40</f>
        <v>300</v>
      </c>
      <c r="FR40" s="444">
        <f>IF(ISERROR('raw data'!JD40/'raw data'!JE40),0,'raw data'!JD40/'raw data'!JE40)</f>
        <v>0.15666666666666668</v>
      </c>
      <c r="FS40" s="427"/>
      <c r="FT40" s="445">
        <v>573</v>
      </c>
      <c r="FU40" s="446">
        <v>1636</v>
      </c>
      <c r="FV40" s="447">
        <f t="shared" si="1"/>
        <v>0.35024449877750613</v>
      </c>
      <c r="FW40" s="229"/>
    </row>
    <row r="41" spans="1:179" ht="28" x14ac:dyDescent="0.15">
      <c r="A41" s="431" t="s">
        <v>71</v>
      </c>
      <c r="B41" s="432" t="s">
        <v>70</v>
      </c>
      <c r="C41" s="432"/>
      <c r="D41" s="433"/>
      <c r="E41" s="434"/>
      <c r="F41" s="435"/>
      <c r="G41" s="436"/>
      <c r="H41" s="437"/>
      <c r="I41" s="435"/>
      <c r="J41" s="438"/>
      <c r="K41" s="437"/>
      <c r="L41" s="435"/>
      <c r="M41" s="438"/>
      <c r="N41" s="437"/>
      <c r="O41" s="435"/>
      <c r="P41" s="438"/>
      <c r="Q41" s="437"/>
      <c r="R41" s="435"/>
      <c r="S41" s="438"/>
      <c r="T41" s="437"/>
      <c r="U41" s="435"/>
      <c r="V41" s="438"/>
      <c r="W41" s="437"/>
      <c r="X41" s="435"/>
      <c r="Y41" s="438"/>
      <c r="Z41" s="437"/>
      <c r="AA41" s="435"/>
      <c r="AB41" s="438"/>
      <c r="AC41" s="437"/>
      <c r="AD41" s="435"/>
      <c r="AE41" s="438"/>
      <c r="AF41" s="437"/>
      <c r="AG41" s="435"/>
      <c r="AH41" s="438"/>
      <c r="AI41" s="437"/>
      <c r="AJ41" s="435"/>
      <c r="AK41" s="438"/>
      <c r="AL41" s="437"/>
      <c r="AM41" s="435"/>
      <c r="AN41" s="438"/>
      <c r="AO41" s="437"/>
      <c r="AP41" s="435"/>
      <c r="AQ41" s="438"/>
      <c r="AR41" s="437"/>
      <c r="AS41" s="439"/>
      <c r="AT41" s="438"/>
      <c r="AU41" s="440"/>
      <c r="AV41" s="441"/>
      <c r="AW41" s="438"/>
      <c r="AX41" s="440"/>
      <c r="AY41" s="441"/>
      <c r="AZ41" s="438"/>
      <c r="BA41" s="440"/>
      <c r="BB41" s="441"/>
      <c r="BC41" s="438"/>
      <c r="BD41" s="440"/>
      <c r="BE41" s="441"/>
      <c r="BF41" s="438"/>
      <c r="BG41" s="440"/>
      <c r="BH41" s="441"/>
      <c r="BI41" s="436"/>
      <c r="BJ41" s="440"/>
      <c r="BK41" s="441"/>
      <c r="BL41" s="436"/>
      <c r="BM41" s="440"/>
      <c r="BN41" s="441"/>
      <c r="BO41" s="436"/>
      <c r="BP41" s="440"/>
      <c r="BQ41" s="441"/>
      <c r="BR41" s="436"/>
      <c r="BS41" s="440"/>
      <c r="BT41" s="441"/>
      <c r="BU41" s="436"/>
      <c r="BV41" s="440"/>
      <c r="BW41" s="441"/>
      <c r="BX41" s="436"/>
      <c r="BY41" s="440"/>
      <c r="BZ41" s="441"/>
      <c r="CA41" s="436"/>
      <c r="CB41" s="440"/>
      <c r="CC41" s="441"/>
      <c r="CD41" s="436"/>
      <c r="CE41" s="440"/>
      <c r="CF41" s="441"/>
      <c r="CG41" s="436"/>
      <c r="CH41" s="440"/>
      <c r="CI41" s="441"/>
      <c r="CJ41" s="436"/>
      <c r="CK41" s="440"/>
      <c r="CL41" s="441"/>
      <c r="CM41" s="436"/>
      <c r="CN41" s="440"/>
      <c r="CO41" s="441"/>
      <c r="CP41" s="436"/>
      <c r="CQ41" s="440"/>
      <c r="CR41" s="441"/>
      <c r="CS41" s="436"/>
      <c r="CT41" s="440"/>
      <c r="CU41" s="441"/>
      <c r="CV41" s="436"/>
      <c r="CW41" s="440"/>
      <c r="CX41" s="441"/>
      <c r="CY41" s="436"/>
      <c r="CZ41" s="440"/>
      <c r="DA41" s="441"/>
      <c r="DB41" s="436"/>
      <c r="DC41" s="440"/>
      <c r="DD41" s="441"/>
      <c r="DE41" s="436"/>
      <c r="DF41" s="440"/>
      <c r="DG41" s="441"/>
      <c r="DH41" s="436"/>
      <c r="DI41" s="440"/>
      <c r="DJ41" s="441"/>
      <c r="DK41" s="436"/>
      <c r="DL41" s="440"/>
      <c r="DM41" s="441"/>
      <c r="DN41" s="436"/>
      <c r="DO41" s="440"/>
      <c r="DP41" s="441"/>
      <c r="DQ41" s="436"/>
      <c r="DR41" s="440"/>
      <c r="DS41" s="441"/>
      <c r="DT41" s="436"/>
      <c r="DU41" s="440"/>
      <c r="DV41" s="441"/>
      <c r="DW41" s="436"/>
      <c r="DX41" s="440"/>
      <c r="DY41" s="441"/>
      <c r="DZ41" s="436"/>
      <c r="EA41" s="440"/>
      <c r="EB41" s="441"/>
      <c r="EC41" s="436"/>
      <c r="ED41" s="440"/>
      <c r="EE41" s="441"/>
      <c r="EF41" s="436"/>
      <c r="EG41" s="440"/>
      <c r="EH41" s="441"/>
      <c r="EI41" s="436"/>
      <c r="EJ41" s="440"/>
      <c r="EK41" s="441"/>
      <c r="EL41" s="436"/>
      <c r="EM41" s="440"/>
      <c r="EN41" s="441"/>
      <c r="EO41" s="436"/>
      <c r="EP41" s="440"/>
      <c r="EQ41" s="441"/>
      <c r="ER41" s="436"/>
      <c r="ES41" s="440"/>
      <c r="ET41" s="441"/>
      <c r="EU41" s="436"/>
      <c r="EV41" s="440"/>
      <c r="EW41" s="441"/>
      <c r="EX41" s="436"/>
      <c r="EY41" s="440"/>
      <c r="EZ41" s="441"/>
      <c r="FA41" s="436"/>
      <c r="FB41" s="440"/>
      <c r="FC41" s="441"/>
      <c r="FD41" s="436"/>
      <c r="FE41" s="440"/>
      <c r="FF41" s="441"/>
      <c r="FG41" s="436"/>
      <c r="FH41" s="440"/>
      <c r="FI41" s="441"/>
      <c r="FJ41" s="436"/>
      <c r="FK41" s="440"/>
      <c r="FL41" s="441"/>
      <c r="FM41" s="442">
        <f>'raw data'!JB41</f>
        <v>6</v>
      </c>
      <c r="FN41" s="443">
        <f>'raw data'!JC41</f>
        <v>16</v>
      </c>
      <c r="FO41" s="444">
        <f>IF(ISERROR('raw data'!JB41/'raw data'!JC41),0,'raw data'!JB41/'raw data'!JC41)</f>
        <v>0.375</v>
      </c>
      <c r="FP41" s="442">
        <f>'raw data'!JD41</f>
        <v>1</v>
      </c>
      <c r="FQ41" s="443">
        <f>'raw data'!JE41</f>
        <v>15</v>
      </c>
      <c r="FR41" s="444">
        <f>IF(ISERROR('raw data'!JD41/'raw data'!JE41),0,'raw data'!JD41/'raw data'!JE41)</f>
        <v>6.6666666666666666E-2</v>
      </c>
      <c r="FS41" s="427"/>
      <c r="FT41" s="445">
        <v>7</v>
      </c>
      <c r="FU41" s="446">
        <v>31</v>
      </c>
      <c r="FV41" s="447">
        <f t="shared" si="1"/>
        <v>0.22580645161290322</v>
      </c>
      <c r="FW41" s="229"/>
    </row>
    <row r="42" spans="1:179" ht="28" x14ac:dyDescent="0.15">
      <c r="A42" s="431">
        <v>51</v>
      </c>
      <c r="B42" s="432" t="s">
        <v>72</v>
      </c>
      <c r="C42" s="432"/>
      <c r="D42" s="433"/>
      <c r="E42" s="434"/>
      <c r="F42" s="435"/>
      <c r="G42" s="436"/>
      <c r="H42" s="437"/>
      <c r="I42" s="435"/>
      <c r="J42" s="438"/>
      <c r="K42" s="437"/>
      <c r="L42" s="435"/>
      <c r="M42" s="438"/>
      <c r="N42" s="437"/>
      <c r="O42" s="435"/>
      <c r="P42" s="438"/>
      <c r="Q42" s="437"/>
      <c r="R42" s="435"/>
      <c r="S42" s="438"/>
      <c r="T42" s="437"/>
      <c r="U42" s="435"/>
      <c r="V42" s="438"/>
      <c r="W42" s="437"/>
      <c r="X42" s="435"/>
      <c r="Y42" s="438"/>
      <c r="Z42" s="437"/>
      <c r="AA42" s="435"/>
      <c r="AB42" s="438"/>
      <c r="AC42" s="437"/>
      <c r="AD42" s="435"/>
      <c r="AE42" s="438"/>
      <c r="AF42" s="437"/>
      <c r="AG42" s="435"/>
      <c r="AH42" s="438"/>
      <c r="AI42" s="437"/>
      <c r="AJ42" s="435"/>
      <c r="AK42" s="438"/>
      <c r="AL42" s="437"/>
      <c r="AM42" s="435"/>
      <c r="AN42" s="438"/>
      <c r="AO42" s="437"/>
      <c r="AP42" s="435"/>
      <c r="AQ42" s="438"/>
      <c r="AR42" s="437"/>
      <c r="AS42" s="439"/>
      <c r="AT42" s="438"/>
      <c r="AU42" s="440"/>
      <c r="AV42" s="441"/>
      <c r="AW42" s="438"/>
      <c r="AX42" s="440"/>
      <c r="AY42" s="441"/>
      <c r="AZ42" s="438"/>
      <c r="BA42" s="440"/>
      <c r="BB42" s="441"/>
      <c r="BC42" s="438"/>
      <c r="BD42" s="440"/>
      <c r="BE42" s="441"/>
      <c r="BF42" s="438"/>
      <c r="BG42" s="440"/>
      <c r="BH42" s="441"/>
      <c r="BI42" s="436"/>
      <c r="BJ42" s="440"/>
      <c r="BK42" s="441"/>
      <c r="BL42" s="436"/>
      <c r="BM42" s="440"/>
      <c r="BN42" s="441"/>
      <c r="BO42" s="436"/>
      <c r="BP42" s="440"/>
      <c r="BQ42" s="441"/>
      <c r="BR42" s="436"/>
      <c r="BS42" s="440"/>
      <c r="BT42" s="441"/>
      <c r="BU42" s="436"/>
      <c r="BV42" s="440"/>
      <c r="BW42" s="441"/>
      <c r="BX42" s="436"/>
      <c r="BY42" s="440"/>
      <c r="BZ42" s="441"/>
      <c r="CA42" s="436"/>
      <c r="CB42" s="440"/>
      <c r="CC42" s="441"/>
      <c r="CD42" s="436"/>
      <c r="CE42" s="440"/>
      <c r="CF42" s="441"/>
      <c r="CG42" s="436"/>
      <c r="CH42" s="440"/>
      <c r="CI42" s="441"/>
      <c r="CJ42" s="436"/>
      <c r="CK42" s="440"/>
      <c r="CL42" s="441"/>
      <c r="CM42" s="436"/>
      <c r="CN42" s="440"/>
      <c r="CO42" s="441"/>
      <c r="CP42" s="436"/>
      <c r="CQ42" s="440"/>
      <c r="CR42" s="441"/>
      <c r="CS42" s="436"/>
      <c r="CT42" s="440"/>
      <c r="CU42" s="441"/>
      <c r="CV42" s="436"/>
      <c r="CW42" s="440"/>
      <c r="CX42" s="441"/>
      <c r="CY42" s="436"/>
      <c r="CZ42" s="440"/>
      <c r="DA42" s="441"/>
      <c r="DB42" s="436"/>
      <c r="DC42" s="440"/>
      <c r="DD42" s="441"/>
      <c r="DE42" s="436"/>
      <c r="DF42" s="440"/>
      <c r="DG42" s="441"/>
      <c r="DH42" s="436"/>
      <c r="DI42" s="440"/>
      <c r="DJ42" s="441"/>
      <c r="DK42" s="436"/>
      <c r="DL42" s="440"/>
      <c r="DM42" s="441"/>
      <c r="DN42" s="436"/>
      <c r="DO42" s="440"/>
      <c r="DP42" s="441"/>
      <c r="DQ42" s="436"/>
      <c r="DR42" s="440"/>
      <c r="DS42" s="441"/>
      <c r="DT42" s="436"/>
      <c r="DU42" s="440"/>
      <c r="DV42" s="441"/>
      <c r="DW42" s="436"/>
      <c r="DX42" s="440"/>
      <c r="DY42" s="441"/>
      <c r="DZ42" s="436"/>
      <c r="EA42" s="440"/>
      <c r="EB42" s="441"/>
      <c r="EC42" s="436"/>
      <c r="ED42" s="440"/>
      <c r="EE42" s="441"/>
      <c r="EF42" s="436"/>
      <c r="EG42" s="440"/>
      <c r="EH42" s="441"/>
      <c r="EI42" s="436"/>
      <c r="EJ42" s="440"/>
      <c r="EK42" s="441"/>
      <c r="EL42" s="436"/>
      <c r="EM42" s="440"/>
      <c r="EN42" s="441"/>
      <c r="EO42" s="436"/>
      <c r="EP42" s="440"/>
      <c r="EQ42" s="441"/>
      <c r="ER42" s="436"/>
      <c r="ES42" s="440"/>
      <c r="ET42" s="441"/>
      <c r="EU42" s="436"/>
      <c r="EV42" s="440"/>
      <c r="EW42" s="441"/>
      <c r="EX42" s="436"/>
      <c r="EY42" s="440"/>
      <c r="EZ42" s="441"/>
      <c r="FA42" s="436"/>
      <c r="FB42" s="440"/>
      <c r="FC42" s="441"/>
      <c r="FD42" s="442">
        <f>'raw data'!IV42</f>
        <v>136</v>
      </c>
      <c r="FE42" s="443">
        <f>'raw data'!IW42</f>
        <v>259</v>
      </c>
      <c r="FF42" s="444">
        <f>IF(ISERROR('raw data'!IV42/'raw data'!IW42),0,'raw data'!IV42/'raw data'!IW42)</f>
        <v>0.52509652509652505</v>
      </c>
      <c r="FG42" s="442">
        <f>'raw data'!IX42</f>
        <v>98</v>
      </c>
      <c r="FH42" s="443">
        <f>'raw data'!IY42</f>
        <v>245</v>
      </c>
      <c r="FI42" s="444">
        <f>IF(ISERROR('raw data'!IX42/'raw data'!IY42),0,'raw data'!IX42/'raw data'!IY42)</f>
        <v>0.4</v>
      </c>
      <c r="FJ42" s="442">
        <f>'raw data'!IZ42</f>
        <v>127</v>
      </c>
      <c r="FK42" s="443">
        <f>'raw data'!JA42</f>
        <v>320</v>
      </c>
      <c r="FL42" s="444">
        <f>IF(ISERROR('raw data'!IZ42/'raw data'!JA42),0,'raw data'!IZ42/'raw data'!JA42)</f>
        <v>0.39687499999999998</v>
      </c>
      <c r="FM42" s="442">
        <f>'raw data'!JB42</f>
        <v>112</v>
      </c>
      <c r="FN42" s="443">
        <f>'raw data'!JC42</f>
        <v>295</v>
      </c>
      <c r="FO42" s="444">
        <f>IF(ISERROR('raw data'!JB42/'raw data'!JC42),0,'raw data'!JB42/'raw data'!JC42)</f>
        <v>0.37966101694915255</v>
      </c>
      <c r="FP42" s="442">
        <f>'raw data'!JD42</f>
        <v>58</v>
      </c>
      <c r="FQ42" s="443">
        <f>'raw data'!JE42</f>
        <v>280</v>
      </c>
      <c r="FR42" s="444">
        <f>IF(ISERROR('raw data'!JD42/'raw data'!JE42),0,'raw data'!JD42/'raw data'!JE42)</f>
        <v>0.20714285714285716</v>
      </c>
      <c r="FS42" s="427"/>
      <c r="FT42" s="445">
        <v>531</v>
      </c>
      <c r="FU42" s="446">
        <v>1399</v>
      </c>
      <c r="FV42" s="447">
        <f t="shared" si="1"/>
        <v>0.37955682630450321</v>
      </c>
      <c r="FW42" s="229"/>
    </row>
    <row r="43" spans="1:179" ht="28" x14ac:dyDescent="0.15">
      <c r="A43" s="431" t="s">
        <v>73</v>
      </c>
      <c r="B43" s="432" t="s">
        <v>72</v>
      </c>
      <c r="C43" s="448"/>
      <c r="D43" s="433"/>
      <c r="E43" s="434"/>
      <c r="F43" s="435"/>
      <c r="G43" s="436"/>
      <c r="H43" s="437"/>
      <c r="I43" s="435"/>
      <c r="J43" s="438"/>
      <c r="K43" s="437"/>
      <c r="L43" s="435"/>
      <c r="M43" s="438"/>
      <c r="N43" s="437"/>
      <c r="O43" s="435"/>
      <c r="P43" s="438"/>
      <c r="Q43" s="437"/>
      <c r="R43" s="435"/>
      <c r="S43" s="438"/>
      <c r="T43" s="437"/>
      <c r="U43" s="435"/>
      <c r="V43" s="438"/>
      <c r="W43" s="437"/>
      <c r="X43" s="435"/>
      <c r="Y43" s="438"/>
      <c r="Z43" s="437"/>
      <c r="AA43" s="435"/>
      <c r="AB43" s="438"/>
      <c r="AC43" s="437"/>
      <c r="AD43" s="435"/>
      <c r="AE43" s="438"/>
      <c r="AF43" s="437"/>
      <c r="AG43" s="435"/>
      <c r="AH43" s="438"/>
      <c r="AI43" s="437"/>
      <c r="AJ43" s="435"/>
      <c r="AK43" s="438"/>
      <c r="AL43" s="437"/>
      <c r="AM43" s="435"/>
      <c r="AN43" s="438"/>
      <c r="AO43" s="437"/>
      <c r="AP43" s="435"/>
      <c r="AQ43" s="438"/>
      <c r="AR43" s="437"/>
      <c r="AS43" s="439"/>
      <c r="AT43" s="438"/>
      <c r="AU43" s="440"/>
      <c r="AV43" s="441"/>
      <c r="AW43" s="438"/>
      <c r="AX43" s="440"/>
      <c r="AY43" s="441"/>
      <c r="AZ43" s="438"/>
      <c r="BA43" s="440"/>
      <c r="BB43" s="441"/>
      <c r="BC43" s="438"/>
      <c r="BD43" s="440"/>
      <c r="BE43" s="441"/>
      <c r="BF43" s="438"/>
      <c r="BG43" s="440"/>
      <c r="BH43" s="441"/>
      <c r="BI43" s="436"/>
      <c r="BJ43" s="440"/>
      <c r="BK43" s="441"/>
      <c r="BL43" s="436"/>
      <c r="BM43" s="440"/>
      <c r="BN43" s="441"/>
      <c r="BO43" s="436"/>
      <c r="BP43" s="440"/>
      <c r="BQ43" s="441"/>
      <c r="BR43" s="436"/>
      <c r="BS43" s="440"/>
      <c r="BT43" s="441"/>
      <c r="BU43" s="436"/>
      <c r="BV43" s="440"/>
      <c r="BW43" s="441"/>
      <c r="BX43" s="436"/>
      <c r="BY43" s="440"/>
      <c r="BZ43" s="441"/>
      <c r="CA43" s="436"/>
      <c r="CB43" s="440"/>
      <c r="CC43" s="441"/>
      <c r="CD43" s="436"/>
      <c r="CE43" s="440"/>
      <c r="CF43" s="441"/>
      <c r="CG43" s="436"/>
      <c r="CH43" s="440"/>
      <c r="CI43" s="441"/>
      <c r="CJ43" s="436"/>
      <c r="CK43" s="440"/>
      <c r="CL43" s="441"/>
      <c r="CM43" s="436"/>
      <c r="CN43" s="440"/>
      <c r="CO43" s="441"/>
      <c r="CP43" s="436"/>
      <c r="CQ43" s="440"/>
      <c r="CR43" s="441"/>
      <c r="CS43" s="436"/>
      <c r="CT43" s="440"/>
      <c r="CU43" s="441"/>
      <c r="CV43" s="436"/>
      <c r="CW43" s="440"/>
      <c r="CX43" s="441"/>
      <c r="CY43" s="436"/>
      <c r="CZ43" s="440"/>
      <c r="DA43" s="441"/>
      <c r="DB43" s="436"/>
      <c r="DC43" s="440"/>
      <c r="DD43" s="441"/>
      <c r="DE43" s="436"/>
      <c r="DF43" s="440"/>
      <c r="DG43" s="441"/>
      <c r="DH43" s="436"/>
      <c r="DI43" s="440"/>
      <c r="DJ43" s="441"/>
      <c r="DK43" s="436"/>
      <c r="DL43" s="440"/>
      <c r="DM43" s="441"/>
      <c r="DN43" s="436"/>
      <c r="DO43" s="440"/>
      <c r="DP43" s="441"/>
      <c r="DQ43" s="436"/>
      <c r="DR43" s="440"/>
      <c r="DS43" s="441"/>
      <c r="DT43" s="436"/>
      <c r="DU43" s="440"/>
      <c r="DV43" s="441"/>
      <c r="DW43" s="436"/>
      <c r="DX43" s="440"/>
      <c r="DY43" s="441"/>
      <c r="DZ43" s="436"/>
      <c r="EA43" s="440"/>
      <c r="EB43" s="441"/>
      <c r="EC43" s="436"/>
      <c r="ED43" s="440"/>
      <c r="EE43" s="441"/>
      <c r="EF43" s="436"/>
      <c r="EG43" s="440"/>
      <c r="EH43" s="441"/>
      <c r="EI43" s="436"/>
      <c r="EJ43" s="440"/>
      <c r="EK43" s="441"/>
      <c r="EL43" s="436"/>
      <c r="EM43" s="440"/>
      <c r="EN43" s="441"/>
      <c r="EO43" s="436"/>
      <c r="EP43" s="440"/>
      <c r="EQ43" s="441"/>
      <c r="ER43" s="436"/>
      <c r="ES43" s="440"/>
      <c r="ET43" s="441"/>
      <c r="EU43" s="436"/>
      <c r="EV43" s="440"/>
      <c r="EW43" s="441"/>
      <c r="EX43" s="436"/>
      <c r="EY43" s="440"/>
      <c r="EZ43" s="441"/>
      <c r="FA43" s="436"/>
      <c r="FB43" s="440"/>
      <c r="FC43" s="441"/>
      <c r="FD43" s="436"/>
      <c r="FE43" s="440"/>
      <c r="FF43" s="441"/>
      <c r="FG43" s="436"/>
      <c r="FH43" s="440"/>
      <c r="FI43" s="441"/>
      <c r="FJ43" s="436"/>
      <c r="FK43" s="440"/>
      <c r="FL43" s="441"/>
      <c r="FM43" s="442">
        <f>'raw data'!JB43</f>
        <v>2</v>
      </c>
      <c r="FN43" s="443">
        <f>'raw data'!JC43</f>
        <v>15</v>
      </c>
      <c r="FO43" s="444">
        <f>IF(ISERROR('raw data'!JB43/'raw data'!JC43),0,'raw data'!JB43/'raw data'!JC43)</f>
        <v>0.13333333333333333</v>
      </c>
      <c r="FP43" s="442">
        <f>'raw data'!JD43</f>
        <v>0</v>
      </c>
      <c r="FQ43" s="443">
        <f>'raw data'!JE43</f>
        <v>14</v>
      </c>
      <c r="FR43" s="444">
        <f>IF(ISERROR('raw data'!JD43/'raw data'!JE43),0,'raw data'!JD43/'raw data'!JE43)</f>
        <v>0</v>
      </c>
      <c r="FS43" s="427"/>
      <c r="FT43" s="445">
        <v>2</v>
      </c>
      <c r="FU43" s="446">
        <v>29</v>
      </c>
      <c r="FV43" s="447">
        <f t="shared" si="1"/>
        <v>6.8965517241379309E-2</v>
      </c>
      <c r="FW43" s="229"/>
    </row>
    <row r="44" spans="1:179" ht="14" x14ac:dyDescent="0.15">
      <c r="A44" s="415"/>
      <c r="B44" s="416" t="s">
        <v>74</v>
      </c>
      <c r="C44" s="417"/>
      <c r="D44" s="418"/>
      <c r="E44" s="419"/>
      <c r="F44" s="420"/>
      <c r="G44" s="421"/>
      <c r="H44" s="422"/>
      <c r="I44" s="420"/>
      <c r="J44" s="423"/>
      <c r="K44" s="422"/>
      <c r="L44" s="420"/>
      <c r="M44" s="423"/>
      <c r="N44" s="422"/>
      <c r="O44" s="420"/>
      <c r="P44" s="423"/>
      <c r="Q44" s="422"/>
      <c r="R44" s="420"/>
      <c r="S44" s="423"/>
      <c r="T44" s="422"/>
      <c r="U44" s="420"/>
      <c r="V44" s="423"/>
      <c r="W44" s="422"/>
      <c r="X44" s="420"/>
      <c r="Y44" s="423"/>
      <c r="Z44" s="422"/>
      <c r="AA44" s="420"/>
      <c r="AB44" s="423"/>
      <c r="AC44" s="422"/>
      <c r="AD44" s="420"/>
      <c r="AE44" s="423"/>
      <c r="AF44" s="422"/>
      <c r="AG44" s="420"/>
      <c r="AH44" s="423"/>
      <c r="AI44" s="422"/>
      <c r="AJ44" s="420"/>
      <c r="AK44" s="423"/>
      <c r="AL44" s="422"/>
      <c r="AM44" s="420"/>
      <c r="AN44" s="423"/>
      <c r="AO44" s="422"/>
      <c r="AP44" s="420"/>
      <c r="AQ44" s="423"/>
      <c r="AR44" s="422"/>
      <c r="AS44" s="424"/>
      <c r="AT44" s="423"/>
      <c r="AU44" s="425"/>
      <c r="AV44" s="426"/>
      <c r="AW44" s="423"/>
      <c r="AX44" s="425"/>
      <c r="AY44" s="426"/>
      <c r="AZ44" s="423"/>
      <c r="BA44" s="425"/>
      <c r="BB44" s="426"/>
      <c r="BC44" s="423"/>
      <c r="BD44" s="425"/>
      <c r="BE44" s="426"/>
      <c r="BF44" s="423"/>
      <c r="BG44" s="425"/>
      <c r="BH44" s="426"/>
      <c r="BI44" s="421"/>
      <c r="BJ44" s="425"/>
      <c r="BK44" s="426"/>
      <c r="BL44" s="421"/>
      <c r="BM44" s="425"/>
      <c r="BN44" s="426"/>
      <c r="BO44" s="421"/>
      <c r="BP44" s="425"/>
      <c r="BQ44" s="426"/>
      <c r="BR44" s="421"/>
      <c r="BS44" s="425"/>
      <c r="BT44" s="426"/>
      <c r="BU44" s="421"/>
      <c r="BV44" s="425"/>
      <c r="BW44" s="426"/>
      <c r="BX44" s="421"/>
      <c r="BY44" s="425"/>
      <c r="BZ44" s="426"/>
      <c r="CA44" s="421"/>
      <c r="CB44" s="425"/>
      <c r="CC44" s="426"/>
      <c r="CD44" s="421"/>
      <c r="CE44" s="425"/>
      <c r="CF44" s="426"/>
      <c r="CG44" s="421"/>
      <c r="CH44" s="425"/>
      <c r="CI44" s="426"/>
      <c r="CJ44" s="421"/>
      <c r="CK44" s="425"/>
      <c r="CL44" s="426"/>
      <c r="CM44" s="421"/>
      <c r="CN44" s="425"/>
      <c r="CO44" s="426"/>
      <c r="CP44" s="421"/>
      <c r="CQ44" s="425"/>
      <c r="CR44" s="426"/>
      <c r="CS44" s="421"/>
      <c r="CT44" s="425"/>
      <c r="CU44" s="426"/>
      <c r="CV44" s="421"/>
      <c r="CW44" s="425"/>
      <c r="CX44" s="426"/>
      <c r="CY44" s="421"/>
      <c r="CZ44" s="425"/>
      <c r="DA44" s="426"/>
      <c r="DB44" s="421"/>
      <c r="DC44" s="425"/>
      <c r="DD44" s="426"/>
      <c r="DE44" s="421"/>
      <c r="DF44" s="425"/>
      <c r="DG44" s="426"/>
      <c r="DH44" s="421"/>
      <c r="DI44" s="425"/>
      <c r="DJ44" s="426"/>
      <c r="DK44" s="421"/>
      <c r="DL44" s="425"/>
      <c r="DM44" s="426"/>
      <c r="DN44" s="421"/>
      <c r="DO44" s="425"/>
      <c r="DP44" s="426"/>
      <c r="DQ44" s="421"/>
      <c r="DR44" s="425"/>
      <c r="DS44" s="426"/>
      <c r="DT44" s="421"/>
      <c r="DU44" s="425"/>
      <c r="DV44" s="426"/>
      <c r="DW44" s="421"/>
      <c r="DX44" s="425"/>
      <c r="DY44" s="426"/>
      <c r="DZ44" s="421"/>
      <c r="EA44" s="425"/>
      <c r="EB44" s="426"/>
      <c r="EC44" s="421"/>
      <c r="ED44" s="425"/>
      <c r="EE44" s="426"/>
      <c r="EF44" s="421"/>
      <c r="EG44" s="425"/>
      <c r="EH44" s="426"/>
      <c r="EI44" s="421"/>
      <c r="EJ44" s="425"/>
      <c r="EK44" s="426"/>
      <c r="EL44" s="421"/>
      <c r="EM44" s="425"/>
      <c r="EN44" s="426"/>
      <c r="EO44" s="421"/>
      <c r="EP44" s="425"/>
      <c r="EQ44" s="426"/>
      <c r="ER44" s="421"/>
      <c r="ES44" s="425"/>
      <c r="ET44" s="426"/>
      <c r="EU44" s="421"/>
      <c r="EV44" s="425"/>
      <c r="EW44" s="426"/>
      <c r="EX44" s="421">
        <f>SUM(EX33:EX37)</f>
        <v>261</v>
      </c>
      <c r="EY44" s="425">
        <f>SUM(EY33:EY37)</f>
        <v>777</v>
      </c>
      <c r="EZ44" s="426">
        <f>IF(ISERROR('raw data'!IR44/'raw data'!IS44),0,'raw data'!IR44/'raw data'!IS44)</f>
        <v>0.3359073359073359</v>
      </c>
      <c r="FA44" s="421">
        <f>SUM(FA33:FA37)</f>
        <v>210</v>
      </c>
      <c r="FB44" s="425">
        <f>SUM(FB33:FB37)</f>
        <v>699</v>
      </c>
      <c r="FC44" s="426">
        <f>IF(ISERROR('raw data'!IT44/'raw data'!IU44),0,'raw data'!IT44/'raw data'!IU44)</f>
        <v>0.30042918454935624</v>
      </c>
      <c r="FD44" s="421">
        <f>SUM(FD33:FD42)</f>
        <v>649</v>
      </c>
      <c r="FE44" s="425">
        <f>SUM(FE33:FE42)</f>
        <v>1578</v>
      </c>
      <c r="FF44" s="426">
        <f>IF(ISERROR('raw data'!IV44/'raw data'!IW44),0,'raw data'!IV44/'raw data'!IW44)</f>
        <v>0.41128010139416982</v>
      </c>
      <c r="FG44" s="421">
        <f>SUM(FG32:FG42)</f>
        <v>551</v>
      </c>
      <c r="FH44" s="425">
        <f>SUM(FH32:FH42)</f>
        <v>1699</v>
      </c>
      <c r="FI44" s="426">
        <f>IF(ISERROR('raw data'!IX44/'raw data'!IY44),0,'raw data'!IX44/'raw data'!IY44)</f>
        <v>0.32430841671571514</v>
      </c>
      <c r="FJ44" s="421">
        <f>SUM(FJ32:FJ42)</f>
        <v>504</v>
      </c>
      <c r="FK44" s="425">
        <f>SUM(FK32:FK42)</f>
        <v>1633</v>
      </c>
      <c r="FL44" s="426">
        <f>IF(ISERROR('raw data'!IZ44/'raw data'!JA44),0,'raw data'!IZ44/'raw data'!JA44)</f>
        <v>0.30863441518677281</v>
      </c>
      <c r="FM44" s="421">
        <f>SUM(FM32:FM43)</f>
        <v>471</v>
      </c>
      <c r="FN44" s="425">
        <f>SUM(FN32:FN43)</f>
        <v>1643</v>
      </c>
      <c r="FO44" s="426">
        <f>IF(ISERROR('raw data'!JB44/'raw data'!JC44),0,'raw data'!JB44/'raw data'!JC44)</f>
        <v>0.2866707242848448</v>
      </c>
      <c r="FP44" s="421">
        <f>SUM(FP32:FP43)</f>
        <v>224</v>
      </c>
      <c r="FQ44" s="425">
        <f>SUM(FQ32:FQ43)</f>
        <v>1681</v>
      </c>
      <c r="FR44" s="426">
        <f>IF(ISERROR('raw data'!JD44/'raw data'!JE44),0,'raw data'!JD44/'raw data'!JE44)</f>
        <v>0.13325401546698393</v>
      </c>
      <c r="FS44" s="427"/>
      <c r="FT44" s="428">
        <f>SUM(FT32:FT43)</f>
        <v>2870</v>
      </c>
      <c r="FU44" s="429">
        <f>SUM(FU32:FU43)</f>
        <v>9710</v>
      </c>
      <c r="FV44" s="430">
        <f>IF(ISERROR(FT44/FU44),0,FT44/FU44)</f>
        <v>0.29557157569515963</v>
      </c>
      <c r="FW44" s="229"/>
    </row>
    <row r="45" spans="1:179" ht="25.5" customHeight="1" x14ac:dyDescent="0.15">
      <c r="A45" s="449">
        <v>3.1</v>
      </c>
      <c r="B45" s="449" t="str">
        <f>'raw data'!B45</f>
        <v xml:space="preserve">Accounts, 24+ months old, redeemed whilst in arrears for 12+ months with a £5k+ payment. </v>
      </c>
      <c r="C45" s="450" t="s">
        <v>76</v>
      </c>
      <c r="D45" s="451">
        <f>'raw data'!ET45</f>
        <v>0</v>
      </c>
      <c r="E45" s="452">
        <f>'raw data'!EU45</f>
        <v>0</v>
      </c>
      <c r="F45" s="453">
        <f>IF(ISERROR('raw data'!ET45/'raw data'!EU45),0,'raw data'!ET45/'raw data'!EU45)</f>
        <v>0</v>
      </c>
      <c r="G45" s="402" t="s">
        <v>243</v>
      </c>
      <c r="H45" s="403" t="s">
        <v>243</v>
      </c>
      <c r="I45" s="404" t="s">
        <v>243</v>
      </c>
      <c r="J45" s="402" t="s">
        <v>243</v>
      </c>
      <c r="K45" s="403" t="s">
        <v>243</v>
      </c>
      <c r="L45" s="404" t="s">
        <v>243</v>
      </c>
      <c r="M45" s="402" t="s">
        <v>243</v>
      </c>
      <c r="N45" s="403" t="s">
        <v>243</v>
      </c>
      <c r="O45" s="404" t="s">
        <v>243</v>
      </c>
      <c r="P45" s="402" t="s">
        <v>243</v>
      </c>
      <c r="Q45" s="403" t="s">
        <v>243</v>
      </c>
      <c r="R45" s="404" t="s">
        <v>243</v>
      </c>
      <c r="S45" s="402" t="s">
        <v>243</v>
      </c>
      <c r="T45" s="403" t="s">
        <v>243</v>
      </c>
      <c r="U45" s="404" t="s">
        <v>243</v>
      </c>
      <c r="V45" s="402" t="s">
        <v>243</v>
      </c>
      <c r="W45" s="403" t="s">
        <v>243</v>
      </c>
      <c r="X45" s="404" t="s">
        <v>243</v>
      </c>
      <c r="Y45" s="402" t="s">
        <v>243</v>
      </c>
      <c r="Z45" s="403" t="s">
        <v>243</v>
      </c>
      <c r="AA45" s="404" t="s">
        <v>243</v>
      </c>
      <c r="AB45" s="402" t="s">
        <v>243</v>
      </c>
      <c r="AC45" s="403" t="s">
        <v>243</v>
      </c>
      <c r="AD45" s="404" t="s">
        <v>243</v>
      </c>
      <c r="AE45" s="402" t="s">
        <v>243</v>
      </c>
      <c r="AF45" s="403" t="s">
        <v>243</v>
      </c>
      <c r="AG45" s="404" t="s">
        <v>243</v>
      </c>
      <c r="AH45" s="402" t="s">
        <v>243</v>
      </c>
      <c r="AI45" s="403" t="s">
        <v>243</v>
      </c>
      <c r="AJ45" s="404" t="s">
        <v>243</v>
      </c>
      <c r="AK45" s="402" t="s">
        <v>243</v>
      </c>
      <c r="AL45" s="403" t="s">
        <v>243</v>
      </c>
      <c r="AM45" s="404" t="s">
        <v>243</v>
      </c>
      <c r="AN45" s="402" t="s">
        <v>243</v>
      </c>
      <c r="AO45" s="403" t="s">
        <v>243</v>
      </c>
      <c r="AP45" s="404" t="s">
        <v>243</v>
      </c>
      <c r="AQ45" s="402" t="s">
        <v>243</v>
      </c>
      <c r="AR45" s="403" t="s">
        <v>243</v>
      </c>
      <c r="AS45" s="405" t="s">
        <v>243</v>
      </c>
      <c r="AT45" s="402" t="s">
        <v>243</v>
      </c>
      <c r="AU45" s="403" t="s">
        <v>243</v>
      </c>
      <c r="AV45" s="405" t="s">
        <v>243</v>
      </c>
      <c r="AW45" s="402" t="s">
        <v>243</v>
      </c>
      <c r="AX45" s="403" t="s">
        <v>243</v>
      </c>
      <c r="AY45" s="405" t="s">
        <v>243</v>
      </c>
      <c r="AZ45" s="402" t="s">
        <v>243</v>
      </c>
      <c r="BA45" s="403" t="s">
        <v>243</v>
      </c>
      <c r="BB45" s="405" t="s">
        <v>243</v>
      </c>
      <c r="BC45" s="402" t="s">
        <v>243</v>
      </c>
      <c r="BD45" s="403" t="s">
        <v>243</v>
      </c>
      <c r="BE45" s="405" t="s">
        <v>243</v>
      </c>
      <c r="BF45" s="402" t="s">
        <v>243</v>
      </c>
      <c r="BG45" s="403" t="s">
        <v>243</v>
      </c>
      <c r="BH45" s="405" t="s">
        <v>243</v>
      </c>
      <c r="BI45" s="402" t="s">
        <v>243</v>
      </c>
      <c r="BJ45" s="403" t="s">
        <v>243</v>
      </c>
      <c r="BK45" s="405" t="s">
        <v>243</v>
      </c>
      <c r="BL45" s="402" t="s">
        <v>243</v>
      </c>
      <c r="BM45" s="403" t="s">
        <v>243</v>
      </c>
      <c r="BN45" s="405" t="s">
        <v>243</v>
      </c>
      <c r="BO45" s="402" t="s">
        <v>243</v>
      </c>
      <c r="BP45" s="403" t="s">
        <v>243</v>
      </c>
      <c r="BQ45" s="405" t="s">
        <v>243</v>
      </c>
      <c r="BR45" s="402" t="s">
        <v>243</v>
      </c>
      <c r="BS45" s="403" t="s">
        <v>243</v>
      </c>
      <c r="BT45" s="405" t="s">
        <v>243</v>
      </c>
      <c r="BU45" s="402" t="s">
        <v>243</v>
      </c>
      <c r="BV45" s="403" t="s">
        <v>243</v>
      </c>
      <c r="BW45" s="405" t="s">
        <v>243</v>
      </c>
      <c r="BX45" s="402" t="s">
        <v>243</v>
      </c>
      <c r="BY45" s="403" t="s">
        <v>243</v>
      </c>
      <c r="BZ45" s="405" t="s">
        <v>243</v>
      </c>
      <c r="CA45" s="402" t="s">
        <v>243</v>
      </c>
      <c r="CB45" s="403" t="s">
        <v>243</v>
      </c>
      <c r="CC45" s="405" t="s">
        <v>243</v>
      </c>
      <c r="CD45" s="402" t="s">
        <v>243</v>
      </c>
      <c r="CE45" s="403" t="s">
        <v>243</v>
      </c>
      <c r="CF45" s="405" t="s">
        <v>243</v>
      </c>
      <c r="CG45" s="402" t="s">
        <v>243</v>
      </c>
      <c r="CH45" s="403" t="s">
        <v>243</v>
      </c>
      <c r="CI45" s="405" t="s">
        <v>243</v>
      </c>
      <c r="CJ45" s="402" t="s">
        <v>243</v>
      </c>
      <c r="CK45" s="403" t="s">
        <v>243</v>
      </c>
      <c r="CL45" s="405" t="s">
        <v>243</v>
      </c>
      <c r="CM45" s="402" t="s">
        <v>243</v>
      </c>
      <c r="CN45" s="403" t="s">
        <v>243</v>
      </c>
      <c r="CO45" s="405" t="s">
        <v>243</v>
      </c>
      <c r="CP45" s="402" t="s">
        <v>243</v>
      </c>
      <c r="CQ45" s="403" t="s">
        <v>243</v>
      </c>
      <c r="CR45" s="405" t="s">
        <v>243</v>
      </c>
      <c r="CS45" s="402" t="s">
        <v>243</v>
      </c>
      <c r="CT45" s="403" t="s">
        <v>243</v>
      </c>
      <c r="CU45" s="405" t="s">
        <v>243</v>
      </c>
      <c r="CV45" s="402" t="s">
        <v>243</v>
      </c>
      <c r="CW45" s="403" t="s">
        <v>243</v>
      </c>
      <c r="CX45" s="405" t="s">
        <v>243</v>
      </c>
      <c r="CY45" s="402" t="s">
        <v>243</v>
      </c>
      <c r="CZ45" s="403" t="s">
        <v>243</v>
      </c>
      <c r="DA45" s="405" t="s">
        <v>243</v>
      </c>
      <c r="DB45" s="402" t="s">
        <v>243</v>
      </c>
      <c r="DC45" s="403" t="s">
        <v>243</v>
      </c>
      <c r="DD45" s="405" t="s">
        <v>243</v>
      </c>
      <c r="DE45" s="402" t="s">
        <v>243</v>
      </c>
      <c r="DF45" s="403" t="s">
        <v>243</v>
      </c>
      <c r="DG45" s="405" t="s">
        <v>243</v>
      </c>
      <c r="DH45" s="402" t="s">
        <v>243</v>
      </c>
      <c r="DI45" s="403" t="s">
        <v>243</v>
      </c>
      <c r="DJ45" s="405" t="s">
        <v>243</v>
      </c>
      <c r="DK45" s="402" t="s">
        <v>243</v>
      </c>
      <c r="DL45" s="403" t="s">
        <v>243</v>
      </c>
      <c r="DM45" s="405" t="s">
        <v>243</v>
      </c>
      <c r="DN45" s="402" t="s">
        <v>243</v>
      </c>
      <c r="DO45" s="403" t="s">
        <v>243</v>
      </c>
      <c r="DP45" s="405" t="s">
        <v>243</v>
      </c>
      <c r="DQ45" s="402" t="s">
        <v>243</v>
      </c>
      <c r="DR45" s="403" t="s">
        <v>243</v>
      </c>
      <c r="DS45" s="405" t="s">
        <v>243</v>
      </c>
      <c r="DT45" s="402" t="s">
        <v>243</v>
      </c>
      <c r="DU45" s="403" t="s">
        <v>243</v>
      </c>
      <c r="DV45" s="405" t="s">
        <v>243</v>
      </c>
      <c r="DW45" s="402" t="s">
        <v>243</v>
      </c>
      <c r="DX45" s="403" t="s">
        <v>243</v>
      </c>
      <c r="DY45" s="405" t="s">
        <v>243</v>
      </c>
      <c r="DZ45" s="402" t="s">
        <v>243</v>
      </c>
      <c r="EA45" s="403" t="s">
        <v>243</v>
      </c>
      <c r="EB45" s="405" t="s">
        <v>243</v>
      </c>
      <c r="EC45" s="402" t="s">
        <v>243</v>
      </c>
      <c r="ED45" s="403" t="s">
        <v>243</v>
      </c>
      <c r="EE45" s="405" t="s">
        <v>243</v>
      </c>
      <c r="EF45" s="402" t="s">
        <v>243</v>
      </c>
      <c r="EG45" s="403" t="s">
        <v>243</v>
      </c>
      <c r="EH45" s="405" t="s">
        <v>243</v>
      </c>
      <c r="EI45" s="402" t="s">
        <v>243</v>
      </c>
      <c r="EJ45" s="403" t="s">
        <v>243</v>
      </c>
      <c r="EK45" s="405" t="s">
        <v>243</v>
      </c>
      <c r="EL45" s="402" t="s">
        <v>243</v>
      </c>
      <c r="EM45" s="403" t="s">
        <v>243</v>
      </c>
      <c r="EN45" s="405" t="s">
        <v>243</v>
      </c>
      <c r="EO45" s="402" t="s">
        <v>243</v>
      </c>
      <c r="EP45" s="403" t="s">
        <v>243</v>
      </c>
      <c r="EQ45" s="405" t="s">
        <v>243</v>
      </c>
      <c r="ER45" s="402" t="s">
        <v>243</v>
      </c>
      <c r="ES45" s="403" t="s">
        <v>243</v>
      </c>
      <c r="ET45" s="405" t="s">
        <v>243</v>
      </c>
      <c r="EU45" s="402" t="s">
        <v>243</v>
      </c>
      <c r="EV45" s="403" t="s">
        <v>243</v>
      </c>
      <c r="EW45" s="405" t="s">
        <v>243</v>
      </c>
      <c r="EX45" s="402" t="s">
        <v>243</v>
      </c>
      <c r="EY45" s="403" t="s">
        <v>243</v>
      </c>
      <c r="EZ45" s="405" t="s">
        <v>243</v>
      </c>
      <c r="FA45" s="402" t="s">
        <v>243</v>
      </c>
      <c r="FB45" s="403" t="s">
        <v>243</v>
      </c>
      <c r="FC45" s="405" t="s">
        <v>243</v>
      </c>
      <c r="FD45" s="402" t="s">
        <v>243</v>
      </c>
      <c r="FE45" s="403" t="s">
        <v>243</v>
      </c>
      <c r="FF45" s="405" t="s">
        <v>243</v>
      </c>
      <c r="FG45" s="402" t="s">
        <v>243</v>
      </c>
      <c r="FH45" s="403" t="s">
        <v>243</v>
      </c>
      <c r="FI45" s="405" t="s">
        <v>243</v>
      </c>
      <c r="FJ45" s="402" t="s">
        <v>243</v>
      </c>
      <c r="FK45" s="403" t="s">
        <v>243</v>
      </c>
      <c r="FL45" s="405" t="s">
        <v>243</v>
      </c>
      <c r="FM45" s="402" t="s">
        <v>243</v>
      </c>
      <c r="FN45" s="403" t="s">
        <v>243</v>
      </c>
      <c r="FO45" s="405" t="s">
        <v>243</v>
      </c>
      <c r="FP45" s="402" t="s">
        <v>243</v>
      </c>
      <c r="FQ45" s="403" t="s">
        <v>243</v>
      </c>
      <c r="FR45" s="405" t="s">
        <v>243</v>
      </c>
      <c r="FS45" s="454"/>
      <c r="FT45" s="455">
        <v>0</v>
      </c>
      <c r="FU45" s="456">
        <v>0</v>
      </c>
      <c r="FV45" s="457">
        <f t="shared" si="0"/>
        <v>0</v>
      </c>
    </row>
    <row r="46" spans="1:179" ht="42" x14ac:dyDescent="0.15">
      <c r="A46" s="449">
        <v>3.2</v>
      </c>
      <c r="B46" s="449" t="str">
        <f>'raw data'!B46</f>
        <v>Accounts (with at least six excepted payments) receiving overpayments totalling at least £10k, for 3+ months in the past 6 months.</v>
      </c>
      <c r="C46" s="450" t="s">
        <v>78</v>
      </c>
      <c r="D46" s="451">
        <f>'raw data'!ET46</f>
        <v>0</v>
      </c>
      <c r="E46" s="452">
        <f>'raw data'!EU46</f>
        <v>21</v>
      </c>
      <c r="F46" s="453">
        <f>IF(ISERROR('raw data'!ET46/'raw data'!EU46),0,'raw data'!ET46/'raw data'!EU46)</f>
        <v>0</v>
      </c>
      <c r="G46" s="451">
        <f>'raw data'!EV46</f>
        <v>1</v>
      </c>
      <c r="H46" s="452">
        <f>'raw data'!EW46</f>
        <v>6</v>
      </c>
      <c r="I46" s="453">
        <f>IF(ISERROR('raw data'!EV46/'raw data'!EW46),0,'raw data'!EV46/'raw data'!EW46)</f>
        <v>0.16666666666666666</v>
      </c>
      <c r="J46" s="451">
        <f>'raw data'!EX46</f>
        <v>0</v>
      </c>
      <c r="K46" s="452">
        <f>'raw data'!EY46</f>
        <v>15</v>
      </c>
      <c r="L46" s="453">
        <f>IF(ISERROR('raw data'!EX46/'raw data'!EY46),0,'raw data'!EX46/'raw data'!EY46)</f>
        <v>0</v>
      </c>
      <c r="M46" s="451">
        <f>'raw data'!EZ46</f>
        <v>1</v>
      </c>
      <c r="N46" s="452">
        <f>'raw data'!FA46</f>
        <v>15</v>
      </c>
      <c r="O46" s="453">
        <f>IF(ISERROR('raw data'!EZ46/'raw data'!FA46),0,'raw data'!EZ46/'raw data'!FA46)</f>
        <v>6.6666666666666666E-2</v>
      </c>
      <c r="P46" s="402" t="s">
        <v>243</v>
      </c>
      <c r="Q46" s="403" t="s">
        <v>243</v>
      </c>
      <c r="R46" s="404" t="s">
        <v>243</v>
      </c>
      <c r="S46" s="402" t="s">
        <v>243</v>
      </c>
      <c r="T46" s="403" t="s">
        <v>243</v>
      </c>
      <c r="U46" s="404" t="s">
        <v>243</v>
      </c>
      <c r="V46" s="402" t="s">
        <v>243</v>
      </c>
      <c r="W46" s="403" t="s">
        <v>243</v>
      </c>
      <c r="X46" s="404" t="s">
        <v>243</v>
      </c>
      <c r="Y46" s="402" t="s">
        <v>243</v>
      </c>
      <c r="Z46" s="403" t="s">
        <v>243</v>
      </c>
      <c r="AA46" s="404" t="s">
        <v>243</v>
      </c>
      <c r="AB46" s="402" t="s">
        <v>243</v>
      </c>
      <c r="AC46" s="403" t="s">
        <v>243</v>
      </c>
      <c r="AD46" s="404" t="s">
        <v>243</v>
      </c>
      <c r="AE46" s="402" t="s">
        <v>243</v>
      </c>
      <c r="AF46" s="403" t="s">
        <v>243</v>
      </c>
      <c r="AG46" s="404" t="s">
        <v>243</v>
      </c>
      <c r="AH46" s="402" t="s">
        <v>243</v>
      </c>
      <c r="AI46" s="403" t="s">
        <v>243</v>
      </c>
      <c r="AJ46" s="404" t="s">
        <v>243</v>
      </c>
      <c r="AK46" s="402" t="s">
        <v>243</v>
      </c>
      <c r="AL46" s="403" t="s">
        <v>243</v>
      </c>
      <c r="AM46" s="404" t="s">
        <v>243</v>
      </c>
      <c r="AN46" s="402" t="s">
        <v>243</v>
      </c>
      <c r="AO46" s="403" t="s">
        <v>243</v>
      </c>
      <c r="AP46" s="404" t="s">
        <v>243</v>
      </c>
      <c r="AQ46" s="402" t="s">
        <v>243</v>
      </c>
      <c r="AR46" s="403" t="s">
        <v>243</v>
      </c>
      <c r="AS46" s="405" t="s">
        <v>243</v>
      </c>
      <c r="AT46" s="402" t="s">
        <v>243</v>
      </c>
      <c r="AU46" s="403" t="s">
        <v>243</v>
      </c>
      <c r="AV46" s="405" t="s">
        <v>243</v>
      </c>
      <c r="AW46" s="402" t="s">
        <v>243</v>
      </c>
      <c r="AX46" s="403" t="s">
        <v>243</v>
      </c>
      <c r="AY46" s="405" t="s">
        <v>243</v>
      </c>
      <c r="AZ46" s="402" t="s">
        <v>243</v>
      </c>
      <c r="BA46" s="403" t="s">
        <v>243</v>
      </c>
      <c r="BB46" s="405" t="s">
        <v>243</v>
      </c>
      <c r="BC46" s="402" t="s">
        <v>243</v>
      </c>
      <c r="BD46" s="403" t="s">
        <v>243</v>
      </c>
      <c r="BE46" s="405" t="s">
        <v>243</v>
      </c>
      <c r="BF46" s="402" t="s">
        <v>243</v>
      </c>
      <c r="BG46" s="403" t="s">
        <v>243</v>
      </c>
      <c r="BH46" s="405" t="s">
        <v>243</v>
      </c>
      <c r="BI46" s="402" t="s">
        <v>243</v>
      </c>
      <c r="BJ46" s="403" t="s">
        <v>243</v>
      </c>
      <c r="BK46" s="405" t="s">
        <v>243</v>
      </c>
      <c r="BL46" s="402" t="s">
        <v>243</v>
      </c>
      <c r="BM46" s="403" t="s">
        <v>243</v>
      </c>
      <c r="BN46" s="405" t="s">
        <v>243</v>
      </c>
      <c r="BO46" s="402" t="s">
        <v>243</v>
      </c>
      <c r="BP46" s="403" t="s">
        <v>243</v>
      </c>
      <c r="BQ46" s="405" t="s">
        <v>243</v>
      </c>
      <c r="BR46" s="402" t="s">
        <v>243</v>
      </c>
      <c r="BS46" s="403" t="s">
        <v>243</v>
      </c>
      <c r="BT46" s="405" t="s">
        <v>243</v>
      </c>
      <c r="BU46" s="402" t="s">
        <v>243</v>
      </c>
      <c r="BV46" s="403" t="s">
        <v>243</v>
      </c>
      <c r="BW46" s="405" t="s">
        <v>243</v>
      </c>
      <c r="BX46" s="402" t="s">
        <v>243</v>
      </c>
      <c r="BY46" s="403" t="s">
        <v>243</v>
      </c>
      <c r="BZ46" s="405" t="s">
        <v>243</v>
      </c>
      <c r="CA46" s="402" t="s">
        <v>243</v>
      </c>
      <c r="CB46" s="403" t="s">
        <v>243</v>
      </c>
      <c r="CC46" s="405" t="s">
        <v>243</v>
      </c>
      <c r="CD46" s="402" t="s">
        <v>243</v>
      </c>
      <c r="CE46" s="403" t="s">
        <v>243</v>
      </c>
      <c r="CF46" s="405" t="s">
        <v>243</v>
      </c>
      <c r="CG46" s="402" t="s">
        <v>243</v>
      </c>
      <c r="CH46" s="403" t="s">
        <v>243</v>
      </c>
      <c r="CI46" s="405" t="s">
        <v>243</v>
      </c>
      <c r="CJ46" s="402" t="s">
        <v>243</v>
      </c>
      <c r="CK46" s="403" t="s">
        <v>243</v>
      </c>
      <c r="CL46" s="405" t="s">
        <v>243</v>
      </c>
      <c r="CM46" s="402" t="s">
        <v>243</v>
      </c>
      <c r="CN46" s="403" t="s">
        <v>243</v>
      </c>
      <c r="CO46" s="405" t="s">
        <v>243</v>
      </c>
      <c r="CP46" s="402" t="s">
        <v>243</v>
      </c>
      <c r="CQ46" s="403" t="s">
        <v>243</v>
      </c>
      <c r="CR46" s="405" t="s">
        <v>243</v>
      </c>
      <c r="CS46" s="402" t="s">
        <v>243</v>
      </c>
      <c r="CT46" s="403" t="s">
        <v>243</v>
      </c>
      <c r="CU46" s="405" t="s">
        <v>243</v>
      </c>
      <c r="CV46" s="402" t="s">
        <v>243</v>
      </c>
      <c r="CW46" s="403" t="s">
        <v>243</v>
      </c>
      <c r="CX46" s="405" t="s">
        <v>243</v>
      </c>
      <c r="CY46" s="402" t="s">
        <v>243</v>
      </c>
      <c r="CZ46" s="403" t="s">
        <v>243</v>
      </c>
      <c r="DA46" s="405" t="s">
        <v>243</v>
      </c>
      <c r="DB46" s="402" t="s">
        <v>243</v>
      </c>
      <c r="DC46" s="403" t="s">
        <v>243</v>
      </c>
      <c r="DD46" s="405" t="s">
        <v>243</v>
      </c>
      <c r="DE46" s="402" t="s">
        <v>243</v>
      </c>
      <c r="DF46" s="403" t="s">
        <v>243</v>
      </c>
      <c r="DG46" s="405" t="s">
        <v>243</v>
      </c>
      <c r="DH46" s="402" t="s">
        <v>243</v>
      </c>
      <c r="DI46" s="403" t="s">
        <v>243</v>
      </c>
      <c r="DJ46" s="405" t="s">
        <v>243</v>
      </c>
      <c r="DK46" s="402" t="s">
        <v>243</v>
      </c>
      <c r="DL46" s="403" t="s">
        <v>243</v>
      </c>
      <c r="DM46" s="405" t="s">
        <v>243</v>
      </c>
      <c r="DN46" s="402" t="s">
        <v>243</v>
      </c>
      <c r="DO46" s="403" t="s">
        <v>243</v>
      </c>
      <c r="DP46" s="405" t="s">
        <v>243</v>
      </c>
      <c r="DQ46" s="402" t="s">
        <v>243</v>
      </c>
      <c r="DR46" s="403" t="s">
        <v>243</v>
      </c>
      <c r="DS46" s="405" t="s">
        <v>243</v>
      </c>
      <c r="DT46" s="402" t="s">
        <v>243</v>
      </c>
      <c r="DU46" s="403" t="s">
        <v>243</v>
      </c>
      <c r="DV46" s="405" t="s">
        <v>243</v>
      </c>
      <c r="DW46" s="402" t="s">
        <v>243</v>
      </c>
      <c r="DX46" s="403" t="s">
        <v>243</v>
      </c>
      <c r="DY46" s="405" t="s">
        <v>243</v>
      </c>
      <c r="DZ46" s="402" t="s">
        <v>243</v>
      </c>
      <c r="EA46" s="403" t="s">
        <v>243</v>
      </c>
      <c r="EB46" s="405" t="s">
        <v>243</v>
      </c>
      <c r="EC46" s="402" t="s">
        <v>243</v>
      </c>
      <c r="ED46" s="403" t="s">
        <v>243</v>
      </c>
      <c r="EE46" s="405" t="s">
        <v>243</v>
      </c>
      <c r="EF46" s="402" t="s">
        <v>243</v>
      </c>
      <c r="EG46" s="403" t="s">
        <v>243</v>
      </c>
      <c r="EH46" s="405" t="s">
        <v>243</v>
      </c>
      <c r="EI46" s="402" t="s">
        <v>243</v>
      </c>
      <c r="EJ46" s="403" t="s">
        <v>243</v>
      </c>
      <c r="EK46" s="405" t="s">
        <v>243</v>
      </c>
      <c r="EL46" s="402" t="s">
        <v>243</v>
      </c>
      <c r="EM46" s="403" t="s">
        <v>243</v>
      </c>
      <c r="EN46" s="405" t="s">
        <v>243</v>
      </c>
      <c r="EO46" s="402" t="s">
        <v>243</v>
      </c>
      <c r="EP46" s="403" t="s">
        <v>243</v>
      </c>
      <c r="EQ46" s="405" t="s">
        <v>243</v>
      </c>
      <c r="ER46" s="402" t="s">
        <v>243</v>
      </c>
      <c r="ES46" s="403" t="s">
        <v>243</v>
      </c>
      <c r="ET46" s="405" t="s">
        <v>243</v>
      </c>
      <c r="EU46" s="402" t="s">
        <v>243</v>
      </c>
      <c r="EV46" s="403" t="s">
        <v>243</v>
      </c>
      <c r="EW46" s="405" t="s">
        <v>243</v>
      </c>
      <c r="EX46" s="402" t="s">
        <v>243</v>
      </c>
      <c r="EY46" s="403" t="s">
        <v>243</v>
      </c>
      <c r="EZ46" s="405" t="s">
        <v>243</v>
      </c>
      <c r="FA46" s="402" t="s">
        <v>243</v>
      </c>
      <c r="FB46" s="403" t="s">
        <v>243</v>
      </c>
      <c r="FC46" s="405" t="s">
        <v>243</v>
      </c>
      <c r="FD46" s="402" t="s">
        <v>243</v>
      </c>
      <c r="FE46" s="403" t="s">
        <v>243</v>
      </c>
      <c r="FF46" s="405" t="s">
        <v>243</v>
      </c>
      <c r="FG46" s="402" t="s">
        <v>243</v>
      </c>
      <c r="FH46" s="403" t="s">
        <v>243</v>
      </c>
      <c r="FI46" s="405" t="s">
        <v>243</v>
      </c>
      <c r="FJ46" s="402" t="s">
        <v>243</v>
      </c>
      <c r="FK46" s="403" t="s">
        <v>243</v>
      </c>
      <c r="FL46" s="405" t="s">
        <v>243</v>
      </c>
      <c r="FM46" s="402" t="s">
        <v>243</v>
      </c>
      <c r="FN46" s="403" t="s">
        <v>243</v>
      </c>
      <c r="FO46" s="405" t="s">
        <v>243</v>
      </c>
      <c r="FP46" s="402" t="s">
        <v>243</v>
      </c>
      <c r="FQ46" s="403" t="s">
        <v>243</v>
      </c>
      <c r="FR46" s="405" t="s">
        <v>243</v>
      </c>
      <c r="FS46" s="454"/>
      <c r="FT46" s="455">
        <v>0</v>
      </c>
      <c r="FU46" s="456">
        <v>0</v>
      </c>
      <c r="FV46" s="457">
        <f t="shared" si="0"/>
        <v>0</v>
      </c>
    </row>
    <row r="47" spans="1:179" ht="42" x14ac:dyDescent="0.15">
      <c r="A47" s="449">
        <v>3.3</v>
      </c>
      <c r="B47" s="449" t="str">
        <f>'raw data'!B47</f>
        <v xml:space="preserve">Mortgages (customer &lt; 55 years old) with variable overpayments over the past 3 months: 1st month overpay &gt;=£2k, next month no overpay, 3rd month overpay &gt;=£1k. </v>
      </c>
      <c r="C47" s="450" t="s">
        <v>248</v>
      </c>
      <c r="D47" s="451">
        <f>'raw data'!ET47</f>
        <v>3</v>
      </c>
      <c r="E47" s="452">
        <f>'raw data'!EU47</f>
        <v>41</v>
      </c>
      <c r="F47" s="453">
        <f>IF(ISERROR('raw data'!ET47/'raw data'!EU47),0,'raw data'!ET47/'raw data'!EU47)</f>
        <v>7.3170731707317069E-2</v>
      </c>
      <c r="G47" s="451">
        <f>'raw data'!EV47</f>
        <v>2</v>
      </c>
      <c r="H47" s="452">
        <f>'raw data'!EW47</f>
        <v>25</v>
      </c>
      <c r="I47" s="453">
        <f>IF(ISERROR('raw data'!EV47/'raw data'!EW47),0,'raw data'!EV47/'raw data'!EW47)</f>
        <v>0.08</v>
      </c>
      <c r="J47" s="451">
        <f>'raw data'!EX47</f>
        <v>1</v>
      </c>
      <c r="K47" s="452">
        <f>'raw data'!EY47</f>
        <v>47</v>
      </c>
      <c r="L47" s="453">
        <f>IF(ISERROR('raw data'!EX47/'raw data'!EY47),0,'raw data'!EX47/'raw data'!EY47)</f>
        <v>2.1276595744680851E-2</v>
      </c>
      <c r="M47" s="451">
        <f>'raw data'!EZ47</f>
        <v>0</v>
      </c>
      <c r="N47" s="452">
        <f>'raw data'!FA47</f>
        <v>39</v>
      </c>
      <c r="O47" s="453">
        <f>IF(ISERROR('raw data'!EZ47/'raw data'!FA47),0,'raw data'!EZ47/'raw data'!FA47)</f>
        <v>0</v>
      </c>
      <c r="P47" s="402" t="s">
        <v>243</v>
      </c>
      <c r="Q47" s="403" t="s">
        <v>243</v>
      </c>
      <c r="R47" s="404" t="s">
        <v>243</v>
      </c>
      <c r="S47" s="402" t="s">
        <v>243</v>
      </c>
      <c r="T47" s="403" t="s">
        <v>243</v>
      </c>
      <c r="U47" s="404" t="s">
        <v>243</v>
      </c>
      <c r="V47" s="402" t="s">
        <v>243</v>
      </c>
      <c r="W47" s="403" t="s">
        <v>243</v>
      </c>
      <c r="X47" s="404" t="s">
        <v>243</v>
      </c>
      <c r="Y47" s="402" t="s">
        <v>243</v>
      </c>
      <c r="Z47" s="403" t="s">
        <v>243</v>
      </c>
      <c r="AA47" s="404" t="s">
        <v>243</v>
      </c>
      <c r="AB47" s="402" t="s">
        <v>243</v>
      </c>
      <c r="AC47" s="403" t="s">
        <v>243</v>
      </c>
      <c r="AD47" s="404" t="s">
        <v>243</v>
      </c>
      <c r="AE47" s="402" t="s">
        <v>243</v>
      </c>
      <c r="AF47" s="403" t="s">
        <v>243</v>
      </c>
      <c r="AG47" s="404" t="s">
        <v>243</v>
      </c>
      <c r="AH47" s="402" t="s">
        <v>243</v>
      </c>
      <c r="AI47" s="403" t="s">
        <v>243</v>
      </c>
      <c r="AJ47" s="404" t="s">
        <v>243</v>
      </c>
      <c r="AK47" s="402" t="s">
        <v>243</v>
      </c>
      <c r="AL47" s="403" t="s">
        <v>243</v>
      </c>
      <c r="AM47" s="404" t="s">
        <v>243</v>
      </c>
      <c r="AN47" s="402" t="s">
        <v>243</v>
      </c>
      <c r="AO47" s="403" t="s">
        <v>243</v>
      </c>
      <c r="AP47" s="404" t="s">
        <v>243</v>
      </c>
      <c r="AQ47" s="402" t="s">
        <v>243</v>
      </c>
      <c r="AR47" s="403" t="s">
        <v>243</v>
      </c>
      <c r="AS47" s="405" t="s">
        <v>243</v>
      </c>
      <c r="AT47" s="402" t="s">
        <v>243</v>
      </c>
      <c r="AU47" s="403" t="s">
        <v>243</v>
      </c>
      <c r="AV47" s="405" t="s">
        <v>243</v>
      </c>
      <c r="AW47" s="402" t="s">
        <v>243</v>
      </c>
      <c r="AX47" s="403" t="s">
        <v>243</v>
      </c>
      <c r="AY47" s="405" t="s">
        <v>243</v>
      </c>
      <c r="AZ47" s="402" t="s">
        <v>243</v>
      </c>
      <c r="BA47" s="403" t="s">
        <v>243</v>
      </c>
      <c r="BB47" s="405" t="s">
        <v>243</v>
      </c>
      <c r="BC47" s="402" t="s">
        <v>243</v>
      </c>
      <c r="BD47" s="403" t="s">
        <v>243</v>
      </c>
      <c r="BE47" s="405" t="s">
        <v>243</v>
      </c>
      <c r="BF47" s="402" t="s">
        <v>243</v>
      </c>
      <c r="BG47" s="403" t="s">
        <v>243</v>
      </c>
      <c r="BH47" s="405" t="s">
        <v>243</v>
      </c>
      <c r="BI47" s="402" t="s">
        <v>243</v>
      </c>
      <c r="BJ47" s="403" t="s">
        <v>243</v>
      </c>
      <c r="BK47" s="405" t="s">
        <v>243</v>
      </c>
      <c r="BL47" s="402" t="s">
        <v>243</v>
      </c>
      <c r="BM47" s="403" t="s">
        <v>243</v>
      </c>
      <c r="BN47" s="405" t="s">
        <v>243</v>
      </c>
      <c r="BO47" s="402" t="s">
        <v>243</v>
      </c>
      <c r="BP47" s="403" t="s">
        <v>243</v>
      </c>
      <c r="BQ47" s="405" t="s">
        <v>243</v>
      </c>
      <c r="BR47" s="402" t="s">
        <v>243</v>
      </c>
      <c r="BS47" s="403" t="s">
        <v>243</v>
      </c>
      <c r="BT47" s="405" t="s">
        <v>243</v>
      </c>
      <c r="BU47" s="402" t="s">
        <v>243</v>
      </c>
      <c r="BV47" s="403" t="s">
        <v>243</v>
      </c>
      <c r="BW47" s="405" t="s">
        <v>243</v>
      </c>
      <c r="BX47" s="402" t="s">
        <v>243</v>
      </c>
      <c r="BY47" s="403" t="s">
        <v>243</v>
      </c>
      <c r="BZ47" s="405" t="s">
        <v>243</v>
      </c>
      <c r="CA47" s="402" t="s">
        <v>243</v>
      </c>
      <c r="CB47" s="403" t="s">
        <v>243</v>
      </c>
      <c r="CC47" s="405" t="s">
        <v>243</v>
      </c>
      <c r="CD47" s="402" t="s">
        <v>243</v>
      </c>
      <c r="CE47" s="403" t="s">
        <v>243</v>
      </c>
      <c r="CF47" s="405" t="s">
        <v>243</v>
      </c>
      <c r="CG47" s="402" t="s">
        <v>243</v>
      </c>
      <c r="CH47" s="403" t="s">
        <v>243</v>
      </c>
      <c r="CI47" s="405" t="s">
        <v>243</v>
      </c>
      <c r="CJ47" s="402" t="s">
        <v>243</v>
      </c>
      <c r="CK47" s="403" t="s">
        <v>243</v>
      </c>
      <c r="CL47" s="405" t="s">
        <v>243</v>
      </c>
      <c r="CM47" s="402" t="s">
        <v>243</v>
      </c>
      <c r="CN47" s="403" t="s">
        <v>243</v>
      </c>
      <c r="CO47" s="405" t="s">
        <v>243</v>
      </c>
      <c r="CP47" s="402" t="s">
        <v>243</v>
      </c>
      <c r="CQ47" s="403" t="s">
        <v>243</v>
      </c>
      <c r="CR47" s="405" t="s">
        <v>243</v>
      </c>
      <c r="CS47" s="402" t="s">
        <v>243</v>
      </c>
      <c r="CT47" s="403" t="s">
        <v>243</v>
      </c>
      <c r="CU47" s="405" t="s">
        <v>243</v>
      </c>
      <c r="CV47" s="402" t="s">
        <v>243</v>
      </c>
      <c r="CW47" s="403" t="s">
        <v>243</v>
      </c>
      <c r="CX47" s="405" t="s">
        <v>243</v>
      </c>
      <c r="CY47" s="402" t="s">
        <v>243</v>
      </c>
      <c r="CZ47" s="403" t="s">
        <v>243</v>
      </c>
      <c r="DA47" s="405" t="s">
        <v>243</v>
      </c>
      <c r="DB47" s="402" t="s">
        <v>243</v>
      </c>
      <c r="DC47" s="403" t="s">
        <v>243</v>
      </c>
      <c r="DD47" s="405" t="s">
        <v>243</v>
      </c>
      <c r="DE47" s="402" t="s">
        <v>243</v>
      </c>
      <c r="DF47" s="403" t="s">
        <v>243</v>
      </c>
      <c r="DG47" s="405" t="s">
        <v>243</v>
      </c>
      <c r="DH47" s="402" t="s">
        <v>243</v>
      </c>
      <c r="DI47" s="403" t="s">
        <v>243</v>
      </c>
      <c r="DJ47" s="405" t="s">
        <v>243</v>
      </c>
      <c r="DK47" s="402" t="s">
        <v>243</v>
      </c>
      <c r="DL47" s="403" t="s">
        <v>243</v>
      </c>
      <c r="DM47" s="405" t="s">
        <v>243</v>
      </c>
      <c r="DN47" s="402" t="s">
        <v>243</v>
      </c>
      <c r="DO47" s="403" t="s">
        <v>243</v>
      </c>
      <c r="DP47" s="405" t="s">
        <v>243</v>
      </c>
      <c r="DQ47" s="402" t="s">
        <v>243</v>
      </c>
      <c r="DR47" s="403" t="s">
        <v>243</v>
      </c>
      <c r="DS47" s="405" t="s">
        <v>243</v>
      </c>
      <c r="DT47" s="402" t="s">
        <v>243</v>
      </c>
      <c r="DU47" s="403" t="s">
        <v>243</v>
      </c>
      <c r="DV47" s="405" t="s">
        <v>243</v>
      </c>
      <c r="DW47" s="402" t="s">
        <v>243</v>
      </c>
      <c r="DX47" s="403" t="s">
        <v>243</v>
      </c>
      <c r="DY47" s="405" t="s">
        <v>243</v>
      </c>
      <c r="DZ47" s="402" t="s">
        <v>243</v>
      </c>
      <c r="EA47" s="403" t="s">
        <v>243</v>
      </c>
      <c r="EB47" s="405" t="s">
        <v>243</v>
      </c>
      <c r="EC47" s="402" t="s">
        <v>243</v>
      </c>
      <c r="ED47" s="403" t="s">
        <v>243</v>
      </c>
      <c r="EE47" s="405" t="s">
        <v>243</v>
      </c>
      <c r="EF47" s="402" t="s">
        <v>243</v>
      </c>
      <c r="EG47" s="403" t="s">
        <v>243</v>
      </c>
      <c r="EH47" s="405" t="s">
        <v>243</v>
      </c>
      <c r="EI47" s="402" t="s">
        <v>243</v>
      </c>
      <c r="EJ47" s="403" t="s">
        <v>243</v>
      </c>
      <c r="EK47" s="405" t="s">
        <v>243</v>
      </c>
      <c r="EL47" s="402" t="s">
        <v>243</v>
      </c>
      <c r="EM47" s="403" t="s">
        <v>243</v>
      </c>
      <c r="EN47" s="405" t="s">
        <v>243</v>
      </c>
      <c r="EO47" s="402" t="s">
        <v>243</v>
      </c>
      <c r="EP47" s="403" t="s">
        <v>243</v>
      </c>
      <c r="EQ47" s="405" t="s">
        <v>243</v>
      </c>
      <c r="ER47" s="402" t="s">
        <v>243</v>
      </c>
      <c r="ES47" s="403" t="s">
        <v>243</v>
      </c>
      <c r="ET47" s="405" t="s">
        <v>243</v>
      </c>
      <c r="EU47" s="402" t="s">
        <v>243</v>
      </c>
      <c r="EV47" s="403" t="s">
        <v>243</v>
      </c>
      <c r="EW47" s="405" t="s">
        <v>243</v>
      </c>
      <c r="EX47" s="402" t="s">
        <v>243</v>
      </c>
      <c r="EY47" s="403" t="s">
        <v>243</v>
      </c>
      <c r="EZ47" s="405" t="s">
        <v>243</v>
      </c>
      <c r="FA47" s="402" t="s">
        <v>243</v>
      </c>
      <c r="FB47" s="403" t="s">
        <v>243</v>
      </c>
      <c r="FC47" s="405" t="s">
        <v>243</v>
      </c>
      <c r="FD47" s="402" t="s">
        <v>243</v>
      </c>
      <c r="FE47" s="403" t="s">
        <v>243</v>
      </c>
      <c r="FF47" s="405" t="s">
        <v>243</v>
      </c>
      <c r="FG47" s="402" t="s">
        <v>243</v>
      </c>
      <c r="FH47" s="403" t="s">
        <v>243</v>
      </c>
      <c r="FI47" s="405" t="s">
        <v>243</v>
      </c>
      <c r="FJ47" s="402" t="s">
        <v>243</v>
      </c>
      <c r="FK47" s="403" t="s">
        <v>243</v>
      </c>
      <c r="FL47" s="405" t="s">
        <v>243</v>
      </c>
      <c r="FM47" s="402" t="s">
        <v>243</v>
      </c>
      <c r="FN47" s="403" t="s">
        <v>243</v>
      </c>
      <c r="FO47" s="405" t="s">
        <v>243</v>
      </c>
      <c r="FP47" s="402" t="s">
        <v>243</v>
      </c>
      <c r="FQ47" s="403" t="s">
        <v>243</v>
      </c>
      <c r="FR47" s="405" t="s">
        <v>243</v>
      </c>
      <c r="FS47" s="454"/>
      <c r="FT47" s="455">
        <v>0</v>
      </c>
      <c r="FU47" s="456">
        <v>0</v>
      </c>
      <c r="FV47" s="457">
        <f t="shared" si="0"/>
        <v>0</v>
      </c>
    </row>
    <row r="48" spans="1:179" ht="25.5" customHeight="1" x14ac:dyDescent="0.15">
      <c r="A48" s="449">
        <v>3.4</v>
      </c>
      <c r="B48" s="449" t="str">
        <f>'raw data'!B48</f>
        <v xml:space="preserve">Overpayments totalling £501+ each month, for past 6 months, on mortgages &lt;12 months old. </v>
      </c>
      <c r="C48" s="450" t="s">
        <v>82</v>
      </c>
      <c r="D48" s="451">
        <f>'raw data'!ET48</f>
        <v>0</v>
      </c>
      <c r="E48" s="452">
        <f>'raw data'!EU48</f>
        <v>0</v>
      </c>
      <c r="F48" s="404" t="s">
        <v>243</v>
      </c>
      <c r="G48" s="402" t="s">
        <v>243</v>
      </c>
      <c r="H48" s="403" t="s">
        <v>243</v>
      </c>
      <c r="I48" s="404" t="s">
        <v>243</v>
      </c>
      <c r="J48" s="402" t="s">
        <v>243</v>
      </c>
      <c r="K48" s="403" t="s">
        <v>243</v>
      </c>
      <c r="L48" s="404" t="s">
        <v>243</v>
      </c>
      <c r="M48" s="402" t="s">
        <v>243</v>
      </c>
      <c r="N48" s="403" t="s">
        <v>243</v>
      </c>
      <c r="O48" s="404" t="s">
        <v>243</v>
      </c>
      <c r="P48" s="402" t="s">
        <v>243</v>
      </c>
      <c r="Q48" s="403" t="s">
        <v>243</v>
      </c>
      <c r="R48" s="404" t="s">
        <v>243</v>
      </c>
      <c r="S48" s="402" t="s">
        <v>243</v>
      </c>
      <c r="T48" s="403" t="s">
        <v>243</v>
      </c>
      <c r="U48" s="404" t="s">
        <v>243</v>
      </c>
      <c r="V48" s="402" t="s">
        <v>243</v>
      </c>
      <c r="W48" s="403" t="s">
        <v>243</v>
      </c>
      <c r="X48" s="404" t="s">
        <v>243</v>
      </c>
      <c r="Y48" s="402" t="s">
        <v>243</v>
      </c>
      <c r="Z48" s="403" t="s">
        <v>243</v>
      </c>
      <c r="AA48" s="404" t="s">
        <v>243</v>
      </c>
      <c r="AB48" s="402" t="s">
        <v>243</v>
      </c>
      <c r="AC48" s="403" t="s">
        <v>243</v>
      </c>
      <c r="AD48" s="404" t="s">
        <v>243</v>
      </c>
      <c r="AE48" s="402" t="s">
        <v>243</v>
      </c>
      <c r="AF48" s="403" t="s">
        <v>243</v>
      </c>
      <c r="AG48" s="404" t="s">
        <v>243</v>
      </c>
      <c r="AH48" s="402" t="s">
        <v>243</v>
      </c>
      <c r="AI48" s="403" t="s">
        <v>243</v>
      </c>
      <c r="AJ48" s="404" t="s">
        <v>243</v>
      </c>
      <c r="AK48" s="402" t="s">
        <v>243</v>
      </c>
      <c r="AL48" s="403" t="s">
        <v>243</v>
      </c>
      <c r="AM48" s="404" t="s">
        <v>243</v>
      </c>
      <c r="AN48" s="402" t="s">
        <v>243</v>
      </c>
      <c r="AO48" s="403" t="s">
        <v>243</v>
      </c>
      <c r="AP48" s="404" t="s">
        <v>243</v>
      </c>
      <c r="AQ48" s="402" t="s">
        <v>243</v>
      </c>
      <c r="AR48" s="403" t="s">
        <v>243</v>
      </c>
      <c r="AS48" s="405" t="s">
        <v>243</v>
      </c>
      <c r="AT48" s="402" t="s">
        <v>243</v>
      </c>
      <c r="AU48" s="403" t="s">
        <v>243</v>
      </c>
      <c r="AV48" s="405" t="s">
        <v>243</v>
      </c>
      <c r="AW48" s="402" t="s">
        <v>243</v>
      </c>
      <c r="AX48" s="403" t="s">
        <v>243</v>
      </c>
      <c r="AY48" s="405" t="s">
        <v>243</v>
      </c>
      <c r="AZ48" s="402" t="s">
        <v>243</v>
      </c>
      <c r="BA48" s="403" t="s">
        <v>243</v>
      </c>
      <c r="BB48" s="405" t="s">
        <v>243</v>
      </c>
      <c r="BC48" s="402" t="s">
        <v>243</v>
      </c>
      <c r="BD48" s="403" t="s">
        <v>243</v>
      </c>
      <c r="BE48" s="405" t="s">
        <v>243</v>
      </c>
      <c r="BF48" s="402" t="s">
        <v>243</v>
      </c>
      <c r="BG48" s="403" t="s">
        <v>243</v>
      </c>
      <c r="BH48" s="405" t="s">
        <v>243</v>
      </c>
      <c r="BI48" s="402" t="s">
        <v>243</v>
      </c>
      <c r="BJ48" s="403" t="s">
        <v>243</v>
      </c>
      <c r="BK48" s="405" t="s">
        <v>243</v>
      </c>
      <c r="BL48" s="402" t="s">
        <v>243</v>
      </c>
      <c r="BM48" s="403" t="s">
        <v>243</v>
      </c>
      <c r="BN48" s="405" t="s">
        <v>243</v>
      </c>
      <c r="BO48" s="402" t="s">
        <v>243</v>
      </c>
      <c r="BP48" s="403" t="s">
        <v>243</v>
      </c>
      <c r="BQ48" s="405" t="s">
        <v>243</v>
      </c>
      <c r="BR48" s="402" t="s">
        <v>243</v>
      </c>
      <c r="BS48" s="403" t="s">
        <v>243</v>
      </c>
      <c r="BT48" s="405" t="s">
        <v>243</v>
      </c>
      <c r="BU48" s="402" t="s">
        <v>243</v>
      </c>
      <c r="BV48" s="403" t="s">
        <v>243</v>
      </c>
      <c r="BW48" s="405" t="s">
        <v>243</v>
      </c>
      <c r="BX48" s="402" t="s">
        <v>243</v>
      </c>
      <c r="BY48" s="403" t="s">
        <v>243</v>
      </c>
      <c r="BZ48" s="405" t="s">
        <v>243</v>
      </c>
      <c r="CA48" s="402" t="s">
        <v>243</v>
      </c>
      <c r="CB48" s="403" t="s">
        <v>243</v>
      </c>
      <c r="CC48" s="405" t="s">
        <v>243</v>
      </c>
      <c r="CD48" s="402" t="s">
        <v>243</v>
      </c>
      <c r="CE48" s="403" t="s">
        <v>243</v>
      </c>
      <c r="CF48" s="405" t="s">
        <v>243</v>
      </c>
      <c r="CG48" s="402" t="s">
        <v>243</v>
      </c>
      <c r="CH48" s="403" t="s">
        <v>243</v>
      </c>
      <c r="CI48" s="405" t="s">
        <v>243</v>
      </c>
      <c r="CJ48" s="402" t="s">
        <v>243</v>
      </c>
      <c r="CK48" s="403" t="s">
        <v>243</v>
      </c>
      <c r="CL48" s="405" t="s">
        <v>243</v>
      </c>
      <c r="CM48" s="402" t="s">
        <v>243</v>
      </c>
      <c r="CN48" s="403" t="s">
        <v>243</v>
      </c>
      <c r="CO48" s="405" t="s">
        <v>243</v>
      </c>
      <c r="CP48" s="402" t="s">
        <v>243</v>
      </c>
      <c r="CQ48" s="403" t="s">
        <v>243</v>
      </c>
      <c r="CR48" s="405" t="s">
        <v>243</v>
      </c>
      <c r="CS48" s="402" t="s">
        <v>243</v>
      </c>
      <c r="CT48" s="403" t="s">
        <v>243</v>
      </c>
      <c r="CU48" s="405" t="s">
        <v>243</v>
      </c>
      <c r="CV48" s="402" t="s">
        <v>243</v>
      </c>
      <c r="CW48" s="403" t="s">
        <v>243</v>
      </c>
      <c r="CX48" s="405" t="s">
        <v>243</v>
      </c>
      <c r="CY48" s="402" t="s">
        <v>243</v>
      </c>
      <c r="CZ48" s="403" t="s">
        <v>243</v>
      </c>
      <c r="DA48" s="405" t="s">
        <v>243</v>
      </c>
      <c r="DB48" s="402" t="s">
        <v>243</v>
      </c>
      <c r="DC48" s="403" t="s">
        <v>243</v>
      </c>
      <c r="DD48" s="405" t="s">
        <v>243</v>
      </c>
      <c r="DE48" s="402" t="s">
        <v>243</v>
      </c>
      <c r="DF48" s="403" t="s">
        <v>243</v>
      </c>
      <c r="DG48" s="405" t="s">
        <v>243</v>
      </c>
      <c r="DH48" s="402" t="s">
        <v>243</v>
      </c>
      <c r="DI48" s="403" t="s">
        <v>243</v>
      </c>
      <c r="DJ48" s="405" t="s">
        <v>243</v>
      </c>
      <c r="DK48" s="402" t="s">
        <v>243</v>
      </c>
      <c r="DL48" s="403" t="s">
        <v>243</v>
      </c>
      <c r="DM48" s="405" t="s">
        <v>243</v>
      </c>
      <c r="DN48" s="402" t="s">
        <v>243</v>
      </c>
      <c r="DO48" s="403" t="s">
        <v>243</v>
      </c>
      <c r="DP48" s="405" t="s">
        <v>243</v>
      </c>
      <c r="DQ48" s="402" t="s">
        <v>243</v>
      </c>
      <c r="DR48" s="403" t="s">
        <v>243</v>
      </c>
      <c r="DS48" s="405" t="s">
        <v>243</v>
      </c>
      <c r="DT48" s="402" t="s">
        <v>243</v>
      </c>
      <c r="DU48" s="403" t="s">
        <v>243</v>
      </c>
      <c r="DV48" s="405" t="s">
        <v>243</v>
      </c>
      <c r="DW48" s="402" t="s">
        <v>243</v>
      </c>
      <c r="DX48" s="403" t="s">
        <v>243</v>
      </c>
      <c r="DY48" s="405" t="s">
        <v>243</v>
      </c>
      <c r="DZ48" s="402" t="s">
        <v>243</v>
      </c>
      <c r="EA48" s="403" t="s">
        <v>243</v>
      </c>
      <c r="EB48" s="405" t="s">
        <v>243</v>
      </c>
      <c r="EC48" s="402" t="s">
        <v>243</v>
      </c>
      <c r="ED48" s="403" t="s">
        <v>243</v>
      </c>
      <c r="EE48" s="405" t="s">
        <v>243</v>
      </c>
      <c r="EF48" s="402" t="s">
        <v>243</v>
      </c>
      <c r="EG48" s="403" t="s">
        <v>243</v>
      </c>
      <c r="EH48" s="405" t="s">
        <v>243</v>
      </c>
      <c r="EI48" s="402" t="s">
        <v>243</v>
      </c>
      <c r="EJ48" s="403" t="s">
        <v>243</v>
      </c>
      <c r="EK48" s="405" t="s">
        <v>243</v>
      </c>
      <c r="EL48" s="402" t="s">
        <v>243</v>
      </c>
      <c r="EM48" s="403" t="s">
        <v>243</v>
      </c>
      <c r="EN48" s="405" t="s">
        <v>243</v>
      </c>
      <c r="EO48" s="402" t="s">
        <v>243</v>
      </c>
      <c r="EP48" s="403" t="s">
        <v>243</v>
      </c>
      <c r="EQ48" s="405" t="s">
        <v>243</v>
      </c>
      <c r="ER48" s="402" t="s">
        <v>243</v>
      </c>
      <c r="ES48" s="403" t="s">
        <v>243</v>
      </c>
      <c r="ET48" s="405" t="s">
        <v>243</v>
      </c>
      <c r="EU48" s="402" t="s">
        <v>243</v>
      </c>
      <c r="EV48" s="403" t="s">
        <v>243</v>
      </c>
      <c r="EW48" s="405" t="s">
        <v>243</v>
      </c>
      <c r="EX48" s="402" t="s">
        <v>243</v>
      </c>
      <c r="EY48" s="403" t="s">
        <v>243</v>
      </c>
      <c r="EZ48" s="405" t="s">
        <v>243</v>
      </c>
      <c r="FA48" s="402" t="s">
        <v>243</v>
      </c>
      <c r="FB48" s="403" t="s">
        <v>243</v>
      </c>
      <c r="FC48" s="405" t="s">
        <v>243</v>
      </c>
      <c r="FD48" s="402" t="s">
        <v>243</v>
      </c>
      <c r="FE48" s="403" t="s">
        <v>243</v>
      </c>
      <c r="FF48" s="405" t="s">
        <v>243</v>
      </c>
      <c r="FG48" s="402" t="s">
        <v>243</v>
      </c>
      <c r="FH48" s="403" t="s">
        <v>243</v>
      </c>
      <c r="FI48" s="405" t="s">
        <v>243</v>
      </c>
      <c r="FJ48" s="402" t="s">
        <v>243</v>
      </c>
      <c r="FK48" s="403" t="s">
        <v>243</v>
      </c>
      <c r="FL48" s="405" t="s">
        <v>243</v>
      </c>
      <c r="FM48" s="402" t="s">
        <v>243</v>
      </c>
      <c r="FN48" s="403" t="s">
        <v>243</v>
      </c>
      <c r="FO48" s="405" t="s">
        <v>243</v>
      </c>
      <c r="FP48" s="402" t="s">
        <v>243</v>
      </c>
      <c r="FQ48" s="403" t="s">
        <v>243</v>
      </c>
      <c r="FR48" s="405" t="s">
        <v>243</v>
      </c>
      <c r="FS48" s="454"/>
      <c r="FT48" s="455">
        <v>0</v>
      </c>
      <c r="FU48" s="456">
        <v>0</v>
      </c>
      <c r="FV48" s="457">
        <f t="shared" si="0"/>
        <v>0</v>
      </c>
    </row>
    <row r="49" spans="1:178" ht="25.5" customHeight="1" x14ac:dyDescent="0.15">
      <c r="A49" s="449">
        <v>3.5</v>
      </c>
      <c r="B49" s="449" t="str">
        <f>'raw data'!B49</f>
        <v xml:space="preserve">Mortages with one or more drawdowns and one or more repayments, each totalling £5k+, in past 6 months. </v>
      </c>
      <c r="C49" s="450" t="s">
        <v>84</v>
      </c>
      <c r="D49" s="451">
        <f>'raw data'!ET49</f>
        <v>0</v>
      </c>
      <c r="E49" s="452">
        <f>'raw data'!EU49</f>
        <v>0</v>
      </c>
      <c r="F49" s="453">
        <f>IF(ISERROR('raw data'!ET49/'raw data'!EU49),0,'raw data'!ET49/'raw data'!EU49)</f>
        <v>0</v>
      </c>
      <c r="G49" s="402" t="s">
        <v>243</v>
      </c>
      <c r="H49" s="403" t="s">
        <v>243</v>
      </c>
      <c r="I49" s="404" t="s">
        <v>243</v>
      </c>
      <c r="J49" s="402" t="s">
        <v>243</v>
      </c>
      <c r="K49" s="403" t="s">
        <v>243</v>
      </c>
      <c r="L49" s="404" t="s">
        <v>243</v>
      </c>
      <c r="M49" s="402" t="s">
        <v>243</v>
      </c>
      <c r="N49" s="403" t="s">
        <v>243</v>
      </c>
      <c r="O49" s="404" t="s">
        <v>243</v>
      </c>
      <c r="P49" s="402" t="s">
        <v>243</v>
      </c>
      <c r="Q49" s="403" t="s">
        <v>243</v>
      </c>
      <c r="R49" s="404" t="s">
        <v>243</v>
      </c>
      <c r="S49" s="402" t="s">
        <v>243</v>
      </c>
      <c r="T49" s="403" t="s">
        <v>243</v>
      </c>
      <c r="U49" s="404" t="s">
        <v>243</v>
      </c>
      <c r="V49" s="402" t="s">
        <v>243</v>
      </c>
      <c r="W49" s="403" t="s">
        <v>243</v>
      </c>
      <c r="X49" s="404" t="s">
        <v>243</v>
      </c>
      <c r="Y49" s="402" t="s">
        <v>243</v>
      </c>
      <c r="Z49" s="403" t="s">
        <v>243</v>
      </c>
      <c r="AA49" s="404" t="s">
        <v>243</v>
      </c>
      <c r="AB49" s="402" t="s">
        <v>243</v>
      </c>
      <c r="AC49" s="403" t="s">
        <v>243</v>
      </c>
      <c r="AD49" s="404" t="s">
        <v>243</v>
      </c>
      <c r="AE49" s="402" t="s">
        <v>243</v>
      </c>
      <c r="AF49" s="403" t="s">
        <v>243</v>
      </c>
      <c r="AG49" s="404" t="s">
        <v>243</v>
      </c>
      <c r="AH49" s="402" t="s">
        <v>243</v>
      </c>
      <c r="AI49" s="403" t="s">
        <v>243</v>
      </c>
      <c r="AJ49" s="404" t="s">
        <v>243</v>
      </c>
      <c r="AK49" s="402" t="s">
        <v>243</v>
      </c>
      <c r="AL49" s="403" t="s">
        <v>243</v>
      </c>
      <c r="AM49" s="404" t="s">
        <v>243</v>
      </c>
      <c r="AN49" s="402" t="s">
        <v>243</v>
      </c>
      <c r="AO49" s="403" t="s">
        <v>243</v>
      </c>
      <c r="AP49" s="404" t="s">
        <v>243</v>
      </c>
      <c r="AQ49" s="402" t="s">
        <v>243</v>
      </c>
      <c r="AR49" s="403" t="s">
        <v>243</v>
      </c>
      <c r="AS49" s="405" t="s">
        <v>243</v>
      </c>
      <c r="AT49" s="402" t="s">
        <v>243</v>
      </c>
      <c r="AU49" s="403" t="s">
        <v>243</v>
      </c>
      <c r="AV49" s="405" t="s">
        <v>243</v>
      </c>
      <c r="AW49" s="402" t="s">
        <v>243</v>
      </c>
      <c r="AX49" s="403" t="s">
        <v>243</v>
      </c>
      <c r="AY49" s="405" t="s">
        <v>243</v>
      </c>
      <c r="AZ49" s="402" t="s">
        <v>243</v>
      </c>
      <c r="BA49" s="403" t="s">
        <v>243</v>
      </c>
      <c r="BB49" s="405" t="s">
        <v>243</v>
      </c>
      <c r="BC49" s="402" t="s">
        <v>243</v>
      </c>
      <c r="BD49" s="403" t="s">
        <v>243</v>
      </c>
      <c r="BE49" s="405" t="s">
        <v>243</v>
      </c>
      <c r="BF49" s="402" t="s">
        <v>243</v>
      </c>
      <c r="BG49" s="403" t="s">
        <v>243</v>
      </c>
      <c r="BH49" s="405" t="s">
        <v>243</v>
      </c>
      <c r="BI49" s="402" t="s">
        <v>243</v>
      </c>
      <c r="BJ49" s="403" t="s">
        <v>243</v>
      </c>
      <c r="BK49" s="405" t="s">
        <v>243</v>
      </c>
      <c r="BL49" s="402" t="s">
        <v>243</v>
      </c>
      <c r="BM49" s="403" t="s">
        <v>243</v>
      </c>
      <c r="BN49" s="405" t="s">
        <v>243</v>
      </c>
      <c r="BO49" s="402" t="s">
        <v>243</v>
      </c>
      <c r="BP49" s="403" t="s">
        <v>243</v>
      </c>
      <c r="BQ49" s="405" t="s">
        <v>243</v>
      </c>
      <c r="BR49" s="402" t="s">
        <v>243</v>
      </c>
      <c r="BS49" s="403" t="s">
        <v>243</v>
      </c>
      <c r="BT49" s="405" t="s">
        <v>243</v>
      </c>
      <c r="BU49" s="402" t="s">
        <v>243</v>
      </c>
      <c r="BV49" s="403" t="s">
        <v>243</v>
      </c>
      <c r="BW49" s="405" t="s">
        <v>243</v>
      </c>
      <c r="BX49" s="402" t="s">
        <v>243</v>
      </c>
      <c r="BY49" s="403" t="s">
        <v>243</v>
      </c>
      <c r="BZ49" s="405" t="s">
        <v>243</v>
      </c>
      <c r="CA49" s="402" t="s">
        <v>243</v>
      </c>
      <c r="CB49" s="403" t="s">
        <v>243</v>
      </c>
      <c r="CC49" s="405" t="s">
        <v>243</v>
      </c>
      <c r="CD49" s="402" t="s">
        <v>243</v>
      </c>
      <c r="CE49" s="403" t="s">
        <v>243</v>
      </c>
      <c r="CF49" s="405" t="s">
        <v>243</v>
      </c>
      <c r="CG49" s="402" t="s">
        <v>243</v>
      </c>
      <c r="CH49" s="403" t="s">
        <v>243</v>
      </c>
      <c r="CI49" s="405" t="s">
        <v>243</v>
      </c>
      <c r="CJ49" s="402" t="s">
        <v>243</v>
      </c>
      <c r="CK49" s="403" t="s">
        <v>243</v>
      </c>
      <c r="CL49" s="405" t="s">
        <v>243</v>
      </c>
      <c r="CM49" s="402" t="s">
        <v>243</v>
      </c>
      <c r="CN49" s="403" t="s">
        <v>243</v>
      </c>
      <c r="CO49" s="405" t="s">
        <v>243</v>
      </c>
      <c r="CP49" s="402" t="s">
        <v>243</v>
      </c>
      <c r="CQ49" s="403" t="s">
        <v>243</v>
      </c>
      <c r="CR49" s="405" t="s">
        <v>243</v>
      </c>
      <c r="CS49" s="402" t="s">
        <v>243</v>
      </c>
      <c r="CT49" s="403" t="s">
        <v>243</v>
      </c>
      <c r="CU49" s="405" t="s">
        <v>243</v>
      </c>
      <c r="CV49" s="402" t="s">
        <v>243</v>
      </c>
      <c r="CW49" s="403" t="s">
        <v>243</v>
      </c>
      <c r="CX49" s="405" t="s">
        <v>243</v>
      </c>
      <c r="CY49" s="402" t="s">
        <v>243</v>
      </c>
      <c r="CZ49" s="403" t="s">
        <v>243</v>
      </c>
      <c r="DA49" s="405" t="s">
        <v>243</v>
      </c>
      <c r="DB49" s="402" t="s">
        <v>243</v>
      </c>
      <c r="DC49" s="403" t="s">
        <v>243</v>
      </c>
      <c r="DD49" s="405" t="s">
        <v>243</v>
      </c>
      <c r="DE49" s="402" t="s">
        <v>243</v>
      </c>
      <c r="DF49" s="403" t="s">
        <v>243</v>
      </c>
      <c r="DG49" s="405" t="s">
        <v>243</v>
      </c>
      <c r="DH49" s="402" t="s">
        <v>243</v>
      </c>
      <c r="DI49" s="403" t="s">
        <v>243</v>
      </c>
      <c r="DJ49" s="405" t="s">
        <v>243</v>
      </c>
      <c r="DK49" s="402" t="s">
        <v>243</v>
      </c>
      <c r="DL49" s="403" t="s">
        <v>243</v>
      </c>
      <c r="DM49" s="405" t="s">
        <v>243</v>
      </c>
      <c r="DN49" s="402" t="s">
        <v>243</v>
      </c>
      <c r="DO49" s="403" t="s">
        <v>243</v>
      </c>
      <c r="DP49" s="405" t="s">
        <v>243</v>
      </c>
      <c r="DQ49" s="402" t="s">
        <v>243</v>
      </c>
      <c r="DR49" s="403" t="s">
        <v>243</v>
      </c>
      <c r="DS49" s="405" t="s">
        <v>243</v>
      </c>
      <c r="DT49" s="402" t="s">
        <v>243</v>
      </c>
      <c r="DU49" s="403" t="s">
        <v>243</v>
      </c>
      <c r="DV49" s="405" t="s">
        <v>243</v>
      </c>
      <c r="DW49" s="402" t="s">
        <v>243</v>
      </c>
      <c r="DX49" s="403" t="s">
        <v>243</v>
      </c>
      <c r="DY49" s="405" t="s">
        <v>243</v>
      </c>
      <c r="DZ49" s="402" t="s">
        <v>243</v>
      </c>
      <c r="EA49" s="403" t="s">
        <v>243</v>
      </c>
      <c r="EB49" s="405" t="s">
        <v>243</v>
      </c>
      <c r="EC49" s="402" t="s">
        <v>243</v>
      </c>
      <c r="ED49" s="403" t="s">
        <v>243</v>
      </c>
      <c r="EE49" s="405" t="s">
        <v>243</v>
      </c>
      <c r="EF49" s="402" t="s">
        <v>243</v>
      </c>
      <c r="EG49" s="403" t="s">
        <v>243</v>
      </c>
      <c r="EH49" s="405" t="s">
        <v>243</v>
      </c>
      <c r="EI49" s="402" t="s">
        <v>243</v>
      </c>
      <c r="EJ49" s="403" t="s">
        <v>243</v>
      </c>
      <c r="EK49" s="405" t="s">
        <v>243</v>
      </c>
      <c r="EL49" s="402" t="s">
        <v>243</v>
      </c>
      <c r="EM49" s="403" t="s">
        <v>243</v>
      </c>
      <c r="EN49" s="405" t="s">
        <v>243</v>
      </c>
      <c r="EO49" s="402" t="s">
        <v>243</v>
      </c>
      <c r="EP49" s="403" t="s">
        <v>243</v>
      </c>
      <c r="EQ49" s="405" t="s">
        <v>243</v>
      </c>
      <c r="ER49" s="402" t="s">
        <v>243</v>
      </c>
      <c r="ES49" s="403" t="s">
        <v>243</v>
      </c>
      <c r="ET49" s="405" t="s">
        <v>243</v>
      </c>
      <c r="EU49" s="402" t="s">
        <v>243</v>
      </c>
      <c r="EV49" s="403" t="s">
        <v>243</v>
      </c>
      <c r="EW49" s="405" t="s">
        <v>243</v>
      </c>
      <c r="EX49" s="402" t="s">
        <v>243</v>
      </c>
      <c r="EY49" s="403" t="s">
        <v>243</v>
      </c>
      <c r="EZ49" s="405" t="s">
        <v>243</v>
      </c>
      <c r="FA49" s="402" t="s">
        <v>243</v>
      </c>
      <c r="FB49" s="403" t="s">
        <v>243</v>
      </c>
      <c r="FC49" s="405" t="s">
        <v>243</v>
      </c>
      <c r="FD49" s="402" t="s">
        <v>243</v>
      </c>
      <c r="FE49" s="403" t="s">
        <v>243</v>
      </c>
      <c r="FF49" s="405" t="s">
        <v>243</v>
      </c>
      <c r="FG49" s="402" t="s">
        <v>243</v>
      </c>
      <c r="FH49" s="403" t="s">
        <v>243</v>
      </c>
      <c r="FI49" s="405" t="s">
        <v>243</v>
      </c>
      <c r="FJ49" s="402" t="s">
        <v>243</v>
      </c>
      <c r="FK49" s="403" t="s">
        <v>243</v>
      </c>
      <c r="FL49" s="405" t="s">
        <v>243</v>
      </c>
      <c r="FM49" s="402" t="s">
        <v>243</v>
      </c>
      <c r="FN49" s="403" t="s">
        <v>243</v>
      </c>
      <c r="FO49" s="405" t="s">
        <v>243</v>
      </c>
      <c r="FP49" s="402" t="s">
        <v>243</v>
      </c>
      <c r="FQ49" s="403" t="s">
        <v>243</v>
      </c>
      <c r="FR49" s="405" t="s">
        <v>243</v>
      </c>
      <c r="FS49" s="454"/>
      <c r="FT49" s="455">
        <v>0</v>
      </c>
      <c r="FU49" s="456">
        <v>0</v>
      </c>
      <c r="FV49" s="457">
        <f t="shared" si="0"/>
        <v>0</v>
      </c>
    </row>
    <row r="50" spans="1:178" ht="25.5" customHeight="1" x14ac:dyDescent="0.15">
      <c r="A50" s="449">
        <v>3.6</v>
      </c>
      <c r="B50" s="449" t="str">
        <f>'raw data'!B50</f>
        <v>Mortgage redeemed with a large overpayment - subsequent cheque refund for £5k+.</v>
      </c>
      <c r="C50" s="450" t="s">
        <v>86</v>
      </c>
      <c r="D50" s="451">
        <f>'raw data'!ET50</f>
        <v>0</v>
      </c>
      <c r="E50" s="452">
        <f>'raw data'!EU50</f>
        <v>0</v>
      </c>
      <c r="F50" s="453">
        <f>IF(ISERROR('raw data'!ET50/'raw data'!EU50),0,'raw data'!ET50/'raw data'!EU50)</f>
        <v>0</v>
      </c>
      <c r="G50" s="408" t="s">
        <v>30</v>
      </c>
      <c r="H50" s="409" t="s">
        <v>30</v>
      </c>
      <c r="I50" s="414" t="s">
        <v>30</v>
      </c>
      <c r="J50" s="408" t="s">
        <v>30</v>
      </c>
      <c r="K50" s="409" t="s">
        <v>30</v>
      </c>
      <c r="L50" s="414" t="s">
        <v>30</v>
      </c>
      <c r="M50" s="408" t="s">
        <v>30</v>
      </c>
      <c r="N50" s="409" t="s">
        <v>30</v>
      </c>
      <c r="O50" s="414" t="s">
        <v>30</v>
      </c>
      <c r="P50" s="408" t="s">
        <v>243</v>
      </c>
      <c r="Q50" s="409" t="s">
        <v>243</v>
      </c>
      <c r="R50" s="409" t="s">
        <v>243</v>
      </c>
      <c r="S50" s="408" t="s">
        <v>243</v>
      </c>
      <c r="T50" s="409" t="s">
        <v>243</v>
      </c>
      <c r="U50" s="409" t="s">
        <v>243</v>
      </c>
      <c r="V50" s="408" t="s">
        <v>243</v>
      </c>
      <c r="W50" s="409" t="s">
        <v>243</v>
      </c>
      <c r="X50" s="409" t="s">
        <v>243</v>
      </c>
      <c r="Y50" s="408" t="s">
        <v>243</v>
      </c>
      <c r="Z50" s="409" t="s">
        <v>243</v>
      </c>
      <c r="AA50" s="409" t="s">
        <v>243</v>
      </c>
      <c r="AB50" s="408" t="s">
        <v>243</v>
      </c>
      <c r="AC50" s="409" t="s">
        <v>243</v>
      </c>
      <c r="AD50" s="409" t="s">
        <v>243</v>
      </c>
      <c r="AE50" s="408" t="s">
        <v>243</v>
      </c>
      <c r="AF50" s="409" t="s">
        <v>243</v>
      </c>
      <c r="AG50" s="414" t="s">
        <v>243</v>
      </c>
      <c r="AH50" s="408" t="s">
        <v>243</v>
      </c>
      <c r="AI50" s="409" t="s">
        <v>243</v>
      </c>
      <c r="AJ50" s="404" t="s">
        <v>243</v>
      </c>
      <c r="AK50" s="408" t="s">
        <v>243</v>
      </c>
      <c r="AL50" s="409" t="s">
        <v>243</v>
      </c>
      <c r="AM50" s="404" t="s">
        <v>243</v>
      </c>
      <c r="AN50" s="408" t="s">
        <v>243</v>
      </c>
      <c r="AO50" s="409" t="s">
        <v>243</v>
      </c>
      <c r="AP50" s="404" t="s">
        <v>243</v>
      </c>
      <c r="AQ50" s="408" t="s">
        <v>243</v>
      </c>
      <c r="AR50" s="409" t="s">
        <v>243</v>
      </c>
      <c r="AS50" s="405" t="s">
        <v>243</v>
      </c>
      <c r="AT50" s="408" t="s">
        <v>243</v>
      </c>
      <c r="AU50" s="409" t="s">
        <v>243</v>
      </c>
      <c r="AV50" s="405" t="s">
        <v>243</v>
      </c>
      <c r="AW50" s="408" t="s">
        <v>243</v>
      </c>
      <c r="AX50" s="409" t="s">
        <v>243</v>
      </c>
      <c r="AY50" s="405" t="s">
        <v>243</v>
      </c>
      <c r="AZ50" s="408" t="s">
        <v>243</v>
      </c>
      <c r="BA50" s="409" t="s">
        <v>243</v>
      </c>
      <c r="BB50" s="405" t="s">
        <v>243</v>
      </c>
      <c r="BC50" s="408" t="s">
        <v>243</v>
      </c>
      <c r="BD50" s="409" t="s">
        <v>243</v>
      </c>
      <c r="BE50" s="405" t="s">
        <v>243</v>
      </c>
      <c r="BF50" s="408" t="s">
        <v>243</v>
      </c>
      <c r="BG50" s="409" t="s">
        <v>243</v>
      </c>
      <c r="BH50" s="405" t="s">
        <v>243</v>
      </c>
      <c r="BI50" s="408" t="s">
        <v>243</v>
      </c>
      <c r="BJ50" s="409" t="s">
        <v>243</v>
      </c>
      <c r="BK50" s="405" t="s">
        <v>243</v>
      </c>
      <c r="BL50" s="408" t="s">
        <v>243</v>
      </c>
      <c r="BM50" s="409" t="s">
        <v>243</v>
      </c>
      <c r="BN50" s="405" t="s">
        <v>243</v>
      </c>
      <c r="BO50" s="408" t="s">
        <v>243</v>
      </c>
      <c r="BP50" s="409" t="s">
        <v>243</v>
      </c>
      <c r="BQ50" s="405" t="s">
        <v>243</v>
      </c>
      <c r="BR50" s="408" t="s">
        <v>243</v>
      </c>
      <c r="BS50" s="409" t="s">
        <v>243</v>
      </c>
      <c r="BT50" s="405" t="s">
        <v>243</v>
      </c>
      <c r="BU50" s="408" t="s">
        <v>243</v>
      </c>
      <c r="BV50" s="409" t="s">
        <v>243</v>
      </c>
      <c r="BW50" s="405" t="s">
        <v>243</v>
      </c>
      <c r="BX50" s="408" t="s">
        <v>243</v>
      </c>
      <c r="BY50" s="409" t="s">
        <v>243</v>
      </c>
      <c r="BZ50" s="405" t="s">
        <v>243</v>
      </c>
      <c r="CA50" s="408" t="s">
        <v>243</v>
      </c>
      <c r="CB50" s="409" t="s">
        <v>243</v>
      </c>
      <c r="CC50" s="405" t="s">
        <v>243</v>
      </c>
      <c r="CD50" s="408" t="s">
        <v>243</v>
      </c>
      <c r="CE50" s="409" t="s">
        <v>243</v>
      </c>
      <c r="CF50" s="405" t="s">
        <v>243</v>
      </c>
      <c r="CG50" s="408" t="s">
        <v>243</v>
      </c>
      <c r="CH50" s="409" t="s">
        <v>243</v>
      </c>
      <c r="CI50" s="405" t="s">
        <v>243</v>
      </c>
      <c r="CJ50" s="408" t="s">
        <v>243</v>
      </c>
      <c r="CK50" s="409" t="s">
        <v>243</v>
      </c>
      <c r="CL50" s="405" t="s">
        <v>243</v>
      </c>
      <c r="CM50" s="408" t="s">
        <v>243</v>
      </c>
      <c r="CN50" s="409" t="s">
        <v>243</v>
      </c>
      <c r="CO50" s="405" t="s">
        <v>243</v>
      </c>
      <c r="CP50" s="408" t="s">
        <v>243</v>
      </c>
      <c r="CQ50" s="409" t="s">
        <v>243</v>
      </c>
      <c r="CR50" s="405" t="s">
        <v>243</v>
      </c>
      <c r="CS50" s="408" t="s">
        <v>243</v>
      </c>
      <c r="CT50" s="409" t="s">
        <v>243</v>
      </c>
      <c r="CU50" s="405" t="s">
        <v>243</v>
      </c>
      <c r="CV50" s="408" t="s">
        <v>243</v>
      </c>
      <c r="CW50" s="409" t="s">
        <v>243</v>
      </c>
      <c r="CX50" s="405" t="s">
        <v>243</v>
      </c>
      <c r="CY50" s="408" t="s">
        <v>243</v>
      </c>
      <c r="CZ50" s="409" t="s">
        <v>243</v>
      </c>
      <c r="DA50" s="405" t="s">
        <v>243</v>
      </c>
      <c r="DB50" s="408" t="s">
        <v>243</v>
      </c>
      <c r="DC50" s="409" t="s">
        <v>243</v>
      </c>
      <c r="DD50" s="405" t="s">
        <v>243</v>
      </c>
      <c r="DE50" s="408" t="s">
        <v>243</v>
      </c>
      <c r="DF50" s="409" t="s">
        <v>243</v>
      </c>
      <c r="DG50" s="405" t="s">
        <v>243</v>
      </c>
      <c r="DH50" s="408" t="s">
        <v>243</v>
      </c>
      <c r="DI50" s="409" t="s">
        <v>243</v>
      </c>
      <c r="DJ50" s="405" t="s">
        <v>243</v>
      </c>
      <c r="DK50" s="408" t="s">
        <v>243</v>
      </c>
      <c r="DL50" s="409" t="s">
        <v>243</v>
      </c>
      <c r="DM50" s="405" t="s">
        <v>243</v>
      </c>
      <c r="DN50" s="408" t="s">
        <v>243</v>
      </c>
      <c r="DO50" s="409" t="s">
        <v>243</v>
      </c>
      <c r="DP50" s="405" t="s">
        <v>243</v>
      </c>
      <c r="DQ50" s="408" t="s">
        <v>243</v>
      </c>
      <c r="DR50" s="409" t="s">
        <v>243</v>
      </c>
      <c r="DS50" s="405" t="s">
        <v>243</v>
      </c>
      <c r="DT50" s="408" t="s">
        <v>243</v>
      </c>
      <c r="DU50" s="409" t="s">
        <v>243</v>
      </c>
      <c r="DV50" s="405" t="s">
        <v>243</v>
      </c>
      <c r="DW50" s="408" t="s">
        <v>243</v>
      </c>
      <c r="DX50" s="409" t="s">
        <v>243</v>
      </c>
      <c r="DY50" s="405" t="s">
        <v>243</v>
      </c>
      <c r="DZ50" s="408" t="s">
        <v>243</v>
      </c>
      <c r="EA50" s="409" t="s">
        <v>243</v>
      </c>
      <c r="EB50" s="405" t="s">
        <v>243</v>
      </c>
      <c r="EC50" s="408" t="s">
        <v>243</v>
      </c>
      <c r="ED50" s="409" t="s">
        <v>243</v>
      </c>
      <c r="EE50" s="405" t="s">
        <v>243</v>
      </c>
      <c r="EF50" s="408" t="s">
        <v>243</v>
      </c>
      <c r="EG50" s="409" t="s">
        <v>243</v>
      </c>
      <c r="EH50" s="405" t="s">
        <v>243</v>
      </c>
      <c r="EI50" s="408" t="s">
        <v>243</v>
      </c>
      <c r="EJ50" s="409" t="s">
        <v>243</v>
      </c>
      <c r="EK50" s="405" t="s">
        <v>243</v>
      </c>
      <c r="EL50" s="408" t="s">
        <v>243</v>
      </c>
      <c r="EM50" s="409" t="s">
        <v>243</v>
      </c>
      <c r="EN50" s="405" t="s">
        <v>243</v>
      </c>
      <c r="EO50" s="408" t="s">
        <v>243</v>
      </c>
      <c r="EP50" s="409" t="s">
        <v>243</v>
      </c>
      <c r="EQ50" s="405" t="s">
        <v>243</v>
      </c>
      <c r="ER50" s="408" t="s">
        <v>243</v>
      </c>
      <c r="ES50" s="409" t="s">
        <v>243</v>
      </c>
      <c r="ET50" s="405" t="s">
        <v>243</v>
      </c>
      <c r="EU50" s="408" t="s">
        <v>243</v>
      </c>
      <c r="EV50" s="409" t="s">
        <v>243</v>
      </c>
      <c r="EW50" s="405" t="s">
        <v>243</v>
      </c>
      <c r="EX50" s="408" t="s">
        <v>243</v>
      </c>
      <c r="EY50" s="409" t="s">
        <v>243</v>
      </c>
      <c r="EZ50" s="405" t="s">
        <v>243</v>
      </c>
      <c r="FA50" s="408" t="s">
        <v>243</v>
      </c>
      <c r="FB50" s="409" t="s">
        <v>243</v>
      </c>
      <c r="FC50" s="405" t="s">
        <v>243</v>
      </c>
      <c r="FD50" s="408" t="s">
        <v>243</v>
      </c>
      <c r="FE50" s="409" t="s">
        <v>243</v>
      </c>
      <c r="FF50" s="405" t="s">
        <v>243</v>
      </c>
      <c r="FG50" s="408" t="s">
        <v>243</v>
      </c>
      <c r="FH50" s="409" t="s">
        <v>243</v>
      </c>
      <c r="FI50" s="405" t="s">
        <v>243</v>
      </c>
      <c r="FJ50" s="408" t="s">
        <v>243</v>
      </c>
      <c r="FK50" s="409" t="s">
        <v>243</v>
      </c>
      <c r="FL50" s="405" t="s">
        <v>243</v>
      </c>
      <c r="FM50" s="408" t="s">
        <v>243</v>
      </c>
      <c r="FN50" s="409" t="s">
        <v>243</v>
      </c>
      <c r="FO50" s="405" t="s">
        <v>243</v>
      </c>
      <c r="FP50" s="408" t="s">
        <v>243</v>
      </c>
      <c r="FQ50" s="409" t="s">
        <v>243</v>
      </c>
      <c r="FR50" s="405" t="s">
        <v>243</v>
      </c>
      <c r="FS50" s="454"/>
      <c r="FT50" s="455">
        <v>0</v>
      </c>
      <c r="FU50" s="456">
        <v>0</v>
      </c>
      <c r="FV50" s="457">
        <f t="shared" si="0"/>
        <v>0</v>
      </c>
    </row>
    <row r="51" spans="1:178" ht="25.5" customHeight="1" x14ac:dyDescent="0.15">
      <c r="A51" s="449">
        <v>3.7</v>
      </c>
      <c r="B51" s="449" t="str">
        <f>'raw data'!B51</f>
        <v>Accounts redeemed within 12 months of inception (customer &lt;55 years old).</v>
      </c>
      <c r="C51" s="450" t="s">
        <v>88</v>
      </c>
      <c r="D51" s="451">
        <f>'raw data'!ET51</f>
        <v>0</v>
      </c>
      <c r="E51" s="452">
        <f>'raw data'!EU51</f>
        <v>3</v>
      </c>
      <c r="F51" s="453">
        <f>IF(ISERROR('raw data'!ET51/'raw data'!EU51),0,'raw data'!ET51/'raw data'!EU51)</f>
        <v>0</v>
      </c>
      <c r="G51" s="408" t="s">
        <v>30</v>
      </c>
      <c r="H51" s="409" t="s">
        <v>30</v>
      </c>
      <c r="I51" s="414" t="s">
        <v>30</v>
      </c>
      <c r="J51" s="408" t="s">
        <v>30</v>
      </c>
      <c r="K51" s="409" t="s">
        <v>30</v>
      </c>
      <c r="L51" s="414" t="s">
        <v>30</v>
      </c>
      <c r="M51" s="408" t="s">
        <v>30</v>
      </c>
      <c r="N51" s="409" t="s">
        <v>30</v>
      </c>
      <c r="O51" s="414" t="s">
        <v>30</v>
      </c>
      <c r="P51" s="408" t="s">
        <v>243</v>
      </c>
      <c r="Q51" s="409" t="s">
        <v>243</v>
      </c>
      <c r="R51" s="409" t="s">
        <v>243</v>
      </c>
      <c r="S51" s="408" t="s">
        <v>243</v>
      </c>
      <c r="T51" s="409" t="s">
        <v>243</v>
      </c>
      <c r="U51" s="409" t="s">
        <v>243</v>
      </c>
      <c r="V51" s="408" t="s">
        <v>243</v>
      </c>
      <c r="W51" s="409" t="s">
        <v>243</v>
      </c>
      <c r="X51" s="409" t="s">
        <v>243</v>
      </c>
      <c r="Y51" s="408" t="s">
        <v>243</v>
      </c>
      <c r="Z51" s="409" t="s">
        <v>243</v>
      </c>
      <c r="AA51" s="409" t="s">
        <v>243</v>
      </c>
      <c r="AB51" s="408" t="s">
        <v>243</v>
      </c>
      <c r="AC51" s="409" t="s">
        <v>243</v>
      </c>
      <c r="AD51" s="409" t="s">
        <v>243</v>
      </c>
      <c r="AE51" s="408" t="s">
        <v>243</v>
      </c>
      <c r="AF51" s="409" t="s">
        <v>243</v>
      </c>
      <c r="AG51" s="414" t="s">
        <v>243</v>
      </c>
      <c r="AH51" s="408" t="s">
        <v>243</v>
      </c>
      <c r="AI51" s="409" t="s">
        <v>243</v>
      </c>
      <c r="AJ51" s="404" t="s">
        <v>243</v>
      </c>
      <c r="AK51" s="408" t="s">
        <v>243</v>
      </c>
      <c r="AL51" s="409" t="s">
        <v>243</v>
      </c>
      <c r="AM51" s="404" t="s">
        <v>243</v>
      </c>
      <c r="AN51" s="408" t="s">
        <v>243</v>
      </c>
      <c r="AO51" s="409" t="s">
        <v>243</v>
      </c>
      <c r="AP51" s="404" t="s">
        <v>243</v>
      </c>
      <c r="AQ51" s="408" t="s">
        <v>243</v>
      </c>
      <c r="AR51" s="409" t="s">
        <v>243</v>
      </c>
      <c r="AS51" s="405" t="s">
        <v>243</v>
      </c>
      <c r="AT51" s="408" t="s">
        <v>243</v>
      </c>
      <c r="AU51" s="409" t="s">
        <v>243</v>
      </c>
      <c r="AV51" s="405" t="s">
        <v>243</v>
      </c>
      <c r="AW51" s="408" t="s">
        <v>243</v>
      </c>
      <c r="AX51" s="409" t="s">
        <v>243</v>
      </c>
      <c r="AY51" s="405" t="s">
        <v>243</v>
      </c>
      <c r="AZ51" s="408" t="s">
        <v>243</v>
      </c>
      <c r="BA51" s="409" t="s">
        <v>243</v>
      </c>
      <c r="BB51" s="405" t="s">
        <v>243</v>
      </c>
      <c r="BC51" s="408" t="s">
        <v>243</v>
      </c>
      <c r="BD51" s="409" t="s">
        <v>243</v>
      </c>
      <c r="BE51" s="405" t="s">
        <v>243</v>
      </c>
      <c r="BF51" s="408" t="s">
        <v>243</v>
      </c>
      <c r="BG51" s="409" t="s">
        <v>243</v>
      </c>
      <c r="BH51" s="405" t="s">
        <v>243</v>
      </c>
      <c r="BI51" s="408" t="s">
        <v>243</v>
      </c>
      <c r="BJ51" s="409" t="s">
        <v>243</v>
      </c>
      <c r="BK51" s="405" t="s">
        <v>243</v>
      </c>
      <c r="BL51" s="408" t="s">
        <v>243</v>
      </c>
      <c r="BM51" s="409" t="s">
        <v>243</v>
      </c>
      <c r="BN51" s="405" t="s">
        <v>243</v>
      </c>
      <c r="BO51" s="408" t="s">
        <v>243</v>
      </c>
      <c r="BP51" s="409" t="s">
        <v>243</v>
      </c>
      <c r="BQ51" s="405" t="s">
        <v>243</v>
      </c>
      <c r="BR51" s="408" t="s">
        <v>243</v>
      </c>
      <c r="BS51" s="409" t="s">
        <v>243</v>
      </c>
      <c r="BT51" s="405" t="s">
        <v>243</v>
      </c>
      <c r="BU51" s="408" t="s">
        <v>243</v>
      </c>
      <c r="BV51" s="409" t="s">
        <v>243</v>
      </c>
      <c r="BW51" s="405" t="s">
        <v>243</v>
      </c>
      <c r="BX51" s="408" t="s">
        <v>243</v>
      </c>
      <c r="BY51" s="409" t="s">
        <v>243</v>
      </c>
      <c r="BZ51" s="405" t="s">
        <v>243</v>
      </c>
      <c r="CA51" s="408" t="s">
        <v>243</v>
      </c>
      <c r="CB51" s="409" t="s">
        <v>243</v>
      </c>
      <c r="CC51" s="405" t="s">
        <v>243</v>
      </c>
      <c r="CD51" s="408" t="s">
        <v>243</v>
      </c>
      <c r="CE51" s="409" t="s">
        <v>243</v>
      </c>
      <c r="CF51" s="405" t="s">
        <v>243</v>
      </c>
      <c r="CG51" s="408" t="s">
        <v>243</v>
      </c>
      <c r="CH51" s="409" t="s">
        <v>243</v>
      </c>
      <c r="CI51" s="405" t="s">
        <v>243</v>
      </c>
      <c r="CJ51" s="408" t="s">
        <v>243</v>
      </c>
      <c r="CK51" s="409" t="s">
        <v>243</v>
      </c>
      <c r="CL51" s="405" t="s">
        <v>243</v>
      </c>
      <c r="CM51" s="408" t="s">
        <v>243</v>
      </c>
      <c r="CN51" s="409" t="s">
        <v>243</v>
      </c>
      <c r="CO51" s="405" t="s">
        <v>243</v>
      </c>
      <c r="CP51" s="408" t="s">
        <v>243</v>
      </c>
      <c r="CQ51" s="409" t="s">
        <v>243</v>
      </c>
      <c r="CR51" s="405" t="s">
        <v>243</v>
      </c>
      <c r="CS51" s="408" t="s">
        <v>243</v>
      </c>
      <c r="CT51" s="409" t="s">
        <v>243</v>
      </c>
      <c r="CU51" s="405" t="s">
        <v>243</v>
      </c>
      <c r="CV51" s="408" t="s">
        <v>243</v>
      </c>
      <c r="CW51" s="409" t="s">
        <v>243</v>
      </c>
      <c r="CX51" s="405" t="s">
        <v>243</v>
      </c>
      <c r="CY51" s="408" t="s">
        <v>243</v>
      </c>
      <c r="CZ51" s="409" t="s">
        <v>243</v>
      </c>
      <c r="DA51" s="405" t="s">
        <v>243</v>
      </c>
      <c r="DB51" s="408" t="s">
        <v>243</v>
      </c>
      <c r="DC51" s="409" t="s">
        <v>243</v>
      </c>
      <c r="DD51" s="405" t="s">
        <v>243</v>
      </c>
      <c r="DE51" s="408" t="s">
        <v>243</v>
      </c>
      <c r="DF51" s="409" t="s">
        <v>243</v>
      </c>
      <c r="DG51" s="405" t="s">
        <v>243</v>
      </c>
      <c r="DH51" s="408" t="s">
        <v>243</v>
      </c>
      <c r="DI51" s="409" t="s">
        <v>243</v>
      </c>
      <c r="DJ51" s="405" t="s">
        <v>243</v>
      </c>
      <c r="DK51" s="408" t="s">
        <v>243</v>
      </c>
      <c r="DL51" s="409" t="s">
        <v>243</v>
      </c>
      <c r="DM51" s="405" t="s">
        <v>243</v>
      </c>
      <c r="DN51" s="408" t="s">
        <v>243</v>
      </c>
      <c r="DO51" s="409" t="s">
        <v>243</v>
      </c>
      <c r="DP51" s="405" t="s">
        <v>243</v>
      </c>
      <c r="DQ51" s="408" t="s">
        <v>243</v>
      </c>
      <c r="DR51" s="409" t="s">
        <v>243</v>
      </c>
      <c r="DS51" s="405" t="s">
        <v>243</v>
      </c>
      <c r="DT51" s="408" t="s">
        <v>243</v>
      </c>
      <c r="DU51" s="409" t="s">
        <v>243</v>
      </c>
      <c r="DV51" s="405" t="s">
        <v>243</v>
      </c>
      <c r="DW51" s="408" t="s">
        <v>243</v>
      </c>
      <c r="DX51" s="409" t="s">
        <v>243</v>
      </c>
      <c r="DY51" s="405" t="s">
        <v>243</v>
      </c>
      <c r="DZ51" s="408" t="s">
        <v>243</v>
      </c>
      <c r="EA51" s="409" t="s">
        <v>243</v>
      </c>
      <c r="EB51" s="405" t="s">
        <v>243</v>
      </c>
      <c r="EC51" s="408" t="s">
        <v>243</v>
      </c>
      <c r="ED51" s="409" t="s">
        <v>243</v>
      </c>
      <c r="EE51" s="405" t="s">
        <v>243</v>
      </c>
      <c r="EF51" s="408" t="s">
        <v>243</v>
      </c>
      <c r="EG51" s="409" t="s">
        <v>243</v>
      </c>
      <c r="EH51" s="405" t="s">
        <v>243</v>
      </c>
      <c r="EI51" s="408" t="s">
        <v>243</v>
      </c>
      <c r="EJ51" s="409" t="s">
        <v>243</v>
      </c>
      <c r="EK51" s="405" t="s">
        <v>243</v>
      </c>
      <c r="EL51" s="408" t="s">
        <v>243</v>
      </c>
      <c r="EM51" s="409" t="s">
        <v>243</v>
      </c>
      <c r="EN51" s="405" t="s">
        <v>243</v>
      </c>
      <c r="EO51" s="408" t="s">
        <v>243</v>
      </c>
      <c r="EP51" s="409" t="s">
        <v>243</v>
      </c>
      <c r="EQ51" s="405" t="s">
        <v>243</v>
      </c>
      <c r="ER51" s="408" t="s">
        <v>243</v>
      </c>
      <c r="ES51" s="409" t="s">
        <v>243</v>
      </c>
      <c r="ET51" s="405" t="s">
        <v>243</v>
      </c>
      <c r="EU51" s="408" t="s">
        <v>243</v>
      </c>
      <c r="EV51" s="409" t="s">
        <v>243</v>
      </c>
      <c r="EW51" s="405" t="s">
        <v>243</v>
      </c>
      <c r="EX51" s="408" t="s">
        <v>243</v>
      </c>
      <c r="EY51" s="409" t="s">
        <v>243</v>
      </c>
      <c r="EZ51" s="405" t="s">
        <v>243</v>
      </c>
      <c r="FA51" s="408" t="s">
        <v>243</v>
      </c>
      <c r="FB51" s="409" t="s">
        <v>243</v>
      </c>
      <c r="FC51" s="405" t="s">
        <v>243</v>
      </c>
      <c r="FD51" s="408" t="s">
        <v>243</v>
      </c>
      <c r="FE51" s="409" t="s">
        <v>243</v>
      </c>
      <c r="FF51" s="405" t="s">
        <v>243</v>
      </c>
      <c r="FG51" s="408" t="s">
        <v>243</v>
      </c>
      <c r="FH51" s="409" t="s">
        <v>243</v>
      </c>
      <c r="FI51" s="405" t="s">
        <v>243</v>
      </c>
      <c r="FJ51" s="408" t="s">
        <v>243</v>
      </c>
      <c r="FK51" s="409" t="s">
        <v>243</v>
      </c>
      <c r="FL51" s="405" t="s">
        <v>243</v>
      </c>
      <c r="FM51" s="408" t="s">
        <v>243</v>
      </c>
      <c r="FN51" s="409" t="s">
        <v>243</v>
      </c>
      <c r="FO51" s="405" t="s">
        <v>243</v>
      </c>
      <c r="FP51" s="408" t="s">
        <v>243</v>
      </c>
      <c r="FQ51" s="409" t="s">
        <v>243</v>
      </c>
      <c r="FR51" s="405" t="s">
        <v>243</v>
      </c>
      <c r="FS51" s="454"/>
      <c r="FT51" s="455">
        <v>0</v>
      </c>
      <c r="FU51" s="456">
        <v>0</v>
      </c>
      <c r="FV51" s="457">
        <f t="shared" si="0"/>
        <v>0</v>
      </c>
    </row>
    <row r="52" spans="1:178" ht="14" hidden="1" x14ac:dyDescent="0.15">
      <c r="A52" s="449">
        <v>3.8</v>
      </c>
      <c r="B52" s="449">
        <f>'raw data'!B52</f>
        <v>0</v>
      </c>
      <c r="C52" s="450" t="s">
        <v>249</v>
      </c>
      <c r="D52" s="458"/>
      <c r="E52" s="459"/>
      <c r="F52" s="460"/>
      <c r="G52" s="461"/>
      <c r="H52" s="462"/>
      <c r="I52" s="463"/>
      <c r="J52" s="461"/>
      <c r="K52" s="462"/>
      <c r="L52" s="463"/>
      <c r="M52" s="461"/>
      <c r="N52" s="462"/>
      <c r="O52" s="463"/>
      <c r="P52" s="461"/>
      <c r="Q52" s="462"/>
      <c r="R52" s="462"/>
      <c r="S52" s="461"/>
      <c r="T52" s="462"/>
      <c r="U52" s="462"/>
      <c r="V52" s="461"/>
      <c r="W52" s="462"/>
      <c r="X52" s="462"/>
      <c r="Y52" s="461"/>
      <c r="Z52" s="462"/>
      <c r="AA52" s="462"/>
      <c r="AB52" s="461"/>
      <c r="AC52" s="462"/>
      <c r="AD52" s="462"/>
      <c r="AE52" s="461"/>
      <c r="AF52" s="462"/>
      <c r="AG52" s="463"/>
      <c r="AH52" s="461"/>
      <c r="AI52" s="462"/>
      <c r="AJ52" s="404"/>
      <c r="AK52" s="461"/>
      <c r="AL52" s="462"/>
      <c r="AM52" s="404"/>
      <c r="AN52" s="461"/>
      <c r="AO52" s="462"/>
      <c r="AP52" s="404"/>
      <c r="AQ52" s="461"/>
      <c r="AR52" s="462"/>
      <c r="AS52" s="405"/>
      <c r="AT52" s="461"/>
      <c r="AU52" s="462"/>
      <c r="AV52" s="405"/>
      <c r="AW52" s="461"/>
      <c r="AX52" s="462"/>
      <c r="AY52" s="405"/>
      <c r="AZ52" s="461"/>
      <c r="BA52" s="462"/>
      <c r="BB52" s="405"/>
      <c r="BC52" s="461"/>
      <c r="BD52" s="462"/>
      <c r="BE52" s="405"/>
      <c r="BF52" s="461"/>
      <c r="BG52" s="462"/>
      <c r="BH52" s="405"/>
      <c r="BI52" s="461"/>
      <c r="BJ52" s="462"/>
      <c r="BK52" s="405"/>
      <c r="BL52" s="461"/>
      <c r="BM52" s="462"/>
      <c r="BN52" s="405"/>
      <c r="BO52" s="461"/>
      <c r="BP52" s="462"/>
      <c r="BQ52" s="405"/>
      <c r="BR52" s="461"/>
      <c r="BS52" s="462"/>
      <c r="BT52" s="405"/>
      <c r="BU52" s="461"/>
      <c r="BV52" s="462"/>
      <c r="BW52" s="405"/>
      <c r="BX52" s="461"/>
      <c r="BY52" s="462"/>
      <c r="BZ52" s="405"/>
      <c r="CA52" s="461"/>
      <c r="CB52" s="462"/>
      <c r="CC52" s="405"/>
      <c r="CD52" s="461"/>
      <c r="CE52" s="462"/>
      <c r="CF52" s="405"/>
      <c r="CG52" s="461"/>
      <c r="CH52" s="462"/>
      <c r="CI52" s="405"/>
      <c r="CJ52" s="461"/>
      <c r="CK52" s="462"/>
      <c r="CL52" s="405"/>
      <c r="CM52" s="461"/>
      <c r="CN52" s="462"/>
      <c r="CO52" s="405"/>
      <c r="CP52" s="461"/>
      <c r="CQ52" s="462"/>
      <c r="CR52" s="405"/>
      <c r="CS52" s="461"/>
      <c r="CT52" s="462"/>
      <c r="CU52" s="405"/>
      <c r="CV52" s="461"/>
      <c r="CW52" s="462"/>
      <c r="CX52" s="405"/>
      <c r="CY52" s="461"/>
      <c r="CZ52" s="462"/>
      <c r="DA52" s="405"/>
      <c r="DB52" s="461"/>
      <c r="DC52" s="462"/>
      <c r="DD52" s="405"/>
      <c r="DE52" s="461"/>
      <c r="DF52" s="462"/>
      <c r="DG52" s="405"/>
      <c r="DH52" s="461"/>
      <c r="DI52" s="462"/>
      <c r="DJ52" s="405"/>
      <c r="DK52" s="461"/>
      <c r="DL52" s="462"/>
      <c r="DM52" s="405"/>
      <c r="DN52" s="461"/>
      <c r="DO52" s="462"/>
      <c r="DP52" s="405"/>
      <c r="DQ52" s="461"/>
      <c r="DR52" s="462"/>
      <c r="DS52" s="405"/>
      <c r="DT52" s="461"/>
      <c r="DU52" s="462"/>
      <c r="DV52" s="405"/>
      <c r="DW52" s="461"/>
      <c r="DX52" s="462"/>
      <c r="DY52" s="405"/>
      <c r="DZ52" s="461"/>
      <c r="EA52" s="462"/>
      <c r="EB52" s="405"/>
      <c r="EC52" s="461"/>
      <c r="ED52" s="462"/>
      <c r="EE52" s="405"/>
      <c r="EF52" s="461"/>
      <c r="EG52" s="462"/>
      <c r="EH52" s="405"/>
      <c r="EI52" s="461"/>
      <c r="EJ52" s="462"/>
      <c r="EK52" s="405"/>
      <c r="EL52" s="461"/>
      <c r="EM52" s="462"/>
      <c r="EN52" s="405"/>
      <c r="EO52" s="461"/>
      <c r="EP52" s="462"/>
      <c r="EQ52" s="405"/>
      <c r="ER52" s="461"/>
      <c r="ES52" s="462"/>
      <c r="ET52" s="405"/>
      <c r="EU52" s="461"/>
      <c r="EV52" s="462"/>
      <c r="EW52" s="405"/>
      <c r="EX52" s="461"/>
      <c r="EY52" s="462"/>
      <c r="EZ52" s="405"/>
      <c r="FA52" s="461"/>
      <c r="FB52" s="462"/>
      <c r="FC52" s="405"/>
      <c r="FD52" s="461"/>
      <c r="FE52" s="462"/>
      <c r="FF52" s="405"/>
      <c r="FG52" s="461"/>
      <c r="FH52" s="462"/>
      <c r="FI52" s="405"/>
      <c r="FJ52" s="461"/>
      <c r="FK52" s="462"/>
      <c r="FL52" s="405"/>
      <c r="FM52" s="461"/>
      <c r="FN52" s="462"/>
      <c r="FO52" s="405"/>
      <c r="FP52" s="461"/>
      <c r="FQ52" s="462"/>
      <c r="FR52" s="405"/>
      <c r="FS52" s="454"/>
      <c r="FT52" s="455"/>
      <c r="FU52" s="456"/>
      <c r="FV52" s="457"/>
    </row>
    <row r="53" spans="1:178" ht="28" x14ac:dyDescent="0.15">
      <c r="A53" s="449">
        <v>3.9</v>
      </c>
      <c r="B53" s="449" t="str">
        <f>'raw data'!B53</f>
        <v>An overpayment incurring an early redemption fee on a mortgage &lt;= 12 months old.</v>
      </c>
      <c r="C53" s="450" t="s">
        <v>91</v>
      </c>
      <c r="D53" s="451">
        <f>'raw data'!ET53</f>
        <v>0</v>
      </c>
      <c r="E53" s="452">
        <f>'raw data'!EU53</f>
        <v>0</v>
      </c>
      <c r="F53" s="453">
        <f>IF(ISERROR('raw data'!ET53/'raw data'!EU53),0,'raw data'!ET53/'raw data'!EU53)</f>
        <v>0</v>
      </c>
      <c r="G53" s="408" t="s">
        <v>30</v>
      </c>
      <c r="H53" s="409" t="s">
        <v>30</v>
      </c>
      <c r="I53" s="414" t="s">
        <v>30</v>
      </c>
      <c r="J53" s="408" t="s">
        <v>30</v>
      </c>
      <c r="K53" s="409" t="s">
        <v>30</v>
      </c>
      <c r="L53" s="414" t="s">
        <v>30</v>
      </c>
      <c r="M53" s="408" t="s">
        <v>30</v>
      </c>
      <c r="N53" s="409" t="s">
        <v>30</v>
      </c>
      <c r="O53" s="414" t="s">
        <v>30</v>
      </c>
      <c r="P53" s="408" t="s">
        <v>243</v>
      </c>
      <c r="Q53" s="409" t="s">
        <v>243</v>
      </c>
      <c r="R53" s="409" t="s">
        <v>243</v>
      </c>
      <c r="S53" s="408" t="s">
        <v>243</v>
      </c>
      <c r="T53" s="409" t="s">
        <v>243</v>
      </c>
      <c r="U53" s="409" t="s">
        <v>243</v>
      </c>
      <c r="V53" s="408" t="s">
        <v>243</v>
      </c>
      <c r="W53" s="409" t="s">
        <v>243</v>
      </c>
      <c r="X53" s="409" t="s">
        <v>243</v>
      </c>
      <c r="Y53" s="408" t="s">
        <v>243</v>
      </c>
      <c r="Z53" s="409" t="s">
        <v>243</v>
      </c>
      <c r="AA53" s="409" t="s">
        <v>243</v>
      </c>
      <c r="AB53" s="408" t="s">
        <v>243</v>
      </c>
      <c r="AC53" s="409" t="s">
        <v>243</v>
      </c>
      <c r="AD53" s="409" t="s">
        <v>243</v>
      </c>
      <c r="AE53" s="408" t="s">
        <v>243</v>
      </c>
      <c r="AF53" s="409" t="s">
        <v>243</v>
      </c>
      <c r="AG53" s="414" t="s">
        <v>243</v>
      </c>
      <c r="AH53" s="408" t="s">
        <v>243</v>
      </c>
      <c r="AI53" s="409" t="s">
        <v>243</v>
      </c>
      <c r="AJ53" s="404" t="s">
        <v>243</v>
      </c>
      <c r="AK53" s="408" t="s">
        <v>243</v>
      </c>
      <c r="AL53" s="409" t="s">
        <v>243</v>
      </c>
      <c r="AM53" s="404" t="s">
        <v>243</v>
      </c>
      <c r="AN53" s="408" t="s">
        <v>243</v>
      </c>
      <c r="AO53" s="409" t="s">
        <v>243</v>
      </c>
      <c r="AP53" s="404" t="s">
        <v>243</v>
      </c>
      <c r="AQ53" s="408" t="s">
        <v>243</v>
      </c>
      <c r="AR53" s="409" t="s">
        <v>243</v>
      </c>
      <c r="AS53" s="405" t="s">
        <v>243</v>
      </c>
      <c r="AT53" s="408" t="s">
        <v>243</v>
      </c>
      <c r="AU53" s="409" t="s">
        <v>243</v>
      </c>
      <c r="AV53" s="405" t="s">
        <v>243</v>
      </c>
      <c r="AW53" s="408" t="s">
        <v>243</v>
      </c>
      <c r="AX53" s="409" t="s">
        <v>243</v>
      </c>
      <c r="AY53" s="405" t="s">
        <v>243</v>
      </c>
      <c r="AZ53" s="408" t="s">
        <v>243</v>
      </c>
      <c r="BA53" s="409" t="s">
        <v>243</v>
      </c>
      <c r="BB53" s="405" t="s">
        <v>243</v>
      </c>
      <c r="BC53" s="408" t="s">
        <v>243</v>
      </c>
      <c r="BD53" s="409" t="s">
        <v>243</v>
      </c>
      <c r="BE53" s="405" t="s">
        <v>243</v>
      </c>
      <c r="BF53" s="408" t="s">
        <v>243</v>
      </c>
      <c r="BG53" s="409" t="s">
        <v>243</v>
      </c>
      <c r="BH53" s="405" t="s">
        <v>243</v>
      </c>
      <c r="BI53" s="408" t="s">
        <v>243</v>
      </c>
      <c r="BJ53" s="409" t="s">
        <v>243</v>
      </c>
      <c r="BK53" s="405" t="s">
        <v>243</v>
      </c>
      <c r="BL53" s="408" t="s">
        <v>243</v>
      </c>
      <c r="BM53" s="409" t="s">
        <v>243</v>
      </c>
      <c r="BN53" s="405" t="s">
        <v>243</v>
      </c>
      <c r="BO53" s="408" t="s">
        <v>243</v>
      </c>
      <c r="BP53" s="409" t="s">
        <v>243</v>
      </c>
      <c r="BQ53" s="405" t="s">
        <v>243</v>
      </c>
      <c r="BR53" s="408" t="s">
        <v>243</v>
      </c>
      <c r="BS53" s="409" t="s">
        <v>243</v>
      </c>
      <c r="BT53" s="405" t="s">
        <v>243</v>
      </c>
      <c r="BU53" s="408" t="s">
        <v>243</v>
      </c>
      <c r="BV53" s="409" t="s">
        <v>243</v>
      </c>
      <c r="BW53" s="405" t="s">
        <v>243</v>
      </c>
      <c r="BX53" s="408" t="s">
        <v>243</v>
      </c>
      <c r="BY53" s="409" t="s">
        <v>243</v>
      </c>
      <c r="BZ53" s="405" t="s">
        <v>243</v>
      </c>
      <c r="CA53" s="408" t="s">
        <v>243</v>
      </c>
      <c r="CB53" s="409" t="s">
        <v>243</v>
      </c>
      <c r="CC53" s="405" t="s">
        <v>243</v>
      </c>
      <c r="CD53" s="408" t="s">
        <v>243</v>
      </c>
      <c r="CE53" s="409" t="s">
        <v>243</v>
      </c>
      <c r="CF53" s="405" t="s">
        <v>243</v>
      </c>
      <c r="CG53" s="408" t="s">
        <v>243</v>
      </c>
      <c r="CH53" s="409" t="s">
        <v>243</v>
      </c>
      <c r="CI53" s="405" t="s">
        <v>243</v>
      </c>
      <c r="CJ53" s="408" t="s">
        <v>243</v>
      </c>
      <c r="CK53" s="409" t="s">
        <v>243</v>
      </c>
      <c r="CL53" s="405" t="s">
        <v>243</v>
      </c>
      <c r="CM53" s="408" t="s">
        <v>243</v>
      </c>
      <c r="CN53" s="409" t="s">
        <v>243</v>
      </c>
      <c r="CO53" s="405" t="s">
        <v>243</v>
      </c>
      <c r="CP53" s="408" t="s">
        <v>243</v>
      </c>
      <c r="CQ53" s="409" t="s">
        <v>243</v>
      </c>
      <c r="CR53" s="405" t="s">
        <v>243</v>
      </c>
      <c r="CS53" s="408" t="s">
        <v>243</v>
      </c>
      <c r="CT53" s="409" t="s">
        <v>243</v>
      </c>
      <c r="CU53" s="405" t="s">
        <v>243</v>
      </c>
      <c r="CV53" s="408" t="s">
        <v>243</v>
      </c>
      <c r="CW53" s="409" t="s">
        <v>243</v>
      </c>
      <c r="CX53" s="405" t="s">
        <v>243</v>
      </c>
      <c r="CY53" s="408" t="s">
        <v>243</v>
      </c>
      <c r="CZ53" s="409" t="s">
        <v>243</v>
      </c>
      <c r="DA53" s="405" t="s">
        <v>243</v>
      </c>
      <c r="DB53" s="408" t="s">
        <v>243</v>
      </c>
      <c r="DC53" s="409" t="s">
        <v>243</v>
      </c>
      <c r="DD53" s="405" t="s">
        <v>243</v>
      </c>
      <c r="DE53" s="408" t="s">
        <v>243</v>
      </c>
      <c r="DF53" s="409" t="s">
        <v>243</v>
      </c>
      <c r="DG53" s="405" t="s">
        <v>243</v>
      </c>
      <c r="DH53" s="408" t="s">
        <v>243</v>
      </c>
      <c r="DI53" s="409" t="s">
        <v>243</v>
      </c>
      <c r="DJ53" s="405" t="s">
        <v>243</v>
      </c>
      <c r="DK53" s="408" t="s">
        <v>243</v>
      </c>
      <c r="DL53" s="409" t="s">
        <v>243</v>
      </c>
      <c r="DM53" s="405" t="s">
        <v>243</v>
      </c>
      <c r="DN53" s="408" t="s">
        <v>243</v>
      </c>
      <c r="DO53" s="409" t="s">
        <v>243</v>
      </c>
      <c r="DP53" s="405" t="s">
        <v>243</v>
      </c>
      <c r="DQ53" s="408" t="s">
        <v>243</v>
      </c>
      <c r="DR53" s="409" t="s">
        <v>243</v>
      </c>
      <c r="DS53" s="405" t="s">
        <v>243</v>
      </c>
      <c r="DT53" s="408" t="s">
        <v>243</v>
      </c>
      <c r="DU53" s="409" t="s">
        <v>243</v>
      </c>
      <c r="DV53" s="405" t="s">
        <v>243</v>
      </c>
      <c r="DW53" s="408" t="s">
        <v>243</v>
      </c>
      <c r="DX53" s="409" t="s">
        <v>243</v>
      </c>
      <c r="DY53" s="405" t="s">
        <v>243</v>
      </c>
      <c r="DZ53" s="408" t="s">
        <v>243</v>
      </c>
      <c r="EA53" s="409" t="s">
        <v>243</v>
      </c>
      <c r="EB53" s="405" t="s">
        <v>243</v>
      </c>
      <c r="EC53" s="408" t="s">
        <v>243</v>
      </c>
      <c r="ED53" s="409" t="s">
        <v>243</v>
      </c>
      <c r="EE53" s="405" t="s">
        <v>243</v>
      </c>
      <c r="EF53" s="408" t="s">
        <v>243</v>
      </c>
      <c r="EG53" s="409" t="s">
        <v>243</v>
      </c>
      <c r="EH53" s="405" t="s">
        <v>243</v>
      </c>
      <c r="EI53" s="408" t="s">
        <v>243</v>
      </c>
      <c r="EJ53" s="409" t="s">
        <v>243</v>
      </c>
      <c r="EK53" s="405" t="s">
        <v>243</v>
      </c>
      <c r="EL53" s="408" t="s">
        <v>243</v>
      </c>
      <c r="EM53" s="409" t="s">
        <v>243</v>
      </c>
      <c r="EN53" s="405" t="s">
        <v>243</v>
      </c>
      <c r="EO53" s="408" t="s">
        <v>243</v>
      </c>
      <c r="EP53" s="409" t="s">
        <v>243</v>
      </c>
      <c r="EQ53" s="405" t="s">
        <v>243</v>
      </c>
      <c r="ER53" s="408" t="s">
        <v>243</v>
      </c>
      <c r="ES53" s="409" t="s">
        <v>243</v>
      </c>
      <c r="ET53" s="405" t="s">
        <v>243</v>
      </c>
      <c r="EU53" s="408" t="s">
        <v>243</v>
      </c>
      <c r="EV53" s="409" t="s">
        <v>243</v>
      </c>
      <c r="EW53" s="405" t="s">
        <v>243</v>
      </c>
      <c r="EX53" s="408" t="s">
        <v>243</v>
      </c>
      <c r="EY53" s="409" t="s">
        <v>243</v>
      </c>
      <c r="EZ53" s="405" t="s">
        <v>243</v>
      </c>
      <c r="FA53" s="408" t="s">
        <v>243</v>
      </c>
      <c r="FB53" s="409" t="s">
        <v>243</v>
      </c>
      <c r="FC53" s="405" t="s">
        <v>243</v>
      </c>
      <c r="FD53" s="408" t="s">
        <v>243</v>
      </c>
      <c r="FE53" s="409" t="s">
        <v>243</v>
      </c>
      <c r="FF53" s="405" t="s">
        <v>243</v>
      </c>
      <c r="FG53" s="408" t="s">
        <v>243</v>
      </c>
      <c r="FH53" s="409" t="s">
        <v>243</v>
      </c>
      <c r="FI53" s="405" t="s">
        <v>243</v>
      </c>
      <c r="FJ53" s="408" t="s">
        <v>243</v>
      </c>
      <c r="FK53" s="409" t="s">
        <v>243</v>
      </c>
      <c r="FL53" s="405" t="s">
        <v>243</v>
      </c>
      <c r="FM53" s="408" t="s">
        <v>243</v>
      </c>
      <c r="FN53" s="409" t="s">
        <v>243</v>
      </c>
      <c r="FO53" s="405" t="s">
        <v>243</v>
      </c>
      <c r="FP53" s="408" t="s">
        <v>243</v>
      </c>
      <c r="FQ53" s="409" t="s">
        <v>243</v>
      </c>
      <c r="FR53" s="405" t="s">
        <v>243</v>
      </c>
      <c r="FS53" s="454"/>
      <c r="FT53" s="455">
        <v>0</v>
      </c>
      <c r="FU53" s="456">
        <v>0</v>
      </c>
      <c r="FV53" s="457">
        <f t="shared" si="0"/>
        <v>0</v>
      </c>
    </row>
    <row r="54" spans="1:178" ht="28" x14ac:dyDescent="0.15">
      <c r="A54" s="464" t="s">
        <v>92</v>
      </c>
      <c r="B54" s="449" t="str">
        <f>'raw data'!B54</f>
        <v>Mortgage accounts receiving 6 or more electronic payments last month.</v>
      </c>
      <c r="C54" s="450" t="s">
        <v>94</v>
      </c>
      <c r="D54" s="451">
        <f>'raw data'!ET54</f>
        <v>0</v>
      </c>
      <c r="E54" s="452">
        <f>'raw data'!EU54</f>
        <v>0</v>
      </c>
      <c r="F54" s="453">
        <f>IF(ISERROR('raw data'!ET54/'raw data'!EU54),0,'raw data'!ET54/'raw data'!EU54)</f>
        <v>0</v>
      </c>
      <c r="G54" s="402" t="s">
        <v>243</v>
      </c>
      <c r="H54" s="403" t="s">
        <v>243</v>
      </c>
      <c r="I54" s="404" t="s">
        <v>243</v>
      </c>
      <c r="J54" s="402" t="s">
        <v>243</v>
      </c>
      <c r="K54" s="403" t="s">
        <v>243</v>
      </c>
      <c r="L54" s="404" t="s">
        <v>243</v>
      </c>
      <c r="M54" s="402" t="s">
        <v>243</v>
      </c>
      <c r="N54" s="403" t="s">
        <v>243</v>
      </c>
      <c r="O54" s="404" t="s">
        <v>243</v>
      </c>
      <c r="P54" s="402" t="s">
        <v>243</v>
      </c>
      <c r="Q54" s="403" t="s">
        <v>243</v>
      </c>
      <c r="R54" s="404" t="s">
        <v>243</v>
      </c>
      <c r="S54" s="402" t="s">
        <v>243</v>
      </c>
      <c r="T54" s="403" t="s">
        <v>243</v>
      </c>
      <c r="U54" s="404" t="s">
        <v>243</v>
      </c>
      <c r="V54" s="402" t="s">
        <v>243</v>
      </c>
      <c r="W54" s="403" t="s">
        <v>243</v>
      </c>
      <c r="X54" s="404" t="s">
        <v>243</v>
      </c>
      <c r="Y54" s="402" t="s">
        <v>243</v>
      </c>
      <c r="Z54" s="403" t="s">
        <v>243</v>
      </c>
      <c r="AA54" s="404" t="s">
        <v>243</v>
      </c>
      <c r="AB54" s="402" t="s">
        <v>243</v>
      </c>
      <c r="AC54" s="403" t="s">
        <v>243</v>
      </c>
      <c r="AD54" s="404" t="s">
        <v>243</v>
      </c>
      <c r="AE54" s="402" t="s">
        <v>243</v>
      </c>
      <c r="AF54" s="403" t="s">
        <v>243</v>
      </c>
      <c r="AG54" s="404" t="s">
        <v>243</v>
      </c>
      <c r="AH54" s="402" t="s">
        <v>243</v>
      </c>
      <c r="AI54" s="403" t="s">
        <v>243</v>
      </c>
      <c r="AJ54" s="404" t="s">
        <v>243</v>
      </c>
      <c r="AK54" s="402" t="s">
        <v>243</v>
      </c>
      <c r="AL54" s="403" t="s">
        <v>243</v>
      </c>
      <c r="AM54" s="404" t="s">
        <v>243</v>
      </c>
      <c r="AN54" s="402" t="s">
        <v>243</v>
      </c>
      <c r="AO54" s="403" t="s">
        <v>243</v>
      </c>
      <c r="AP54" s="404" t="s">
        <v>243</v>
      </c>
      <c r="AQ54" s="402" t="s">
        <v>243</v>
      </c>
      <c r="AR54" s="403" t="s">
        <v>243</v>
      </c>
      <c r="AS54" s="405" t="s">
        <v>243</v>
      </c>
      <c r="AT54" s="402" t="s">
        <v>243</v>
      </c>
      <c r="AU54" s="403" t="s">
        <v>243</v>
      </c>
      <c r="AV54" s="405" t="s">
        <v>243</v>
      </c>
      <c r="AW54" s="402" t="s">
        <v>243</v>
      </c>
      <c r="AX54" s="403" t="s">
        <v>243</v>
      </c>
      <c r="AY54" s="405" t="s">
        <v>243</v>
      </c>
      <c r="AZ54" s="402" t="s">
        <v>243</v>
      </c>
      <c r="BA54" s="403" t="s">
        <v>243</v>
      </c>
      <c r="BB54" s="405" t="s">
        <v>243</v>
      </c>
      <c r="BC54" s="402" t="s">
        <v>243</v>
      </c>
      <c r="BD54" s="403" t="s">
        <v>243</v>
      </c>
      <c r="BE54" s="405" t="s">
        <v>243</v>
      </c>
      <c r="BF54" s="402" t="s">
        <v>243</v>
      </c>
      <c r="BG54" s="403" t="s">
        <v>243</v>
      </c>
      <c r="BH54" s="405" t="s">
        <v>243</v>
      </c>
      <c r="BI54" s="402" t="s">
        <v>243</v>
      </c>
      <c r="BJ54" s="403" t="s">
        <v>243</v>
      </c>
      <c r="BK54" s="405" t="s">
        <v>243</v>
      </c>
      <c r="BL54" s="402" t="s">
        <v>243</v>
      </c>
      <c r="BM54" s="403" t="s">
        <v>243</v>
      </c>
      <c r="BN54" s="405" t="s">
        <v>243</v>
      </c>
      <c r="BO54" s="402" t="s">
        <v>243</v>
      </c>
      <c r="BP54" s="403" t="s">
        <v>243</v>
      </c>
      <c r="BQ54" s="405" t="s">
        <v>243</v>
      </c>
      <c r="BR54" s="402" t="s">
        <v>243</v>
      </c>
      <c r="BS54" s="403" t="s">
        <v>243</v>
      </c>
      <c r="BT54" s="405" t="s">
        <v>243</v>
      </c>
      <c r="BU54" s="402" t="s">
        <v>243</v>
      </c>
      <c r="BV54" s="403" t="s">
        <v>243</v>
      </c>
      <c r="BW54" s="405" t="s">
        <v>243</v>
      </c>
      <c r="BX54" s="402" t="s">
        <v>243</v>
      </c>
      <c r="BY54" s="403" t="s">
        <v>243</v>
      </c>
      <c r="BZ54" s="405" t="s">
        <v>243</v>
      </c>
      <c r="CA54" s="402" t="s">
        <v>243</v>
      </c>
      <c r="CB54" s="403" t="s">
        <v>243</v>
      </c>
      <c r="CC54" s="405" t="s">
        <v>243</v>
      </c>
      <c r="CD54" s="402" t="s">
        <v>243</v>
      </c>
      <c r="CE54" s="403" t="s">
        <v>243</v>
      </c>
      <c r="CF54" s="405" t="s">
        <v>243</v>
      </c>
      <c r="CG54" s="402" t="s">
        <v>243</v>
      </c>
      <c r="CH54" s="403" t="s">
        <v>243</v>
      </c>
      <c r="CI54" s="405" t="s">
        <v>243</v>
      </c>
      <c r="CJ54" s="402" t="s">
        <v>243</v>
      </c>
      <c r="CK54" s="403" t="s">
        <v>243</v>
      </c>
      <c r="CL54" s="405" t="s">
        <v>243</v>
      </c>
      <c r="CM54" s="402" t="s">
        <v>243</v>
      </c>
      <c r="CN54" s="403" t="s">
        <v>243</v>
      </c>
      <c r="CO54" s="405" t="s">
        <v>243</v>
      </c>
      <c r="CP54" s="402" t="s">
        <v>243</v>
      </c>
      <c r="CQ54" s="403" t="s">
        <v>243</v>
      </c>
      <c r="CR54" s="405" t="s">
        <v>243</v>
      </c>
      <c r="CS54" s="402" t="s">
        <v>243</v>
      </c>
      <c r="CT54" s="403" t="s">
        <v>243</v>
      </c>
      <c r="CU54" s="405" t="s">
        <v>243</v>
      </c>
      <c r="CV54" s="402" t="s">
        <v>243</v>
      </c>
      <c r="CW54" s="403" t="s">
        <v>243</v>
      </c>
      <c r="CX54" s="405" t="s">
        <v>243</v>
      </c>
      <c r="CY54" s="402" t="s">
        <v>243</v>
      </c>
      <c r="CZ54" s="403" t="s">
        <v>243</v>
      </c>
      <c r="DA54" s="405" t="s">
        <v>243</v>
      </c>
      <c r="DB54" s="402" t="s">
        <v>243</v>
      </c>
      <c r="DC54" s="403" t="s">
        <v>243</v>
      </c>
      <c r="DD54" s="405" t="s">
        <v>243</v>
      </c>
      <c r="DE54" s="402" t="s">
        <v>243</v>
      </c>
      <c r="DF54" s="403" t="s">
        <v>243</v>
      </c>
      <c r="DG54" s="405" t="s">
        <v>243</v>
      </c>
      <c r="DH54" s="402" t="s">
        <v>243</v>
      </c>
      <c r="DI54" s="403" t="s">
        <v>243</v>
      </c>
      <c r="DJ54" s="405" t="s">
        <v>243</v>
      </c>
      <c r="DK54" s="402" t="s">
        <v>243</v>
      </c>
      <c r="DL54" s="403" t="s">
        <v>243</v>
      </c>
      <c r="DM54" s="405" t="s">
        <v>243</v>
      </c>
      <c r="DN54" s="402" t="s">
        <v>243</v>
      </c>
      <c r="DO54" s="403" t="s">
        <v>243</v>
      </c>
      <c r="DP54" s="405" t="s">
        <v>243</v>
      </c>
      <c r="DQ54" s="402" t="s">
        <v>243</v>
      </c>
      <c r="DR54" s="403" t="s">
        <v>243</v>
      </c>
      <c r="DS54" s="405" t="s">
        <v>243</v>
      </c>
      <c r="DT54" s="402" t="s">
        <v>243</v>
      </c>
      <c r="DU54" s="403" t="s">
        <v>243</v>
      </c>
      <c r="DV54" s="405" t="s">
        <v>243</v>
      </c>
      <c r="DW54" s="402" t="s">
        <v>243</v>
      </c>
      <c r="DX54" s="403" t="s">
        <v>243</v>
      </c>
      <c r="DY54" s="405" t="s">
        <v>243</v>
      </c>
      <c r="DZ54" s="402" t="s">
        <v>243</v>
      </c>
      <c r="EA54" s="403" t="s">
        <v>243</v>
      </c>
      <c r="EB54" s="405" t="s">
        <v>243</v>
      </c>
      <c r="EC54" s="402" t="s">
        <v>243</v>
      </c>
      <c r="ED54" s="403" t="s">
        <v>243</v>
      </c>
      <c r="EE54" s="405" t="s">
        <v>243</v>
      </c>
      <c r="EF54" s="402" t="s">
        <v>243</v>
      </c>
      <c r="EG54" s="403" t="s">
        <v>243</v>
      </c>
      <c r="EH54" s="405" t="s">
        <v>243</v>
      </c>
      <c r="EI54" s="402" t="s">
        <v>243</v>
      </c>
      <c r="EJ54" s="403" t="s">
        <v>243</v>
      </c>
      <c r="EK54" s="405" t="s">
        <v>243</v>
      </c>
      <c r="EL54" s="402" t="s">
        <v>243</v>
      </c>
      <c r="EM54" s="403" t="s">
        <v>243</v>
      </c>
      <c r="EN54" s="405" t="s">
        <v>243</v>
      </c>
      <c r="EO54" s="402" t="s">
        <v>243</v>
      </c>
      <c r="EP54" s="403" t="s">
        <v>243</v>
      </c>
      <c r="EQ54" s="405" t="s">
        <v>243</v>
      </c>
      <c r="ER54" s="402" t="s">
        <v>243</v>
      </c>
      <c r="ES54" s="403" t="s">
        <v>243</v>
      </c>
      <c r="ET54" s="405" t="s">
        <v>243</v>
      </c>
      <c r="EU54" s="402" t="s">
        <v>243</v>
      </c>
      <c r="EV54" s="403" t="s">
        <v>243</v>
      </c>
      <c r="EW54" s="405" t="s">
        <v>243</v>
      </c>
      <c r="EX54" s="402" t="s">
        <v>243</v>
      </c>
      <c r="EY54" s="403" t="s">
        <v>243</v>
      </c>
      <c r="EZ54" s="405" t="s">
        <v>243</v>
      </c>
      <c r="FA54" s="402" t="s">
        <v>243</v>
      </c>
      <c r="FB54" s="403" t="s">
        <v>243</v>
      </c>
      <c r="FC54" s="405" t="s">
        <v>243</v>
      </c>
      <c r="FD54" s="402" t="s">
        <v>243</v>
      </c>
      <c r="FE54" s="403" t="s">
        <v>243</v>
      </c>
      <c r="FF54" s="405" t="s">
        <v>243</v>
      </c>
      <c r="FG54" s="402" t="s">
        <v>243</v>
      </c>
      <c r="FH54" s="403" t="s">
        <v>243</v>
      </c>
      <c r="FI54" s="405" t="s">
        <v>243</v>
      </c>
      <c r="FJ54" s="402" t="s">
        <v>243</v>
      </c>
      <c r="FK54" s="403" t="s">
        <v>243</v>
      </c>
      <c r="FL54" s="405" t="s">
        <v>243</v>
      </c>
      <c r="FM54" s="402" t="s">
        <v>243</v>
      </c>
      <c r="FN54" s="403" t="s">
        <v>243</v>
      </c>
      <c r="FO54" s="405" t="s">
        <v>243</v>
      </c>
      <c r="FP54" s="402" t="s">
        <v>243</v>
      </c>
      <c r="FQ54" s="403" t="s">
        <v>243</v>
      </c>
      <c r="FR54" s="405" t="s">
        <v>243</v>
      </c>
      <c r="FS54" s="454"/>
      <c r="FT54" s="455">
        <v>0</v>
      </c>
      <c r="FU54" s="456">
        <v>0</v>
      </c>
      <c r="FV54" s="457">
        <f t="shared" si="0"/>
        <v>0</v>
      </c>
    </row>
    <row r="55" spans="1:178" ht="28" x14ac:dyDescent="0.15">
      <c r="A55" s="449">
        <v>3.11</v>
      </c>
      <c r="B55" s="449" t="str">
        <f>'raw data'!B55</f>
        <v>Accounts receiving 2 or more chaps payments (one at least £1k) last month.</v>
      </c>
      <c r="C55" s="450" t="s">
        <v>96</v>
      </c>
      <c r="D55" s="402" t="s">
        <v>243</v>
      </c>
      <c r="E55" s="403" t="s">
        <v>243</v>
      </c>
      <c r="F55" s="404" t="s">
        <v>243</v>
      </c>
      <c r="G55" s="402" t="s">
        <v>243</v>
      </c>
      <c r="H55" s="403" t="s">
        <v>243</v>
      </c>
      <c r="I55" s="404" t="s">
        <v>243</v>
      </c>
      <c r="J55" s="402" t="s">
        <v>243</v>
      </c>
      <c r="K55" s="403" t="s">
        <v>243</v>
      </c>
      <c r="L55" s="404" t="s">
        <v>243</v>
      </c>
      <c r="M55" s="402" t="s">
        <v>243</v>
      </c>
      <c r="N55" s="403" t="s">
        <v>243</v>
      </c>
      <c r="O55" s="404" t="s">
        <v>243</v>
      </c>
      <c r="P55" s="402" t="s">
        <v>243</v>
      </c>
      <c r="Q55" s="403" t="s">
        <v>243</v>
      </c>
      <c r="R55" s="404" t="s">
        <v>243</v>
      </c>
      <c r="S55" s="402" t="s">
        <v>243</v>
      </c>
      <c r="T55" s="403" t="s">
        <v>243</v>
      </c>
      <c r="U55" s="404" t="s">
        <v>243</v>
      </c>
      <c r="V55" s="402" t="s">
        <v>243</v>
      </c>
      <c r="W55" s="403" t="s">
        <v>243</v>
      </c>
      <c r="X55" s="404" t="s">
        <v>243</v>
      </c>
      <c r="Y55" s="402" t="s">
        <v>243</v>
      </c>
      <c r="Z55" s="403" t="s">
        <v>243</v>
      </c>
      <c r="AA55" s="404" t="s">
        <v>243</v>
      </c>
      <c r="AB55" s="402" t="s">
        <v>243</v>
      </c>
      <c r="AC55" s="403" t="s">
        <v>243</v>
      </c>
      <c r="AD55" s="404" t="s">
        <v>243</v>
      </c>
      <c r="AE55" s="402" t="s">
        <v>243</v>
      </c>
      <c r="AF55" s="403" t="s">
        <v>243</v>
      </c>
      <c r="AG55" s="404" t="s">
        <v>243</v>
      </c>
      <c r="AH55" s="402" t="s">
        <v>243</v>
      </c>
      <c r="AI55" s="403" t="s">
        <v>243</v>
      </c>
      <c r="AJ55" s="404" t="s">
        <v>243</v>
      </c>
      <c r="AK55" s="402" t="s">
        <v>243</v>
      </c>
      <c r="AL55" s="403" t="s">
        <v>243</v>
      </c>
      <c r="AM55" s="404" t="s">
        <v>243</v>
      </c>
      <c r="AN55" s="402" t="s">
        <v>243</v>
      </c>
      <c r="AO55" s="403" t="s">
        <v>243</v>
      </c>
      <c r="AP55" s="404" t="s">
        <v>243</v>
      </c>
      <c r="AQ55" s="402" t="s">
        <v>243</v>
      </c>
      <c r="AR55" s="403" t="s">
        <v>243</v>
      </c>
      <c r="AS55" s="405" t="s">
        <v>243</v>
      </c>
      <c r="AT55" s="402" t="s">
        <v>243</v>
      </c>
      <c r="AU55" s="403" t="s">
        <v>243</v>
      </c>
      <c r="AV55" s="405" t="s">
        <v>243</v>
      </c>
      <c r="AW55" s="402" t="s">
        <v>243</v>
      </c>
      <c r="AX55" s="403" t="s">
        <v>243</v>
      </c>
      <c r="AY55" s="405" t="s">
        <v>243</v>
      </c>
      <c r="AZ55" s="402" t="s">
        <v>243</v>
      </c>
      <c r="BA55" s="403" t="s">
        <v>243</v>
      </c>
      <c r="BB55" s="405" t="s">
        <v>243</v>
      </c>
      <c r="BC55" s="402" t="s">
        <v>243</v>
      </c>
      <c r="BD55" s="403" t="s">
        <v>243</v>
      </c>
      <c r="BE55" s="405" t="s">
        <v>243</v>
      </c>
      <c r="BF55" s="402" t="s">
        <v>243</v>
      </c>
      <c r="BG55" s="403" t="s">
        <v>243</v>
      </c>
      <c r="BH55" s="405" t="s">
        <v>243</v>
      </c>
      <c r="BI55" s="402" t="s">
        <v>243</v>
      </c>
      <c r="BJ55" s="403" t="s">
        <v>243</v>
      </c>
      <c r="BK55" s="405" t="s">
        <v>243</v>
      </c>
      <c r="BL55" s="402" t="s">
        <v>243</v>
      </c>
      <c r="BM55" s="403" t="s">
        <v>243</v>
      </c>
      <c r="BN55" s="405" t="s">
        <v>243</v>
      </c>
      <c r="BO55" s="402" t="s">
        <v>243</v>
      </c>
      <c r="BP55" s="403" t="s">
        <v>243</v>
      </c>
      <c r="BQ55" s="405" t="s">
        <v>243</v>
      </c>
      <c r="BR55" s="402" t="s">
        <v>243</v>
      </c>
      <c r="BS55" s="403" t="s">
        <v>243</v>
      </c>
      <c r="BT55" s="405" t="s">
        <v>243</v>
      </c>
      <c r="BU55" s="402" t="s">
        <v>243</v>
      </c>
      <c r="BV55" s="403" t="s">
        <v>243</v>
      </c>
      <c r="BW55" s="405" t="s">
        <v>243</v>
      </c>
      <c r="BX55" s="402" t="s">
        <v>243</v>
      </c>
      <c r="BY55" s="403" t="s">
        <v>243</v>
      </c>
      <c r="BZ55" s="405" t="s">
        <v>243</v>
      </c>
      <c r="CA55" s="402" t="s">
        <v>243</v>
      </c>
      <c r="CB55" s="403" t="s">
        <v>243</v>
      </c>
      <c r="CC55" s="405" t="s">
        <v>243</v>
      </c>
      <c r="CD55" s="402" t="s">
        <v>243</v>
      </c>
      <c r="CE55" s="403" t="s">
        <v>243</v>
      </c>
      <c r="CF55" s="405" t="s">
        <v>243</v>
      </c>
      <c r="CG55" s="402" t="s">
        <v>243</v>
      </c>
      <c r="CH55" s="403" t="s">
        <v>243</v>
      </c>
      <c r="CI55" s="405" t="s">
        <v>243</v>
      </c>
      <c r="CJ55" s="402" t="s">
        <v>243</v>
      </c>
      <c r="CK55" s="403" t="s">
        <v>243</v>
      </c>
      <c r="CL55" s="405" t="s">
        <v>243</v>
      </c>
      <c r="CM55" s="402" t="s">
        <v>243</v>
      </c>
      <c r="CN55" s="403" t="s">
        <v>243</v>
      </c>
      <c r="CO55" s="405" t="s">
        <v>243</v>
      </c>
      <c r="CP55" s="402" t="s">
        <v>243</v>
      </c>
      <c r="CQ55" s="403" t="s">
        <v>243</v>
      </c>
      <c r="CR55" s="405" t="s">
        <v>243</v>
      </c>
      <c r="CS55" s="402" t="s">
        <v>243</v>
      </c>
      <c r="CT55" s="403" t="s">
        <v>243</v>
      </c>
      <c r="CU55" s="405" t="s">
        <v>243</v>
      </c>
      <c r="CV55" s="402" t="s">
        <v>243</v>
      </c>
      <c r="CW55" s="403" t="s">
        <v>243</v>
      </c>
      <c r="CX55" s="405" t="s">
        <v>243</v>
      </c>
      <c r="CY55" s="402" t="s">
        <v>243</v>
      </c>
      <c r="CZ55" s="403" t="s">
        <v>243</v>
      </c>
      <c r="DA55" s="405" t="s">
        <v>243</v>
      </c>
      <c r="DB55" s="402" t="s">
        <v>243</v>
      </c>
      <c r="DC55" s="403" t="s">
        <v>243</v>
      </c>
      <c r="DD55" s="405" t="s">
        <v>243</v>
      </c>
      <c r="DE55" s="402" t="s">
        <v>243</v>
      </c>
      <c r="DF55" s="403" t="s">
        <v>243</v>
      </c>
      <c r="DG55" s="405" t="s">
        <v>243</v>
      </c>
      <c r="DH55" s="402" t="s">
        <v>243</v>
      </c>
      <c r="DI55" s="403" t="s">
        <v>243</v>
      </c>
      <c r="DJ55" s="405" t="s">
        <v>243</v>
      </c>
      <c r="DK55" s="402" t="s">
        <v>243</v>
      </c>
      <c r="DL55" s="403" t="s">
        <v>243</v>
      </c>
      <c r="DM55" s="405" t="s">
        <v>243</v>
      </c>
      <c r="DN55" s="402" t="s">
        <v>243</v>
      </c>
      <c r="DO55" s="403" t="s">
        <v>243</v>
      </c>
      <c r="DP55" s="405" t="s">
        <v>243</v>
      </c>
      <c r="DQ55" s="402" t="s">
        <v>243</v>
      </c>
      <c r="DR55" s="403" t="s">
        <v>243</v>
      </c>
      <c r="DS55" s="405" t="s">
        <v>243</v>
      </c>
      <c r="DT55" s="402" t="s">
        <v>243</v>
      </c>
      <c r="DU55" s="403" t="s">
        <v>243</v>
      </c>
      <c r="DV55" s="405" t="s">
        <v>243</v>
      </c>
      <c r="DW55" s="402" t="s">
        <v>243</v>
      </c>
      <c r="DX55" s="403" t="s">
        <v>243</v>
      </c>
      <c r="DY55" s="405" t="s">
        <v>243</v>
      </c>
      <c r="DZ55" s="402" t="s">
        <v>243</v>
      </c>
      <c r="EA55" s="403" t="s">
        <v>243</v>
      </c>
      <c r="EB55" s="405" t="s">
        <v>243</v>
      </c>
      <c r="EC55" s="402" t="s">
        <v>243</v>
      </c>
      <c r="ED55" s="403" t="s">
        <v>243</v>
      </c>
      <c r="EE55" s="405" t="s">
        <v>243</v>
      </c>
      <c r="EF55" s="402" t="s">
        <v>243</v>
      </c>
      <c r="EG55" s="403" t="s">
        <v>243</v>
      </c>
      <c r="EH55" s="405" t="s">
        <v>243</v>
      </c>
      <c r="EI55" s="402" t="s">
        <v>243</v>
      </c>
      <c r="EJ55" s="403" t="s">
        <v>243</v>
      </c>
      <c r="EK55" s="405" t="s">
        <v>243</v>
      </c>
      <c r="EL55" s="402" t="s">
        <v>243</v>
      </c>
      <c r="EM55" s="403" t="s">
        <v>243</v>
      </c>
      <c r="EN55" s="405" t="s">
        <v>243</v>
      </c>
      <c r="EO55" s="402" t="s">
        <v>243</v>
      </c>
      <c r="EP55" s="403" t="s">
        <v>243</v>
      </c>
      <c r="EQ55" s="405" t="s">
        <v>243</v>
      </c>
      <c r="ER55" s="402" t="s">
        <v>243</v>
      </c>
      <c r="ES55" s="403" t="s">
        <v>243</v>
      </c>
      <c r="ET55" s="405" t="s">
        <v>243</v>
      </c>
      <c r="EU55" s="402" t="s">
        <v>243</v>
      </c>
      <c r="EV55" s="403" t="s">
        <v>243</v>
      </c>
      <c r="EW55" s="405" t="s">
        <v>243</v>
      </c>
      <c r="EX55" s="402" t="s">
        <v>243</v>
      </c>
      <c r="EY55" s="403" t="s">
        <v>243</v>
      </c>
      <c r="EZ55" s="405" t="s">
        <v>243</v>
      </c>
      <c r="FA55" s="402" t="s">
        <v>243</v>
      </c>
      <c r="FB55" s="403" t="s">
        <v>243</v>
      </c>
      <c r="FC55" s="405" t="s">
        <v>243</v>
      </c>
      <c r="FD55" s="402" t="s">
        <v>243</v>
      </c>
      <c r="FE55" s="403" t="s">
        <v>243</v>
      </c>
      <c r="FF55" s="405" t="s">
        <v>243</v>
      </c>
      <c r="FG55" s="402" t="s">
        <v>243</v>
      </c>
      <c r="FH55" s="403" t="s">
        <v>243</v>
      </c>
      <c r="FI55" s="405" t="s">
        <v>243</v>
      </c>
      <c r="FJ55" s="402" t="s">
        <v>243</v>
      </c>
      <c r="FK55" s="403" t="s">
        <v>243</v>
      </c>
      <c r="FL55" s="405" t="s">
        <v>243</v>
      </c>
      <c r="FM55" s="402" t="s">
        <v>243</v>
      </c>
      <c r="FN55" s="403" t="s">
        <v>243</v>
      </c>
      <c r="FO55" s="405" t="s">
        <v>243</v>
      </c>
      <c r="FP55" s="402" t="s">
        <v>243</v>
      </c>
      <c r="FQ55" s="403" t="s">
        <v>243</v>
      </c>
      <c r="FR55" s="405" t="s">
        <v>243</v>
      </c>
      <c r="FS55" s="454"/>
      <c r="FT55" s="455">
        <v>0</v>
      </c>
      <c r="FU55" s="456">
        <v>0</v>
      </c>
      <c r="FV55" s="457">
        <f t="shared" si="0"/>
        <v>0</v>
      </c>
    </row>
    <row r="56" spans="1:178" ht="25.5" customHeight="1" x14ac:dyDescent="0.15">
      <c r="A56" s="449">
        <v>3.12</v>
      </c>
      <c r="B56" s="449" t="str">
        <f>'raw data'!B56</f>
        <v>Mortgage redeemed within 12 months of inception</v>
      </c>
      <c r="C56" s="450"/>
      <c r="D56" s="458"/>
      <c r="E56" s="459"/>
      <c r="F56" s="404"/>
      <c r="G56" s="402"/>
      <c r="H56" s="403"/>
      <c r="I56" s="404"/>
      <c r="J56" s="402"/>
      <c r="K56" s="403"/>
      <c r="L56" s="404"/>
      <c r="M56" s="402"/>
      <c r="N56" s="403"/>
      <c r="O56" s="404"/>
      <c r="P56" s="402"/>
      <c r="Q56" s="403"/>
      <c r="R56" s="404"/>
      <c r="S56" s="402"/>
      <c r="T56" s="403"/>
      <c r="U56" s="404"/>
      <c r="V56" s="402"/>
      <c r="W56" s="403"/>
      <c r="X56" s="404"/>
      <c r="Y56" s="402"/>
      <c r="Z56" s="403"/>
      <c r="AA56" s="404"/>
      <c r="AB56" s="402"/>
      <c r="AC56" s="403"/>
      <c r="AD56" s="404"/>
      <c r="AE56" s="402"/>
      <c r="AF56" s="403"/>
      <c r="AG56" s="404"/>
      <c r="AH56" s="465">
        <f>'raw data'!FP56</f>
        <v>0</v>
      </c>
      <c r="AI56" s="465">
        <f>'raw data'!FQ56</f>
        <v>21</v>
      </c>
      <c r="AJ56" s="453">
        <f>IF(ISERROR('raw data'!FP56/'raw data'!FQ56),0,'raw data'!FP56/'raw data'!FQ56)</f>
        <v>0</v>
      </c>
      <c r="AK56" s="466">
        <f>'raw data'!FR56</f>
        <v>0</v>
      </c>
      <c r="AL56" s="465">
        <f>'raw data'!FS56</f>
        <v>3</v>
      </c>
      <c r="AM56" s="453">
        <f>IF(ISERROR('raw data'!FR56/'raw data'!FS56),0,'raw data'!FR56/'raw data'!FS56)</f>
        <v>0</v>
      </c>
      <c r="AN56" s="466">
        <f>'raw data'!FT56</f>
        <v>0</v>
      </c>
      <c r="AO56" s="465">
        <f>'raw data'!FU56</f>
        <v>4</v>
      </c>
      <c r="AP56" s="453">
        <f>IF(ISERROR('raw data'!FT56/'raw data'!FU56),0,'raw data'!FT56/'raw data'!FU56)</f>
        <v>0</v>
      </c>
      <c r="AQ56" s="466">
        <f>'raw data'!FV56</f>
        <v>0</v>
      </c>
      <c r="AR56" s="465">
        <f>'raw data'!FW56</f>
        <v>6</v>
      </c>
      <c r="AS56" s="467">
        <f>IF(ISERROR('raw data'!FV56/'raw data'!FW56),0,'raw data'!FV56/'raw data'!FW56)</f>
        <v>0</v>
      </c>
      <c r="AT56" s="451">
        <f>'raw data'!FX56</f>
        <v>0</v>
      </c>
      <c r="AU56" s="452">
        <f>'raw data'!FY56</f>
        <v>2</v>
      </c>
      <c r="AV56" s="468">
        <f>IF(ISERROR('raw data'!FX56/'raw data'!FY56),0,'raw data'!FX56/'raw data'!FY56)</f>
        <v>0</v>
      </c>
      <c r="AW56" s="451">
        <f>'raw data'!FZ56</f>
        <v>0</v>
      </c>
      <c r="AX56" s="452">
        <f>'raw data'!GA56</f>
        <v>2</v>
      </c>
      <c r="AY56" s="468">
        <f>IF(ISERROR('raw data'!FZ56/'raw data'!GA56),0,'raw data'!FZ56/'raw data'!GA56)</f>
        <v>0</v>
      </c>
      <c r="AZ56" s="451">
        <f>'raw data'!GB56</f>
        <v>0</v>
      </c>
      <c r="BA56" s="452">
        <f>'raw data'!GC56</f>
        <v>4</v>
      </c>
      <c r="BB56" s="468">
        <f>IF(ISERROR('raw data'!GB56/'raw data'!GC56),0,'raw data'!GB56/'raw data'!GC56)</f>
        <v>0</v>
      </c>
      <c r="BC56" s="451">
        <f>'raw data'!GD56</f>
        <v>0</v>
      </c>
      <c r="BD56" s="452">
        <f>'raw data'!GE56</f>
        <v>7</v>
      </c>
      <c r="BE56" s="468">
        <f>IF(ISERROR('raw data'!GD56/'raw data'!GE56),0,'raw data'!GD56/'raw data'!GE56)</f>
        <v>0</v>
      </c>
      <c r="BF56" s="451">
        <f>'raw data'!GF56</f>
        <v>0</v>
      </c>
      <c r="BG56" s="452">
        <f>'raw data'!GG56</f>
        <v>7</v>
      </c>
      <c r="BH56" s="468">
        <f>IF(ISERROR('raw data'!GF56/'raw data'!GG56),0,'raw data'!GF56/'raw data'!GG56)</f>
        <v>0</v>
      </c>
      <c r="BI56" s="451">
        <f>'raw data'!GH56</f>
        <v>0</v>
      </c>
      <c r="BJ56" s="452">
        <f>'raw data'!GI56</f>
        <v>4</v>
      </c>
      <c r="BK56" s="468">
        <f>IF(ISERROR('raw data'!GH56/'raw data'!GI56),0,'raw data'!GH56/'raw data'!GI56)</f>
        <v>0</v>
      </c>
      <c r="BL56" s="451">
        <f>'raw data'!GJ56</f>
        <v>0</v>
      </c>
      <c r="BM56" s="452">
        <f>'raw data'!GK56</f>
        <v>3</v>
      </c>
      <c r="BN56" s="468">
        <f>IF(ISERROR('raw data'!GJ56/'raw data'!GK56),0,'raw data'!GJ56/'raw data'!GK56)</f>
        <v>0</v>
      </c>
      <c r="BO56" s="451">
        <f>'raw data'!GL56</f>
        <v>0</v>
      </c>
      <c r="BP56" s="452">
        <f>'raw data'!GM56</f>
        <v>3</v>
      </c>
      <c r="BQ56" s="468">
        <f>IF(ISERROR('raw data'!GL56/'raw data'!GM56),0,'raw data'!GL56/'raw data'!GM56)</f>
        <v>0</v>
      </c>
      <c r="BR56" s="451">
        <f>'raw data'!GN56</f>
        <v>0</v>
      </c>
      <c r="BS56" s="452">
        <f>'raw data'!GO56</f>
        <v>5</v>
      </c>
      <c r="BT56" s="468">
        <f>IF(ISERROR('raw data'!GN56/'raw data'!GO56),0,'raw data'!GN56/'raw data'!GO56)</f>
        <v>0</v>
      </c>
      <c r="BU56" s="451">
        <f>'raw data'!GP56</f>
        <v>0</v>
      </c>
      <c r="BV56" s="452">
        <f>'raw data'!GQ56</f>
        <v>4</v>
      </c>
      <c r="BW56" s="468">
        <f>IF(ISERROR('raw data'!GP56/'raw data'!GQ56),0,'raw data'!GP56/'raw data'!GQ56)</f>
        <v>0</v>
      </c>
      <c r="BX56" s="451">
        <f>'raw data'!GR56</f>
        <v>0</v>
      </c>
      <c r="BY56" s="452">
        <f>'raw data'!GS56</f>
        <v>1</v>
      </c>
      <c r="BZ56" s="468">
        <f>IF(ISERROR('raw data'!GR56/'raw data'!GS56),0,'raw data'!GR56/'raw data'!GS56)</f>
        <v>0</v>
      </c>
      <c r="CA56" s="451">
        <f>'raw data'!GT56</f>
        <v>1</v>
      </c>
      <c r="CB56" s="452">
        <f>'raw data'!GU56</f>
        <v>2</v>
      </c>
      <c r="CC56" s="468">
        <f>IF(ISERROR('raw data'!GT56/'raw data'!GU56),0,'raw data'!GT56/'raw data'!GU56)</f>
        <v>0.5</v>
      </c>
      <c r="CD56" s="451">
        <f>'raw data'!GV56</f>
        <v>0</v>
      </c>
      <c r="CE56" s="452">
        <f>'raw data'!GW56</f>
        <v>3</v>
      </c>
      <c r="CF56" s="468">
        <f>IF(ISERROR('raw data'!GV56/'raw data'!GW56),0,'raw data'!GV56/'raw data'!GW56)</f>
        <v>0</v>
      </c>
      <c r="CG56" s="451">
        <f>'raw data'!GX56</f>
        <v>1</v>
      </c>
      <c r="CH56" s="452">
        <f>'raw data'!GY56</f>
        <v>4</v>
      </c>
      <c r="CI56" s="468">
        <f>IF(ISERROR('raw data'!GX56/'raw data'!GY56),0,'raw data'!GX56/'raw data'!GY56)</f>
        <v>0.25</v>
      </c>
      <c r="CJ56" s="451">
        <f>'raw data'!GZ56</f>
        <v>0</v>
      </c>
      <c r="CK56" s="452">
        <f>'raw data'!HA56</f>
        <v>4</v>
      </c>
      <c r="CL56" s="468">
        <f>IF(ISERROR('raw data'!GZ56/'raw data'!HA56),0,'raw data'!GZ56/'raw data'!HA56)</f>
        <v>0</v>
      </c>
      <c r="CM56" s="451">
        <f>'raw data'!HB56</f>
        <v>0</v>
      </c>
      <c r="CN56" s="452">
        <f>'raw data'!HC56</f>
        <v>4</v>
      </c>
      <c r="CO56" s="468">
        <f>IF(ISERROR('raw data'!HB56/'raw data'!HC56),0,'raw data'!HB56/'raw data'!HC56)</f>
        <v>0</v>
      </c>
      <c r="CP56" s="451">
        <f>'raw data'!HD56</f>
        <v>0</v>
      </c>
      <c r="CQ56" s="452">
        <f>'raw data'!HE56</f>
        <v>8</v>
      </c>
      <c r="CR56" s="468">
        <f>IF(ISERROR('raw data'!HD56/'raw data'!HE56),0,'raw data'!HD56/'raw data'!HE56)</f>
        <v>0</v>
      </c>
      <c r="CS56" s="451">
        <f>'raw data'!HF56</f>
        <v>0</v>
      </c>
      <c r="CT56" s="452">
        <f>'raw data'!HG56</f>
        <v>3</v>
      </c>
      <c r="CU56" s="468">
        <f>IF(ISERROR('raw data'!HF56/'raw data'!HG56),0,'raw data'!HF56/'raw data'!HG56)</f>
        <v>0</v>
      </c>
      <c r="CV56" s="451">
        <f>'raw data'!HH56</f>
        <v>0</v>
      </c>
      <c r="CW56" s="452">
        <f>'raw data'!HI56</f>
        <v>5</v>
      </c>
      <c r="CX56" s="468">
        <f>IF(ISERROR('raw data'!HH56/'raw data'!HI56),0,'raw data'!HH56/'raw data'!HI56)</f>
        <v>0</v>
      </c>
      <c r="CY56" s="451">
        <f>'raw data'!HJ56</f>
        <v>0</v>
      </c>
      <c r="CZ56" s="452">
        <f>'raw data'!HK56</f>
        <v>3</v>
      </c>
      <c r="DA56" s="468">
        <f>IF(ISERROR('raw data'!HJ56/'raw data'!HK56),0,'raw data'!HJ56/'raw data'!HK56)</f>
        <v>0</v>
      </c>
      <c r="DB56" s="451">
        <f>'raw data'!HL56</f>
        <v>0</v>
      </c>
      <c r="DC56" s="452">
        <f>'raw data'!HM56</f>
        <v>4</v>
      </c>
      <c r="DD56" s="468">
        <f>IF(ISERROR('raw data'!HL56/'raw data'!HM56),0,'raw data'!HL56/'raw data'!HM56)</f>
        <v>0</v>
      </c>
      <c r="DE56" s="451">
        <f>'raw data'!HN56</f>
        <v>0</v>
      </c>
      <c r="DF56" s="452">
        <f>'raw data'!HO56</f>
        <v>2</v>
      </c>
      <c r="DG56" s="468">
        <f>IF(ISERROR('raw data'!HN56/'raw data'!HO56),0,'raw data'!HN56/'raw data'!HO56)</f>
        <v>0</v>
      </c>
      <c r="DH56" s="451">
        <f>'raw data'!HP56</f>
        <v>0</v>
      </c>
      <c r="DI56" s="452">
        <f>'raw data'!HQ56</f>
        <v>3</v>
      </c>
      <c r="DJ56" s="468">
        <f>IF(ISERROR('raw data'!HP56/'raw data'!HQ56),0,'raw data'!HP56/'raw data'!HQ56)</f>
        <v>0</v>
      </c>
      <c r="DK56" s="451">
        <f>'raw data'!HR56</f>
        <v>0</v>
      </c>
      <c r="DL56" s="452">
        <f>'raw data'!HS56</f>
        <v>2</v>
      </c>
      <c r="DM56" s="468">
        <f>IF(ISERROR('raw data'!HR56/'raw data'!HS56),0,'raw data'!HR56/'raw data'!HS56)</f>
        <v>0</v>
      </c>
      <c r="DN56" s="451">
        <f>'raw data'!HT56</f>
        <v>0</v>
      </c>
      <c r="DO56" s="452">
        <f>'raw data'!HU56</f>
        <v>4</v>
      </c>
      <c r="DP56" s="468">
        <f>IF(ISERROR('raw data'!HT56/'raw data'!HU56),0,'raw data'!HT56/'raw data'!HU56)</f>
        <v>0</v>
      </c>
      <c r="DQ56" s="451">
        <f>'raw data'!HV56</f>
        <v>0</v>
      </c>
      <c r="DR56" s="452">
        <f>'raw data'!HW56</f>
        <v>1</v>
      </c>
      <c r="DS56" s="468">
        <f>IF(ISERROR('raw data'!HV56/'raw data'!HW56),0,'raw data'!HV56/'raw data'!HW56)</f>
        <v>0</v>
      </c>
      <c r="DT56" s="451">
        <f>'raw data'!HX56</f>
        <v>0</v>
      </c>
      <c r="DU56" s="452">
        <f>'raw data'!HY56</f>
        <v>3</v>
      </c>
      <c r="DV56" s="468">
        <f>IF(ISERROR('raw data'!HX56/'raw data'!HY56),0,'raw data'!HX56/'raw data'!HY56)</f>
        <v>0</v>
      </c>
      <c r="DW56" s="451">
        <f>'raw data'!HZ56</f>
        <v>0</v>
      </c>
      <c r="DX56" s="452">
        <f>'raw data'!IA56</f>
        <v>1</v>
      </c>
      <c r="DY56" s="468">
        <f>IF(ISERROR('raw data'!HZ56/'raw data'!IA56),0,'raw data'!HZ56/'raw data'!IA56)</f>
        <v>0</v>
      </c>
      <c r="DZ56" s="451">
        <f>'raw data'!IB56</f>
        <v>0</v>
      </c>
      <c r="EA56" s="452">
        <f>'raw data'!IC56</f>
        <v>1</v>
      </c>
      <c r="EB56" s="468">
        <f>IF(ISERROR('raw data'!IB56/'raw data'!IC56),0,'raw data'!IB56/'raw data'!IC56)</f>
        <v>0</v>
      </c>
      <c r="EC56" s="451">
        <f>'raw data'!ID56</f>
        <v>0</v>
      </c>
      <c r="ED56" s="452">
        <f>'raw data'!IE56</f>
        <v>2</v>
      </c>
      <c r="EE56" s="468">
        <f>IF(ISERROR('raw data'!ID56/'raw data'!IE56),0,'raw data'!ID56/'raw data'!IE56)</f>
        <v>0</v>
      </c>
      <c r="EF56" s="451">
        <f>'raw data'!IF56</f>
        <v>0</v>
      </c>
      <c r="EG56" s="452">
        <f>'raw data'!IG56</f>
        <v>3</v>
      </c>
      <c r="EH56" s="468">
        <f>IF(ISERROR('raw data'!IF56/'raw data'!IG56),0,'raw data'!IF56/'raw data'!IG56)</f>
        <v>0</v>
      </c>
      <c r="EI56" s="451">
        <f>'raw data'!IH56</f>
        <v>0</v>
      </c>
      <c r="EJ56" s="452">
        <f>'raw data'!II56</f>
        <v>3</v>
      </c>
      <c r="EK56" s="468">
        <f>IF(ISERROR('raw data'!IH56/'raw data'!II56),0,'raw data'!IH56/'raw data'!II56)</f>
        <v>0</v>
      </c>
      <c r="EL56" s="451">
        <f>'raw data'!IJ56</f>
        <v>0</v>
      </c>
      <c r="EM56" s="452">
        <f>'raw data'!IK56</f>
        <v>10</v>
      </c>
      <c r="EN56" s="468">
        <f>IF(ISERROR('raw data'!IJ56/'raw data'!IK56),0,'raw data'!IJ56/'raw data'!IK56)</f>
        <v>0</v>
      </c>
      <c r="EO56" s="451">
        <f>'raw data'!IL56</f>
        <v>0</v>
      </c>
      <c r="EP56" s="452">
        <f>'raw data'!IM56</f>
        <v>2</v>
      </c>
      <c r="EQ56" s="468">
        <f>IF(ISERROR('raw data'!IL56/'raw data'!IM56),0,'raw data'!IL56/'raw data'!IM56)</f>
        <v>0</v>
      </c>
      <c r="ER56" s="451">
        <f>'raw data'!IN56</f>
        <v>0</v>
      </c>
      <c r="ES56" s="452">
        <f>'raw data'!IO56</f>
        <v>1</v>
      </c>
      <c r="ET56" s="468">
        <f>IF(ISERROR('raw data'!IN56/'raw data'!IO56),0,'raw data'!IN56/'raw data'!IO56)</f>
        <v>0</v>
      </c>
      <c r="EU56" s="451">
        <f>'raw data'!IP56</f>
        <v>0</v>
      </c>
      <c r="EV56" s="452">
        <f>'raw data'!IQ56</f>
        <v>3</v>
      </c>
      <c r="EW56" s="468">
        <f>IF(ISERROR('raw data'!IP56/'raw data'!IQ56),0,'raw data'!IP56/'raw data'!IQ56)</f>
        <v>0</v>
      </c>
      <c r="EX56" s="451">
        <f>'raw data'!IR56</f>
        <v>0</v>
      </c>
      <c r="EY56" s="452">
        <f>'raw data'!IS56</f>
        <v>7</v>
      </c>
      <c r="EZ56" s="468">
        <f>IF(ISERROR('raw data'!IR56/'raw data'!IS56),0,'raw data'!IR56/'raw data'!IS56)</f>
        <v>0</v>
      </c>
      <c r="FA56" s="451">
        <f>'raw data'!IT56</f>
        <v>0</v>
      </c>
      <c r="FB56" s="452">
        <f>'raw data'!IU56</f>
        <v>4</v>
      </c>
      <c r="FC56" s="468">
        <f>IF(ISERROR('raw data'!IT56/'raw data'!IU56),0,'raw data'!IT56/'raw data'!IU56)</f>
        <v>0</v>
      </c>
      <c r="FD56" s="451">
        <f>'raw data'!IV56</f>
        <v>0</v>
      </c>
      <c r="FE56" s="452">
        <f>'raw data'!IW56</f>
        <v>0</v>
      </c>
      <c r="FF56" s="468">
        <f>IF(ISERROR('raw data'!IV56/'raw data'!IW56),0,'raw data'!IV56/'raw data'!IW56)</f>
        <v>0</v>
      </c>
      <c r="FG56" s="451">
        <f>'raw data'!IX56</f>
        <v>0</v>
      </c>
      <c r="FH56" s="452">
        <f>'raw data'!IY56</f>
        <v>10</v>
      </c>
      <c r="FI56" s="468">
        <f>IF(ISERROR('raw data'!IX56/'raw data'!IY56),0,'raw data'!IX56/'raw data'!IY56)</f>
        <v>0</v>
      </c>
      <c r="FJ56" s="451">
        <f>'raw data'!IZ56</f>
        <v>0</v>
      </c>
      <c r="FK56" s="452">
        <f>'raw data'!JA56</f>
        <v>6</v>
      </c>
      <c r="FL56" s="468">
        <f>IF(ISERROR('raw data'!IZ56/'raw data'!JA56),0,'raw data'!IZ56/'raw data'!JA56)</f>
        <v>0</v>
      </c>
      <c r="FM56" s="451">
        <f>'raw data'!JB56</f>
        <v>0</v>
      </c>
      <c r="FN56" s="452">
        <f>'raw data'!JC56</f>
        <v>6</v>
      </c>
      <c r="FO56" s="468">
        <f>IF(ISERROR('raw data'!JB56/'raw data'!JC56),0,'raw data'!JB56/'raw data'!JC56)</f>
        <v>0</v>
      </c>
      <c r="FP56" s="451">
        <f>'raw data'!JD56</f>
        <v>0</v>
      </c>
      <c r="FQ56" s="452">
        <f>'raw data'!JE56</f>
        <v>9</v>
      </c>
      <c r="FR56" s="468">
        <f>IF(ISERROR('raw data'!JD56/'raw data'!JE56),0,'raw data'!JD56/'raw data'!JE56)</f>
        <v>0</v>
      </c>
      <c r="FS56" s="454"/>
      <c r="FT56" s="455">
        <v>0</v>
      </c>
      <c r="FU56" s="456">
        <v>61</v>
      </c>
      <c r="FV56" s="457">
        <f>IF(ISERROR(FT56/FU56),0,FT56/FU56)</f>
        <v>0</v>
      </c>
    </row>
    <row r="57" spans="1:178" ht="28" x14ac:dyDescent="0.15">
      <c r="A57" s="449">
        <v>3.13</v>
      </c>
      <c r="B57" s="449" t="str">
        <f>'raw data'!B57</f>
        <v>Prime Mortgage with a one off overpayment more than 10% (which is not then redeemed in the same month)</v>
      </c>
      <c r="C57" s="450"/>
      <c r="D57" s="458"/>
      <c r="E57" s="459"/>
      <c r="F57" s="404"/>
      <c r="G57" s="402"/>
      <c r="H57" s="403"/>
      <c r="I57" s="404"/>
      <c r="J57" s="402"/>
      <c r="K57" s="403"/>
      <c r="L57" s="404"/>
      <c r="M57" s="402"/>
      <c r="N57" s="403"/>
      <c r="O57" s="404"/>
      <c r="P57" s="402"/>
      <c r="Q57" s="403"/>
      <c r="R57" s="404"/>
      <c r="S57" s="402"/>
      <c r="T57" s="403"/>
      <c r="U57" s="404"/>
      <c r="V57" s="402"/>
      <c r="W57" s="403"/>
      <c r="X57" s="404"/>
      <c r="Y57" s="402"/>
      <c r="Z57" s="403"/>
      <c r="AA57" s="404"/>
      <c r="AB57" s="402"/>
      <c r="AC57" s="403"/>
      <c r="AD57" s="404"/>
      <c r="AE57" s="402"/>
      <c r="AF57" s="403"/>
      <c r="AG57" s="404"/>
      <c r="AH57" s="465">
        <f>'raw data'!FP57</f>
        <v>2</v>
      </c>
      <c r="AI57" s="465">
        <f>'raw data'!FQ57</f>
        <v>11</v>
      </c>
      <c r="AJ57" s="453">
        <f>IF(ISERROR('raw data'!FP57/'raw data'!FQ57),0,'raw data'!FP57/'raw data'!FQ57)</f>
        <v>0.18181818181818182</v>
      </c>
      <c r="AK57" s="466">
        <f>'raw data'!FR57</f>
        <v>7</v>
      </c>
      <c r="AL57" s="465">
        <f>'raw data'!FS57</f>
        <v>39</v>
      </c>
      <c r="AM57" s="453">
        <f>IF(ISERROR('raw data'!FR57/'raw data'!FS57),0,'raw data'!FR57/'raw data'!FS57)</f>
        <v>0.17948717948717949</v>
      </c>
      <c r="AN57" s="466">
        <f>'raw data'!FT57</f>
        <v>9</v>
      </c>
      <c r="AO57" s="465">
        <f>'raw data'!FU57</f>
        <v>50</v>
      </c>
      <c r="AP57" s="453">
        <f>IF(ISERROR('raw data'!FT57/'raw data'!FU57),0,'raw data'!FT57/'raw data'!FU57)</f>
        <v>0.18</v>
      </c>
      <c r="AQ57" s="466">
        <f>'raw data'!FV57</f>
        <v>3</v>
      </c>
      <c r="AR57" s="465">
        <f>'raw data'!FW57</f>
        <v>43</v>
      </c>
      <c r="AS57" s="467">
        <f>IF(ISERROR('raw data'!FV57/'raw data'!FW57),0,'raw data'!FV57/'raw data'!FW57)</f>
        <v>6.9767441860465115E-2</v>
      </c>
      <c r="AT57" s="451">
        <f>'raw data'!FX57</f>
        <v>3</v>
      </c>
      <c r="AU57" s="452">
        <f>'raw data'!FY57</f>
        <v>44</v>
      </c>
      <c r="AV57" s="468">
        <f>IF(ISERROR('raw data'!FX57/'raw data'!FY57),0,'raw data'!FX57/'raw data'!FY57)</f>
        <v>6.8181818181818177E-2</v>
      </c>
      <c r="AW57" s="451">
        <f>'raw data'!FZ57</f>
        <v>5</v>
      </c>
      <c r="AX57" s="452">
        <f>'raw data'!GA57</f>
        <v>53</v>
      </c>
      <c r="AY57" s="468">
        <f>IF(ISERROR('raw data'!FZ57/'raw data'!GA57),0,'raw data'!FZ57/'raw data'!GA57)</f>
        <v>9.4339622641509441E-2</v>
      </c>
      <c r="AZ57" s="451">
        <f>'raw data'!GB57</f>
        <v>5</v>
      </c>
      <c r="BA57" s="452">
        <f>'raw data'!GC57</f>
        <v>58</v>
      </c>
      <c r="BB57" s="468">
        <f>IF(ISERROR('raw data'!GB57/'raw data'!GC57),0,'raw data'!GB57/'raw data'!GC57)</f>
        <v>8.6206896551724144E-2</v>
      </c>
      <c r="BC57" s="451">
        <f>'raw data'!GD57</f>
        <v>7</v>
      </c>
      <c r="BD57" s="452">
        <f>'raw data'!GE57</f>
        <v>86</v>
      </c>
      <c r="BE57" s="468">
        <f>IF(ISERROR('raw data'!GD57/'raw data'!GE57),0,'raw data'!GD57/'raw data'!GE57)</f>
        <v>8.1395348837209308E-2</v>
      </c>
      <c r="BF57" s="451">
        <f>'raw data'!GF57</f>
        <v>6</v>
      </c>
      <c r="BG57" s="452">
        <f>'raw data'!GG57</f>
        <v>70</v>
      </c>
      <c r="BH57" s="468">
        <f>IF(ISERROR('raw data'!GF57/'raw data'!GG57),0,'raw data'!GF57/'raw data'!GG57)</f>
        <v>8.5714285714285715E-2</v>
      </c>
      <c r="BI57" s="451">
        <f>'raw data'!GH57</f>
        <v>6</v>
      </c>
      <c r="BJ57" s="452">
        <f>'raw data'!GI57</f>
        <v>80</v>
      </c>
      <c r="BK57" s="468">
        <f>IF(ISERROR('raw data'!GH57/'raw data'!GI57),0,'raw data'!GH57/'raw data'!GI57)</f>
        <v>7.4999999999999997E-2</v>
      </c>
      <c r="BL57" s="451">
        <f>'raw data'!GJ57</f>
        <v>9</v>
      </c>
      <c r="BM57" s="452">
        <f>'raw data'!GK57</f>
        <v>87</v>
      </c>
      <c r="BN57" s="468">
        <f>IF(ISERROR('raw data'!GJ57/'raw data'!GK57),0,'raw data'!GJ57/'raw data'!GK57)</f>
        <v>0.10344827586206896</v>
      </c>
      <c r="BO57" s="451">
        <f>'raw data'!GL57</f>
        <v>8</v>
      </c>
      <c r="BP57" s="452">
        <f>'raw data'!GM57</f>
        <v>84</v>
      </c>
      <c r="BQ57" s="468">
        <f>IF(ISERROR('raw data'!GL57/'raw data'!GM57),0,'raw data'!GL57/'raw data'!GM57)</f>
        <v>9.5238095238095233E-2</v>
      </c>
      <c r="BR57" s="451">
        <f>'raw data'!GN57</f>
        <v>6</v>
      </c>
      <c r="BS57" s="452">
        <f>'raw data'!GO57</f>
        <v>73</v>
      </c>
      <c r="BT57" s="468">
        <f>IF(ISERROR('raw data'!GN57/'raw data'!GO57),0,'raw data'!GN57/'raw data'!GO57)</f>
        <v>8.2191780821917804E-2</v>
      </c>
      <c r="BU57" s="451">
        <f>'raw data'!GP57</f>
        <v>3</v>
      </c>
      <c r="BV57" s="452">
        <f>'raw data'!GQ57</f>
        <v>68</v>
      </c>
      <c r="BW57" s="468">
        <f>IF(ISERROR('raw data'!GP57/'raw data'!GQ57),0,'raw data'!GP57/'raw data'!GQ57)</f>
        <v>4.4117647058823532E-2</v>
      </c>
      <c r="BX57" s="451">
        <f>'raw data'!GR57</f>
        <v>4</v>
      </c>
      <c r="BY57" s="452">
        <f>'raw data'!GS57</f>
        <v>72</v>
      </c>
      <c r="BZ57" s="468">
        <f>IF(ISERROR('raw data'!GR57/'raw data'!GS57),0,'raw data'!GR57/'raw data'!GS57)</f>
        <v>5.5555555555555552E-2</v>
      </c>
      <c r="CA57" s="451">
        <f>'raw data'!GT57</f>
        <v>6</v>
      </c>
      <c r="CB57" s="452">
        <f>'raw data'!GU57</f>
        <v>57</v>
      </c>
      <c r="CC57" s="468">
        <f>IF(ISERROR('raw data'!GT57/'raw data'!GU57),0,'raw data'!GT57/'raw data'!GU57)</f>
        <v>0.10526315789473684</v>
      </c>
      <c r="CD57" s="451">
        <f>'raw data'!GV57</f>
        <v>10</v>
      </c>
      <c r="CE57" s="452">
        <f>'raw data'!GW57</f>
        <v>54</v>
      </c>
      <c r="CF57" s="468">
        <f>IF(ISERROR('raw data'!GV57/'raw data'!GW57),0,'raw data'!GV57/'raw data'!GW57)</f>
        <v>0.18518518518518517</v>
      </c>
      <c r="CG57" s="451">
        <f>'raw data'!GX57</f>
        <v>4</v>
      </c>
      <c r="CH57" s="452">
        <f>'raw data'!GY57</f>
        <v>56</v>
      </c>
      <c r="CI57" s="468">
        <f>IF(ISERROR('raw data'!GX57/'raw data'!GY57),0,'raw data'!GX57/'raw data'!GY57)</f>
        <v>7.1428571428571425E-2</v>
      </c>
      <c r="CJ57" s="451">
        <f>'raw data'!GZ57</f>
        <v>3</v>
      </c>
      <c r="CK57" s="452">
        <f>'raw data'!HA57</f>
        <v>41</v>
      </c>
      <c r="CL57" s="468">
        <f>IF(ISERROR('raw data'!GZ57/'raw data'!HA57),0,'raw data'!GZ57/'raw data'!HA57)</f>
        <v>7.3170731707317069E-2</v>
      </c>
      <c r="CM57" s="451">
        <f>'raw data'!HB57</f>
        <v>5</v>
      </c>
      <c r="CN57" s="452">
        <f>'raw data'!HC57</f>
        <v>49</v>
      </c>
      <c r="CO57" s="468">
        <f>IF(ISERROR('raw data'!HB57/'raw data'!HC57),0,'raw data'!HB57/'raw data'!HC57)</f>
        <v>0.10204081632653061</v>
      </c>
      <c r="CP57" s="451">
        <f>'raw data'!HD57</f>
        <v>3</v>
      </c>
      <c r="CQ57" s="452">
        <f>'raw data'!HE57</f>
        <v>60</v>
      </c>
      <c r="CR57" s="468">
        <f>IF(ISERROR('raw data'!HD57/'raw data'!HE57),0,'raw data'!HD57/'raw data'!HE57)</f>
        <v>0.05</v>
      </c>
      <c r="CS57" s="451">
        <f>'raw data'!HF57</f>
        <v>1</v>
      </c>
      <c r="CT57" s="452">
        <f>'raw data'!HG57</f>
        <v>47</v>
      </c>
      <c r="CU57" s="468">
        <f>IF(ISERROR('raw data'!HF57/'raw data'!HG57),0,'raw data'!HF57/'raw data'!HG57)</f>
        <v>2.1276595744680851E-2</v>
      </c>
      <c r="CV57" s="451">
        <f>'raw data'!HH57</f>
        <v>3</v>
      </c>
      <c r="CW57" s="452">
        <f>'raw data'!HI57</f>
        <v>49</v>
      </c>
      <c r="CX57" s="468">
        <f>IF(ISERROR('raw data'!HH57/'raw data'!HI57),0,'raw data'!HH57/'raw data'!HI57)</f>
        <v>6.1224489795918366E-2</v>
      </c>
      <c r="CY57" s="451">
        <f>'raw data'!HJ57</f>
        <v>5</v>
      </c>
      <c r="CZ57" s="452">
        <f>'raw data'!HK57</f>
        <v>50</v>
      </c>
      <c r="DA57" s="468">
        <f>IF(ISERROR('raw data'!HJ57/'raw data'!HK57),0,'raw data'!HJ57/'raw data'!HK57)</f>
        <v>0.1</v>
      </c>
      <c r="DB57" s="451">
        <f>'raw data'!HL57</f>
        <v>4</v>
      </c>
      <c r="DC57" s="452">
        <f>'raw data'!HM57</f>
        <v>54</v>
      </c>
      <c r="DD57" s="468">
        <f>IF(ISERROR('raw data'!HL57/'raw data'!HM57),0,'raw data'!HL57/'raw data'!HM57)</f>
        <v>7.407407407407407E-2</v>
      </c>
      <c r="DE57" s="451">
        <f>'raw data'!HN57</f>
        <v>2</v>
      </c>
      <c r="DF57" s="452">
        <f>'raw data'!HO57</f>
        <v>44</v>
      </c>
      <c r="DG57" s="468">
        <f>IF(ISERROR('raw data'!HN57/'raw data'!HO57),0,'raw data'!HN57/'raw data'!HO57)</f>
        <v>4.5454545454545456E-2</v>
      </c>
      <c r="DH57" s="451">
        <f>'raw data'!HP57</f>
        <v>3</v>
      </c>
      <c r="DI57" s="452">
        <f>'raw data'!HQ57</f>
        <v>68</v>
      </c>
      <c r="DJ57" s="468">
        <f>IF(ISERROR('raw data'!HP57/'raw data'!HQ57),0,'raw data'!HP57/'raw data'!HQ57)</f>
        <v>4.4117647058823532E-2</v>
      </c>
      <c r="DK57" s="451">
        <f>'raw data'!HR57</f>
        <v>12</v>
      </c>
      <c r="DL57" s="452">
        <f>'raw data'!HS57</f>
        <v>65</v>
      </c>
      <c r="DM57" s="468">
        <f>IF(ISERROR('raw data'!HR57/'raw data'!HS57),0,'raw data'!HR57/'raw data'!HS57)</f>
        <v>0.18461538461538463</v>
      </c>
      <c r="DN57" s="451">
        <f>'raw data'!HT57</f>
        <v>4</v>
      </c>
      <c r="DO57" s="452">
        <f>'raw data'!HU57</f>
        <v>45</v>
      </c>
      <c r="DP57" s="468">
        <f>IF(ISERROR('raw data'!HT57/'raw data'!HU57),0,'raw data'!HT57/'raw data'!HU57)</f>
        <v>8.8888888888888892E-2</v>
      </c>
      <c r="DQ57" s="451">
        <f>'raw data'!HV57</f>
        <v>2</v>
      </c>
      <c r="DR57" s="452">
        <f>'raw data'!HW57</f>
        <v>23</v>
      </c>
      <c r="DS57" s="468">
        <f>IF(ISERROR('raw data'!HV57/'raw data'!HW57),0,'raw data'!HV57/'raw data'!HW57)</f>
        <v>8.6956521739130432E-2</v>
      </c>
      <c r="DT57" s="451">
        <f>'raw data'!HX57</f>
        <v>4</v>
      </c>
      <c r="DU57" s="452">
        <f>'raw data'!HY57</f>
        <v>37</v>
      </c>
      <c r="DV57" s="468">
        <f>IF(ISERROR('raw data'!HX57/'raw data'!HY57),0,'raw data'!HX57/'raw data'!HY57)</f>
        <v>0.10810810810810811</v>
      </c>
      <c r="DW57" s="451">
        <f>'raw data'!HZ57</f>
        <v>6</v>
      </c>
      <c r="DX57" s="452">
        <f>'raw data'!IA57</f>
        <v>42</v>
      </c>
      <c r="DY57" s="468">
        <f>IF(ISERROR('raw data'!HZ57/'raw data'!IA57),0,'raw data'!HZ57/'raw data'!IA57)</f>
        <v>0.14285714285714285</v>
      </c>
      <c r="DZ57" s="451">
        <f>'raw data'!IB57</f>
        <v>4</v>
      </c>
      <c r="EA57" s="452">
        <f>'raw data'!IC57</f>
        <v>58</v>
      </c>
      <c r="EB57" s="468">
        <f>IF(ISERROR('raw data'!IB57/'raw data'!IC57),0,'raw data'!IB57/'raw data'!IC57)</f>
        <v>6.8965517241379309E-2</v>
      </c>
      <c r="EC57" s="451">
        <f>'raw data'!ID57</f>
        <v>9</v>
      </c>
      <c r="ED57" s="452">
        <f>'raw data'!IE57</f>
        <v>48</v>
      </c>
      <c r="EE57" s="468">
        <f>IF(ISERROR('raw data'!ID57/'raw data'!IE57),0,'raw data'!ID57/'raw data'!IE57)</f>
        <v>0.1875</v>
      </c>
      <c r="EF57" s="451">
        <f>'raw data'!IF57</f>
        <v>8</v>
      </c>
      <c r="EG57" s="452">
        <f>'raw data'!IG57</f>
        <v>55</v>
      </c>
      <c r="EH57" s="468">
        <f>IF(ISERROR('raw data'!IF57/'raw data'!IG57),0,'raw data'!IF57/'raw data'!IG57)</f>
        <v>0.14545454545454545</v>
      </c>
      <c r="EI57" s="451">
        <f>'raw data'!IH57</f>
        <v>3</v>
      </c>
      <c r="EJ57" s="452">
        <f>'raw data'!II57</f>
        <v>46</v>
      </c>
      <c r="EK57" s="468">
        <f>IF(ISERROR('raw data'!IH57/'raw data'!II57),0,'raw data'!IH57/'raw data'!II57)</f>
        <v>6.5217391304347824E-2</v>
      </c>
      <c r="EL57" s="451">
        <f>'raw data'!IJ57</f>
        <v>11</v>
      </c>
      <c r="EM57" s="452">
        <f>'raw data'!IK57</f>
        <v>54</v>
      </c>
      <c r="EN57" s="468">
        <f>IF(ISERROR('raw data'!IJ57/'raw data'!IK57),0,'raw data'!IJ57/'raw data'!IK57)</f>
        <v>0.20370370370370369</v>
      </c>
      <c r="EO57" s="451">
        <f>'raw data'!IL57</f>
        <v>5</v>
      </c>
      <c r="EP57" s="452">
        <f>'raw data'!IM57</f>
        <v>49</v>
      </c>
      <c r="EQ57" s="468">
        <f>IF(ISERROR('raw data'!IL57/'raw data'!IM57),0,'raw data'!IL57/'raw data'!IM57)</f>
        <v>0.10204081632653061</v>
      </c>
      <c r="ER57" s="451">
        <f>'raw data'!IN57</f>
        <v>4</v>
      </c>
      <c r="ES57" s="452">
        <f>'raw data'!IO57</f>
        <v>57</v>
      </c>
      <c r="ET57" s="468">
        <f>IF(ISERROR('raw data'!IN57/'raw data'!IO57),0,'raw data'!IN57/'raw data'!IO57)</f>
        <v>7.0175438596491224E-2</v>
      </c>
      <c r="EU57" s="451">
        <f>'raw data'!IP57</f>
        <v>3</v>
      </c>
      <c r="EV57" s="452">
        <f>'raw data'!IQ57</f>
        <v>39</v>
      </c>
      <c r="EW57" s="468">
        <f>IF(ISERROR('raw data'!IP57/'raw data'!IQ57),0,'raw data'!IP57/'raw data'!IQ57)</f>
        <v>7.6923076923076927E-2</v>
      </c>
      <c r="EX57" s="451">
        <f>'raw data'!IR57</f>
        <v>4</v>
      </c>
      <c r="EY57" s="452">
        <f>'raw data'!IS57</f>
        <v>48</v>
      </c>
      <c r="EZ57" s="468">
        <f>IF(ISERROR('raw data'!IR57/'raw data'!IS57),0,'raw data'!IR57/'raw data'!IS57)</f>
        <v>8.3333333333333329E-2</v>
      </c>
      <c r="FA57" s="451">
        <f>'raw data'!IT57</f>
        <v>10</v>
      </c>
      <c r="FB57" s="452">
        <f>'raw data'!IU57</f>
        <v>46</v>
      </c>
      <c r="FC57" s="468">
        <f>IF(ISERROR('raw data'!IT57/'raw data'!IU57),0,'raw data'!IT57/'raw data'!IU57)</f>
        <v>0.21739130434782608</v>
      </c>
      <c r="FD57" s="451">
        <f>'raw data'!IV57</f>
        <v>7</v>
      </c>
      <c r="FE57" s="452">
        <f>'raw data'!IW57</f>
        <v>48</v>
      </c>
      <c r="FF57" s="468">
        <f>IF(ISERROR('raw data'!IV57/'raw data'!IW57),0,'raw data'!IV57/'raw data'!IW57)</f>
        <v>0.14583333333333334</v>
      </c>
      <c r="FG57" s="451">
        <f>'raw data'!IX57</f>
        <v>6</v>
      </c>
      <c r="FH57" s="452">
        <f>'raw data'!IY57</f>
        <v>44</v>
      </c>
      <c r="FI57" s="468">
        <f>IF(ISERROR('raw data'!IX57/'raw data'!IY57),0,'raw data'!IX57/'raw data'!IY57)</f>
        <v>0.13636363636363635</v>
      </c>
      <c r="FJ57" s="451">
        <f>'raw data'!IZ57</f>
        <v>13</v>
      </c>
      <c r="FK57" s="452">
        <f>'raw data'!JA57</f>
        <v>41</v>
      </c>
      <c r="FL57" s="468">
        <f>IF(ISERROR('raw data'!IZ57/'raw data'!JA57),0,'raw data'!IZ57/'raw data'!JA57)</f>
        <v>0.31707317073170732</v>
      </c>
      <c r="FM57" s="451">
        <f>'raw data'!JB57</f>
        <v>14</v>
      </c>
      <c r="FN57" s="452">
        <f>'raw data'!JC57</f>
        <v>53</v>
      </c>
      <c r="FO57" s="468">
        <f>IF(ISERROR('raw data'!JB57/'raw data'!JC57),0,'raw data'!JB57/'raw data'!JC57)</f>
        <v>0.26415094339622641</v>
      </c>
      <c r="FP57" s="451">
        <f>'raw data'!JD57</f>
        <v>10</v>
      </c>
      <c r="FQ57" s="452">
        <f>'raw data'!JE57</f>
        <v>55</v>
      </c>
      <c r="FR57" s="468">
        <f>IF(ISERROR('raw data'!JD57/'raw data'!JE57),0,'raw data'!JD57/'raw data'!JE57)</f>
        <v>0.18181818181818182</v>
      </c>
      <c r="FS57" s="454"/>
      <c r="FT57" s="455">
        <v>90</v>
      </c>
      <c r="FU57" s="456">
        <v>580</v>
      </c>
      <c r="FV57" s="457">
        <f>IF(ISERROR(FT57/FU57),0,FT57/FU57)</f>
        <v>0.15517241379310345</v>
      </c>
    </row>
    <row r="58" spans="1:178" ht="14" x14ac:dyDescent="0.15">
      <c r="A58" s="415"/>
      <c r="B58" s="416" t="s">
        <v>99</v>
      </c>
      <c r="C58" s="417" t="s">
        <v>99</v>
      </c>
      <c r="D58" s="418">
        <f>SUM(D45:D57)</f>
        <v>3</v>
      </c>
      <c r="E58" s="419">
        <f>SUM(E45:E57)</f>
        <v>65</v>
      </c>
      <c r="F58" s="420">
        <f>IF(ISERROR('raw data'!ET58/'raw data'!EU58),0,'raw data'!ET58/'raw data'!EU58)</f>
        <v>4.6153846153846156E-2</v>
      </c>
      <c r="G58" s="423">
        <f>SUM(G45:G57)</f>
        <v>3</v>
      </c>
      <c r="H58" s="422">
        <f>SUM(H45:H57)</f>
        <v>31</v>
      </c>
      <c r="I58" s="420">
        <f>IF(ISERROR('raw data'!EV58/'raw data'!EW58),0,'raw data'!EV58/'raw data'!EW58)</f>
        <v>9.6774193548387094E-2</v>
      </c>
      <c r="J58" s="423">
        <f>SUM(J45:J57)</f>
        <v>1</v>
      </c>
      <c r="K58" s="422">
        <f>SUM(K45:K57)</f>
        <v>62</v>
      </c>
      <c r="L58" s="420">
        <f>IF(ISERROR('raw data'!EX58/'raw data'!EY58),0,'raw data'!EX58/'raw data'!EY58)</f>
        <v>1.6129032258064516E-2</v>
      </c>
      <c r="M58" s="423">
        <f>SUM(M45:M57)</f>
        <v>1</v>
      </c>
      <c r="N58" s="422">
        <f>SUM(N45:N57)</f>
        <v>54</v>
      </c>
      <c r="O58" s="420">
        <f>IF(ISERROR('raw data'!EZ58/'raw data'!FA58),0,'raw data'!EZ58/'raw data'!FA58)</f>
        <v>1.8518518518518517E-2</v>
      </c>
      <c r="P58" s="423">
        <f>SUM(P45:P57)</f>
        <v>0</v>
      </c>
      <c r="Q58" s="422">
        <f>SUM(Q45:Q57)</f>
        <v>0</v>
      </c>
      <c r="R58" s="420">
        <f>IF(ISERROR('raw data'!FB58/'raw data'!FC58),0,'raw data'!FB58/'raw data'!FC58)</f>
        <v>0</v>
      </c>
      <c r="S58" s="423">
        <f>SUM(S45:S57)</f>
        <v>0</v>
      </c>
      <c r="T58" s="422">
        <f>SUM(T45:T57)</f>
        <v>0</v>
      </c>
      <c r="U58" s="420">
        <f>IF(ISERROR('raw data'!FD58/'raw data'!FE58),0,'raw data'!FD58/'raw data'!FE58)</f>
        <v>0</v>
      </c>
      <c r="V58" s="423">
        <f>SUM(V45:V57)</f>
        <v>0</v>
      </c>
      <c r="W58" s="422">
        <f>SUM(W45:W57)</f>
        <v>0</v>
      </c>
      <c r="X58" s="420">
        <f>IF(ISERROR('raw data'!FF58/'raw data'!FG58),0,'raw data'!FF58/'raw data'!FG58)</f>
        <v>0</v>
      </c>
      <c r="Y58" s="423">
        <f>SUM(Y45:Y57)</f>
        <v>0</v>
      </c>
      <c r="Z58" s="422">
        <f>SUM(Z45:Z57)</f>
        <v>0</v>
      </c>
      <c r="AA58" s="420">
        <f>IF(ISERROR('raw data'!FH58/'raw data'!FI58),0,'raw data'!FH58/'raw data'!FI58)</f>
        <v>0</v>
      </c>
      <c r="AB58" s="423">
        <f>SUM(AB45:AB57)</f>
        <v>0</v>
      </c>
      <c r="AC58" s="422">
        <f>SUM(AC45:AC57)</f>
        <v>0</v>
      </c>
      <c r="AD58" s="420">
        <f>IF(ISERROR('raw data'!FJ58/'raw data'!FM58),0,'raw data'!FJ58/'raw data'!FM58)</f>
        <v>0</v>
      </c>
      <c r="AE58" s="423">
        <f>SUM(AE45:AE57)</f>
        <v>0</v>
      </c>
      <c r="AF58" s="422">
        <f>SUM(AF45:AF57)</f>
        <v>0</v>
      </c>
      <c r="AG58" s="420">
        <f>IF(ISERROR('raw data'!FN58/'raw data'!FO58),0,'raw data'!FN58/'raw data'!FO58)</f>
        <v>0</v>
      </c>
      <c r="AH58" s="423">
        <f>SUM(AH45:AH57)</f>
        <v>2</v>
      </c>
      <c r="AI58" s="422">
        <f>SUM(AI45:AI57)</f>
        <v>32</v>
      </c>
      <c r="AJ58" s="420">
        <f>IF(ISERROR('raw data'!FP58/'raw data'!FQ58),0,'raw data'!FP58/'raw data'!FQ58)</f>
        <v>6.25E-2</v>
      </c>
      <c r="AK58" s="423">
        <f>SUM(AK45:AK57)</f>
        <v>7</v>
      </c>
      <c r="AL58" s="422">
        <f>SUM(AL45:AL57)</f>
        <v>42</v>
      </c>
      <c r="AM58" s="420">
        <f>IF(ISERROR('raw data'!FR58/'raw data'!FS58),0,'raw data'!FR58/'raw data'!FS58)</f>
        <v>0.16666666666666666</v>
      </c>
      <c r="AN58" s="423">
        <f>SUM(AN45:AN57)</f>
        <v>9</v>
      </c>
      <c r="AO58" s="422">
        <f>SUM(AO45:AO57)</f>
        <v>54</v>
      </c>
      <c r="AP58" s="420">
        <f>IF(ISERROR('raw data'!FT58/'raw data'!FU58),0,'raw data'!FT58/'raw data'!FU58)</f>
        <v>0.16666666666666666</v>
      </c>
      <c r="AQ58" s="423">
        <f>SUM(AQ45:AQ57)</f>
        <v>3</v>
      </c>
      <c r="AR58" s="422">
        <f>SUM(AR45:AR57)</f>
        <v>49</v>
      </c>
      <c r="AS58" s="424">
        <f>IF(ISERROR('raw data'!FV58/'raw data'!FW58),0,'raw data'!FV58/'raw data'!FW58)</f>
        <v>6.1224489795918366E-2</v>
      </c>
      <c r="AT58" s="423">
        <f>SUM(AT45:AT57)</f>
        <v>3</v>
      </c>
      <c r="AU58" s="422">
        <f>SUM(AU45:AU57)</f>
        <v>46</v>
      </c>
      <c r="AV58" s="426">
        <f>IF(ISERROR('raw data'!FX58/'raw data'!FY58),0,'raw data'!FX58/'raw data'!FY58)</f>
        <v>6.5217391304347824E-2</v>
      </c>
      <c r="AW58" s="423">
        <f>SUM(AW45:AW57)</f>
        <v>5</v>
      </c>
      <c r="AX58" s="422">
        <f>SUM(AX45:AX57)</f>
        <v>55</v>
      </c>
      <c r="AY58" s="426">
        <f>IF(ISERROR('raw data'!FZ58/'raw data'!GA58),0,'raw data'!FZ58/'raw data'!GA58)</f>
        <v>9.0909090909090912E-2</v>
      </c>
      <c r="AZ58" s="423">
        <f>SUM(AZ45:AZ57)</f>
        <v>5</v>
      </c>
      <c r="BA58" s="422">
        <f>SUM(BA45:BA57)</f>
        <v>62</v>
      </c>
      <c r="BB58" s="426">
        <f>IF(ISERROR('raw data'!GB58/'raw data'!GC58),0,'raw data'!GB58/'raw data'!GC58)</f>
        <v>8.0645161290322578E-2</v>
      </c>
      <c r="BC58" s="423">
        <f>SUM(BC45:BC57)</f>
        <v>7</v>
      </c>
      <c r="BD58" s="422">
        <f>SUM(BD45:BD57)</f>
        <v>93</v>
      </c>
      <c r="BE58" s="426">
        <f>IF(ISERROR('raw data'!GD58/'raw data'!GE58),0,'raw data'!GD58/'raw data'!GE58)</f>
        <v>7.5268817204301078E-2</v>
      </c>
      <c r="BF58" s="423">
        <f>SUM(BF45:BF57)</f>
        <v>6</v>
      </c>
      <c r="BG58" s="422">
        <f>SUM(BG45:BG57)</f>
        <v>77</v>
      </c>
      <c r="BH58" s="426">
        <f>IF(ISERROR('raw data'!GF58/'raw data'!GG58),0,'raw data'!GF58/'raw data'!GG58)</f>
        <v>7.792207792207792E-2</v>
      </c>
      <c r="BI58" s="423">
        <f>SUM(BI45:BI57)</f>
        <v>6</v>
      </c>
      <c r="BJ58" s="422">
        <f>SUM(BJ45:BJ57)</f>
        <v>84</v>
      </c>
      <c r="BK58" s="426">
        <f>IF(ISERROR('raw data'!GH58/'raw data'!GI58),0,'raw data'!GH58/'raw data'!GI58)</f>
        <v>7.1428571428571425E-2</v>
      </c>
      <c r="BL58" s="423">
        <f>SUM(BL45:BL57)</f>
        <v>9</v>
      </c>
      <c r="BM58" s="422">
        <f>SUM(BM45:BM57)</f>
        <v>90</v>
      </c>
      <c r="BN58" s="426">
        <f>IF(ISERROR('raw data'!GJ58/'raw data'!GK58),0,'raw data'!GJ58/'raw data'!GK58)</f>
        <v>0.1</v>
      </c>
      <c r="BO58" s="423">
        <f>SUM(BO45:BO57)</f>
        <v>8</v>
      </c>
      <c r="BP58" s="422">
        <f>SUM(BP45:BP57)</f>
        <v>87</v>
      </c>
      <c r="BQ58" s="426">
        <f>IF(ISERROR('raw data'!GL58/'raw data'!GM58),0,'raw data'!GL58/'raw data'!GM58)</f>
        <v>9.1954022988505746E-2</v>
      </c>
      <c r="BR58" s="423">
        <f>SUM(BR45:BR57)</f>
        <v>6</v>
      </c>
      <c r="BS58" s="422">
        <f>SUM(BS45:BS57)</f>
        <v>78</v>
      </c>
      <c r="BT58" s="426">
        <f>IF(ISERROR('raw data'!GN58/'raw data'!GO58),0,'raw data'!GN58/'raw data'!GO58)</f>
        <v>7.6923076923076927E-2</v>
      </c>
      <c r="BU58" s="423">
        <f>SUM(BU45:BU57)</f>
        <v>3</v>
      </c>
      <c r="BV58" s="422">
        <f>SUM(BV45:BV57)</f>
        <v>72</v>
      </c>
      <c r="BW58" s="426">
        <f>IF(ISERROR('raw data'!GP58/'raw data'!GQ58),0,'raw data'!GP58/'raw data'!GQ58)</f>
        <v>4.1666666666666664E-2</v>
      </c>
      <c r="BX58" s="423">
        <f>SUM(BX45:BX57)</f>
        <v>4</v>
      </c>
      <c r="BY58" s="422">
        <f>SUM(BY45:BY57)</f>
        <v>73</v>
      </c>
      <c r="BZ58" s="426">
        <f>IF(ISERROR('raw data'!GR58/'raw data'!GS58),0,'raw data'!GR58/'raw data'!GS58)</f>
        <v>5.4794520547945202E-2</v>
      </c>
      <c r="CA58" s="423">
        <f>SUM(CA45:CA57)</f>
        <v>7</v>
      </c>
      <c r="CB58" s="422">
        <f>SUM(CB45:CB57)</f>
        <v>59</v>
      </c>
      <c r="CC58" s="426">
        <f>IF(ISERROR('raw data'!GT58/'raw data'!GU58),0,'raw data'!GT58/'raw data'!GU58)</f>
        <v>0.11864406779661017</v>
      </c>
      <c r="CD58" s="423">
        <f>SUM(CD45:CD57)</f>
        <v>10</v>
      </c>
      <c r="CE58" s="422">
        <f>SUM(CE45:CE57)</f>
        <v>57</v>
      </c>
      <c r="CF58" s="426">
        <f>IF(ISERROR('raw data'!GV58/'raw data'!GW58),0,'raw data'!GV58/'raw data'!GW58)</f>
        <v>0.17543859649122806</v>
      </c>
      <c r="CG58" s="423">
        <f>SUM(CG45:CG57)</f>
        <v>5</v>
      </c>
      <c r="CH58" s="422">
        <f>SUM(CH45:CH57)</f>
        <v>60</v>
      </c>
      <c r="CI58" s="426">
        <f>IF(ISERROR('raw data'!GX58/'raw data'!GY58),0,'raw data'!GX58/'raw data'!GY58)</f>
        <v>8.3333333333333329E-2</v>
      </c>
      <c r="CJ58" s="423">
        <f>SUM(CJ45:CJ57)</f>
        <v>3</v>
      </c>
      <c r="CK58" s="422">
        <f>SUM(CK45:CK57)</f>
        <v>45</v>
      </c>
      <c r="CL58" s="426">
        <f>IF(ISERROR('raw data'!GZ58/'raw data'!HA58),0,'raw data'!GZ58/'raw data'!HA58)</f>
        <v>6.6666666666666666E-2</v>
      </c>
      <c r="CM58" s="423">
        <f>SUM(CM45:CM57)</f>
        <v>5</v>
      </c>
      <c r="CN58" s="422">
        <f>SUM(CN45:CN57)</f>
        <v>53</v>
      </c>
      <c r="CO58" s="426">
        <f>IF(ISERROR('raw data'!HB58/'raw data'!HC58),0,'raw data'!HB58/'raw data'!HC58)</f>
        <v>9.4339622641509441E-2</v>
      </c>
      <c r="CP58" s="423">
        <f>SUM(CP45:CP57)</f>
        <v>3</v>
      </c>
      <c r="CQ58" s="422">
        <f>SUM(CQ45:CQ57)</f>
        <v>68</v>
      </c>
      <c r="CR58" s="426">
        <f>IF(ISERROR('raw data'!HD58/'raw data'!HE58),0,'raw data'!HD58/'raw data'!HE58)</f>
        <v>4.4117647058823532E-2</v>
      </c>
      <c r="CS58" s="423">
        <f>SUM(CS45:CS57)</f>
        <v>1</v>
      </c>
      <c r="CT58" s="422">
        <f>SUM(CT45:CT57)</f>
        <v>50</v>
      </c>
      <c r="CU58" s="426">
        <f>IF(ISERROR('raw data'!HF58/'raw data'!HG58),0,'raw data'!HF58/'raw data'!HG58)</f>
        <v>0.02</v>
      </c>
      <c r="CV58" s="423">
        <f>SUM(CV45:CV57)</f>
        <v>3</v>
      </c>
      <c r="CW58" s="422">
        <f>SUM(CW45:CW57)</f>
        <v>54</v>
      </c>
      <c r="CX58" s="426">
        <f>IF(ISERROR('raw data'!HH58/'raw data'!HI58),0,'raw data'!HH58/'raw data'!HI58)</f>
        <v>5.5555555555555552E-2</v>
      </c>
      <c r="CY58" s="423">
        <f>SUM(CY45:CY57)</f>
        <v>5</v>
      </c>
      <c r="CZ58" s="422">
        <f>SUM(CZ45:CZ57)</f>
        <v>53</v>
      </c>
      <c r="DA58" s="426">
        <f>IF(ISERROR('raw data'!HJ58/'raw data'!HK58),0,'raw data'!HJ58/'raw data'!HK58)</f>
        <v>9.4339622641509441E-2</v>
      </c>
      <c r="DB58" s="423">
        <f>SUM(DB45:DB57)</f>
        <v>4</v>
      </c>
      <c r="DC58" s="422">
        <f>SUM(DC45:DC57)</f>
        <v>58</v>
      </c>
      <c r="DD58" s="426">
        <f>IF(ISERROR('raw data'!HL58/'raw data'!HM58),0,'raw data'!HL58/'raw data'!HM58)</f>
        <v>6.8965517241379309E-2</v>
      </c>
      <c r="DE58" s="423">
        <f>SUM(DE45:DE57)</f>
        <v>2</v>
      </c>
      <c r="DF58" s="422">
        <f>SUM(DF45:DF57)</f>
        <v>46</v>
      </c>
      <c r="DG58" s="426">
        <f>IF(ISERROR('raw data'!HN58/'raw data'!HO58),0,'raw data'!HN58/'raw data'!HO58)</f>
        <v>4.3478260869565216E-2</v>
      </c>
      <c r="DH58" s="423">
        <f>SUM(DH45:DH57)</f>
        <v>3</v>
      </c>
      <c r="DI58" s="422">
        <f>SUM(DI45:DI57)</f>
        <v>71</v>
      </c>
      <c r="DJ58" s="426">
        <f>IF(ISERROR('raw data'!HP58/'raw data'!HQ58),0,'raw data'!HP58/'raw data'!HQ58)</f>
        <v>4.2253521126760563E-2</v>
      </c>
      <c r="DK58" s="423">
        <f>SUM(DK45:DK57)</f>
        <v>12</v>
      </c>
      <c r="DL58" s="422">
        <f>SUM(DL45:DL57)</f>
        <v>67</v>
      </c>
      <c r="DM58" s="426">
        <f>IF(ISERROR('raw data'!HR58/'raw data'!HS58),0,'raw data'!HR58/'raw data'!HS58)</f>
        <v>0.17910447761194029</v>
      </c>
      <c r="DN58" s="423">
        <f>SUM(DN45:DN57)</f>
        <v>4</v>
      </c>
      <c r="DO58" s="422">
        <f>SUM(DO45:DO57)</f>
        <v>49</v>
      </c>
      <c r="DP58" s="426">
        <f>IF(ISERROR('raw data'!HT58/'raw data'!HU58),0,'raw data'!HT58/'raw data'!HU58)</f>
        <v>8.1632653061224483E-2</v>
      </c>
      <c r="DQ58" s="423">
        <f>SUM(DQ45:DQ57)</f>
        <v>2</v>
      </c>
      <c r="DR58" s="422">
        <f>SUM(DR45:DR57)</f>
        <v>24</v>
      </c>
      <c r="DS58" s="426">
        <f>IF(ISERROR('raw data'!HV58/'raw data'!HW58),0,'raw data'!HV58/'raw data'!HW58)</f>
        <v>8.3333333333333329E-2</v>
      </c>
      <c r="DT58" s="423">
        <f>SUM(DT45:DT57)</f>
        <v>4</v>
      </c>
      <c r="DU58" s="422">
        <f>SUM(DU45:DU57)</f>
        <v>40</v>
      </c>
      <c r="DV58" s="426">
        <f>IF(ISERROR('raw data'!HX58/'raw data'!HY58),0,'raw data'!HX58/'raw data'!HY58)</f>
        <v>0.1</v>
      </c>
      <c r="DW58" s="423">
        <f>SUM(DW45:DW57)</f>
        <v>6</v>
      </c>
      <c r="DX58" s="422">
        <f>SUM(DX45:DX57)</f>
        <v>43</v>
      </c>
      <c r="DY58" s="426">
        <f>IF(ISERROR('raw data'!HZ58/'raw data'!IA58),0,'raw data'!HZ58/'raw data'!IA58)</f>
        <v>0.13953488372093023</v>
      </c>
      <c r="DZ58" s="423">
        <f>SUM(DZ45:DZ57)</f>
        <v>4</v>
      </c>
      <c r="EA58" s="422">
        <f>SUM(EA45:EA57)</f>
        <v>59</v>
      </c>
      <c r="EB58" s="426">
        <f>IF(ISERROR('raw data'!IB58/'raw data'!IC58),0,'raw data'!IB58/'raw data'!IC58)</f>
        <v>6.7796610169491525E-2</v>
      </c>
      <c r="EC58" s="423">
        <f>SUM(EC45:EC57)</f>
        <v>9</v>
      </c>
      <c r="ED58" s="422">
        <f>SUM(ED45:ED57)</f>
        <v>50</v>
      </c>
      <c r="EE58" s="426">
        <f>IF(ISERROR('raw data'!ID58/'raw data'!IE58),0,'raw data'!ID58/'raw data'!IE58)</f>
        <v>0.18</v>
      </c>
      <c r="EF58" s="423">
        <f>SUM(EF45:EF57)</f>
        <v>8</v>
      </c>
      <c r="EG58" s="422">
        <f>SUM(EG45:EG57)</f>
        <v>58</v>
      </c>
      <c r="EH58" s="426">
        <f>IF(ISERROR('raw data'!IF58/'raw data'!IG58),0,'raw data'!IF58/'raw data'!IG58)</f>
        <v>0.13793103448275862</v>
      </c>
      <c r="EI58" s="423">
        <f>SUM(EI45:EI57)</f>
        <v>3</v>
      </c>
      <c r="EJ58" s="422">
        <f>SUM(EJ45:EJ57)</f>
        <v>49</v>
      </c>
      <c r="EK58" s="426">
        <f>IF(ISERROR('raw data'!IH58/'raw data'!II58),0,'raw data'!IH58/'raw data'!II58)</f>
        <v>6.1224489795918366E-2</v>
      </c>
      <c r="EL58" s="423">
        <f>SUM(EL45:EL57)</f>
        <v>11</v>
      </c>
      <c r="EM58" s="422">
        <f>SUM(EM45:EM57)</f>
        <v>64</v>
      </c>
      <c r="EN58" s="426">
        <f>IF(ISERROR('raw data'!IJ58/'raw data'!IK58),0,'raw data'!IJ58/'raw data'!IK58)</f>
        <v>0.171875</v>
      </c>
      <c r="EO58" s="423">
        <f>SUM(EO45:EO57)</f>
        <v>5</v>
      </c>
      <c r="EP58" s="422">
        <f>SUM(EP45:EP57)</f>
        <v>51</v>
      </c>
      <c r="EQ58" s="426">
        <f>IF(ISERROR('raw data'!IL58/'raw data'!IM58),0,'raw data'!IL58/'raw data'!IM58)</f>
        <v>9.8039215686274508E-2</v>
      </c>
      <c r="ER58" s="423">
        <f>SUM(ER45:ER57)</f>
        <v>4</v>
      </c>
      <c r="ES58" s="422">
        <f>SUM(ES45:ES57)</f>
        <v>58</v>
      </c>
      <c r="ET58" s="426">
        <f>IF(ISERROR('raw data'!IN58/'raw data'!IO58),0,'raw data'!IN58/'raw data'!IO58)</f>
        <v>6.8965517241379309E-2</v>
      </c>
      <c r="EU58" s="423">
        <f>SUM(EU45:EU57)</f>
        <v>3</v>
      </c>
      <c r="EV58" s="422">
        <f>SUM(EV45:EV57)</f>
        <v>42</v>
      </c>
      <c r="EW58" s="426">
        <f>IF(ISERROR('raw data'!IP58/'raw data'!IQ58),0,'raw data'!IP58/'raw data'!IQ58)</f>
        <v>7.1428571428571425E-2</v>
      </c>
      <c r="EX58" s="423">
        <f>SUM(EX45:EX57)</f>
        <v>4</v>
      </c>
      <c r="EY58" s="422">
        <f>SUM(EY45:EY57)</f>
        <v>55</v>
      </c>
      <c r="EZ58" s="426">
        <f>IF(ISERROR('raw data'!IR58/'raw data'!IS58),0,'raw data'!IR58/'raw data'!IS58)</f>
        <v>7.2727272727272724E-2</v>
      </c>
      <c r="FA58" s="423">
        <f>SUM(FA45:FA57)</f>
        <v>10</v>
      </c>
      <c r="FB58" s="422">
        <f>SUM(FB45:FB57)</f>
        <v>50</v>
      </c>
      <c r="FC58" s="426">
        <f>IF(ISERROR('raw data'!IT58/'raw data'!IU58),0,'raw data'!IT58/'raw data'!IU58)</f>
        <v>0.2</v>
      </c>
      <c r="FD58" s="423">
        <f>SUM(FD45:FD57)</f>
        <v>7</v>
      </c>
      <c r="FE58" s="422">
        <f>SUM(FE45:FE57)</f>
        <v>48</v>
      </c>
      <c r="FF58" s="426">
        <f>IF(ISERROR('raw data'!IV58/'raw data'!IW58),0,'raw data'!IV58/'raw data'!IW58)</f>
        <v>0.14583333333333334</v>
      </c>
      <c r="FG58" s="423">
        <f>SUM(FG45:FG57)</f>
        <v>6</v>
      </c>
      <c r="FH58" s="422">
        <f>SUM(FH45:FH57)</f>
        <v>54</v>
      </c>
      <c r="FI58" s="426">
        <f>IF(ISERROR('raw data'!IX58/'raw data'!IY58),0,'raw data'!IX58/'raw data'!IY58)</f>
        <v>0.1111111111111111</v>
      </c>
      <c r="FJ58" s="423">
        <f>SUM(FJ45:FJ57)</f>
        <v>13</v>
      </c>
      <c r="FK58" s="422">
        <f>SUM(FK45:FK57)</f>
        <v>47</v>
      </c>
      <c r="FL58" s="426">
        <f>IF(ISERROR('raw data'!IZ58/'raw data'!JA58),0,'raw data'!IZ58/'raw data'!JA58)</f>
        <v>0.27659574468085107</v>
      </c>
      <c r="FM58" s="423">
        <f>SUM(FM45:FM57)</f>
        <v>14</v>
      </c>
      <c r="FN58" s="422">
        <f>SUM(FN45:FN57)</f>
        <v>59</v>
      </c>
      <c r="FO58" s="426">
        <f>IF(ISERROR('raw data'!JB58/'raw data'!JC58),0,'raw data'!JB58/'raw data'!JC58)</f>
        <v>0.23728813559322035</v>
      </c>
      <c r="FP58" s="423">
        <f>SUM(FP45:FP57)</f>
        <v>10</v>
      </c>
      <c r="FQ58" s="422">
        <f>SUM(FQ45:FQ57)</f>
        <v>64</v>
      </c>
      <c r="FR58" s="426">
        <f>IF(ISERROR('raw data'!JD58/'raw data'!JE58),0,'raw data'!JD58/'raw data'!JE58)</f>
        <v>0.15625</v>
      </c>
      <c r="FS58" s="469"/>
      <c r="FT58" s="428">
        <f>SUM(FT45:FT57)</f>
        <v>90</v>
      </c>
      <c r="FU58" s="429">
        <f>SUM(FU45:FU57)</f>
        <v>641</v>
      </c>
      <c r="FV58" s="430">
        <f>IF(ISERROR(FT58/FU58),0,FT58/FU58)</f>
        <v>0.14040561622464898</v>
      </c>
    </row>
    <row r="59" spans="1:178" ht="25.5" customHeight="1" x14ac:dyDescent="0.15">
      <c r="A59" s="470">
        <v>2.1</v>
      </c>
      <c r="B59" s="470" t="str">
        <f>'raw data'!B59</f>
        <v>Loans repaid early and within 12 months and Loan Amount &gt;=£10k</v>
      </c>
      <c r="C59" s="471" t="s">
        <v>101</v>
      </c>
      <c r="D59" s="408" t="s">
        <v>30</v>
      </c>
      <c r="E59" s="409" t="s">
        <v>30</v>
      </c>
      <c r="F59" s="414" t="s">
        <v>30</v>
      </c>
      <c r="G59" s="408" t="s">
        <v>30</v>
      </c>
      <c r="H59" s="409" t="s">
        <v>30</v>
      </c>
      <c r="I59" s="414" t="s">
        <v>30</v>
      </c>
      <c r="J59" s="408" t="s">
        <v>30</v>
      </c>
      <c r="K59" s="472" t="s">
        <v>30</v>
      </c>
      <c r="L59" s="473" t="s">
        <v>30</v>
      </c>
      <c r="M59" s="408" t="s">
        <v>30</v>
      </c>
      <c r="N59" s="409" t="s">
        <v>30</v>
      </c>
      <c r="O59" s="414" t="s">
        <v>30</v>
      </c>
      <c r="P59" s="408" t="s">
        <v>30</v>
      </c>
      <c r="Q59" s="409" t="s">
        <v>30</v>
      </c>
      <c r="R59" s="414" t="s">
        <v>30</v>
      </c>
      <c r="S59" s="408" t="s">
        <v>30</v>
      </c>
      <c r="T59" s="409" t="s">
        <v>30</v>
      </c>
      <c r="U59" s="414" t="s">
        <v>30</v>
      </c>
      <c r="V59" s="408" t="s">
        <v>30</v>
      </c>
      <c r="W59" s="409" t="s">
        <v>30</v>
      </c>
      <c r="X59" s="414" t="s">
        <v>30</v>
      </c>
      <c r="Y59" s="408" t="s">
        <v>30</v>
      </c>
      <c r="Z59" s="409" t="s">
        <v>30</v>
      </c>
      <c r="AA59" s="414" t="s">
        <v>30</v>
      </c>
      <c r="AB59" s="408" t="s">
        <v>30</v>
      </c>
      <c r="AC59" s="409" t="s">
        <v>30</v>
      </c>
      <c r="AD59" s="414" t="s">
        <v>30</v>
      </c>
      <c r="AE59" s="408" t="s">
        <v>30</v>
      </c>
      <c r="AF59" s="409" t="s">
        <v>30</v>
      </c>
      <c r="AG59" s="414" t="s">
        <v>30</v>
      </c>
      <c r="AH59" s="408" t="s">
        <v>30</v>
      </c>
      <c r="AI59" s="409" t="s">
        <v>30</v>
      </c>
      <c r="AJ59" s="414" t="s">
        <v>30</v>
      </c>
      <c r="AK59" s="408" t="s">
        <v>30</v>
      </c>
      <c r="AL59" s="409" t="s">
        <v>30</v>
      </c>
      <c r="AM59" s="414" t="s">
        <v>30</v>
      </c>
      <c r="AN59" s="474">
        <f>'raw data'!FT59</f>
        <v>2</v>
      </c>
      <c r="AO59" s="475">
        <f>'raw data'!FU59</f>
        <v>20</v>
      </c>
      <c r="AP59" s="476">
        <f>IF(ISERROR('raw data'!FT59/'raw data'!FU59),0,'raw data'!FT59/'raw data'!FU59)</f>
        <v>0.1</v>
      </c>
      <c r="AQ59" s="474">
        <f>'raw data'!FV59</f>
        <v>0</v>
      </c>
      <c r="AR59" s="475">
        <f>'raw data'!FW59</f>
        <v>0</v>
      </c>
      <c r="AS59" s="477">
        <f>IF(ISERROR('raw data'!FV59/'raw data'!FW59),0,'raw data'!FV59/'raw data'!FW59)</f>
        <v>0</v>
      </c>
      <c r="AT59" s="478">
        <f>'raw data'!FX59</f>
        <v>2</v>
      </c>
      <c r="AU59" s="479">
        <f>'raw data'!FY59</f>
        <v>34</v>
      </c>
      <c r="AV59" s="477">
        <f>IF(ISERROR('raw data'!FX59/'raw data'!FY59),0,'raw data'!FX59/'raw data'!FY59)</f>
        <v>5.8823529411764705E-2</v>
      </c>
      <c r="AW59" s="478">
        <f>'raw data'!FZ59</f>
        <v>2</v>
      </c>
      <c r="AX59" s="479">
        <f>'raw data'!GA59</f>
        <v>59</v>
      </c>
      <c r="AY59" s="477">
        <f>IF(ISERROR('raw data'!FZ59/'raw data'!GA59),0,'raw data'!FZ59/'raw data'!GA59)</f>
        <v>3.3898305084745763E-2</v>
      </c>
      <c r="AZ59" s="478">
        <f>'raw data'!GB59</f>
        <v>0</v>
      </c>
      <c r="BA59" s="479">
        <f>'raw data'!GC59</f>
        <v>73</v>
      </c>
      <c r="BB59" s="477">
        <f>IF(ISERROR('raw data'!GB59/'raw data'!GC59),0,'raw data'!GB59/'raw data'!GC59)</f>
        <v>0</v>
      </c>
      <c r="BC59" s="478">
        <f>'raw data'!GD59</f>
        <v>0</v>
      </c>
      <c r="BD59" s="479">
        <f>'raw data'!GE59</f>
        <v>35</v>
      </c>
      <c r="BE59" s="477">
        <f>IF(ISERROR('raw data'!GD59/'raw data'!GE59),0,'raw data'!GD59/'raw data'!GE59)</f>
        <v>0</v>
      </c>
      <c r="BF59" s="478">
        <f>'raw data'!GF59</f>
        <v>0</v>
      </c>
      <c r="BG59" s="479">
        <f>'raw data'!GG59</f>
        <v>15</v>
      </c>
      <c r="BH59" s="477">
        <f>IF(ISERROR('raw data'!GF59/'raw data'!GG59),0,'raw data'!GF59/'raw data'!GG59)</f>
        <v>0</v>
      </c>
      <c r="BI59" s="478">
        <f>'raw data'!GH59</f>
        <v>0</v>
      </c>
      <c r="BJ59" s="479">
        <f>'raw data'!GI59</f>
        <v>82</v>
      </c>
      <c r="BK59" s="477">
        <f>IF(ISERROR('raw data'!GH59/'raw data'!GI59),0,'raw data'!GH59/'raw data'!GI59)</f>
        <v>0</v>
      </c>
      <c r="BL59" s="478">
        <f>'raw data'!GJ59</f>
        <v>0</v>
      </c>
      <c r="BM59" s="479">
        <f>'raw data'!GK59</f>
        <v>40</v>
      </c>
      <c r="BN59" s="477">
        <f>IF(ISERROR('raw data'!GJ59/'raw data'!GK59),0,'raw data'!GJ59/'raw data'!GK59)</f>
        <v>0</v>
      </c>
      <c r="BO59" s="478">
        <f>'raw data'!GL59</f>
        <v>0</v>
      </c>
      <c r="BP59" s="479">
        <f>'raw data'!GM59</f>
        <v>48</v>
      </c>
      <c r="BQ59" s="477">
        <f>IF(ISERROR('raw data'!GL59/'raw data'!GM59),0,'raw data'!GL59/'raw data'!GM59)</f>
        <v>0</v>
      </c>
      <c r="BR59" s="478">
        <f>'raw data'!GN59</f>
        <v>1</v>
      </c>
      <c r="BS59" s="479">
        <f>'raw data'!GO59</f>
        <v>91</v>
      </c>
      <c r="BT59" s="477">
        <f>IF(ISERROR('raw data'!GN59/'raw data'!GO59),0,'raw data'!GN59/'raw data'!GO59)</f>
        <v>1.098901098901099E-2</v>
      </c>
      <c r="BU59" s="478">
        <f>'raw data'!GP59</f>
        <v>1</v>
      </c>
      <c r="BV59" s="479">
        <f>'raw data'!GQ59</f>
        <v>40</v>
      </c>
      <c r="BW59" s="477">
        <f>IF(ISERROR('raw data'!GP59/'raw data'!GQ59),0,'raw data'!GP59/'raw data'!GQ59)</f>
        <v>2.5000000000000001E-2</v>
      </c>
      <c r="BX59" s="478">
        <f>'raw data'!GR59</f>
        <v>0</v>
      </c>
      <c r="BY59" s="479">
        <f>'raw data'!GS59</f>
        <v>28</v>
      </c>
      <c r="BZ59" s="477">
        <f>IF(ISERROR('raw data'!GR59/'raw data'!GS59),0,'raw data'!GR59/'raw data'!GS59)</f>
        <v>0</v>
      </c>
      <c r="CA59" s="478">
        <f>'raw data'!GT59</f>
        <v>0</v>
      </c>
      <c r="CB59" s="479">
        <f>'raw data'!GU59</f>
        <v>25</v>
      </c>
      <c r="CC59" s="477">
        <f>IF(ISERROR('raw data'!GT59/'raw data'!GU59),0,'raw data'!GT59/'raw data'!GU59)</f>
        <v>0</v>
      </c>
      <c r="CD59" s="478">
        <f>'raw data'!GV59</f>
        <v>0</v>
      </c>
      <c r="CE59" s="479">
        <f>'raw data'!GW59</f>
        <v>4</v>
      </c>
      <c r="CF59" s="477">
        <f>IF(ISERROR('raw data'!GV59/'raw data'!GW59),0,'raw data'!GV59/'raw data'!GW59)</f>
        <v>0</v>
      </c>
      <c r="CG59" s="478">
        <f>'raw data'!GX59</f>
        <v>0</v>
      </c>
      <c r="CH59" s="479">
        <f>'raw data'!GY59</f>
        <v>64</v>
      </c>
      <c r="CI59" s="477">
        <f>IF(ISERROR('raw data'!GX59/'raw data'!GY59),0,'raw data'!GX59/'raw data'!GY59)</f>
        <v>0</v>
      </c>
      <c r="CJ59" s="478">
        <f>'raw data'!GZ59</f>
        <v>0</v>
      </c>
      <c r="CK59" s="479">
        <f>'raw data'!HA59</f>
        <v>25</v>
      </c>
      <c r="CL59" s="477">
        <f>IF(ISERROR('raw data'!GZ59/'raw data'!HA59),0,'raw data'!GZ59/'raw data'!HA59)</f>
        <v>0</v>
      </c>
      <c r="CM59" s="408" t="str">
        <f>'raw data'!HB59</f>
        <v>Suspended</v>
      </c>
      <c r="CN59" s="409" t="str">
        <f>'raw data'!HC59</f>
        <v>Suspended</v>
      </c>
      <c r="CO59" s="410" t="s">
        <v>30</v>
      </c>
      <c r="CP59" s="408" t="str">
        <f>'raw data'!HD59</f>
        <v>Suspended</v>
      </c>
      <c r="CQ59" s="409" t="str">
        <f>'raw data'!HE59</f>
        <v>Suspended</v>
      </c>
      <c r="CR59" s="410" t="s">
        <v>30</v>
      </c>
      <c r="CS59" s="408" t="str">
        <f>'raw data'!HF59</f>
        <v>Suspended</v>
      </c>
      <c r="CT59" s="409" t="str">
        <f>'raw data'!HG59</f>
        <v>Suspended</v>
      </c>
      <c r="CU59" s="410" t="s">
        <v>30</v>
      </c>
      <c r="CV59" s="408" t="str">
        <f>'raw data'!HH59</f>
        <v>Suspended</v>
      </c>
      <c r="CW59" s="409" t="str">
        <f>'raw data'!HI59</f>
        <v>Suspended</v>
      </c>
      <c r="CX59" s="410" t="s">
        <v>30</v>
      </c>
      <c r="CY59" s="408" t="str">
        <f>'raw data'!HJ59</f>
        <v>Suspended</v>
      </c>
      <c r="CZ59" s="409" t="str">
        <f>'raw data'!HK59</f>
        <v>Suspended</v>
      </c>
      <c r="DA59" s="410" t="s">
        <v>30</v>
      </c>
      <c r="DB59" s="408" t="str">
        <f>'raw data'!HL59</f>
        <v>Suspended</v>
      </c>
      <c r="DC59" s="409" t="str">
        <f>'raw data'!HM59</f>
        <v>Suspended</v>
      </c>
      <c r="DD59" s="410" t="s">
        <v>30</v>
      </c>
      <c r="DE59" s="408" t="str">
        <f>'raw data'!HN59</f>
        <v>Suspended</v>
      </c>
      <c r="DF59" s="409" t="str">
        <f>'raw data'!HO59</f>
        <v>Suspended</v>
      </c>
      <c r="DG59" s="410" t="s">
        <v>30</v>
      </c>
      <c r="DH59" s="408" t="str">
        <f>'raw data'!HP59</f>
        <v>Suspended</v>
      </c>
      <c r="DI59" s="409" t="str">
        <f>'raw data'!HQ59</f>
        <v>Suspended</v>
      </c>
      <c r="DJ59" s="410" t="s">
        <v>30</v>
      </c>
      <c r="DK59" s="408" t="str">
        <f>'raw data'!HR59</f>
        <v>Suspended</v>
      </c>
      <c r="DL59" s="409" t="str">
        <f>'raw data'!HS59</f>
        <v>Suspended</v>
      </c>
      <c r="DM59" s="410" t="s">
        <v>30</v>
      </c>
      <c r="DN59" s="408" t="str">
        <f>'raw data'!HT59</f>
        <v>Suspended</v>
      </c>
      <c r="DO59" s="409" t="str">
        <f>'raw data'!HU59</f>
        <v>Suspended</v>
      </c>
      <c r="DP59" s="410" t="s">
        <v>30</v>
      </c>
      <c r="DQ59" s="408" t="str">
        <f>'raw data'!HV59</f>
        <v>Suspended</v>
      </c>
      <c r="DR59" s="409" t="str">
        <f>'raw data'!HW59</f>
        <v>Suspended</v>
      </c>
      <c r="DS59" s="410" t="s">
        <v>30</v>
      </c>
      <c r="DT59" s="408" t="str">
        <f>'raw data'!HX59</f>
        <v>Suspended</v>
      </c>
      <c r="DU59" s="409" t="str">
        <f>'raw data'!HY59</f>
        <v>Suspended</v>
      </c>
      <c r="DV59" s="410" t="s">
        <v>30</v>
      </c>
      <c r="DW59" s="408" t="str">
        <f>'raw data'!HZ59</f>
        <v>Suspended</v>
      </c>
      <c r="DX59" s="409" t="str">
        <f>'raw data'!IA59</f>
        <v>Suspended</v>
      </c>
      <c r="DY59" s="410" t="s">
        <v>30</v>
      </c>
      <c r="DZ59" s="408" t="str">
        <f>'raw data'!IB59</f>
        <v>Suspended</v>
      </c>
      <c r="EA59" s="409" t="str">
        <f>'raw data'!IC59</f>
        <v>Suspended</v>
      </c>
      <c r="EB59" s="410" t="s">
        <v>30</v>
      </c>
      <c r="EC59" s="408" t="str">
        <f>'raw data'!ID59</f>
        <v>Suspended</v>
      </c>
      <c r="ED59" s="409" t="str">
        <f>'raw data'!IE59</f>
        <v>Suspended</v>
      </c>
      <c r="EE59" s="410" t="s">
        <v>30</v>
      </c>
      <c r="EF59" s="408" t="str">
        <f>'raw data'!IF59</f>
        <v>Suspended</v>
      </c>
      <c r="EG59" s="409" t="str">
        <f>'raw data'!IG59</f>
        <v>Suspended</v>
      </c>
      <c r="EH59" s="410" t="s">
        <v>30</v>
      </c>
      <c r="EI59" s="408" t="str">
        <f>'raw data'!IH59</f>
        <v>Suspended</v>
      </c>
      <c r="EJ59" s="409" t="str">
        <f>'raw data'!II59</f>
        <v>Suspended</v>
      </c>
      <c r="EK59" s="410" t="s">
        <v>30</v>
      </c>
      <c r="EL59" s="408" t="str">
        <f>'raw data'!IJ59</f>
        <v>Suspended</v>
      </c>
      <c r="EM59" s="409" t="str">
        <f>'raw data'!IK59</f>
        <v>Suspended</v>
      </c>
      <c r="EN59" s="410" t="s">
        <v>30</v>
      </c>
      <c r="EO59" s="408" t="str">
        <f>'raw data'!IL59</f>
        <v>Suspended</v>
      </c>
      <c r="EP59" s="409" t="str">
        <f>'raw data'!IM59</f>
        <v>Suspended</v>
      </c>
      <c r="EQ59" s="410" t="s">
        <v>30</v>
      </c>
      <c r="ER59" s="408" t="str">
        <f>'raw data'!IN59</f>
        <v>Suspended</v>
      </c>
      <c r="ES59" s="409" t="str">
        <f>'raw data'!IO59</f>
        <v>Suspended</v>
      </c>
      <c r="ET59" s="410" t="s">
        <v>30</v>
      </c>
      <c r="EU59" s="408" t="str">
        <f>'raw data'!IP59</f>
        <v>Suspended</v>
      </c>
      <c r="EV59" s="409" t="str">
        <f>'raw data'!IQ59</f>
        <v>Suspended</v>
      </c>
      <c r="EW59" s="410" t="s">
        <v>30</v>
      </c>
      <c r="EX59" s="408" t="str">
        <f>'raw data'!IR59</f>
        <v>Suspended</v>
      </c>
      <c r="EY59" s="409" t="str">
        <f>'raw data'!IS59</f>
        <v>Suspended</v>
      </c>
      <c r="EZ59" s="410" t="s">
        <v>30</v>
      </c>
      <c r="FA59" s="408" t="str">
        <f>'raw data'!IT59</f>
        <v>Suspended</v>
      </c>
      <c r="FB59" s="409" t="str">
        <f>'raw data'!IU59</f>
        <v>Suspended</v>
      </c>
      <c r="FC59" s="410" t="s">
        <v>30</v>
      </c>
      <c r="FD59" s="408" t="str">
        <f>'raw data'!IV59</f>
        <v>Suspended</v>
      </c>
      <c r="FE59" s="409" t="str">
        <f>'raw data'!IW59</f>
        <v>Suspended</v>
      </c>
      <c r="FF59" s="410" t="s">
        <v>30</v>
      </c>
      <c r="FG59" s="408" t="str">
        <f>'raw data'!IX59</f>
        <v>Suspended</v>
      </c>
      <c r="FH59" s="409" t="str">
        <f>'raw data'!IY59</f>
        <v>Suspended</v>
      </c>
      <c r="FI59" s="410" t="s">
        <v>30</v>
      </c>
      <c r="FJ59" s="408" t="str">
        <f>'raw data'!IZ59</f>
        <v>Suspended</v>
      </c>
      <c r="FK59" s="409" t="str">
        <f>'raw data'!JA59</f>
        <v>Suspended</v>
      </c>
      <c r="FL59" s="410" t="s">
        <v>30</v>
      </c>
      <c r="FM59" s="408" t="str">
        <f>'raw data'!JB59</f>
        <v>Suspended</v>
      </c>
      <c r="FN59" s="409" t="str">
        <f>'raw data'!JC59</f>
        <v>Suspended</v>
      </c>
      <c r="FO59" s="410" t="s">
        <v>30</v>
      </c>
      <c r="FP59" s="408" t="str">
        <f>'raw data'!JD59</f>
        <v>Suspended</v>
      </c>
      <c r="FQ59" s="409" t="str">
        <f>'raw data'!JE59</f>
        <v>Suspended</v>
      </c>
      <c r="FR59" s="410" t="s">
        <v>30</v>
      </c>
      <c r="FS59" s="454"/>
      <c r="FT59" s="480">
        <v>0</v>
      </c>
      <c r="FU59" s="481">
        <v>0</v>
      </c>
      <c r="FV59" s="482">
        <f t="shared" si="0"/>
        <v>0</v>
      </c>
    </row>
    <row r="60" spans="1:178" ht="14" hidden="1" x14ac:dyDescent="0.15">
      <c r="A60" s="470">
        <v>2.2000000000000002</v>
      </c>
      <c r="B60" s="470">
        <f>'raw data'!B60</f>
        <v>0</v>
      </c>
      <c r="C60" s="471" t="s">
        <v>102</v>
      </c>
      <c r="D60" s="478">
        <f>'raw data'!ET60</f>
        <v>0</v>
      </c>
      <c r="E60" s="479">
        <f>'raw data'!EU60</f>
        <v>0</v>
      </c>
      <c r="F60" s="483">
        <f>IF(ISERROR('raw data'!ET60/'raw data'!EU60),0,'raw data'!ET60/'raw data'!EU60)</f>
        <v>0</v>
      </c>
      <c r="G60" s="484"/>
      <c r="H60" s="485"/>
      <c r="I60" s="483">
        <f>IF(ISERROR('raw data'!EV60/'raw data'!EW60),0,'raw data'!EV60/'raw data'!EW60)</f>
        <v>0</v>
      </c>
      <c r="J60" s="486"/>
      <c r="K60" s="487"/>
      <c r="L60" s="488">
        <f>IF(ISERROR('raw data'!EX60/'raw data'!EY60),0,'raw data'!EX60/'raw data'!EY60)</f>
        <v>0</v>
      </c>
      <c r="M60" s="484"/>
      <c r="N60" s="485"/>
      <c r="O60" s="483">
        <f>IF(ISERROR('raw data'!EZ60/'raw data'!FA60),0,'raw data'!EZ60/'raw data'!FA60)</f>
        <v>0</v>
      </c>
      <c r="P60" s="484"/>
      <c r="Q60" s="485"/>
      <c r="R60" s="483">
        <f>IF(ISERROR('raw data'!FB60/'raw data'!FC60),0,'raw data'!FB60/'raw data'!FC60)</f>
        <v>0</v>
      </c>
      <c r="S60" s="484"/>
      <c r="T60" s="485"/>
      <c r="U60" s="483">
        <f>IF(ISERROR('raw data'!FD60/'raw data'!FE60),0,'raw data'!FD60/'raw data'!FE60)</f>
        <v>0</v>
      </c>
      <c r="V60" s="484"/>
      <c r="W60" s="485"/>
      <c r="X60" s="483">
        <f>IF(ISERROR('raw data'!FF60/'raw data'!FG60),0,'raw data'!FF60/'raw data'!FG60)</f>
        <v>0</v>
      </c>
      <c r="Y60" s="484"/>
      <c r="Z60" s="485"/>
      <c r="AA60" s="483">
        <f>IF(ISERROR('raw data'!FH60/'raw data'!FI60),0,'raw data'!FH60/'raw data'!FI60)</f>
        <v>0</v>
      </c>
      <c r="AB60" s="484"/>
      <c r="AC60" s="485"/>
      <c r="AD60" s="483">
        <f>IF(ISERROR('raw data'!FJ60/'raw data'!FM60),0,'raw data'!FJ60/'raw data'!FM60)</f>
        <v>0</v>
      </c>
      <c r="AE60" s="484"/>
      <c r="AF60" s="485"/>
      <c r="AG60" s="483">
        <f>IF(ISERROR('raw data'!FN60/'raw data'!FO60),0,'raw data'!FN60/'raw data'!FO60)</f>
        <v>0</v>
      </c>
      <c r="AH60" s="484"/>
      <c r="AI60" s="485"/>
      <c r="AJ60" s="483">
        <f>IF(ISERROR('raw data'!FP60/'raw data'!FQ60),0,'raw data'!FP60/'raw data'!FQ60)</f>
        <v>0</v>
      </c>
      <c r="AK60" s="484"/>
      <c r="AL60" s="485"/>
      <c r="AM60" s="483">
        <f>IF(ISERROR('raw data'!FR60/'raw data'!FS60),0,'raw data'!FR60/'raw data'!FS60)</f>
        <v>0</v>
      </c>
      <c r="AN60" s="474">
        <f>'raw data'!FT60</f>
        <v>0</v>
      </c>
      <c r="AO60" s="475">
        <f>'raw data'!FU60</f>
        <v>0</v>
      </c>
      <c r="AP60" s="489"/>
      <c r="AQ60" s="474">
        <f>'raw data'!FV60</f>
        <v>0</v>
      </c>
      <c r="AR60" s="475">
        <f>'raw data'!FW60</f>
        <v>0</v>
      </c>
      <c r="AS60" s="490"/>
      <c r="AT60" s="478">
        <f>'raw data'!FX60</f>
        <v>0</v>
      </c>
      <c r="AU60" s="479">
        <f>'raw data'!FY60</f>
        <v>0</v>
      </c>
      <c r="AV60" s="477">
        <f>IF(ISERROR('raw data'!FX60/'raw data'!FY60),0,'raw data'!FX60/'raw data'!FY60)</f>
        <v>0</v>
      </c>
      <c r="AW60" s="478">
        <f>'raw data'!FZ60</f>
        <v>0</v>
      </c>
      <c r="AX60" s="479">
        <f>'raw data'!GA60</f>
        <v>0</v>
      </c>
      <c r="AY60" s="477">
        <f>IF(ISERROR('raw data'!FZ60/'raw data'!GA60),0,'raw data'!FZ60/'raw data'!GA60)</f>
        <v>0</v>
      </c>
      <c r="AZ60" s="478">
        <f>'raw data'!GB60</f>
        <v>0</v>
      </c>
      <c r="BA60" s="479">
        <f>'raw data'!GC60</f>
        <v>0</v>
      </c>
      <c r="BB60" s="477">
        <f>IF(ISERROR('raw data'!GB60/'raw data'!GC60),0,'raw data'!GB60/'raw data'!GC60)</f>
        <v>0</v>
      </c>
      <c r="BC60" s="478">
        <f>'raw data'!GD60</f>
        <v>0</v>
      </c>
      <c r="BD60" s="479">
        <f>'raw data'!GE60</f>
        <v>0</v>
      </c>
      <c r="BE60" s="477">
        <f>IF(ISERROR('raw data'!GD60/'raw data'!GE60),0,'raw data'!GD60/'raw data'!GE60)</f>
        <v>0</v>
      </c>
      <c r="BF60" s="478">
        <f>'raw data'!GF60</f>
        <v>0</v>
      </c>
      <c r="BG60" s="479">
        <f>'raw data'!GG60</f>
        <v>0</v>
      </c>
      <c r="BH60" s="477">
        <f>IF(ISERROR('raw data'!GF60/'raw data'!GG60),0,'raw data'!GF60/'raw data'!GG60)</f>
        <v>0</v>
      </c>
      <c r="BI60" s="478">
        <f>'raw data'!GH60</f>
        <v>0</v>
      </c>
      <c r="BJ60" s="479">
        <f>'raw data'!GI60</f>
        <v>0</v>
      </c>
      <c r="BK60" s="477">
        <f>IF(ISERROR('raw data'!GH60/'raw data'!GI60),0,'raw data'!GH60/'raw data'!GI60)</f>
        <v>0</v>
      </c>
      <c r="BL60" s="478">
        <f>'raw data'!GJ60</f>
        <v>0</v>
      </c>
      <c r="BM60" s="479">
        <f>'raw data'!GK60</f>
        <v>0</v>
      </c>
      <c r="BN60" s="477">
        <f>IF(ISERROR('raw data'!GJ60/'raw data'!GK60),0,'raw data'!GJ60/'raw data'!GK60)</f>
        <v>0</v>
      </c>
      <c r="BO60" s="478">
        <f>'raw data'!GL60</f>
        <v>0</v>
      </c>
      <c r="BP60" s="479">
        <f>'raw data'!GM60</f>
        <v>0</v>
      </c>
      <c r="BQ60" s="477">
        <f>IF(ISERROR('raw data'!GL60/'raw data'!GM60),0,'raw data'!GL60/'raw data'!GM60)</f>
        <v>0</v>
      </c>
      <c r="BR60" s="478">
        <f>'raw data'!GN60</f>
        <v>0</v>
      </c>
      <c r="BS60" s="479">
        <f>'raw data'!GO60</f>
        <v>0</v>
      </c>
      <c r="BT60" s="477">
        <f>IF(ISERROR('raw data'!GN60/'raw data'!GO60),0,'raw data'!GN60/'raw data'!GO60)</f>
        <v>0</v>
      </c>
      <c r="BU60" s="478">
        <f>'raw data'!GP60</f>
        <v>0</v>
      </c>
      <c r="BV60" s="479">
        <f>'raw data'!GQ60</f>
        <v>0</v>
      </c>
      <c r="BW60" s="477">
        <f>IF(ISERROR('raw data'!GP60/'raw data'!GQ60),0,'raw data'!GP60/'raw data'!GQ60)</f>
        <v>0</v>
      </c>
      <c r="BX60" s="478">
        <f>'raw data'!GR60</f>
        <v>0</v>
      </c>
      <c r="BY60" s="479">
        <f>'raw data'!GS60</f>
        <v>0</v>
      </c>
      <c r="BZ60" s="477">
        <f>IF(ISERROR('raw data'!GR60/'raw data'!GS60),0,'raw data'!GR60/'raw data'!GS60)</f>
        <v>0</v>
      </c>
      <c r="CA60" s="478">
        <f>'raw data'!GT60</f>
        <v>0</v>
      </c>
      <c r="CB60" s="479">
        <f>'raw data'!GU60</f>
        <v>0</v>
      </c>
      <c r="CC60" s="477">
        <f>IF(ISERROR('raw data'!GT60/'raw data'!GU60),0,'raw data'!GT60/'raw data'!GU60)</f>
        <v>0</v>
      </c>
      <c r="CD60" s="478">
        <f>'raw data'!GV60</f>
        <v>0</v>
      </c>
      <c r="CE60" s="479">
        <f>'raw data'!GW60</f>
        <v>0</v>
      </c>
      <c r="CF60" s="477">
        <f>IF(ISERROR('raw data'!GV60/'raw data'!GW60),0,'raw data'!GV60/'raw data'!GW60)</f>
        <v>0</v>
      </c>
      <c r="CG60" s="478">
        <f>'raw data'!GX60</f>
        <v>0</v>
      </c>
      <c r="CH60" s="479">
        <f>'raw data'!GY60</f>
        <v>0</v>
      </c>
      <c r="CI60" s="477">
        <f>IF(ISERROR('raw data'!GX60/'raw data'!GY60),0,'raw data'!GX60/'raw data'!GY60)</f>
        <v>0</v>
      </c>
      <c r="CJ60" s="478">
        <f>'raw data'!GZ60</f>
        <v>0</v>
      </c>
      <c r="CK60" s="479">
        <f>'raw data'!HA60</f>
        <v>0</v>
      </c>
      <c r="CL60" s="477">
        <f>IF(ISERROR('raw data'!GZ60/'raw data'!HA60),0,'raw data'!GZ60/'raw data'!HA60)</f>
        <v>0</v>
      </c>
      <c r="CM60" s="478">
        <f>'raw data'!HB60</f>
        <v>0</v>
      </c>
      <c r="CN60" s="479">
        <f>'raw data'!HC60</f>
        <v>0</v>
      </c>
      <c r="CO60" s="477">
        <f>IF(ISERROR('raw data'!HB60/'raw data'!HC60),0,'raw data'!HB60/'raw data'!HC60)</f>
        <v>0</v>
      </c>
      <c r="CP60" s="478">
        <f>'raw data'!HD60</f>
        <v>0</v>
      </c>
      <c r="CQ60" s="479">
        <f>'raw data'!HE60</f>
        <v>0</v>
      </c>
      <c r="CR60" s="477">
        <f>IF(ISERROR('raw data'!HD60/'raw data'!HE60),0,'raw data'!HD60/'raw data'!HE60)</f>
        <v>0</v>
      </c>
      <c r="CS60" s="478">
        <f>'raw data'!HF60</f>
        <v>0</v>
      </c>
      <c r="CT60" s="479">
        <f>'raw data'!HG60</f>
        <v>0</v>
      </c>
      <c r="CU60" s="477">
        <f>IF(ISERROR('raw data'!HF60/'raw data'!HG60),0,'raw data'!HF60/'raw data'!HG60)</f>
        <v>0</v>
      </c>
      <c r="CV60" s="478">
        <f>'raw data'!HH60</f>
        <v>0</v>
      </c>
      <c r="CW60" s="479">
        <f>'raw data'!HI60</f>
        <v>0</v>
      </c>
      <c r="CX60" s="477">
        <f>IF(ISERROR('raw data'!HH60/'raw data'!HI60),0,'raw data'!HH60/'raw data'!HI60)</f>
        <v>0</v>
      </c>
      <c r="CY60" s="478">
        <f>'raw data'!HJ60</f>
        <v>0</v>
      </c>
      <c r="CZ60" s="479">
        <f>'raw data'!HK60</f>
        <v>0</v>
      </c>
      <c r="DA60" s="477">
        <f>IF(ISERROR('raw data'!HK60/'raw data'!#REF!),0,'raw data'!HK60/'raw data'!#REF!)</f>
        <v>0</v>
      </c>
      <c r="DB60" s="478">
        <f>'raw data'!HL60</f>
        <v>0</v>
      </c>
      <c r="DC60" s="479">
        <f>'raw data'!HM60</f>
        <v>0</v>
      </c>
      <c r="DD60" s="477">
        <f>IF(ISERROR('raw data'!HM60/'raw data'!JH60),0,'raw data'!HM60/'raw data'!JH60)</f>
        <v>0</v>
      </c>
      <c r="DE60" s="478">
        <f>'raw data'!HN60</f>
        <v>0</v>
      </c>
      <c r="DF60" s="479">
        <f>'raw data'!HO60</f>
        <v>0</v>
      </c>
      <c r="DG60" s="477">
        <f>IF(ISERROR('raw data'!HO60/'raw data'!JK60),0,'raw data'!HO60/'raw data'!JK60)</f>
        <v>0</v>
      </c>
      <c r="DH60" s="478">
        <f>'raw data'!HP60</f>
        <v>0</v>
      </c>
      <c r="DI60" s="479">
        <f>'raw data'!HQ60</f>
        <v>0</v>
      </c>
      <c r="DJ60" s="477">
        <f>IF(ISERROR('raw data'!HQ60/'raw data'!JN60),0,'raw data'!HQ60/'raw data'!JN60)</f>
        <v>0</v>
      </c>
      <c r="DK60" s="478">
        <f>'raw data'!HR60</f>
        <v>0</v>
      </c>
      <c r="DL60" s="479">
        <f>'raw data'!HS60</f>
        <v>0</v>
      </c>
      <c r="DM60" s="477">
        <f>IF(ISERROR('raw data'!HS60/'raw data'!JQ60),0,'raw data'!HS60/'raw data'!JQ60)</f>
        <v>0</v>
      </c>
      <c r="DN60" s="478">
        <f>'raw data'!HT60</f>
        <v>0</v>
      </c>
      <c r="DO60" s="479">
        <f>'raw data'!HU60</f>
        <v>0</v>
      </c>
      <c r="DP60" s="477">
        <f>IF(ISERROR('raw data'!HU60/'raw data'!JT60),0,'raw data'!HU60/'raw data'!JT60)</f>
        <v>0</v>
      </c>
      <c r="DQ60" s="478">
        <f>'raw data'!HV60</f>
        <v>0</v>
      </c>
      <c r="DR60" s="479">
        <f>'raw data'!HW60</f>
        <v>0</v>
      </c>
      <c r="DS60" s="477">
        <f>IF(ISERROR('raw data'!HW60/'raw data'!JW60),0,'raw data'!HW60/'raw data'!JW60)</f>
        <v>0</v>
      </c>
      <c r="DT60" s="478">
        <f>'raw data'!HX60</f>
        <v>0</v>
      </c>
      <c r="DU60" s="479">
        <f>'raw data'!HY60</f>
        <v>0</v>
      </c>
      <c r="DV60" s="477">
        <f>IF(ISERROR('raw data'!HY60/'raw data'!JZ60),0,'raw data'!HY60/'raw data'!JZ60)</f>
        <v>0</v>
      </c>
      <c r="DW60" s="478">
        <f>'raw data'!HZ60</f>
        <v>0</v>
      </c>
      <c r="DX60" s="479">
        <f>'raw data'!IA60</f>
        <v>0</v>
      </c>
      <c r="DY60" s="477">
        <f>IF(ISERROR('raw data'!IA60/'raw data'!KC60),0,'raw data'!IA60/'raw data'!KC60)</f>
        <v>0</v>
      </c>
      <c r="DZ60" s="478">
        <f>'raw data'!IB60</f>
        <v>0</v>
      </c>
      <c r="EA60" s="479">
        <f>'raw data'!IC60</f>
        <v>0</v>
      </c>
      <c r="EB60" s="477">
        <f>IF(ISERROR('raw data'!IC60/'raw data'!KF60),0,'raw data'!IC60/'raw data'!KF60)</f>
        <v>0</v>
      </c>
      <c r="EC60" s="478">
        <f>'raw data'!ID60</f>
        <v>0</v>
      </c>
      <c r="ED60" s="479">
        <f>'raw data'!IE60</f>
        <v>0</v>
      </c>
      <c r="EE60" s="477">
        <f>IF(ISERROR('raw data'!IE60/'raw data'!KI60),0,'raw data'!IE60/'raw data'!KI60)</f>
        <v>0</v>
      </c>
      <c r="EF60" s="478">
        <f>'raw data'!IF60</f>
        <v>0</v>
      </c>
      <c r="EG60" s="479">
        <f>'raw data'!IG60</f>
        <v>0</v>
      </c>
      <c r="EH60" s="477">
        <f>IF(ISERROR('raw data'!IG60/'raw data'!KL60),0,'raw data'!IG60/'raw data'!KL60)</f>
        <v>0</v>
      </c>
      <c r="EI60" s="478">
        <f>'raw data'!IH60</f>
        <v>0</v>
      </c>
      <c r="EJ60" s="479">
        <f>'raw data'!II60</f>
        <v>0</v>
      </c>
      <c r="EK60" s="477">
        <f>IF(ISERROR('raw data'!II60/'raw data'!KO60),0,'raw data'!II60/'raw data'!KO60)</f>
        <v>0</v>
      </c>
      <c r="EL60" s="478">
        <f>'raw data'!IJ60</f>
        <v>0</v>
      </c>
      <c r="EM60" s="479">
        <f>'raw data'!IK60</f>
        <v>0</v>
      </c>
      <c r="EN60" s="477">
        <f>IF(ISERROR('raw data'!IK60/'raw data'!KR60),0,'raw data'!IK60/'raw data'!KR60)</f>
        <v>0</v>
      </c>
      <c r="EO60" s="478">
        <f>'raw data'!IL60</f>
        <v>0</v>
      </c>
      <c r="EP60" s="479">
        <f>'raw data'!IM60</f>
        <v>0</v>
      </c>
      <c r="EQ60" s="477">
        <f>IF(ISERROR('raw data'!IM60/'raw data'!KU60),0,'raw data'!IM60/'raw data'!KU60)</f>
        <v>0</v>
      </c>
      <c r="ER60" s="478">
        <f>'raw data'!IN60</f>
        <v>0</v>
      </c>
      <c r="ES60" s="479">
        <f>'raw data'!IO60</f>
        <v>0</v>
      </c>
      <c r="ET60" s="477">
        <f>IF(ISERROR('raw data'!IO60/'raw data'!KX60),0,'raw data'!IO60/'raw data'!KX60)</f>
        <v>0</v>
      </c>
      <c r="EU60" s="478">
        <f>'raw data'!IP60</f>
        <v>0</v>
      </c>
      <c r="EV60" s="479">
        <f>'raw data'!IQ60</f>
        <v>0</v>
      </c>
      <c r="EW60" s="477">
        <f>IF(ISERROR('raw data'!IQ60/'raw data'!LA60),0,'raw data'!IQ60/'raw data'!LA60)</f>
        <v>0</v>
      </c>
      <c r="EX60" s="478">
        <f>'raw data'!IR60</f>
        <v>0</v>
      </c>
      <c r="EY60" s="479">
        <f>'raw data'!IS60</f>
        <v>0</v>
      </c>
      <c r="EZ60" s="477">
        <f>IF(ISERROR('raw data'!IS60/'raw data'!LD60),0,'raw data'!IS60/'raw data'!LD60)</f>
        <v>0</v>
      </c>
      <c r="FA60" s="478">
        <f>'raw data'!IT60</f>
        <v>0</v>
      </c>
      <c r="FB60" s="479">
        <f>'raw data'!IU60</f>
        <v>0</v>
      </c>
      <c r="FC60" s="477">
        <f>IF(ISERROR('raw data'!IU60/'raw data'!LG60),0,'raw data'!IU60/'raw data'!LG60)</f>
        <v>0</v>
      </c>
      <c r="FD60" s="478">
        <f>'raw data'!IV60</f>
        <v>0</v>
      </c>
      <c r="FE60" s="479">
        <f>'raw data'!IW60</f>
        <v>0</v>
      </c>
      <c r="FF60" s="477">
        <f>IF(ISERROR('raw data'!IW60/'raw data'!LJ60),0,'raw data'!IW60/'raw data'!LJ60)</f>
        <v>0</v>
      </c>
      <c r="FG60" s="478">
        <f>'raw data'!IX60</f>
        <v>0</v>
      </c>
      <c r="FH60" s="479">
        <f>'raw data'!IY60</f>
        <v>0</v>
      </c>
      <c r="FI60" s="477">
        <f>IF(ISERROR('raw data'!IY60/'raw data'!LM60),0,'raw data'!IY60/'raw data'!LM60)</f>
        <v>0</v>
      </c>
      <c r="FJ60" s="478">
        <f>'raw data'!IZ60</f>
        <v>0</v>
      </c>
      <c r="FK60" s="479">
        <f>'raw data'!JA60</f>
        <v>0</v>
      </c>
      <c r="FL60" s="477">
        <f>IF(ISERROR('raw data'!JA60/'raw data'!LP60),0,'raw data'!JA60/'raw data'!LP60)</f>
        <v>0</v>
      </c>
      <c r="FM60" s="478">
        <f>'raw data'!JB60</f>
        <v>0</v>
      </c>
      <c r="FN60" s="479">
        <f>'raw data'!JC60</f>
        <v>0</v>
      </c>
      <c r="FO60" s="477">
        <f>IF(ISERROR('raw data'!JC60/'raw data'!LS60),0,'raw data'!JC60/'raw data'!LS60)</f>
        <v>0</v>
      </c>
      <c r="FP60" s="478">
        <f>'raw data'!JD60</f>
        <v>0</v>
      </c>
      <c r="FQ60" s="479">
        <f>'raw data'!JE60</f>
        <v>0</v>
      </c>
      <c r="FR60" s="477">
        <f>IF(ISERROR('raw data'!JE60/'raw data'!LV60),0,'raw data'!JE60/'raw data'!LV60)</f>
        <v>0</v>
      </c>
      <c r="FS60" s="454"/>
      <c r="FT60" s="491">
        <f>SUM('raw data'!CT60,'raw data'!CV60,'raw data'!CX60,'raw data'!CZ60,'raw data'!DB60,'raw data'!DD60,'raw data'!DF60,'raw data'!DH60,'raw data'!DJ60,'raw data'!DL60,'raw data'!DN60,'raw data'!DP60)</f>
        <v>0</v>
      </c>
      <c r="FU60" s="492">
        <f>SUM('raw data'!CU60,'raw data'!CW60,'raw data'!CY60,'raw data'!DA60,'raw data'!DC60,'raw data'!DE60,'raw data'!DG60,'raw data'!DI60,'raw data'!DK60,'raw data'!DM60,'raw data'!DO60,'raw data'!DQ60)</f>
        <v>0</v>
      </c>
      <c r="FV60" s="493">
        <f t="shared" si="0"/>
        <v>0</v>
      </c>
    </row>
    <row r="61" spans="1:178" ht="25.5" customHeight="1" x14ac:dyDescent="0.15">
      <c r="A61" s="470">
        <v>2.2999999999999998</v>
      </c>
      <c r="B61" s="470" t="str">
        <f>'raw data'!B61</f>
        <v>Loans with overpayments equal to or greater than 20% of the loan in first 12 months</v>
      </c>
      <c r="C61" s="471" t="s">
        <v>104</v>
      </c>
      <c r="D61" s="478">
        <f>'raw data'!ET61</f>
        <v>1</v>
      </c>
      <c r="E61" s="479">
        <f>'raw data'!EU61</f>
        <v>152</v>
      </c>
      <c r="F61" s="489">
        <f>IF(ISERROR('raw data'!ET61/'raw data'!EU61),0,'raw data'!ET61/'raw data'!EU61)</f>
        <v>6.5789473684210523E-3</v>
      </c>
      <c r="G61" s="478">
        <f>'raw data'!EV61</f>
        <v>0</v>
      </c>
      <c r="H61" s="479">
        <f>'raw data'!EW61</f>
        <v>177</v>
      </c>
      <c r="I61" s="489">
        <f>IF(ISERROR('raw data'!EV61/'raw data'!EW61),0,'raw data'!EV61/'raw data'!EW61)</f>
        <v>0</v>
      </c>
      <c r="J61" s="478">
        <f>'raw data'!EX61</f>
        <v>1</v>
      </c>
      <c r="K61" s="479">
        <f>'raw data'!EY61</f>
        <v>49</v>
      </c>
      <c r="L61" s="494">
        <f>IF(ISERROR('raw data'!EX61/'raw data'!EY61),0,'raw data'!EX61/'raw data'!EY61)</f>
        <v>2.0408163265306121E-2</v>
      </c>
      <c r="M61" s="478">
        <f>'raw data'!EZ61</f>
        <v>1</v>
      </c>
      <c r="N61" s="479">
        <f>'raw data'!FA61</f>
        <v>67</v>
      </c>
      <c r="O61" s="489">
        <f>IF(ISERROR('raw data'!EZ61/'raw data'!FA61),0,'raw data'!EZ61/'raw data'!FA61)</f>
        <v>1.4925373134328358E-2</v>
      </c>
      <c r="P61" s="478">
        <f>'raw data'!FB61</f>
        <v>2</v>
      </c>
      <c r="Q61" s="479">
        <f>'raw data'!FC61</f>
        <v>46</v>
      </c>
      <c r="R61" s="489">
        <f>IF(ISERROR('raw data'!FB61/'raw data'!FC61),0,'raw data'!FB61/'raw data'!FC61)</f>
        <v>4.3478260869565216E-2</v>
      </c>
      <c r="S61" s="478">
        <f>'raw data'!FD61</f>
        <v>1</v>
      </c>
      <c r="T61" s="479">
        <f>'raw data'!FE61</f>
        <v>68</v>
      </c>
      <c r="U61" s="489">
        <f>IF(ISERROR('raw data'!FD61/'raw data'!FE61),0,'raw data'!FD61/'raw data'!FE61)</f>
        <v>1.4705882352941176E-2</v>
      </c>
      <c r="V61" s="478">
        <f>'raw data'!FF61</f>
        <v>2</v>
      </c>
      <c r="W61" s="479">
        <f>'raw data'!FG61</f>
        <v>80</v>
      </c>
      <c r="X61" s="489">
        <f>IF(ISERROR('raw data'!FF61/'raw data'!FG61),0,'raw data'!FF61/'raw data'!FG61)</f>
        <v>2.5000000000000001E-2</v>
      </c>
      <c r="Y61" s="478">
        <f>'raw data'!FH61</f>
        <v>3</v>
      </c>
      <c r="Z61" s="479">
        <f>'raw data'!FI61</f>
        <v>81</v>
      </c>
      <c r="AA61" s="489">
        <f>IF(ISERROR('raw data'!FH61/'raw data'!FI61),0,'raw data'!FH61/'raw data'!FI61)</f>
        <v>3.7037037037037035E-2</v>
      </c>
      <c r="AB61" s="478">
        <f>'raw data'!FJ61</f>
        <v>0</v>
      </c>
      <c r="AC61" s="479">
        <f>'raw data'!FM61</f>
        <v>78</v>
      </c>
      <c r="AD61" s="489">
        <f>IF(ISERROR('raw data'!FJ61/'raw data'!FM61),0,'raw data'!FJ61/'raw data'!FM61)</f>
        <v>0</v>
      </c>
      <c r="AE61" s="408" t="s">
        <v>30</v>
      </c>
      <c r="AF61" s="409" t="s">
        <v>30</v>
      </c>
      <c r="AG61" s="414" t="s">
        <v>30</v>
      </c>
      <c r="AH61" s="408" t="s">
        <v>30</v>
      </c>
      <c r="AI61" s="409" t="s">
        <v>30</v>
      </c>
      <c r="AJ61" s="414" t="s">
        <v>30</v>
      </c>
      <c r="AK61" s="408" t="s">
        <v>30</v>
      </c>
      <c r="AL61" s="409" t="s">
        <v>30</v>
      </c>
      <c r="AM61" s="414" t="s">
        <v>30</v>
      </c>
      <c r="AN61" s="474">
        <f>'raw data'!FT61</f>
        <v>1</v>
      </c>
      <c r="AO61" s="475">
        <f>'raw data'!FU61</f>
        <v>22</v>
      </c>
      <c r="AP61" s="476">
        <f>IF(ISERROR('raw data'!FT61/'raw data'!FU61),0,'raw data'!FT61/'raw data'!FU61)</f>
        <v>4.5454545454545456E-2</v>
      </c>
      <c r="AQ61" s="474">
        <f>'raw data'!FV61</f>
        <v>0</v>
      </c>
      <c r="AR61" s="475">
        <f>'raw data'!FW61</f>
        <v>0</v>
      </c>
      <c r="AS61" s="477">
        <f>IF(ISERROR('raw data'!FV61/'raw data'!FW61),0,'raw data'!FV61/'raw data'!FW61)</f>
        <v>0</v>
      </c>
      <c r="AT61" s="478">
        <f>'raw data'!FX61</f>
        <v>1</v>
      </c>
      <c r="AU61" s="479">
        <f>'raw data'!FY61</f>
        <v>35</v>
      </c>
      <c r="AV61" s="477">
        <f>IF(ISERROR('raw data'!FX61/'raw data'!FY61),0,'raw data'!FX61/'raw data'!FY61)</f>
        <v>2.8571428571428571E-2</v>
      </c>
      <c r="AW61" s="478">
        <f>'raw data'!FZ61</f>
        <v>0</v>
      </c>
      <c r="AX61" s="479">
        <f>'raw data'!GA61</f>
        <v>4</v>
      </c>
      <c r="AY61" s="477">
        <f>IF(ISERROR('raw data'!FZ61/'raw data'!GA61),0,'raw data'!FZ61/'raw data'!GA61)</f>
        <v>0</v>
      </c>
      <c r="AZ61" s="478">
        <f>'raw data'!GB61</f>
        <v>0</v>
      </c>
      <c r="BA61" s="479">
        <f>'raw data'!GC61</f>
        <v>2</v>
      </c>
      <c r="BB61" s="477">
        <f>IF(ISERROR('raw data'!GB61/'raw data'!GC61),0,'raw data'!GB61/'raw data'!GC61)</f>
        <v>0</v>
      </c>
      <c r="BC61" s="478">
        <f>'raw data'!GD61</f>
        <v>0</v>
      </c>
      <c r="BD61" s="479">
        <f>'raw data'!GE61</f>
        <v>10</v>
      </c>
      <c r="BE61" s="477">
        <f>IF(ISERROR('raw data'!GD61/'raw data'!GE61),0,'raw data'!GD61/'raw data'!GE61)</f>
        <v>0</v>
      </c>
      <c r="BF61" s="478">
        <f>'raw data'!GF61</f>
        <v>1</v>
      </c>
      <c r="BG61" s="479">
        <f>'raw data'!GG61</f>
        <v>8</v>
      </c>
      <c r="BH61" s="477">
        <f>IF(ISERROR('raw data'!GF61/'raw data'!GG61),0,'raw data'!GF61/'raw data'!GG61)</f>
        <v>0.125</v>
      </c>
      <c r="BI61" s="478">
        <f>'raw data'!GH61</f>
        <v>0</v>
      </c>
      <c r="BJ61" s="479">
        <f>'raw data'!GI61</f>
        <v>0</v>
      </c>
      <c r="BK61" s="477">
        <f>IF(ISERROR('raw data'!GH61/'raw data'!GI61),0,'raw data'!GH61/'raw data'!GI61)</f>
        <v>0</v>
      </c>
      <c r="BL61" s="478">
        <f>'raw data'!GJ61</f>
        <v>0</v>
      </c>
      <c r="BM61" s="479">
        <f>'raw data'!GK61</f>
        <v>26</v>
      </c>
      <c r="BN61" s="477">
        <f>IF(ISERROR('raw data'!GJ61/'raw data'!GK61),0,'raw data'!GJ61/'raw data'!GK61)</f>
        <v>0</v>
      </c>
      <c r="BO61" s="478">
        <f>'raw data'!GL61</f>
        <v>0</v>
      </c>
      <c r="BP61" s="479">
        <f>'raw data'!GM61</f>
        <v>37</v>
      </c>
      <c r="BQ61" s="477">
        <f>IF(ISERROR('raw data'!GL61/'raw data'!GM61),0,'raw data'!GL61/'raw data'!GM61)</f>
        <v>0</v>
      </c>
      <c r="BR61" s="478">
        <f>'raw data'!GN61</f>
        <v>0</v>
      </c>
      <c r="BS61" s="479">
        <f>'raw data'!GO61</f>
        <v>1</v>
      </c>
      <c r="BT61" s="477">
        <f>IF(ISERROR('raw data'!GN61/'raw data'!GO61),0,'raw data'!GN61/'raw data'!GO61)</f>
        <v>0</v>
      </c>
      <c r="BU61" s="478">
        <f>'raw data'!GP61</f>
        <v>0</v>
      </c>
      <c r="BV61" s="479">
        <f>'raw data'!GQ61</f>
        <v>46</v>
      </c>
      <c r="BW61" s="477">
        <f>IF(ISERROR('raw data'!GP61/'raw data'!GQ61),0,'raw data'!GP61/'raw data'!GQ61)</f>
        <v>0</v>
      </c>
      <c r="BX61" s="478">
        <f>'raw data'!GR61</f>
        <v>0</v>
      </c>
      <c r="BY61" s="479">
        <f>'raw data'!GS61</f>
        <v>16</v>
      </c>
      <c r="BZ61" s="477">
        <f>IF(ISERROR('raw data'!GR61/'raw data'!GS61),0,'raw data'!GR61/'raw data'!GS61)</f>
        <v>0</v>
      </c>
      <c r="CA61" s="478">
        <f>'raw data'!GT61</f>
        <v>2</v>
      </c>
      <c r="CB61" s="479">
        <f>'raw data'!GU61</f>
        <v>37</v>
      </c>
      <c r="CC61" s="477">
        <f>IF(ISERROR('raw data'!GT61/'raw data'!GU61),0,'raw data'!GT61/'raw data'!GU61)</f>
        <v>5.4054054054054057E-2</v>
      </c>
      <c r="CD61" s="478">
        <f>'raw data'!GV61</f>
        <v>0</v>
      </c>
      <c r="CE61" s="479">
        <f>'raw data'!GW61</f>
        <v>61</v>
      </c>
      <c r="CF61" s="477">
        <f>IF(ISERROR('raw data'!GV61/'raw data'!GW61),0,'raw data'!GV61/'raw data'!GW61)</f>
        <v>0</v>
      </c>
      <c r="CG61" s="478">
        <f>'raw data'!GX61</f>
        <v>0</v>
      </c>
      <c r="CH61" s="479">
        <f>'raw data'!GY61</f>
        <v>30</v>
      </c>
      <c r="CI61" s="477">
        <f>IF(ISERROR('raw data'!GX61/'raw data'!GY61),0,'raw data'!GX61/'raw data'!GY61)</f>
        <v>0</v>
      </c>
      <c r="CJ61" s="478">
        <f>'raw data'!GZ61</f>
        <v>2</v>
      </c>
      <c r="CK61" s="479">
        <f>'raw data'!HA61</f>
        <v>50</v>
      </c>
      <c r="CL61" s="477">
        <f>IF(ISERROR('raw data'!GZ61/'raw data'!HA61),0,'raw data'!GZ61/'raw data'!HA61)</f>
        <v>0.04</v>
      </c>
      <c r="CM61" s="408" t="str">
        <f>'raw data'!HB61</f>
        <v>Suspended</v>
      </c>
      <c r="CN61" s="409" t="str">
        <f>'raw data'!HC61</f>
        <v>Suspended</v>
      </c>
      <c r="CO61" s="410" t="s">
        <v>30</v>
      </c>
      <c r="CP61" s="408" t="str">
        <f>'raw data'!HD61</f>
        <v>Suspended</v>
      </c>
      <c r="CQ61" s="409" t="str">
        <f>'raw data'!HE61</f>
        <v>Suspended</v>
      </c>
      <c r="CR61" s="410" t="s">
        <v>30</v>
      </c>
      <c r="CS61" s="408" t="str">
        <f>'raw data'!HF61</f>
        <v>Suspended</v>
      </c>
      <c r="CT61" s="409" t="str">
        <f>'raw data'!HG61</f>
        <v>Suspended</v>
      </c>
      <c r="CU61" s="410" t="s">
        <v>30</v>
      </c>
      <c r="CV61" s="408" t="str">
        <f>'raw data'!HH61</f>
        <v>Suspended</v>
      </c>
      <c r="CW61" s="409" t="str">
        <f>'raw data'!HI61</f>
        <v>Suspended</v>
      </c>
      <c r="CX61" s="410" t="s">
        <v>30</v>
      </c>
      <c r="CY61" s="408" t="str">
        <f>'raw data'!HJ61</f>
        <v>Suspended</v>
      </c>
      <c r="CZ61" s="409" t="str">
        <f>'raw data'!HK61</f>
        <v>Suspended</v>
      </c>
      <c r="DA61" s="410" t="s">
        <v>30</v>
      </c>
      <c r="DB61" s="408" t="str">
        <f>'raw data'!HL61</f>
        <v>Suspended</v>
      </c>
      <c r="DC61" s="409" t="str">
        <f>'raw data'!HM61</f>
        <v>Suspended</v>
      </c>
      <c r="DD61" s="410" t="s">
        <v>30</v>
      </c>
      <c r="DE61" s="408" t="str">
        <f>'raw data'!HN61</f>
        <v>Suspended</v>
      </c>
      <c r="DF61" s="409" t="str">
        <f>'raw data'!HO61</f>
        <v>Suspended</v>
      </c>
      <c r="DG61" s="410" t="s">
        <v>30</v>
      </c>
      <c r="DH61" s="408" t="str">
        <f>'raw data'!HP61</f>
        <v>Suspended</v>
      </c>
      <c r="DI61" s="409" t="str">
        <f>'raw data'!HQ61</f>
        <v>Suspended</v>
      </c>
      <c r="DJ61" s="410" t="s">
        <v>30</v>
      </c>
      <c r="DK61" s="408" t="str">
        <f>'raw data'!HR61</f>
        <v>Suspended</v>
      </c>
      <c r="DL61" s="409" t="str">
        <f>'raw data'!HS61</f>
        <v>Suspended</v>
      </c>
      <c r="DM61" s="410" t="s">
        <v>30</v>
      </c>
      <c r="DN61" s="408" t="str">
        <f>'raw data'!HT61</f>
        <v>Suspended</v>
      </c>
      <c r="DO61" s="409" t="str">
        <f>'raw data'!HU61</f>
        <v>Suspended</v>
      </c>
      <c r="DP61" s="410" t="s">
        <v>30</v>
      </c>
      <c r="DQ61" s="408" t="str">
        <f>'raw data'!HV61</f>
        <v>Suspended</v>
      </c>
      <c r="DR61" s="409" t="str">
        <f>'raw data'!HW61</f>
        <v>Suspended</v>
      </c>
      <c r="DS61" s="410" t="s">
        <v>30</v>
      </c>
      <c r="DT61" s="408" t="str">
        <f>'raw data'!HX61</f>
        <v>Suspended</v>
      </c>
      <c r="DU61" s="409" t="str">
        <f>'raw data'!HY61</f>
        <v>Suspended</v>
      </c>
      <c r="DV61" s="410" t="s">
        <v>30</v>
      </c>
      <c r="DW61" s="408" t="str">
        <f>'raw data'!HZ61</f>
        <v>Suspended</v>
      </c>
      <c r="DX61" s="409" t="str">
        <f>'raw data'!IA61</f>
        <v>Suspended</v>
      </c>
      <c r="DY61" s="410" t="s">
        <v>30</v>
      </c>
      <c r="DZ61" s="408" t="str">
        <f>'raw data'!IB61</f>
        <v>Suspended</v>
      </c>
      <c r="EA61" s="409" t="str">
        <f>'raw data'!IC61</f>
        <v>Suspended</v>
      </c>
      <c r="EB61" s="410" t="s">
        <v>30</v>
      </c>
      <c r="EC61" s="408" t="str">
        <f>'raw data'!ID61</f>
        <v>Suspended</v>
      </c>
      <c r="ED61" s="409" t="str">
        <f>'raw data'!IE61</f>
        <v>Suspended</v>
      </c>
      <c r="EE61" s="410" t="s">
        <v>30</v>
      </c>
      <c r="EF61" s="408" t="str">
        <f>'raw data'!IF61</f>
        <v>Suspended</v>
      </c>
      <c r="EG61" s="409" t="str">
        <f>'raw data'!IG61</f>
        <v>Suspended</v>
      </c>
      <c r="EH61" s="410" t="s">
        <v>30</v>
      </c>
      <c r="EI61" s="408" t="str">
        <f>'raw data'!IH61</f>
        <v>Suspended</v>
      </c>
      <c r="EJ61" s="409" t="str">
        <f>'raw data'!II61</f>
        <v>Suspended</v>
      </c>
      <c r="EK61" s="410" t="s">
        <v>30</v>
      </c>
      <c r="EL61" s="408" t="str">
        <f>'raw data'!IJ61</f>
        <v>Suspended</v>
      </c>
      <c r="EM61" s="409" t="str">
        <f>'raw data'!IK61</f>
        <v>Suspended</v>
      </c>
      <c r="EN61" s="410" t="s">
        <v>30</v>
      </c>
      <c r="EO61" s="408" t="str">
        <f>'raw data'!IL61</f>
        <v>Suspended</v>
      </c>
      <c r="EP61" s="409" t="str">
        <f>'raw data'!IM61</f>
        <v>Suspended</v>
      </c>
      <c r="EQ61" s="410" t="s">
        <v>30</v>
      </c>
      <c r="ER61" s="408" t="str">
        <f>'raw data'!IN61</f>
        <v>Suspended</v>
      </c>
      <c r="ES61" s="409" t="str">
        <f>'raw data'!IO61</f>
        <v>Suspended</v>
      </c>
      <c r="ET61" s="410" t="s">
        <v>30</v>
      </c>
      <c r="EU61" s="408" t="str">
        <f>'raw data'!IP61</f>
        <v>Suspended</v>
      </c>
      <c r="EV61" s="409" t="str">
        <f>'raw data'!IQ61</f>
        <v>Suspended</v>
      </c>
      <c r="EW61" s="410" t="s">
        <v>30</v>
      </c>
      <c r="EX61" s="408" t="str">
        <f>'raw data'!IR61</f>
        <v>Suspended</v>
      </c>
      <c r="EY61" s="409" t="str">
        <f>'raw data'!IS61</f>
        <v>Suspended</v>
      </c>
      <c r="EZ61" s="410" t="s">
        <v>30</v>
      </c>
      <c r="FA61" s="408" t="str">
        <f>'raw data'!IT61</f>
        <v>Suspended</v>
      </c>
      <c r="FB61" s="409" t="str">
        <f>'raw data'!IU61</f>
        <v>Suspended</v>
      </c>
      <c r="FC61" s="410" t="s">
        <v>30</v>
      </c>
      <c r="FD61" s="408" t="str">
        <f>'raw data'!IV61</f>
        <v>Suspended</v>
      </c>
      <c r="FE61" s="409" t="str">
        <f>'raw data'!IW61</f>
        <v>Suspended</v>
      </c>
      <c r="FF61" s="410" t="s">
        <v>30</v>
      </c>
      <c r="FG61" s="408" t="str">
        <f>'raw data'!IX61</f>
        <v>Suspended</v>
      </c>
      <c r="FH61" s="409" t="str">
        <f>'raw data'!IY61</f>
        <v>Suspended</v>
      </c>
      <c r="FI61" s="410" t="s">
        <v>30</v>
      </c>
      <c r="FJ61" s="408" t="str">
        <f>'raw data'!IZ61</f>
        <v>Suspended</v>
      </c>
      <c r="FK61" s="409" t="str">
        <f>'raw data'!JA61</f>
        <v>Suspended</v>
      </c>
      <c r="FL61" s="410" t="s">
        <v>30</v>
      </c>
      <c r="FM61" s="408" t="str">
        <f>'raw data'!JB61</f>
        <v>Suspended</v>
      </c>
      <c r="FN61" s="409" t="str">
        <f>'raw data'!JC61</f>
        <v>Suspended</v>
      </c>
      <c r="FO61" s="410" t="s">
        <v>30</v>
      </c>
      <c r="FP61" s="408" t="str">
        <f>'raw data'!JD61</f>
        <v>Suspended</v>
      </c>
      <c r="FQ61" s="409" t="str">
        <f>'raw data'!JE61</f>
        <v>Suspended</v>
      </c>
      <c r="FR61" s="410" t="s">
        <v>30</v>
      </c>
      <c r="FS61" s="454"/>
      <c r="FT61" s="480">
        <v>0</v>
      </c>
      <c r="FU61" s="481">
        <v>0</v>
      </c>
      <c r="FV61" s="482">
        <f t="shared" si="0"/>
        <v>0</v>
      </c>
    </row>
    <row r="62" spans="1:178" ht="14.25" hidden="1" customHeight="1" x14ac:dyDescent="0.15">
      <c r="A62" s="470">
        <v>1.8</v>
      </c>
      <c r="B62" s="470">
        <f>'raw data'!B62</f>
        <v>0</v>
      </c>
      <c r="C62" s="471" t="s">
        <v>250</v>
      </c>
      <c r="D62" s="478">
        <f>'raw data'!ET62</f>
        <v>0</v>
      </c>
      <c r="E62" s="479">
        <f>'raw data'!EU62</f>
        <v>0</v>
      </c>
      <c r="F62" s="483">
        <f>IF(ISERROR('raw data'!ET62/'raw data'!EU62),0,'raw data'!ET62/'raw data'!EU62)</f>
        <v>0</v>
      </c>
      <c r="G62" s="484"/>
      <c r="H62" s="485"/>
      <c r="I62" s="483">
        <f>IF(ISERROR('raw data'!EV62/'raw data'!EW62),0,'raw data'!EV62/'raw data'!EW62)</f>
        <v>0</v>
      </c>
      <c r="J62" s="486"/>
      <c r="K62" s="487"/>
      <c r="L62" s="488">
        <f>IF(ISERROR('raw data'!EX62/'raw data'!EY62),0,'raw data'!EX62/'raw data'!EY62)</f>
        <v>0</v>
      </c>
      <c r="M62" s="484"/>
      <c r="N62" s="485"/>
      <c r="O62" s="483">
        <f>IF(ISERROR('raw data'!EZ62/'raw data'!FA62),0,'raw data'!EZ62/'raw data'!FA62)</f>
        <v>0</v>
      </c>
      <c r="P62" s="484"/>
      <c r="Q62" s="485"/>
      <c r="R62" s="483">
        <f>IF(ISERROR('raw data'!FB62/'raw data'!FC62),0,'raw data'!FB62/'raw data'!FC62)</f>
        <v>0</v>
      </c>
      <c r="S62" s="484"/>
      <c r="T62" s="485"/>
      <c r="U62" s="483">
        <f>IF(ISERROR('raw data'!FD62/'raw data'!FE62),0,'raw data'!FD62/'raw data'!FE62)</f>
        <v>0</v>
      </c>
      <c r="V62" s="484"/>
      <c r="W62" s="485"/>
      <c r="X62" s="483">
        <f>IF(ISERROR('raw data'!FF62/'raw data'!FG62),0,'raw data'!FF62/'raw data'!FG62)</f>
        <v>0</v>
      </c>
      <c r="Y62" s="484"/>
      <c r="Z62" s="485"/>
      <c r="AA62" s="483">
        <f>IF(ISERROR('raw data'!FH62/'raw data'!FI62),0,'raw data'!FH62/'raw data'!FI62)</f>
        <v>0</v>
      </c>
      <c r="AB62" s="484"/>
      <c r="AC62" s="485"/>
      <c r="AD62" s="483">
        <f>IF(ISERROR('raw data'!FJ62/'raw data'!FM62),0,'raw data'!FJ62/'raw data'!FM62)</f>
        <v>0</v>
      </c>
      <c r="AE62" s="484"/>
      <c r="AF62" s="485"/>
      <c r="AG62" s="483">
        <f>IF(ISERROR('raw data'!FN62/'raw data'!FO62),0,'raw data'!FN62/'raw data'!FO62)</f>
        <v>0</v>
      </c>
      <c r="AH62" s="484"/>
      <c r="AI62" s="485"/>
      <c r="AJ62" s="483">
        <f>IF(ISERROR('raw data'!FP62/'raw data'!FQ62),0,'raw data'!FP62/'raw data'!FQ62)</f>
        <v>0</v>
      </c>
      <c r="AK62" s="484"/>
      <c r="AL62" s="485"/>
      <c r="AM62" s="483">
        <f>IF(ISERROR('raw data'!FR62/'raw data'!FS62),0,'raw data'!FR62/'raw data'!FS62)</f>
        <v>0</v>
      </c>
      <c r="AN62" s="484"/>
      <c r="AO62" s="485"/>
      <c r="AP62" s="483">
        <f>IF(ISERROR('raw data'!FT62/'raw data'!FU62),0,'raw data'!FT62/'raw data'!FU62)</f>
        <v>0</v>
      </c>
      <c r="AQ62" s="484"/>
      <c r="AR62" s="485"/>
      <c r="AS62" s="495">
        <f>IF(ISERROR('raw data'!FV62/'raw data'!FW62),0,'raw data'!FV62/'raw data'!FW62)</f>
        <v>0</v>
      </c>
      <c r="AT62" s="478">
        <f>'raw data'!FX62</f>
        <v>0</v>
      </c>
      <c r="AU62" s="479">
        <f>'raw data'!FY62</f>
        <v>0</v>
      </c>
      <c r="AV62" s="477">
        <f>IF(ISERROR('raw data'!FX62/'raw data'!FY62),0,'raw data'!FX62/'raw data'!FY62)</f>
        <v>0</v>
      </c>
      <c r="AW62" s="478">
        <f>'raw data'!FZ62</f>
        <v>0</v>
      </c>
      <c r="AX62" s="479">
        <f>'raw data'!GA62</f>
        <v>0</v>
      </c>
      <c r="AY62" s="477">
        <f>IF(ISERROR('raw data'!FZ62/'raw data'!GA62),0,'raw data'!FZ62/'raw data'!GA62)</f>
        <v>0</v>
      </c>
      <c r="AZ62" s="478">
        <f>'raw data'!GB62</f>
        <v>0</v>
      </c>
      <c r="BA62" s="479">
        <f>'raw data'!GC62</f>
        <v>0</v>
      </c>
      <c r="BB62" s="477">
        <f>IF(ISERROR('raw data'!GB62/'raw data'!GC62),0,'raw data'!GB62/'raw data'!GC62)</f>
        <v>0</v>
      </c>
      <c r="BC62" s="478">
        <f>'raw data'!GD62</f>
        <v>0</v>
      </c>
      <c r="BD62" s="479">
        <f>'raw data'!GE62</f>
        <v>0</v>
      </c>
      <c r="BE62" s="477">
        <f>IF(ISERROR('raw data'!GD62/'raw data'!GE62),0,'raw data'!GD62/'raw data'!GE62)</f>
        <v>0</v>
      </c>
      <c r="BF62" s="478">
        <f>'raw data'!GF62</f>
        <v>0</v>
      </c>
      <c r="BG62" s="479">
        <f>'raw data'!GG62</f>
        <v>0</v>
      </c>
      <c r="BH62" s="477">
        <f>IF(ISERROR('raw data'!GF62/'raw data'!GG62),0,'raw data'!GF62/'raw data'!GG62)</f>
        <v>0</v>
      </c>
      <c r="BI62" s="478">
        <f>'raw data'!GH62</f>
        <v>0</v>
      </c>
      <c r="BJ62" s="479">
        <f>'raw data'!GI62</f>
        <v>0</v>
      </c>
      <c r="BK62" s="477">
        <f>IF(ISERROR('raw data'!GH62/'raw data'!GI62),0,'raw data'!GH62/'raw data'!GI62)</f>
        <v>0</v>
      </c>
      <c r="BL62" s="478">
        <f>'raw data'!GJ62</f>
        <v>0</v>
      </c>
      <c r="BM62" s="479">
        <f>'raw data'!GK62</f>
        <v>0</v>
      </c>
      <c r="BN62" s="477">
        <f>IF(ISERROR('raw data'!GJ62/'raw data'!GK62),0,'raw data'!GJ62/'raw data'!GK62)</f>
        <v>0</v>
      </c>
      <c r="BO62" s="478">
        <f>'raw data'!GL62</f>
        <v>0</v>
      </c>
      <c r="BP62" s="479">
        <f>'raw data'!GM62</f>
        <v>0</v>
      </c>
      <c r="BQ62" s="477">
        <f>IF(ISERROR('raw data'!GL62/'raw data'!GM62),0,'raw data'!GL62/'raw data'!GM62)</f>
        <v>0</v>
      </c>
      <c r="BR62" s="478">
        <f>'raw data'!GN62</f>
        <v>0</v>
      </c>
      <c r="BS62" s="479">
        <f>'raw data'!GO62</f>
        <v>0</v>
      </c>
      <c r="BT62" s="477">
        <f>IF(ISERROR('raw data'!GN62/'raw data'!GO62),0,'raw data'!GN62/'raw data'!GO62)</f>
        <v>0</v>
      </c>
      <c r="BU62" s="478">
        <f>'raw data'!GP62</f>
        <v>0</v>
      </c>
      <c r="BV62" s="479">
        <f>'raw data'!GQ62</f>
        <v>0</v>
      </c>
      <c r="BW62" s="477">
        <f>IF(ISERROR('raw data'!GP62/'raw data'!GQ62),0,'raw data'!GP62/'raw data'!GQ62)</f>
        <v>0</v>
      </c>
      <c r="BX62" s="478">
        <f>'raw data'!GR62</f>
        <v>0</v>
      </c>
      <c r="BY62" s="479">
        <f>'raw data'!GS62</f>
        <v>0</v>
      </c>
      <c r="BZ62" s="477">
        <f>IF(ISERROR('raw data'!GR62/'raw data'!GS62),0,'raw data'!GR62/'raw data'!GS62)</f>
        <v>0</v>
      </c>
      <c r="CA62" s="478">
        <f>'raw data'!GT62</f>
        <v>0</v>
      </c>
      <c r="CB62" s="479">
        <f>'raw data'!GU62</f>
        <v>0</v>
      </c>
      <c r="CC62" s="477">
        <f>IF(ISERROR('raw data'!GT62/'raw data'!GU62),0,'raw data'!GT62/'raw data'!GU62)</f>
        <v>0</v>
      </c>
      <c r="CD62" s="478">
        <f>'raw data'!GV62</f>
        <v>0</v>
      </c>
      <c r="CE62" s="479">
        <f>'raw data'!GW62</f>
        <v>0</v>
      </c>
      <c r="CF62" s="477">
        <f>IF(ISERROR('raw data'!GV62/'raw data'!GW62),0,'raw data'!GV62/'raw data'!GW62)</f>
        <v>0</v>
      </c>
      <c r="CG62" s="478">
        <f>'raw data'!GX62</f>
        <v>0</v>
      </c>
      <c r="CH62" s="479">
        <f>'raw data'!GY62</f>
        <v>0</v>
      </c>
      <c r="CI62" s="477">
        <f>IF(ISERROR('raw data'!GX62/'raw data'!GY62),0,'raw data'!GX62/'raw data'!GY62)</f>
        <v>0</v>
      </c>
      <c r="CJ62" s="478">
        <f>'raw data'!GZ62</f>
        <v>0</v>
      </c>
      <c r="CK62" s="479">
        <f>'raw data'!HA62</f>
        <v>0</v>
      </c>
      <c r="CL62" s="477">
        <f>IF(ISERROR('raw data'!GZ62/'raw data'!HA62),0,'raw data'!GZ62/'raw data'!HA62)</f>
        <v>0</v>
      </c>
      <c r="CM62" s="478">
        <f>'raw data'!HB62</f>
        <v>0</v>
      </c>
      <c r="CN62" s="479">
        <f>'raw data'!HC62</f>
        <v>0</v>
      </c>
      <c r="CO62" s="477">
        <f>IF(ISERROR('raw data'!HB62/'raw data'!HC62),0,'raw data'!HB62/'raw data'!HC62)</f>
        <v>0</v>
      </c>
      <c r="CP62" s="478">
        <f>'raw data'!HD62</f>
        <v>0</v>
      </c>
      <c r="CQ62" s="479">
        <f>'raw data'!HE62</f>
        <v>0</v>
      </c>
      <c r="CR62" s="477">
        <f>IF(ISERROR('raw data'!HD62/'raw data'!HE62),0,'raw data'!HD62/'raw data'!HE62)</f>
        <v>0</v>
      </c>
      <c r="CS62" s="478">
        <f>'raw data'!HF62</f>
        <v>0</v>
      </c>
      <c r="CT62" s="479">
        <f>'raw data'!HG62</f>
        <v>0</v>
      </c>
      <c r="CU62" s="477">
        <f>IF(ISERROR('raw data'!HF62/'raw data'!HG62),0,'raw data'!HF62/'raw data'!HG62)</f>
        <v>0</v>
      </c>
      <c r="CV62" s="478">
        <f>'raw data'!HH62</f>
        <v>0</v>
      </c>
      <c r="CW62" s="479">
        <f>'raw data'!HI62</f>
        <v>0</v>
      </c>
      <c r="CX62" s="477">
        <f>IF(ISERROR('raw data'!HH62/'raw data'!HI62),0,'raw data'!HH62/'raw data'!HI62)</f>
        <v>0</v>
      </c>
      <c r="CY62" s="478">
        <f>'raw data'!HJ62</f>
        <v>0</v>
      </c>
      <c r="CZ62" s="479">
        <f>'raw data'!HK62</f>
        <v>0</v>
      </c>
      <c r="DA62" s="477">
        <f>IF(ISERROR('raw data'!HK62/'raw data'!#REF!),0,'raw data'!HK62/'raw data'!#REF!)</f>
        <v>0</v>
      </c>
      <c r="DB62" s="478">
        <f>'raw data'!HL62</f>
        <v>0</v>
      </c>
      <c r="DC62" s="479">
        <f>'raw data'!HM62</f>
        <v>0</v>
      </c>
      <c r="DD62" s="477">
        <f>IF(ISERROR('raw data'!HM62/'raw data'!JH62),0,'raw data'!HM62/'raw data'!JH62)</f>
        <v>0</v>
      </c>
      <c r="DE62" s="478">
        <f>'raw data'!HN62</f>
        <v>0</v>
      </c>
      <c r="DF62" s="479">
        <f>'raw data'!HO62</f>
        <v>0</v>
      </c>
      <c r="DG62" s="477">
        <f>IF(ISERROR('raw data'!HO62/'raw data'!JK62),0,'raw data'!HO62/'raw data'!JK62)</f>
        <v>0</v>
      </c>
      <c r="DH62" s="478">
        <f>'raw data'!HP62</f>
        <v>0</v>
      </c>
      <c r="DI62" s="479">
        <f>'raw data'!HQ62</f>
        <v>0</v>
      </c>
      <c r="DJ62" s="477">
        <f>IF(ISERROR('raw data'!HQ62/'raw data'!JN62),0,'raw data'!HQ62/'raw data'!JN62)</f>
        <v>0</v>
      </c>
      <c r="DK62" s="478">
        <f>'raw data'!HR62</f>
        <v>0</v>
      </c>
      <c r="DL62" s="479">
        <f>'raw data'!HS62</f>
        <v>0</v>
      </c>
      <c r="DM62" s="477">
        <f>IF(ISERROR('raw data'!HS62/'raw data'!JQ62),0,'raw data'!HS62/'raw data'!JQ62)</f>
        <v>0</v>
      </c>
      <c r="DN62" s="478">
        <f>'raw data'!HT62</f>
        <v>0</v>
      </c>
      <c r="DO62" s="479">
        <f>'raw data'!HU62</f>
        <v>0</v>
      </c>
      <c r="DP62" s="477">
        <f>IF(ISERROR('raw data'!HU62/'raw data'!JT62),0,'raw data'!HU62/'raw data'!JT62)</f>
        <v>0</v>
      </c>
      <c r="DQ62" s="478">
        <f>'raw data'!HV62</f>
        <v>0</v>
      </c>
      <c r="DR62" s="479">
        <f>'raw data'!HW62</f>
        <v>0</v>
      </c>
      <c r="DS62" s="477">
        <f>IF(ISERROR('raw data'!HW62/'raw data'!JW62),0,'raw data'!HW62/'raw data'!JW62)</f>
        <v>0</v>
      </c>
      <c r="DT62" s="478">
        <f>'raw data'!HX62</f>
        <v>0</v>
      </c>
      <c r="DU62" s="479">
        <f>'raw data'!HY62</f>
        <v>0</v>
      </c>
      <c r="DV62" s="477">
        <f>IF(ISERROR('raw data'!HY62/'raw data'!JZ62),0,'raw data'!HY62/'raw data'!JZ62)</f>
        <v>0</v>
      </c>
      <c r="DW62" s="478">
        <f>'raw data'!HZ62</f>
        <v>0</v>
      </c>
      <c r="DX62" s="479">
        <f>'raw data'!IA62</f>
        <v>0</v>
      </c>
      <c r="DY62" s="477">
        <f>IF(ISERROR('raw data'!IA62/'raw data'!KC62),0,'raw data'!IA62/'raw data'!KC62)</f>
        <v>0</v>
      </c>
      <c r="DZ62" s="478">
        <f>'raw data'!IB62</f>
        <v>0</v>
      </c>
      <c r="EA62" s="479">
        <f>'raw data'!IC62</f>
        <v>0</v>
      </c>
      <c r="EB62" s="477">
        <f>IF(ISERROR('raw data'!IC62/'raw data'!KF62),0,'raw data'!IC62/'raw data'!KF62)</f>
        <v>0</v>
      </c>
      <c r="EC62" s="478">
        <f>'raw data'!ID62</f>
        <v>0</v>
      </c>
      <c r="ED62" s="479">
        <f>'raw data'!IE62</f>
        <v>0</v>
      </c>
      <c r="EE62" s="477">
        <f>IF(ISERROR('raw data'!IE62/'raw data'!KI62),0,'raw data'!IE62/'raw data'!KI62)</f>
        <v>0</v>
      </c>
      <c r="EF62" s="478">
        <f>'raw data'!IF62</f>
        <v>0</v>
      </c>
      <c r="EG62" s="479">
        <f>'raw data'!IG62</f>
        <v>0</v>
      </c>
      <c r="EH62" s="477">
        <f>IF(ISERROR('raw data'!IG62/'raw data'!KL62),0,'raw data'!IG62/'raw data'!KL62)</f>
        <v>0</v>
      </c>
      <c r="EI62" s="478">
        <f>'raw data'!IH62</f>
        <v>0</v>
      </c>
      <c r="EJ62" s="479">
        <f>'raw data'!II62</f>
        <v>0</v>
      </c>
      <c r="EK62" s="477">
        <f>IF(ISERROR('raw data'!II62/'raw data'!KO62),0,'raw data'!II62/'raw data'!KO62)</f>
        <v>0</v>
      </c>
      <c r="EL62" s="478">
        <f>'raw data'!IJ62</f>
        <v>0</v>
      </c>
      <c r="EM62" s="479">
        <f>'raw data'!IK62</f>
        <v>0</v>
      </c>
      <c r="EN62" s="477">
        <f>IF(ISERROR('raw data'!IK62/'raw data'!KR62),0,'raw data'!IK62/'raw data'!KR62)</f>
        <v>0</v>
      </c>
      <c r="EO62" s="478">
        <f>'raw data'!IL62</f>
        <v>0</v>
      </c>
      <c r="EP62" s="479">
        <f>'raw data'!IM62</f>
        <v>0</v>
      </c>
      <c r="EQ62" s="477">
        <f>IF(ISERROR('raw data'!IM62/'raw data'!KU62),0,'raw data'!IM62/'raw data'!KU62)</f>
        <v>0</v>
      </c>
      <c r="ER62" s="478">
        <f>'raw data'!IN62</f>
        <v>0</v>
      </c>
      <c r="ES62" s="479">
        <f>'raw data'!IO62</f>
        <v>0</v>
      </c>
      <c r="ET62" s="477">
        <f>IF(ISERROR('raw data'!IO62/'raw data'!KX62),0,'raw data'!IO62/'raw data'!KX62)</f>
        <v>0</v>
      </c>
      <c r="EU62" s="478">
        <f>'raw data'!IP62</f>
        <v>0</v>
      </c>
      <c r="EV62" s="479">
        <f>'raw data'!IQ62</f>
        <v>0</v>
      </c>
      <c r="EW62" s="477">
        <f>IF(ISERROR('raw data'!IQ62/'raw data'!LA62),0,'raw data'!IQ62/'raw data'!LA62)</f>
        <v>0</v>
      </c>
      <c r="EX62" s="478">
        <f>'raw data'!IR62</f>
        <v>0</v>
      </c>
      <c r="EY62" s="479">
        <f>'raw data'!IS62</f>
        <v>0</v>
      </c>
      <c r="EZ62" s="477">
        <f>IF(ISERROR('raw data'!IS62/'raw data'!LD62),0,'raw data'!IS62/'raw data'!LD62)</f>
        <v>0</v>
      </c>
      <c r="FA62" s="478">
        <f>'raw data'!IT62</f>
        <v>0</v>
      </c>
      <c r="FB62" s="479">
        <f>'raw data'!IU62</f>
        <v>0</v>
      </c>
      <c r="FC62" s="477">
        <f>IF(ISERROR('raw data'!IU62/'raw data'!LG62),0,'raw data'!IU62/'raw data'!LG62)</f>
        <v>0</v>
      </c>
      <c r="FD62" s="478">
        <f>'raw data'!IV62</f>
        <v>0</v>
      </c>
      <c r="FE62" s="479">
        <f>'raw data'!IW62</f>
        <v>0</v>
      </c>
      <c r="FF62" s="477">
        <f>IF(ISERROR('raw data'!IW62/'raw data'!LJ62),0,'raw data'!IW62/'raw data'!LJ62)</f>
        <v>0</v>
      </c>
      <c r="FG62" s="478">
        <f>'raw data'!IX62</f>
        <v>0</v>
      </c>
      <c r="FH62" s="479">
        <f>'raw data'!IY62</f>
        <v>0</v>
      </c>
      <c r="FI62" s="477">
        <f>IF(ISERROR('raw data'!IY62/'raw data'!LM62),0,'raw data'!IY62/'raw data'!LM62)</f>
        <v>0</v>
      </c>
      <c r="FJ62" s="478">
        <f>'raw data'!IZ62</f>
        <v>0</v>
      </c>
      <c r="FK62" s="479">
        <f>'raw data'!JA62</f>
        <v>0</v>
      </c>
      <c r="FL62" s="477">
        <f>IF(ISERROR('raw data'!JA62/'raw data'!LP62),0,'raw data'!JA62/'raw data'!LP62)</f>
        <v>0</v>
      </c>
      <c r="FM62" s="478">
        <f>'raw data'!JB62</f>
        <v>0</v>
      </c>
      <c r="FN62" s="479">
        <f>'raw data'!JC62</f>
        <v>0</v>
      </c>
      <c r="FO62" s="477">
        <f>IF(ISERROR('raw data'!JC62/'raw data'!LS62),0,'raw data'!JC62/'raw data'!LS62)</f>
        <v>0</v>
      </c>
      <c r="FP62" s="478">
        <f>'raw data'!JD62</f>
        <v>0</v>
      </c>
      <c r="FQ62" s="479">
        <f>'raw data'!JE62</f>
        <v>0</v>
      </c>
      <c r="FR62" s="477">
        <f>IF(ISERROR('raw data'!JE62/'raw data'!LV62),0,'raw data'!JE62/'raw data'!LV62)</f>
        <v>0</v>
      </c>
      <c r="FS62" s="454"/>
      <c r="FT62" s="480">
        <v>0</v>
      </c>
      <c r="FU62" s="481">
        <v>0</v>
      </c>
      <c r="FV62" s="482">
        <f t="shared" si="0"/>
        <v>0</v>
      </c>
    </row>
    <row r="63" spans="1:178" ht="42" x14ac:dyDescent="0.15">
      <c r="A63" s="470">
        <v>1.9</v>
      </c>
      <c r="B63" s="470" t="str">
        <f>'raw data'!B63</f>
        <v>Flex accounts with a £5k+ loan received 3 months ago and 10+ foreign Visa withdrawals (VW), each £100+, totalling £3k+ within past 3 months.</v>
      </c>
      <c r="C63" s="471" t="s">
        <v>251</v>
      </c>
      <c r="D63" s="402" t="s">
        <v>243</v>
      </c>
      <c r="E63" s="403" t="s">
        <v>243</v>
      </c>
      <c r="F63" s="404" t="s">
        <v>243</v>
      </c>
      <c r="G63" s="402" t="s">
        <v>243</v>
      </c>
      <c r="H63" s="403" t="s">
        <v>243</v>
      </c>
      <c r="I63" s="404" t="s">
        <v>243</v>
      </c>
      <c r="J63" s="402" t="s">
        <v>243</v>
      </c>
      <c r="K63" s="496" t="s">
        <v>243</v>
      </c>
      <c r="L63" s="497" t="s">
        <v>243</v>
      </c>
      <c r="M63" s="402" t="s">
        <v>243</v>
      </c>
      <c r="N63" s="403" t="s">
        <v>243</v>
      </c>
      <c r="O63" s="404" t="s">
        <v>243</v>
      </c>
      <c r="P63" s="402" t="s">
        <v>243</v>
      </c>
      <c r="Q63" s="403" t="s">
        <v>243</v>
      </c>
      <c r="R63" s="404" t="s">
        <v>243</v>
      </c>
      <c r="S63" s="402" t="s">
        <v>243</v>
      </c>
      <c r="T63" s="403" t="s">
        <v>243</v>
      </c>
      <c r="U63" s="404" t="s">
        <v>243</v>
      </c>
      <c r="V63" s="402" t="s">
        <v>243</v>
      </c>
      <c r="W63" s="403" t="s">
        <v>243</v>
      </c>
      <c r="X63" s="404" t="s">
        <v>243</v>
      </c>
      <c r="Y63" s="402" t="s">
        <v>243</v>
      </c>
      <c r="Z63" s="403" t="s">
        <v>243</v>
      </c>
      <c r="AA63" s="404" t="s">
        <v>243</v>
      </c>
      <c r="AB63" s="402" t="s">
        <v>243</v>
      </c>
      <c r="AC63" s="403" t="s">
        <v>243</v>
      </c>
      <c r="AD63" s="404" t="s">
        <v>243</v>
      </c>
      <c r="AE63" s="402" t="s">
        <v>243</v>
      </c>
      <c r="AF63" s="403" t="s">
        <v>243</v>
      </c>
      <c r="AG63" s="404" t="s">
        <v>243</v>
      </c>
      <c r="AH63" s="402" t="s">
        <v>243</v>
      </c>
      <c r="AI63" s="403" t="s">
        <v>243</v>
      </c>
      <c r="AJ63" s="404" t="s">
        <v>243</v>
      </c>
      <c r="AK63" s="402" t="s">
        <v>243</v>
      </c>
      <c r="AL63" s="403" t="s">
        <v>243</v>
      </c>
      <c r="AM63" s="404" t="s">
        <v>243</v>
      </c>
      <c r="AN63" s="402" t="s">
        <v>243</v>
      </c>
      <c r="AO63" s="403" t="s">
        <v>243</v>
      </c>
      <c r="AP63" s="404" t="s">
        <v>243</v>
      </c>
      <c r="AQ63" s="402" t="s">
        <v>243</v>
      </c>
      <c r="AR63" s="403" t="s">
        <v>243</v>
      </c>
      <c r="AS63" s="405" t="s">
        <v>243</v>
      </c>
      <c r="AT63" s="402" t="s">
        <v>243</v>
      </c>
      <c r="AU63" s="403" t="s">
        <v>243</v>
      </c>
      <c r="AV63" s="405" t="s">
        <v>243</v>
      </c>
      <c r="AW63" s="402" t="s">
        <v>243</v>
      </c>
      <c r="AX63" s="403" t="s">
        <v>243</v>
      </c>
      <c r="AY63" s="405" t="s">
        <v>243</v>
      </c>
      <c r="AZ63" s="402" t="s">
        <v>243</v>
      </c>
      <c r="BA63" s="403" t="s">
        <v>243</v>
      </c>
      <c r="BB63" s="405" t="s">
        <v>243</v>
      </c>
      <c r="BC63" s="402" t="s">
        <v>243</v>
      </c>
      <c r="BD63" s="403" t="s">
        <v>243</v>
      </c>
      <c r="BE63" s="405" t="s">
        <v>243</v>
      </c>
      <c r="BF63" s="402" t="s">
        <v>243</v>
      </c>
      <c r="BG63" s="403" t="s">
        <v>243</v>
      </c>
      <c r="BH63" s="405" t="s">
        <v>243</v>
      </c>
      <c r="BI63" s="402" t="s">
        <v>243</v>
      </c>
      <c r="BJ63" s="403" t="s">
        <v>243</v>
      </c>
      <c r="BK63" s="405" t="s">
        <v>243</v>
      </c>
      <c r="BL63" s="402" t="s">
        <v>243</v>
      </c>
      <c r="BM63" s="403" t="s">
        <v>243</v>
      </c>
      <c r="BN63" s="405" t="s">
        <v>243</v>
      </c>
      <c r="BO63" s="402" t="s">
        <v>243</v>
      </c>
      <c r="BP63" s="403" t="s">
        <v>243</v>
      </c>
      <c r="BQ63" s="405" t="s">
        <v>243</v>
      </c>
      <c r="BR63" s="402" t="s">
        <v>243</v>
      </c>
      <c r="BS63" s="403" t="s">
        <v>243</v>
      </c>
      <c r="BT63" s="405" t="s">
        <v>243</v>
      </c>
      <c r="BU63" s="402" t="s">
        <v>243</v>
      </c>
      <c r="BV63" s="403" t="s">
        <v>243</v>
      </c>
      <c r="BW63" s="405" t="s">
        <v>243</v>
      </c>
      <c r="BX63" s="402" t="s">
        <v>243</v>
      </c>
      <c r="BY63" s="403" t="s">
        <v>243</v>
      </c>
      <c r="BZ63" s="405" t="s">
        <v>243</v>
      </c>
      <c r="CA63" s="402" t="s">
        <v>243</v>
      </c>
      <c r="CB63" s="403" t="s">
        <v>243</v>
      </c>
      <c r="CC63" s="405" t="s">
        <v>243</v>
      </c>
      <c r="CD63" s="402" t="s">
        <v>243</v>
      </c>
      <c r="CE63" s="403" t="s">
        <v>243</v>
      </c>
      <c r="CF63" s="405" t="s">
        <v>243</v>
      </c>
      <c r="CG63" s="402" t="s">
        <v>243</v>
      </c>
      <c r="CH63" s="403" t="s">
        <v>243</v>
      </c>
      <c r="CI63" s="405" t="s">
        <v>243</v>
      </c>
      <c r="CJ63" s="402" t="s">
        <v>243</v>
      </c>
      <c r="CK63" s="403" t="s">
        <v>243</v>
      </c>
      <c r="CL63" s="405" t="s">
        <v>243</v>
      </c>
      <c r="CM63" s="402" t="s">
        <v>243</v>
      </c>
      <c r="CN63" s="403" t="s">
        <v>243</v>
      </c>
      <c r="CO63" s="405" t="s">
        <v>243</v>
      </c>
      <c r="CP63" s="402" t="s">
        <v>243</v>
      </c>
      <c r="CQ63" s="403" t="s">
        <v>243</v>
      </c>
      <c r="CR63" s="405" t="s">
        <v>243</v>
      </c>
      <c r="CS63" s="402" t="s">
        <v>243</v>
      </c>
      <c r="CT63" s="403" t="s">
        <v>243</v>
      </c>
      <c r="CU63" s="405" t="s">
        <v>243</v>
      </c>
      <c r="CV63" s="402" t="s">
        <v>243</v>
      </c>
      <c r="CW63" s="403" t="s">
        <v>243</v>
      </c>
      <c r="CX63" s="405" t="s">
        <v>243</v>
      </c>
      <c r="CY63" s="402" t="s">
        <v>243</v>
      </c>
      <c r="CZ63" s="403" t="s">
        <v>243</v>
      </c>
      <c r="DA63" s="405" t="s">
        <v>243</v>
      </c>
      <c r="DB63" s="402" t="s">
        <v>243</v>
      </c>
      <c r="DC63" s="403" t="s">
        <v>243</v>
      </c>
      <c r="DD63" s="405" t="s">
        <v>243</v>
      </c>
      <c r="DE63" s="402" t="s">
        <v>243</v>
      </c>
      <c r="DF63" s="403" t="s">
        <v>243</v>
      </c>
      <c r="DG63" s="405" t="s">
        <v>243</v>
      </c>
      <c r="DH63" s="402" t="s">
        <v>243</v>
      </c>
      <c r="DI63" s="403" t="s">
        <v>243</v>
      </c>
      <c r="DJ63" s="405" t="s">
        <v>243</v>
      </c>
      <c r="DK63" s="402" t="s">
        <v>243</v>
      </c>
      <c r="DL63" s="403" t="s">
        <v>243</v>
      </c>
      <c r="DM63" s="405" t="s">
        <v>243</v>
      </c>
      <c r="DN63" s="402" t="s">
        <v>243</v>
      </c>
      <c r="DO63" s="403" t="s">
        <v>243</v>
      </c>
      <c r="DP63" s="405" t="s">
        <v>243</v>
      </c>
      <c r="DQ63" s="402" t="s">
        <v>243</v>
      </c>
      <c r="DR63" s="403" t="s">
        <v>243</v>
      </c>
      <c r="DS63" s="405" t="s">
        <v>243</v>
      </c>
      <c r="DT63" s="402" t="s">
        <v>243</v>
      </c>
      <c r="DU63" s="403" t="s">
        <v>243</v>
      </c>
      <c r="DV63" s="405" t="s">
        <v>243</v>
      </c>
      <c r="DW63" s="402" t="s">
        <v>243</v>
      </c>
      <c r="DX63" s="403" t="s">
        <v>243</v>
      </c>
      <c r="DY63" s="405" t="s">
        <v>243</v>
      </c>
      <c r="DZ63" s="402" t="s">
        <v>243</v>
      </c>
      <c r="EA63" s="403" t="s">
        <v>243</v>
      </c>
      <c r="EB63" s="405" t="s">
        <v>243</v>
      </c>
      <c r="EC63" s="402" t="s">
        <v>243</v>
      </c>
      <c r="ED63" s="403" t="s">
        <v>243</v>
      </c>
      <c r="EE63" s="405" t="s">
        <v>243</v>
      </c>
      <c r="EF63" s="402" t="s">
        <v>243</v>
      </c>
      <c r="EG63" s="403" t="s">
        <v>243</v>
      </c>
      <c r="EH63" s="405" t="s">
        <v>243</v>
      </c>
      <c r="EI63" s="402" t="s">
        <v>243</v>
      </c>
      <c r="EJ63" s="403" t="s">
        <v>243</v>
      </c>
      <c r="EK63" s="405" t="s">
        <v>243</v>
      </c>
      <c r="EL63" s="402" t="s">
        <v>243</v>
      </c>
      <c r="EM63" s="403" t="s">
        <v>243</v>
      </c>
      <c r="EN63" s="405" t="s">
        <v>243</v>
      </c>
      <c r="EO63" s="402" t="s">
        <v>243</v>
      </c>
      <c r="EP63" s="403" t="s">
        <v>243</v>
      </c>
      <c r="EQ63" s="405" t="s">
        <v>243</v>
      </c>
      <c r="ER63" s="402" t="s">
        <v>243</v>
      </c>
      <c r="ES63" s="403" t="s">
        <v>243</v>
      </c>
      <c r="ET63" s="405" t="s">
        <v>243</v>
      </c>
      <c r="EU63" s="402" t="s">
        <v>243</v>
      </c>
      <c r="EV63" s="403" t="s">
        <v>243</v>
      </c>
      <c r="EW63" s="405" t="s">
        <v>243</v>
      </c>
      <c r="EX63" s="402" t="s">
        <v>243</v>
      </c>
      <c r="EY63" s="403" t="s">
        <v>243</v>
      </c>
      <c r="EZ63" s="405" t="s">
        <v>243</v>
      </c>
      <c r="FA63" s="402" t="s">
        <v>243</v>
      </c>
      <c r="FB63" s="403" t="s">
        <v>243</v>
      </c>
      <c r="FC63" s="405" t="s">
        <v>243</v>
      </c>
      <c r="FD63" s="402" t="s">
        <v>243</v>
      </c>
      <c r="FE63" s="403" t="s">
        <v>243</v>
      </c>
      <c r="FF63" s="405" t="s">
        <v>243</v>
      </c>
      <c r="FG63" s="402" t="s">
        <v>243</v>
      </c>
      <c r="FH63" s="403" t="s">
        <v>243</v>
      </c>
      <c r="FI63" s="405" t="s">
        <v>243</v>
      </c>
      <c r="FJ63" s="402" t="s">
        <v>243</v>
      </c>
      <c r="FK63" s="403" t="s">
        <v>243</v>
      </c>
      <c r="FL63" s="405" t="s">
        <v>243</v>
      </c>
      <c r="FM63" s="402" t="s">
        <v>243</v>
      </c>
      <c r="FN63" s="403" t="s">
        <v>243</v>
      </c>
      <c r="FO63" s="405" t="s">
        <v>243</v>
      </c>
      <c r="FP63" s="402" t="s">
        <v>243</v>
      </c>
      <c r="FQ63" s="403" t="s">
        <v>243</v>
      </c>
      <c r="FR63" s="405" t="s">
        <v>243</v>
      </c>
      <c r="FS63" s="454"/>
      <c r="FT63" s="480">
        <v>0</v>
      </c>
      <c r="FU63" s="481">
        <v>0</v>
      </c>
      <c r="FV63" s="482">
        <f t="shared" si="0"/>
        <v>0</v>
      </c>
    </row>
    <row r="64" spans="1:178" ht="25.5" customHeight="1" x14ac:dyDescent="0.15">
      <c r="A64" s="498" t="s">
        <v>108</v>
      </c>
      <c r="B64" s="470" t="str">
        <f>'raw data'!B64</f>
        <v>Flex accounts with a £5k+ loan received 3 months ago and a CHAPS/SWIFT to a CoC in past 3 months.</v>
      </c>
      <c r="C64" s="471" t="s">
        <v>252</v>
      </c>
      <c r="D64" s="402" t="s">
        <v>243</v>
      </c>
      <c r="E64" s="403" t="s">
        <v>243</v>
      </c>
      <c r="F64" s="404" t="s">
        <v>243</v>
      </c>
      <c r="G64" s="402" t="s">
        <v>243</v>
      </c>
      <c r="H64" s="403" t="s">
        <v>243</v>
      </c>
      <c r="I64" s="404" t="s">
        <v>243</v>
      </c>
      <c r="J64" s="402" t="s">
        <v>243</v>
      </c>
      <c r="K64" s="496" t="s">
        <v>243</v>
      </c>
      <c r="L64" s="497" t="s">
        <v>243</v>
      </c>
      <c r="M64" s="402" t="s">
        <v>243</v>
      </c>
      <c r="N64" s="403" t="s">
        <v>243</v>
      </c>
      <c r="O64" s="404" t="s">
        <v>243</v>
      </c>
      <c r="P64" s="402" t="s">
        <v>243</v>
      </c>
      <c r="Q64" s="403" t="s">
        <v>243</v>
      </c>
      <c r="R64" s="404" t="s">
        <v>243</v>
      </c>
      <c r="S64" s="402" t="s">
        <v>243</v>
      </c>
      <c r="T64" s="403" t="s">
        <v>243</v>
      </c>
      <c r="U64" s="404" t="s">
        <v>243</v>
      </c>
      <c r="V64" s="402" t="s">
        <v>243</v>
      </c>
      <c r="W64" s="403" t="s">
        <v>243</v>
      </c>
      <c r="X64" s="404" t="s">
        <v>243</v>
      </c>
      <c r="Y64" s="402" t="s">
        <v>243</v>
      </c>
      <c r="Z64" s="403" t="s">
        <v>243</v>
      </c>
      <c r="AA64" s="404" t="s">
        <v>243</v>
      </c>
      <c r="AB64" s="402" t="s">
        <v>243</v>
      </c>
      <c r="AC64" s="403" t="s">
        <v>243</v>
      </c>
      <c r="AD64" s="404" t="s">
        <v>243</v>
      </c>
      <c r="AE64" s="402" t="s">
        <v>243</v>
      </c>
      <c r="AF64" s="403" t="s">
        <v>243</v>
      </c>
      <c r="AG64" s="404" t="s">
        <v>243</v>
      </c>
      <c r="AH64" s="402" t="s">
        <v>243</v>
      </c>
      <c r="AI64" s="403" t="s">
        <v>243</v>
      </c>
      <c r="AJ64" s="404" t="s">
        <v>243</v>
      </c>
      <c r="AK64" s="402" t="s">
        <v>243</v>
      </c>
      <c r="AL64" s="403" t="s">
        <v>243</v>
      </c>
      <c r="AM64" s="404" t="s">
        <v>243</v>
      </c>
      <c r="AN64" s="402" t="s">
        <v>243</v>
      </c>
      <c r="AO64" s="403" t="s">
        <v>243</v>
      </c>
      <c r="AP64" s="404" t="s">
        <v>243</v>
      </c>
      <c r="AQ64" s="402" t="s">
        <v>243</v>
      </c>
      <c r="AR64" s="403" t="s">
        <v>243</v>
      </c>
      <c r="AS64" s="405" t="s">
        <v>243</v>
      </c>
      <c r="AT64" s="402" t="s">
        <v>243</v>
      </c>
      <c r="AU64" s="403" t="s">
        <v>243</v>
      </c>
      <c r="AV64" s="405" t="s">
        <v>243</v>
      </c>
      <c r="AW64" s="402" t="s">
        <v>243</v>
      </c>
      <c r="AX64" s="403" t="s">
        <v>243</v>
      </c>
      <c r="AY64" s="405" t="s">
        <v>243</v>
      </c>
      <c r="AZ64" s="402" t="s">
        <v>243</v>
      </c>
      <c r="BA64" s="403" t="s">
        <v>243</v>
      </c>
      <c r="BB64" s="405" t="s">
        <v>243</v>
      </c>
      <c r="BC64" s="402" t="s">
        <v>243</v>
      </c>
      <c r="BD64" s="403" t="s">
        <v>243</v>
      </c>
      <c r="BE64" s="405" t="s">
        <v>243</v>
      </c>
      <c r="BF64" s="402" t="s">
        <v>243</v>
      </c>
      <c r="BG64" s="403" t="s">
        <v>243</v>
      </c>
      <c r="BH64" s="405" t="s">
        <v>243</v>
      </c>
      <c r="BI64" s="402" t="s">
        <v>243</v>
      </c>
      <c r="BJ64" s="403" t="s">
        <v>243</v>
      </c>
      <c r="BK64" s="405" t="s">
        <v>243</v>
      </c>
      <c r="BL64" s="402" t="s">
        <v>243</v>
      </c>
      <c r="BM64" s="403" t="s">
        <v>243</v>
      </c>
      <c r="BN64" s="405" t="s">
        <v>243</v>
      </c>
      <c r="BO64" s="402" t="s">
        <v>243</v>
      </c>
      <c r="BP64" s="403" t="s">
        <v>243</v>
      </c>
      <c r="BQ64" s="405" t="s">
        <v>243</v>
      </c>
      <c r="BR64" s="402" t="s">
        <v>243</v>
      </c>
      <c r="BS64" s="403" t="s">
        <v>243</v>
      </c>
      <c r="BT64" s="405" t="s">
        <v>243</v>
      </c>
      <c r="BU64" s="402" t="s">
        <v>243</v>
      </c>
      <c r="BV64" s="403" t="s">
        <v>243</v>
      </c>
      <c r="BW64" s="405" t="s">
        <v>243</v>
      </c>
      <c r="BX64" s="402" t="s">
        <v>243</v>
      </c>
      <c r="BY64" s="403" t="s">
        <v>243</v>
      </c>
      <c r="BZ64" s="405" t="s">
        <v>243</v>
      </c>
      <c r="CA64" s="402" t="s">
        <v>243</v>
      </c>
      <c r="CB64" s="403" t="s">
        <v>243</v>
      </c>
      <c r="CC64" s="405" t="s">
        <v>243</v>
      </c>
      <c r="CD64" s="402" t="s">
        <v>243</v>
      </c>
      <c r="CE64" s="403" t="s">
        <v>243</v>
      </c>
      <c r="CF64" s="405" t="s">
        <v>243</v>
      </c>
      <c r="CG64" s="402" t="s">
        <v>243</v>
      </c>
      <c r="CH64" s="403" t="s">
        <v>243</v>
      </c>
      <c r="CI64" s="405" t="s">
        <v>243</v>
      </c>
      <c r="CJ64" s="402" t="s">
        <v>243</v>
      </c>
      <c r="CK64" s="403" t="s">
        <v>243</v>
      </c>
      <c r="CL64" s="405" t="s">
        <v>243</v>
      </c>
      <c r="CM64" s="402" t="s">
        <v>243</v>
      </c>
      <c r="CN64" s="403" t="s">
        <v>243</v>
      </c>
      <c r="CO64" s="405" t="s">
        <v>243</v>
      </c>
      <c r="CP64" s="402" t="s">
        <v>243</v>
      </c>
      <c r="CQ64" s="403" t="s">
        <v>243</v>
      </c>
      <c r="CR64" s="405" t="s">
        <v>243</v>
      </c>
      <c r="CS64" s="402" t="s">
        <v>243</v>
      </c>
      <c r="CT64" s="403" t="s">
        <v>243</v>
      </c>
      <c r="CU64" s="405" t="s">
        <v>243</v>
      </c>
      <c r="CV64" s="402" t="s">
        <v>243</v>
      </c>
      <c r="CW64" s="403" t="s">
        <v>243</v>
      </c>
      <c r="CX64" s="405" t="s">
        <v>243</v>
      </c>
      <c r="CY64" s="402" t="s">
        <v>243</v>
      </c>
      <c r="CZ64" s="403" t="s">
        <v>243</v>
      </c>
      <c r="DA64" s="405" t="s">
        <v>243</v>
      </c>
      <c r="DB64" s="402" t="s">
        <v>243</v>
      </c>
      <c r="DC64" s="403" t="s">
        <v>243</v>
      </c>
      <c r="DD64" s="405" t="s">
        <v>243</v>
      </c>
      <c r="DE64" s="402" t="s">
        <v>243</v>
      </c>
      <c r="DF64" s="403" t="s">
        <v>243</v>
      </c>
      <c r="DG64" s="405" t="s">
        <v>243</v>
      </c>
      <c r="DH64" s="402" t="s">
        <v>243</v>
      </c>
      <c r="DI64" s="403" t="s">
        <v>243</v>
      </c>
      <c r="DJ64" s="405" t="s">
        <v>243</v>
      </c>
      <c r="DK64" s="402" t="s">
        <v>243</v>
      </c>
      <c r="DL64" s="403" t="s">
        <v>243</v>
      </c>
      <c r="DM64" s="405" t="s">
        <v>243</v>
      </c>
      <c r="DN64" s="402" t="s">
        <v>243</v>
      </c>
      <c r="DO64" s="403" t="s">
        <v>243</v>
      </c>
      <c r="DP64" s="405" t="s">
        <v>243</v>
      </c>
      <c r="DQ64" s="402" t="s">
        <v>243</v>
      </c>
      <c r="DR64" s="403" t="s">
        <v>243</v>
      </c>
      <c r="DS64" s="405" t="s">
        <v>243</v>
      </c>
      <c r="DT64" s="402" t="s">
        <v>243</v>
      </c>
      <c r="DU64" s="403" t="s">
        <v>243</v>
      </c>
      <c r="DV64" s="405" t="s">
        <v>243</v>
      </c>
      <c r="DW64" s="402" t="s">
        <v>243</v>
      </c>
      <c r="DX64" s="403" t="s">
        <v>243</v>
      </c>
      <c r="DY64" s="405" t="s">
        <v>243</v>
      </c>
      <c r="DZ64" s="402" t="s">
        <v>243</v>
      </c>
      <c r="EA64" s="403" t="s">
        <v>243</v>
      </c>
      <c r="EB64" s="405" t="s">
        <v>243</v>
      </c>
      <c r="EC64" s="402" t="s">
        <v>243</v>
      </c>
      <c r="ED64" s="403" t="s">
        <v>243</v>
      </c>
      <c r="EE64" s="405" t="s">
        <v>243</v>
      </c>
      <c r="EF64" s="402" t="s">
        <v>243</v>
      </c>
      <c r="EG64" s="403" t="s">
        <v>243</v>
      </c>
      <c r="EH64" s="405" t="s">
        <v>243</v>
      </c>
      <c r="EI64" s="402" t="s">
        <v>243</v>
      </c>
      <c r="EJ64" s="403" t="s">
        <v>243</v>
      </c>
      <c r="EK64" s="405" t="s">
        <v>243</v>
      </c>
      <c r="EL64" s="402" t="s">
        <v>243</v>
      </c>
      <c r="EM64" s="403" t="s">
        <v>243</v>
      </c>
      <c r="EN64" s="405" t="s">
        <v>243</v>
      </c>
      <c r="EO64" s="402" t="s">
        <v>243</v>
      </c>
      <c r="EP64" s="403" t="s">
        <v>243</v>
      </c>
      <c r="EQ64" s="405" t="s">
        <v>243</v>
      </c>
      <c r="ER64" s="402" t="s">
        <v>243</v>
      </c>
      <c r="ES64" s="403" t="s">
        <v>243</v>
      </c>
      <c r="ET64" s="405" t="s">
        <v>243</v>
      </c>
      <c r="EU64" s="402" t="s">
        <v>243</v>
      </c>
      <c r="EV64" s="403" t="s">
        <v>243</v>
      </c>
      <c r="EW64" s="405" t="s">
        <v>243</v>
      </c>
      <c r="EX64" s="402" t="s">
        <v>243</v>
      </c>
      <c r="EY64" s="403" t="s">
        <v>243</v>
      </c>
      <c r="EZ64" s="405" t="s">
        <v>243</v>
      </c>
      <c r="FA64" s="402" t="s">
        <v>243</v>
      </c>
      <c r="FB64" s="403" t="s">
        <v>243</v>
      </c>
      <c r="FC64" s="405" t="s">
        <v>243</v>
      </c>
      <c r="FD64" s="402" t="s">
        <v>243</v>
      </c>
      <c r="FE64" s="403" t="s">
        <v>243</v>
      </c>
      <c r="FF64" s="405" t="s">
        <v>243</v>
      </c>
      <c r="FG64" s="402" t="s">
        <v>243</v>
      </c>
      <c r="FH64" s="403" t="s">
        <v>243</v>
      </c>
      <c r="FI64" s="405" t="s">
        <v>243</v>
      </c>
      <c r="FJ64" s="402" t="s">
        <v>243</v>
      </c>
      <c r="FK64" s="403" t="s">
        <v>243</v>
      </c>
      <c r="FL64" s="405" t="s">
        <v>243</v>
      </c>
      <c r="FM64" s="402" t="s">
        <v>243</v>
      </c>
      <c r="FN64" s="403" t="s">
        <v>243</v>
      </c>
      <c r="FO64" s="405" t="s">
        <v>243</v>
      </c>
      <c r="FP64" s="402" t="s">
        <v>243</v>
      </c>
      <c r="FQ64" s="403" t="s">
        <v>243</v>
      </c>
      <c r="FR64" s="405" t="s">
        <v>243</v>
      </c>
      <c r="FS64" s="454"/>
      <c r="FT64" s="480">
        <v>0</v>
      </c>
      <c r="FU64" s="481">
        <v>0</v>
      </c>
      <c r="FV64" s="482">
        <f t="shared" si="0"/>
        <v>0</v>
      </c>
    </row>
    <row r="65" spans="1:178" ht="25.5" customHeight="1" x14ac:dyDescent="0.15">
      <c r="A65" s="498">
        <v>2.4</v>
      </c>
      <c r="B65" s="470" t="str">
        <f>'raw data'!B65</f>
        <v>Multiple Loans 3+ Loans £5k minimum loan value within 1 year</v>
      </c>
      <c r="C65" s="471"/>
      <c r="D65" s="402"/>
      <c r="E65" s="403"/>
      <c r="F65" s="404"/>
      <c r="G65" s="402"/>
      <c r="H65" s="403"/>
      <c r="I65" s="404"/>
      <c r="J65" s="402"/>
      <c r="K65" s="403"/>
      <c r="L65" s="404"/>
      <c r="M65" s="402"/>
      <c r="N65" s="403"/>
      <c r="O65" s="404"/>
      <c r="P65" s="402"/>
      <c r="Q65" s="403"/>
      <c r="R65" s="404"/>
      <c r="S65" s="402"/>
      <c r="T65" s="403"/>
      <c r="U65" s="404"/>
      <c r="V65" s="402"/>
      <c r="W65" s="403"/>
      <c r="X65" s="404"/>
      <c r="Y65" s="402"/>
      <c r="Z65" s="403"/>
      <c r="AA65" s="404"/>
      <c r="AB65" s="402"/>
      <c r="AC65" s="403"/>
      <c r="AD65" s="404"/>
      <c r="AE65" s="402"/>
      <c r="AF65" s="403"/>
      <c r="AG65" s="404"/>
      <c r="AH65" s="402"/>
      <c r="AI65" s="403"/>
      <c r="AJ65" s="404"/>
      <c r="AK65" s="402"/>
      <c r="AL65" s="403"/>
      <c r="AM65" s="404"/>
      <c r="AN65" s="474">
        <f>'raw data'!FT65</f>
        <v>1</v>
      </c>
      <c r="AO65" s="475">
        <f>'raw data'!FU65</f>
        <v>2</v>
      </c>
      <c r="AP65" s="476">
        <f>IF(ISERROR('raw data'!FT65/'raw data'!FU65),0,'raw data'!FT65/'raw data'!FU65)</f>
        <v>0.5</v>
      </c>
      <c r="AQ65" s="474">
        <f>'raw data'!FV65</f>
        <v>0</v>
      </c>
      <c r="AR65" s="475">
        <f>'raw data'!FW65</f>
        <v>0</v>
      </c>
      <c r="AS65" s="477">
        <f>IF(ISERROR('raw data'!FV65/'raw data'!FW65),0,'raw data'!FV65/'raw data'!FW65)</f>
        <v>0</v>
      </c>
      <c r="AT65" s="478">
        <f>'raw data'!FX65</f>
        <v>0</v>
      </c>
      <c r="AU65" s="479">
        <f>'raw data'!FY65</f>
        <v>4</v>
      </c>
      <c r="AV65" s="477">
        <f>IF(ISERROR('raw data'!FX65/'raw data'!FY65),0,'raw data'!FX65/'raw data'!FY65)</f>
        <v>0</v>
      </c>
      <c r="AW65" s="478">
        <f>'raw data'!FZ65</f>
        <v>0</v>
      </c>
      <c r="AX65" s="479">
        <f>'raw data'!GA65</f>
        <v>1</v>
      </c>
      <c r="AY65" s="477">
        <f>IF(ISERROR('raw data'!FZ65/'raw data'!GA65),0,'raw data'!FZ65/'raw data'!GA65)</f>
        <v>0</v>
      </c>
      <c r="AZ65" s="478">
        <f>'raw data'!GB65</f>
        <v>2</v>
      </c>
      <c r="BA65" s="479">
        <f>'raw data'!GC65</f>
        <v>15</v>
      </c>
      <c r="BB65" s="477">
        <f>IF(ISERROR('raw data'!GB65/'raw data'!GC65),0,'raw data'!GB65/'raw data'!GC65)</f>
        <v>0.13333333333333333</v>
      </c>
      <c r="BC65" s="478">
        <f>'raw data'!GD65</f>
        <v>0</v>
      </c>
      <c r="BD65" s="479">
        <f>'raw data'!GE65</f>
        <v>1</v>
      </c>
      <c r="BE65" s="477">
        <f>IF(ISERROR('raw data'!GD65/'raw data'!GE65),0,'raw data'!GD65/'raw data'!GE65)</f>
        <v>0</v>
      </c>
      <c r="BF65" s="478">
        <f>'raw data'!GF65</f>
        <v>0</v>
      </c>
      <c r="BG65" s="479">
        <f>'raw data'!GG65</f>
        <v>0</v>
      </c>
      <c r="BH65" s="477">
        <f>IF(ISERROR('raw data'!GF65/'raw data'!GG65),0,'raw data'!GF65/'raw data'!GG65)</f>
        <v>0</v>
      </c>
      <c r="BI65" s="478">
        <f>'raw data'!GH65</f>
        <v>0</v>
      </c>
      <c r="BJ65" s="479">
        <f>'raw data'!GI65</f>
        <v>2</v>
      </c>
      <c r="BK65" s="477">
        <f>IF(ISERROR('raw data'!GH65/'raw data'!GI65),0,'raw data'!GH65/'raw data'!GI65)</f>
        <v>0</v>
      </c>
      <c r="BL65" s="478">
        <f>'raw data'!GJ65</f>
        <v>0</v>
      </c>
      <c r="BM65" s="479">
        <f>'raw data'!GK65</f>
        <v>4</v>
      </c>
      <c r="BN65" s="477">
        <f>IF(ISERROR('raw data'!GJ65/'raw data'!GK65),0,'raw data'!GJ65/'raw data'!GK65)</f>
        <v>0</v>
      </c>
      <c r="BO65" s="478">
        <f>'raw data'!GL65</f>
        <v>0</v>
      </c>
      <c r="BP65" s="479">
        <f>'raw data'!GM65</f>
        <v>13</v>
      </c>
      <c r="BQ65" s="477">
        <f>IF(ISERROR('raw data'!GL65/'raw data'!GM65),0,'raw data'!GL65/'raw data'!GM65)</f>
        <v>0</v>
      </c>
      <c r="BR65" s="478">
        <f>'raw data'!GN65</f>
        <v>0</v>
      </c>
      <c r="BS65" s="479">
        <f>'raw data'!GO65</f>
        <v>5</v>
      </c>
      <c r="BT65" s="477">
        <f>IF(ISERROR('raw data'!GN65/'raw data'!GO65),0,'raw data'!GN65/'raw data'!GO65)</f>
        <v>0</v>
      </c>
      <c r="BU65" s="478">
        <f>'raw data'!GP65</f>
        <v>0</v>
      </c>
      <c r="BV65" s="479">
        <f>'raw data'!GQ65</f>
        <v>0</v>
      </c>
      <c r="BW65" s="477">
        <f>IF(ISERROR('raw data'!GP65/'raw data'!GQ65),0,'raw data'!GP65/'raw data'!GQ65)</f>
        <v>0</v>
      </c>
      <c r="BX65" s="478">
        <f>'raw data'!GR65</f>
        <v>2</v>
      </c>
      <c r="BY65" s="479">
        <f>'raw data'!GS65</f>
        <v>8</v>
      </c>
      <c r="BZ65" s="477">
        <f>IF(ISERROR('raw data'!GR65/'raw data'!GS65),0,'raw data'!GR65/'raw data'!GS65)</f>
        <v>0.25</v>
      </c>
      <c r="CA65" s="478">
        <f>'raw data'!GT65</f>
        <v>1</v>
      </c>
      <c r="CB65" s="479">
        <f>'raw data'!GU65</f>
        <v>1</v>
      </c>
      <c r="CC65" s="477">
        <f>IF(ISERROR('raw data'!GT65/'raw data'!GU65),0,'raw data'!GT65/'raw data'!GU65)</f>
        <v>1</v>
      </c>
      <c r="CD65" s="478">
        <f>'raw data'!GV65</f>
        <v>1</v>
      </c>
      <c r="CE65" s="479">
        <f>'raw data'!GW65</f>
        <v>9</v>
      </c>
      <c r="CF65" s="477">
        <f>IF(ISERROR('raw data'!GV65/'raw data'!GW65),0,'raw data'!GV65/'raw data'!GW65)</f>
        <v>0.1111111111111111</v>
      </c>
      <c r="CG65" s="478">
        <f>'raw data'!GX65</f>
        <v>2</v>
      </c>
      <c r="CH65" s="479">
        <f>'raw data'!GY65</f>
        <v>5</v>
      </c>
      <c r="CI65" s="477">
        <f>IF(ISERROR('raw data'!GX65/'raw data'!GY65),0,'raw data'!GX65/'raw data'!GY65)</f>
        <v>0.4</v>
      </c>
      <c r="CJ65" s="478">
        <f>'raw data'!GZ65</f>
        <v>0</v>
      </c>
      <c r="CK65" s="479">
        <f>'raw data'!HA65</f>
        <v>2</v>
      </c>
      <c r="CL65" s="477">
        <f>IF(ISERROR('raw data'!GZ65/'raw data'!HA65),0,'raw data'!GZ65/'raw data'!HA65)</f>
        <v>0</v>
      </c>
      <c r="CM65" s="478">
        <f>'raw data'!HB65</f>
        <v>0</v>
      </c>
      <c r="CN65" s="479">
        <f>'raw data'!HC65</f>
        <v>9</v>
      </c>
      <c r="CO65" s="477">
        <f>IF(ISERROR('raw data'!HB65/'raw data'!HC65),0,'raw data'!HB65/'raw data'!HC65)</f>
        <v>0</v>
      </c>
      <c r="CP65" s="478">
        <f>'raw data'!HD65</f>
        <v>2</v>
      </c>
      <c r="CQ65" s="479">
        <f>'raw data'!HE65</f>
        <v>2</v>
      </c>
      <c r="CR65" s="477">
        <f>IF(ISERROR('raw data'!HD65/'raw data'!HE65),0,'raw data'!HD65/'raw data'!HE65)</f>
        <v>1</v>
      </c>
      <c r="CS65" s="478">
        <f>'raw data'!HF65</f>
        <v>0</v>
      </c>
      <c r="CT65" s="479">
        <f>'raw data'!HG65</f>
        <v>3</v>
      </c>
      <c r="CU65" s="477">
        <f>IF(ISERROR('raw data'!HF65/'raw data'!HG65),0,'raw data'!HF65/'raw data'!HG65)</f>
        <v>0</v>
      </c>
      <c r="CV65" s="478">
        <f>'raw data'!HH65</f>
        <v>0</v>
      </c>
      <c r="CW65" s="479">
        <f>'raw data'!HI65</f>
        <v>4</v>
      </c>
      <c r="CX65" s="477">
        <f>IF(ISERROR('raw data'!HH65/'raw data'!HI65),0,'raw data'!HH65/'raw data'!HI65)</f>
        <v>0</v>
      </c>
      <c r="CY65" s="478">
        <f>'raw data'!HJ65</f>
        <v>0</v>
      </c>
      <c r="CZ65" s="479">
        <f>'raw data'!HK65</f>
        <v>0</v>
      </c>
      <c r="DA65" s="477">
        <f>IF(ISERROR('raw data'!HJ65/'raw data'!HK65),0,'raw data'!HJ65/'raw data'!HK65)</f>
        <v>0</v>
      </c>
      <c r="DB65" s="478">
        <f>'raw data'!HL65</f>
        <v>0</v>
      </c>
      <c r="DC65" s="479">
        <f>'raw data'!HM65</f>
        <v>2</v>
      </c>
      <c r="DD65" s="477">
        <f>IF(ISERROR('raw data'!HL65/'raw data'!HM65),0,'raw data'!HL65/'raw data'!HM65)</f>
        <v>0</v>
      </c>
      <c r="DE65" s="478">
        <f>'raw data'!HN65</f>
        <v>0</v>
      </c>
      <c r="DF65" s="479">
        <f>'raw data'!HO65</f>
        <v>7</v>
      </c>
      <c r="DG65" s="477">
        <f>IF(ISERROR('raw data'!HN65/'raw data'!HO65),0,'raw data'!HN65/'raw data'!HO65)</f>
        <v>0</v>
      </c>
      <c r="DH65" s="478">
        <f>'raw data'!HP65</f>
        <v>0</v>
      </c>
      <c r="DI65" s="479">
        <f>'raw data'!HQ65</f>
        <v>1</v>
      </c>
      <c r="DJ65" s="477">
        <f>IF(ISERROR('raw data'!HP65/'raw data'!HQ65),0,'raw data'!HP65/'raw data'!HQ65)</f>
        <v>0</v>
      </c>
      <c r="DK65" s="478">
        <f>'raw data'!HR65</f>
        <v>1</v>
      </c>
      <c r="DL65" s="479">
        <f>'raw data'!HS65</f>
        <v>4</v>
      </c>
      <c r="DM65" s="477">
        <f>IF(ISERROR('raw data'!HR65/'raw data'!HS65),0,'raw data'!HR65/'raw data'!HS65)</f>
        <v>0.25</v>
      </c>
      <c r="DN65" s="478">
        <f>'raw data'!HT65</f>
        <v>0</v>
      </c>
      <c r="DO65" s="479">
        <f>'raw data'!HU65</f>
        <v>1</v>
      </c>
      <c r="DP65" s="477">
        <f>IF(ISERROR('raw data'!HT65/'raw data'!HU65),0,'raw data'!HT65/'raw data'!HU65)</f>
        <v>0</v>
      </c>
      <c r="DQ65" s="478">
        <f>'raw data'!HV65</f>
        <v>0</v>
      </c>
      <c r="DR65" s="479">
        <f>'raw data'!HW65</f>
        <v>0</v>
      </c>
      <c r="DS65" s="477">
        <f>IF(ISERROR('raw data'!HV65/'raw data'!HW65),0,'raw data'!HV65/'raw data'!HW65)</f>
        <v>0</v>
      </c>
      <c r="DT65" s="478">
        <f>'raw data'!HX65</f>
        <v>0</v>
      </c>
      <c r="DU65" s="479">
        <f>'raw data'!HY65</f>
        <v>4</v>
      </c>
      <c r="DV65" s="477">
        <f>IF(ISERROR('raw data'!HX65/'raw data'!HY65),0,'raw data'!HX65/'raw data'!HY65)</f>
        <v>0</v>
      </c>
      <c r="DW65" s="478">
        <f>'raw data'!HZ65</f>
        <v>1</v>
      </c>
      <c r="DX65" s="479">
        <f>'raw data'!IA65</f>
        <v>6</v>
      </c>
      <c r="DY65" s="477">
        <f>IF(ISERROR('raw data'!HZ65/'raw data'!IA65),0,'raw data'!HZ65/'raw data'!IA65)</f>
        <v>0.16666666666666666</v>
      </c>
      <c r="DZ65" s="478">
        <f>'raw data'!IB65</f>
        <v>1</v>
      </c>
      <c r="EA65" s="479">
        <f>'raw data'!IC65</f>
        <v>7</v>
      </c>
      <c r="EB65" s="477">
        <f>IF(ISERROR('raw data'!IB65/'raw data'!IC65),0,'raw data'!IB65/'raw data'!IC65)</f>
        <v>0.14285714285714285</v>
      </c>
      <c r="EC65" s="478">
        <f>'raw data'!ID65</f>
        <v>1</v>
      </c>
      <c r="ED65" s="479">
        <f>'raw data'!IE65</f>
        <v>2</v>
      </c>
      <c r="EE65" s="477">
        <f>IF(ISERROR('raw data'!ID65/'raw data'!IE65),0,'raw data'!ID65/'raw data'!IE65)</f>
        <v>0.5</v>
      </c>
      <c r="EF65" s="478">
        <f>'raw data'!IF65</f>
        <v>0</v>
      </c>
      <c r="EG65" s="479">
        <f>'raw data'!IG65</f>
        <v>6</v>
      </c>
      <c r="EH65" s="477">
        <f>IF(ISERROR('raw data'!IF65/'raw data'!IG65),0,'raw data'!IF65/'raw data'!IG65)</f>
        <v>0</v>
      </c>
      <c r="EI65" s="478">
        <f>'raw data'!IH65</f>
        <v>1</v>
      </c>
      <c r="EJ65" s="479">
        <f>'raw data'!II65</f>
        <v>4</v>
      </c>
      <c r="EK65" s="477">
        <f>IF(ISERROR('raw data'!IH65/'raw data'!II65),0,'raw data'!IH65/'raw data'!II65)</f>
        <v>0.25</v>
      </c>
      <c r="EL65" s="478">
        <f>'raw data'!IJ65</f>
        <v>0</v>
      </c>
      <c r="EM65" s="479">
        <f>'raw data'!IK65</f>
        <v>2</v>
      </c>
      <c r="EN65" s="477">
        <f>IF(ISERROR('raw data'!IJ65/'raw data'!IK65),0,'raw data'!IJ65/'raw data'!IK65)</f>
        <v>0</v>
      </c>
      <c r="EO65" s="478">
        <f>'raw data'!IL65</f>
        <v>1</v>
      </c>
      <c r="EP65" s="479">
        <f>'raw data'!IM65</f>
        <v>5</v>
      </c>
      <c r="EQ65" s="477">
        <f>IF(ISERROR('raw data'!IL65/'raw data'!IM65),0,'raw data'!IL65/'raw data'!IM65)</f>
        <v>0.2</v>
      </c>
      <c r="ER65" s="478">
        <f>'raw data'!IN65</f>
        <v>0</v>
      </c>
      <c r="ES65" s="479">
        <f>'raw data'!IO65</f>
        <v>2</v>
      </c>
      <c r="ET65" s="477">
        <f>IF(ISERROR('raw data'!IN65/'raw data'!IO65),0,'raw data'!IN65/'raw data'!IO65)</f>
        <v>0</v>
      </c>
      <c r="EU65" s="478">
        <f>'raw data'!IP65</f>
        <v>0</v>
      </c>
      <c r="EV65" s="479">
        <f>'raw data'!IQ65</f>
        <v>1</v>
      </c>
      <c r="EW65" s="477">
        <f>IF(ISERROR('raw data'!IP65/'raw data'!IQ65),0,'raw data'!IP65/'raw data'!IQ65)</f>
        <v>0</v>
      </c>
      <c r="EX65" s="478">
        <f>'raw data'!IR65</f>
        <v>0</v>
      </c>
      <c r="EY65" s="479">
        <f>'raw data'!IS65</f>
        <v>1</v>
      </c>
      <c r="EZ65" s="477">
        <f>IF(ISERROR('raw data'!IR65/'raw data'!IS65),0,'raw data'!IR65/'raw data'!IS65)</f>
        <v>0</v>
      </c>
      <c r="FA65" s="478">
        <f>'raw data'!IT65</f>
        <v>0</v>
      </c>
      <c r="FB65" s="479">
        <f>'raw data'!IU65</f>
        <v>5</v>
      </c>
      <c r="FC65" s="477">
        <f>IF(ISERROR('raw data'!IT65/'raw data'!IU65),0,'raw data'!IT65/'raw data'!IU65)</f>
        <v>0</v>
      </c>
      <c r="FD65" s="478">
        <f>'raw data'!IV65</f>
        <v>0</v>
      </c>
      <c r="FE65" s="479">
        <f>'raw data'!IW65</f>
        <v>3</v>
      </c>
      <c r="FF65" s="477">
        <f>IF(ISERROR('raw data'!IV65/'raw data'!IW65),0,'raw data'!IV65/'raw data'!IW65)</f>
        <v>0</v>
      </c>
      <c r="FG65" s="478">
        <f>'raw data'!IX65</f>
        <v>0</v>
      </c>
      <c r="FH65" s="479">
        <f>'raw data'!IY65</f>
        <v>3</v>
      </c>
      <c r="FI65" s="477">
        <f>IF(ISERROR('raw data'!IX65/'raw data'!IY65),0,'raw data'!IX65/'raw data'!IY65)</f>
        <v>0</v>
      </c>
      <c r="FJ65" s="478">
        <f>'raw data'!IZ65</f>
        <v>1</v>
      </c>
      <c r="FK65" s="479">
        <f>'raw data'!JA65</f>
        <v>2</v>
      </c>
      <c r="FL65" s="477">
        <f>IF(ISERROR('raw data'!IZ65/'raw data'!JA65),0,'raw data'!IZ65/'raw data'!JA65)</f>
        <v>0.5</v>
      </c>
      <c r="FM65" s="478">
        <f>'raw data'!JB65</f>
        <v>0</v>
      </c>
      <c r="FN65" s="479">
        <f>'raw data'!JC65</f>
        <v>2</v>
      </c>
      <c r="FO65" s="477">
        <f>IF(ISERROR('raw data'!JB65/'raw data'!JC65),0,'raw data'!JB65/'raw data'!JC65)</f>
        <v>0</v>
      </c>
      <c r="FP65" s="478">
        <f>'raw data'!JD65</f>
        <v>1</v>
      </c>
      <c r="FQ65" s="479">
        <f>'raw data'!JE65</f>
        <v>9</v>
      </c>
      <c r="FR65" s="477">
        <f>IF(ISERROR('raw data'!JD65/'raw data'!JE65),0,'raw data'!JD65/'raw data'!JE65)</f>
        <v>0.1111111111111111</v>
      </c>
      <c r="FS65" s="454"/>
      <c r="FT65" s="480">
        <v>4</v>
      </c>
      <c r="FU65" s="481">
        <v>39</v>
      </c>
      <c r="FV65" s="482">
        <f t="shared" si="0"/>
        <v>0.10256410256410256</v>
      </c>
    </row>
    <row r="66" spans="1:178" ht="25.5" customHeight="1" x14ac:dyDescent="0.15">
      <c r="A66" s="498">
        <v>2.5</v>
      </c>
      <c r="B66" s="470" t="str">
        <f>'raw data'!B66</f>
        <v>Fraud or Suspect in SIRA or Payment from high risk countries/tax havens into customer’s accounts, within 30 days</v>
      </c>
      <c r="C66" s="471"/>
      <c r="D66" s="402"/>
      <c r="E66" s="403"/>
      <c r="F66" s="404"/>
      <c r="G66" s="402"/>
      <c r="H66" s="403"/>
      <c r="I66" s="404"/>
      <c r="J66" s="402"/>
      <c r="K66" s="403"/>
      <c r="L66" s="404"/>
      <c r="M66" s="402"/>
      <c r="N66" s="403"/>
      <c r="O66" s="404"/>
      <c r="P66" s="402"/>
      <c r="Q66" s="403"/>
      <c r="R66" s="404"/>
      <c r="S66" s="402"/>
      <c r="T66" s="403"/>
      <c r="U66" s="404"/>
      <c r="V66" s="402"/>
      <c r="W66" s="403"/>
      <c r="X66" s="404"/>
      <c r="Y66" s="402"/>
      <c r="Z66" s="403"/>
      <c r="AA66" s="404"/>
      <c r="AB66" s="402"/>
      <c r="AC66" s="403"/>
      <c r="AD66" s="404"/>
      <c r="AE66" s="402"/>
      <c r="AF66" s="403"/>
      <c r="AG66" s="404"/>
      <c r="AH66" s="402"/>
      <c r="AI66" s="403"/>
      <c r="AJ66" s="404"/>
      <c r="AK66" s="402"/>
      <c r="AL66" s="403"/>
      <c r="AM66" s="404"/>
      <c r="AN66" s="474">
        <f>'raw data'!FT66</f>
        <v>2</v>
      </c>
      <c r="AO66" s="475">
        <f>'raw data'!FU66</f>
        <v>2</v>
      </c>
      <c r="AP66" s="476">
        <f>IF(ISERROR('raw data'!FT66/'raw data'!FU66),0,'raw data'!FT66/'raw data'!FU66)</f>
        <v>1</v>
      </c>
      <c r="AQ66" s="474">
        <f>'raw data'!FV66</f>
        <v>0</v>
      </c>
      <c r="AR66" s="475">
        <f>'raw data'!FW66</f>
        <v>0</v>
      </c>
      <c r="AS66" s="477">
        <f>IF(ISERROR('raw data'!FV66/'raw data'!FW66),0,'raw data'!FV66/'raw data'!FW66)</f>
        <v>0</v>
      </c>
      <c r="AT66" s="478">
        <f>'raw data'!FX66</f>
        <v>0</v>
      </c>
      <c r="AU66" s="479">
        <f>'raw data'!FY66</f>
        <v>1</v>
      </c>
      <c r="AV66" s="477">
        <f>IF(ISERROR('raw data'!FX66/'raw data'!FY66),0,'raw data'!FX66/'raw data'!FY66)</f>
        <v>0</v>
      </c>
      <c r="AW66" s="478">
        <f>'raw data'!FZ66</f>
        <v>0</v>
      </c>
      <c r="AX66" s="479">
        <f>'raw data'!GA66</f>
        <v>0</v>
      </c>
      <c r="AY66" s="477">
        <f>IF(ISERROR('raw data'!FZ66/'raw data'!GA66),0,'raw data'!FZ66/'raw data'!GA66)</f>
        <v>0</v>
      </c>
      <c r="AZ66" s="478">
        <f>'raw data'!GB66</f>
        <v>0</v>
      </c>
      <c r="BA66" s="479">
        <f>'raw data'!GC66</f>
        <v>2</v>
      </c>
      <c r="BB66" s="477">
        <f>IF(ISERROR('raw data'!GB66/'raw data'!GC66),0,'raw data'!GB66/'raw data'!GC66)</f>
        <v>0</v>
      </c>
      <c r="BC66" s="478">
        <f>'raw data'!GD66</f>
        <v>0</v>
      </c>
      <c r="BD66" s="479">
        <f>'raw data'!GE66</f>
        <v>1</v>
      </c>
      <c r="BE66" s="477">
        <f>IF(ISERROR('raw data'!GD66/'raw data'!GE66),0,'raw data'!GD66/'raw data'!GE66)</f>
        <v>0</v>
      </c>
      <c r="BF66" s="478">
        <f>'raw data'!GF66</f>
        <v>0</v>
      </c>
      <c r="BG66" s="479">
        <f>'raw data'!GG66</f>
        <v>0</v>
      </c>
      <c r="BH66" s="477">
        <f>IF(ISERROR('raw data'!GF66/'raw data'!GG66),0,'raw data'!GF66/'raw data'!GG66)</f>
        <v>0</v>
      </c>
      <c r="BI66" s="478">
        <f>'raw data'!GH66</f>
        <v>0</v>
      </c>
      <c r="BJ66" s="479">
        <f>'raw data'!GI66</f>
        <v>0</v>
      </c>
      <c r="BK66" s="477">
        <f>IF(ISERROR('raw data'!GH66/'raw data'!GI66),0,'raw data'!GH66/'raw data'!GI66)</f>
        <v>0</v>
      </c>
      <c r="BL66" s="478">
        <f>'raw data'!GJ66</f>
        <v>0</v>
      </c>
      <c r="BM66" s="479">
        <f>'raw data'!GK66</f>
        <v>2</v>
      </c>
      <c r="BN66" s="477">
        <f>IF(ISERROR('raw data'!GJ66/'raw data'!GK66),0,'raw data'!GJ66/'raw data'!GK66)</f>
        <v>0</v>
      </c>
      <c r="BO66" s="478">
        <f>'raw data'!GL66</f>
        <v>0</v>
      </c>
      <c r="BP66" s="479">
        <f>'raw data'!GM66</f>
        <v>1</v>
      </c>
      <c r="BQ66" s="477">
        <f>IF(ISERROR('raw data'!GL66/'raw data'!GM66),0,'raw data'!GL66/'raw data'!GM66)</f>
        <v>0</v>
      </c>
      <c r="BR66" s="478">
        <f>'raw data'!GN66</f>
        <v>0</v>
      </c>
      <c r="BS66" s="479">
        <f>'raw data'!GO66</f>
        <v>0</v>
      </c>
      <c r="BT66" s="477">
        <f>IF(ISERROR('raw data'!GN66/'raw data'!GO66),0,'raw data'!GN66/'raw data'!GO66)</f>
        <v>0</v>
      </c>
      <c r="BU66" s="478">
        <f>'raw data'!GP66</f>
        <v>0</v>
      </c>
      <c r="BV66" s="479">
        <f>'raw data'!GQ66</f>
        <v>1</v>
      </c>
      <c r="BW66" s="477">
        <f>IF(ISERROR('raw data'!GP66/'raw data'!GQ66),0,'raw data'!GP66/'raw data'!GQ66)</f>
        <v>0</v>
      </c>
      <c r="BX66" s="478">
        <f>'raw data'!GR66</f>
        <v>0</v>
      </c>
      <c r="BY66" s="479">
        <f>'raw data'!GS66</f>
        <v>1</v>
      </c>
      <c r="BZ66" s="477">
        <f>IF(ISERROR('raw data'!GR66/'raw data'!GS66),0,'raw data'!GR66/'raw data'!GS66)</f>
        <v>0</v>
      </c>
      <c r="CA66" s="478">
        <f>'raw data'!GT66</f>
        <v>0</v>
      </c>
      <c r="CB66" s="479">
        <f>'raw data'!GU66</f>
        <v>0</v>
      </c>
      <c r="CC66" s="477">
        <f>IF(ISERROR('raw data'!GT66/'raw data'!GU66),0,'raw data'!GT66/'raw data'!GU66)</f>
        <v>0</v>
      </c>
      <c r="CD66" s="478">
        <f>'raw data'!GV66</f>
        <v>0</v>
      </c>
      <c r="CE66" s="479">
        <f>'raw data'!GW66</f>
        <v>2</v>
      </c>
      <c r="CF66" s="477">
        <f>IF(ISERROR('raw data'!GV66/'raw data'!GW66),0,'raw data'!GV66/'raw data'!GW66)</f>
        <v>0</v>
      </c>
      <c r="CG66" s="478">
        <f>'raw data'!GX66</f>
        <v>0</v>
      </c>
      <c r="CH66" s="479">
        <f>'raw data'!GY66</f>
        <v>2</v>
      </c>
      <c r="CI66" s="477">
        <f>IF(ISERROR('raw data'!GX66/'raw data'!GY66),0,'raw data'!GX66/'raw data'!GY66)</f>
        <v>0</v>
      </c>
      <c r="CJ66" s="478">
        <f>'raw data'!GZ66</f>
        <v>0</v>
      </c>
      <c r="CK66" s="479">
        <f>'raw data'!HA66</f>
        <v>0</v>
      </c>
      <c r="CL66" s="477">
        <f>IF(ISERROR('raw data'!GZ66/'raw data'!HA66),0,'raw data'!GZ66/'raw data'!HA66)</f>
        <v>0</v>
      </c>
      <c r="CM66" s="478">
        <f>'raw data'!HB66</f>
        <v>0</v>
      </c>
      <c r="CN66" s="479">
        <f>'raw data'!HC66</f>
        <v>0</v>
      </c>
      <c r="CO66" s="477">
        <f>IF(ISERROR('raw data'!HB66/'raw data'!HC66),0,'raw data'!HB66/'raw data'!HC66)</f>
        <v>0</v>
      </c>
      <c r="CP66" s="478">
        <f>'raw data'!HD66</f>
        <v>0</v>
      </c>
      <c r="CQ66" s="479">
        <f>'raw data'!HE66</f>
        <v>2</v>
      </c>
      <c r="CR66" s="477">
        <f>IF(ISERROR('raw data'!HD66/'raw data'!HE66),0,'raw data'!HD66/'raw data'!HE66)</f>
        <v>0</v>
      </c>
      <c r="CS66" s="478">
        <f>'raw data'!HF66</f>
        <v>0</v>
      </c>
      <c r="CT66" s="479">
        <f>'raw data'!HG66</f>
        <v>1</v>
      </c>
      <c r="CU66" s="477">
        <f>IF(ISERROR('raw data'!HF66/'raw data'!HG66),0,'raw data'!HF66/'raw data'!HG66)</f>
        <v>0</v>
      </c>
      <c r="CV66" s="478">
        <f>'raw data'!HH66</f>
        <v>0</v>
      </c>
      <c r="CW66" s="479">
        <f>'raw data'!HI66</f>
        <v>0</v>
      </c>
      <c r="CX66" s="477">
        <f>IF(ISERROR('raw data'!HH66/'raw data'!HI66),0,'raw data'!HH66/'raw data'!HI66)</f>
        <v>0</v>
      </c>
      <c r="CY66" s="478">
        <f>'raw data'!HJ66</f>
        <v>0</v>
      </c>
      <c r="CZ66" s="479">
        <f>'raw data'!HK66</f>
        <v>4</v>
      </c>
      <c r="DA66" s="477">
        <f>IF(ISERROR('raw data'!HJ66/'raw data'!HK66),0,'raw data'!HJ66/'raw data'!HK66)</f>
        <v>0</v>
      </c>
      <c r="DB66" s="478">
        <f>'raw data'!HL66</f>
        <v>0</v>
      </c>
      <c r="DC66" s="479">
        <f>'raw data'!HM66</f>
        <v>0</v>
      </c>
      <c r="DD66" s="477">
        <f>IF(ISERROR('raw data'!HL66/'raw data'!HM66),0,'raw data'!HL66/'raw data'!HM66)</f>
        <v>0</v>
      </c>
      <c r="DE66" s="478">
        <f>'raw data'!HN66</f>
        <v>0</v>
      </c>
      <c r="DF66" s="479">
        <f>'raw data'!HO66</f>
        <v>1</v>
      </c>
      <c r="DG66" s="477">
        <f>IF(ISERROR('raw data'!HN66/'raw data'!HO66),0,'raw data'!HN66/'raw data'!HO66)</f>
        <v>0</v>
      </c>
      <c r="DH66" s="478">
        <f>'raw data'!HP66</f>
        <v>0</v>
      </c>
      <c r="DI66" s="479">
        <f>'raw data'!HQ66</f>
        <v>1</v>
      </c>
      <c r="DJ66" s="477">
        <f>IF(ISERROR('raw data'!HP66/'raw data'!HQ66),0,'raw data'!HP66/'raw data'!HQ66)</f>
        <v>0</v>
      </c>
      <c r="DK66" s="478">
        <f>'raw data'!HR66</f>
        <v>0</v>
      </c>
      <c r="DL66" s="479">
        <f>'raw data'!HS66</f>
        <v>3</v>
      </c>
      <c r="DM66" s="477">
        <f>IF(ISERROR('raw data'!HR66/'raw data'!HS66),0,'raw data'!HR66/'raw data'!HS66)</f>
        <v>0</v>
      </c>
      <c r="DN66" s="478">
        <f>'raw data'!HT66</f>
        <v>0</v>
      </c>
      <c r="DO66" s="479">
        <f>'raw data'!HU66</f>
        <v>1</v>
      </c>
      <c r="DP66" s="477">
        <f>IF(ISERROR('raw data'!HT66/'raw data'!HU66),0,'raw data'!HT66/'raw data'!HU66)</f>
        <v>0</v>
      </c>
      <c r="DQ66" s="478">
        <f>'raw data'!HV66</f>
        <v>0</v>
      </c>
      <c r="DR66" s="479">
        <f>'raw data'!HW66</f>
        <v>0</v>
      </c>
      <c r="DS66" s="477">
        <f>IF(ISERROR('raw data'!HV66/'raw data'!HW66),0,'raw data'!HV66/'raw data'!HW66)</f>
        <v>0</v>
      </c>
      <c r="DT66" s="478">
        <f>'raw data'!HX66</f>
        <v>0</v>
      </c>
      <c r="DU66" s="479">
        <f>'raw data'!HY66</f>
        <v>1</v>
      </c>
      <c r="DV66" s="477">
        <f>IF(ISERROR('raw data'!HX66/'raw data'!HY66),0,'raw data'!HX66/'raw data'!HY66)</f>
        <v>0</v>
      </c>
      <c r="DW66" s="478">
        <f>'raw data'!HZ66</f>
        <v>0</v>
      </c>
      <c r="DX66" s="479">
        <f>'raw data'!IA66</f>
        <v>0</v>
      </c>
      <c r="DY66" s="477">
        <f>IF(ISERROR('raw data'!HZ66/'raw data'!IA66),0,'raw data'!HZ66/'raw data'!IA66)</f>
        <v>0</v>
      </c>
      <c r="DZ66" s="478">
        <f>'raw data'!IB66</f>
        <v>0</v>
      </c>
      <c r="EA66" s="479">
        <f>'raw data'!IC66</f>
        <v>0</v>
      </c>
      <c r="EB66" s="477">
        <f>IF(ISERROR('raw data'!IB66/'raw data'!IC66),0,'raw data'!IB66/'raw data'!IC66)</f>
        <v>0</v>
      </c>
      <c r="EC66" s="478">
        <f>'raw data'!ID66</f>
        <v>0</v>
      </c>
      <c r="ED66" s="479">
        <f>'raw data'!IE66</f>
        <v>2</v>
      </c>
      <c r="EE66" s="477">
        <f>IF(ISERROR('raw data'!ID66/'raw data'!IE66),0,'raw data'!ID66/'raw data'!IE66)</f>
        <v>0</v>
      </c>
      <c r="EF66" s="478">
        <f>'raw data'!IF66</f>
        <v>0</v>
      </c>
      <c r="EG66" s="479">
        <f>'raw data'!IG66</f>
        <v>3</v>
      </c>
      <c r="EH66" s="477">
        <f>IF(ISERROR('raw data'!IF66/'raw data'!IG66),0,'raw data'!IF66/'raw data'!IG66)</f>
        <v>0</v>
      </c>
      <c r="EI66" s="478">
        <f>'raw data'!IH66</f>
        <v>0</v>
      </c>
      <c r="EJ66" s="479">
        <f>'raw data'!II66</f>
        <v>1</v>
      </c>
      <c r="EK66" s="477">
        <f>IF(ISERROR('raw data'!IH66/'raw data'!II66),0,'raw data'!IH66/'raw data'!II66)</f>
        <v>0</v>
      </c>
      <c r="EL66" s="478">
        <f>'raw data'!IJ66</f>
        <v>0</v>
      </c>
      <c r="EM66" s="479">
        <f>'raw data'!IK66</f>
        <v>0</v>
      </c>
      <c r="EN66" s="477">
        <f>IF(ISERROR('raw data'!IJ66/'raw data'!IK66),0,'raw data'!IJ66/'raw data'!IK66)</f>
        <v>0</v>
      </c>
      <c r="EO66" s="478">
        <f>'raw data'!IL66</f>
        <v>0</v>
      </c>
      <c r="EP66" s="479">
        <f>'raw data'!IM66</f>
        <v>0</v>
      </c>
      <c r="EQ66" s="477">
        <f>IF(ISERROR('raw data'!IL66/'raw data'!IM66),0,'raw data'!IL66/'raw data'!IM66)</f>
        <v>0</v>
      </c>
      <c r="ER66" s="478">
        <f>'raw data'!IN66</f>
        <v>0</v>
      </c>
      <c r="ES66" s="479">
        <f>'raw data'!IO66</f>
        <v>1</v>
      </c>
      <c r="ET66" s="477">
        <f>IF(ISERROR('raw data'!IN66/'raw data'!IO66),0,'raw data'!IN66/'raw data'!IO66)</f>
        <v>0</v>
      </c>
      <c r="EU66" s="478">
        <f>'raw data'!IP66</f>
        <v>1</v>
      </c>
      <c r="EV66" s="479">
        <f>'raw data'!IQ66</f>
        <v>2</v>
      </c>
      <c r="EW66" s="477">
        <f>IF(ISERROR('raw data'!IP66/'raw data'!IQ66),0,'raw data'!IP66/'raw data'!IQ66)</f>
        <v>0.5</v>
      </c>
      <c r="EX66" s="478">
        <f>'raw data'!IR66</f>
        <v>0</v>
      </c>
      <c r="EY66" s="479">
        <f>'raw data'!IS66</f>
        <v>0</v>
      </c>
      <c r="EZ66" s="477">
        <f>IF(ISERROR('raw data'!IR66/'raw data'!IS66),0,'raw data'!IR66/'raw data'!IS66)</f>
        <v>0</v>
      </c>
      <c r="FA66" s="478">
        <f>'raw data'!IT66</f>
        <v>0</v>
      </c>
      <c r="FB66" s="479">
        <f>'raw data'!IU66</f>
        <v>0</v>
      </c>
      <c r="FC66" s="477">
        <f>IF(ISERROR('raw data'!IT66/'raw data'!IU66),0,'raw data'!IT66/'raw data'!IU66)</f>
        <v>0</v>
      </c>
      <c r="FD66" s="478">
        <f>'raw data'!IV66</f>
        <v>0</v>
      </c>
      <c r="FE66" s="479">
        <f>'raw data'!IW66</f>
        <v>0</v>
      </c>
      <c r="FF66" s="477">
        <f>IF(ISERROR('raw data'!IV66/'raw data'!IW66),0,'raw data'!IV66/'raw data'!IW66)</f>
        <v>0</v>
      </c>
      <c r="FG66" s="478">
        <f>'raw data'!IX66</f>
        <v>0</v>
      </c>
      <c r="FH66" s="479">
        <f>'raw data'!IY66</f>
        <v>3</v>
      </c>
      <c r="FI66" s="477">
        <f>IF(ISERROR('raw data'!IX66/'raw data'!IY66),0,'raw data'!IX66/'raw data'!IY66)</f>
        <v>0</v>
      </c>
      <c r="FJ66" s="478">
        <f>'raw data'!IZ66</f>
        <v>0</v>
      </c>
      <c r="FK66" s="479">
        <f>'raw data'!JA66</f>
        <v>1</v>
      </c>
      <c r="FL66" s="477">
        <f>IF(ISERROR('raw data'!IZ66/'raw data'!JA66),0,'raw data'!IZ66/'raw data'!JA66)</f>
        <v>0</v>
      </c>
      <c r="FM66" s="478">
        <f>'raw data'!JB66</f>
        <v>0</v>
      </c>
      <c r="FN66" s="479">
        <f>'raw data'!JC66</f>
        <v>2</v>
      </c>
      <c r="FO66" s="477">
        <f>IF(ISERROR('raw data'!JB66/'raw data'!JC66),0,'raw data'!JB66/'raw data'!JC66)</f>
        <v>0</v>
      </c>
      <c r="FP66" s="478">
        <f>'raw data'!JD66</f>
        <v>0</v>
      </c>
      <c r="FQ66" s="479">
        <f>'raw data'!JE66</f>
        <v>2</v>
      </c>
      <c r="FR66" s="477">
        <f>IF(ISERROR('raw data'!JD66/'raw data'!JE66),0,'raw data'!JD66/'raw data'!JE66)</f>
        <v>0</v>
      </c>
      <c r="FS66" s="454"/>
      <c r="FT66" s="480">
        <v>1</v>
      </c>
      <c r="FU66" s="481">
        <v>12</v>
      </c>
      <c r="FV66" s="482">
        <f t="shared" si="0"/>
        <v>8.3333333333333329E-2</v>
      </c>
    </row>
    <row r="67" spans="1:178" ht="14" x14ac:dyDescent="0.15">
      <c r="A67" s="415"/>
      <c r="B67" s="416" t="s">
        <v>113</v>
      </c>
      <c r="C67" s="417" t="s">
        <v>113</v>
      </c>
      <c r="D67" s="499">
        <f>SUM(D59:D66)</f>
        <v>1</v>
      </c>
      <c r="E67" s="500">
        <f>SUM(E59:E66)</f>
        <v>152</v>
      </c>
      <c r="F67" s="420">
        <f>IF(ISERROR('raw data'!ET67/'raw data'!EU67),0,'raw data'!ET67/'raw data'!EU67)</f>
        <v>6.5789473684210523E-3</v>
      </c>
      <c r="G67" s="501">
        <f>SUM(G59:G66)</f>
        <v>0</v>
      </c>
      <c r="H67" s="416">
        <f>SUM(H59:H66)</f>
        <v>177</v>
      </c>
      <c r="I67" s="420">
        <f>IF(ISERROR('raw data'!EV67/'raw data'!EW67),0,'raw data'!EV67/'raw data'!EW67)</f>
        <v>0</v>
      </c>
      <c r="J67" s="423">
        <f>SUM(J59:J66)</f>
        <v>1</v>
      </c>
      <c r="K67" s="422">
        <f>SUM(K59:K66)</f>
        <v>49</v>
      </c>
      <c r="L67" s="420">
        <f>IF(ISERROR('raw data'!EX67/'raw data'!EY67),0,'raw data'!EX67/'raw data'!EY67)</f>
        <v>2.0408163265306121E-2</v>
      </c>
      <c r="M67" s="423">
        <f>SUM(M59:M66)</f>
        <v>1</v>
      </c>
      <c r="N67" s="422">
        <f>SUM(N59:N66)</f>
        <v>67</v>
      </c>
      <c r="O67" s="420">
        <f>IF(ISERROR('raw data'!EZ67/'raw data'!FA67),0,'raw data'!EZ67/'raw data'!FA67)</f>
        <v>1.4925373134328358E-2</v>
      </c>
      <c r="P67" s="423">
        <f>SUM(P59:P66)</f>
        <v>2</v>
      </c>
      <c r="Q67" s="422">
        <f>SUM(Q59:Q66)</f>
        <v>46</v>
      </c>
      <c r="R67" s="420">
        <f>IF(ISERROR('raw data'!FB67/'raw data'!FC67),0,'raw data'!FB67/'raw data'!FC67)</f>
        <v>4.3478260869565216E-2</v>
      </c>
      <c r="S67" s="423">
        <f>SUM(S59:S66)</f>
        <v>1</v>
      </c>
      <c r="T67" s="422">
        <f>SUM(T59:T66)</f>
        <v>68</v>
      </c>
      <c r="U67" s="420">
        <f>IF(ISERROR('raw data'!FD67/'raw data'!FE67),0,'raw data'!FD67/'raw data'!FE67)</f>
        <v>1.4705882352941176E-2</v>
      </c>
      <c r="V67" s="423">
        <f>SUM(V59:V66)</f>
        <v>2</v>
      </c>
      <c r="W67" s="422">
        <f>SUM(W59:W66)</f>
        <v>80</v>
      </c>
      <c r="X67" s="420">
        <f>IF(ISERROR('raw data'!FF67/'raw data'!FG67),0,'raw data'!FF67/'raw data'!FG67)</f>
        <v>2.5000000000000001E-2</v>
      </c>
      <c r="Y67" s="423">
        <f>SUM(Y59:Y66)</f>
        <v>3</v>
      </c>
      <c r="Z67" s="422">
        <f>SUM(Z59:Z66)</f>
        <v>81</v>
      </c>
      <c r="AA67" s="420">
        <f>IF(ISERROR('raw data'!FH67/'raw data'!FI67),0,'raw data'!FH67/'raw data'!FI67)</f>
        <v>3.7037037037037035E-2</v>
      </c>
      <c r="AB67" s="423">
        <f>SUM(AB59:AB66)</f>
        <v>0</v>
      </c>
      <c r="AC67" s="422">
        <f>SUM(AC59:AC66)</f>
        <v>78</v>
      </c>
      <c r="AD67" s="420">
        <f>IF(ISERROR('raw data'!FJ67/'raw data'!FM67),0,'raw data'!FJ67/'raw data'!FM67)</f>
        <v>0</v>
      </c>
      <c r="AE67" s="423">
        <f>SUM(AE59:AE66)</f>
        <v>0</v>
      </c>
      <c r="AF67" s="422">
        <f>SUM(AF59:AF66)</f>
        <v>0</v>
      </c>
      <c r="AG67" s="420">
        <f>IF(ISERROR('raw data'!FN67/'raw data'!FO67),0,'raw data'!FN67/'raw data'!FO67)</f>
        <v>0</v>
      </c>
      <c r="AH67" s="423">
        <f>SUM(AH59:AH66)</f>
        <v>0</v>
      </c>
      <c r="AI67" s="422">
        <f>SUM(AI59:AI66)</f>
        <v>0</v>
      </c>
      <c r="AJ67" s="420">
        <f>IF(ISERROR('raw data'!FP67/'raw data'!FQ67),0,'raw data'!FP67/'raw data'!FQ67)</f>
        <v>0</v>
      </c>
      <c r="AK67" s="423">
        <f>SUM(AK59:AK66)</f>
        <v>0</v>
      </c>
      <c r="AL67" s="422">
        <f>SUM(AL59:AL66)</f>
        <v>0</v>
      </c>
      <c r="AM67" s="420">
        <f>IF(ISERROR('raw data'!FR67/'raw data'!FS67),0,'raw data'!FR67/'raw data'!FS67)</f>
        <v>0</v>
      </c>
      <c r="AN67" s="423">
        <f>SUM(AN59:AN66)</f>
        <v>6</v>
      </c>
      <c r="AO67" s="422">
        <f>SUM(AO59:AO66)</f>
        <v>46</v>
      </c>
      <c r="AP67" s="420">
        <f>IF(ISERROR('raw data'!FT67/'raw data'!FU67),0,'raw data'!FT67/'raw data'!FU67)</f>
        <v>0.13043478260869565</v>
      </c>
      <c r="AQ67" s="423">
        <f>SUM(AQ59:AQ66)</f>
        <v>0</v>
      </c>
      <c r="AR67" s="422">
        <f>SUM(AR59:AR66)</f>
        <v>0</v>
      </c>
      <c r="AS67" s="424">
        <f>IF(ISERROR('raw data'!FV67/'raw data'!FW67),0,'raw data'!FV67/'raw data'!FW67)</f>
        <v>0</v>
      </c>
      <c r="AT67" s="423">
        <f>SUM(AT59:AT66)</f>
        <v>3</v>
      </c>
      <c r="AU67" s="422">
        <f>SUM(AU59:AU66)</f>
        <v>74</v>
      </c>
      <c r="AV67" s="426">
        <f>IF(ISERROR('raw data'!FX67/'raw data'!FY67),0,'raw data'!FX67/'raw data'!FY67)</f>
        <v>4.0540540540540543E-2</v>
      </c>
      <c r="AW67" s="423">
        <f>SUM(AW59:AW66)</f>
        <v>2</v>
      </c>
      <c r="AX67" s="422">
        <f>SUM(AX59:AX66)</f>
        <v>64</v>
      </c>
      <c r="AY67" s="426">
        <f>IF(ISERROR('raw data'!FZ67/'raw data'!GA67),0,'raw data'!FZ67/'raw data'!GA67)</f>
        <v>3.125E-2</v>
      </c>
      <c r="AZ67" s="423">
        <f>SUM(AZ59:AZ66)</f>
        <v>2</v>
      </c>
      <c r="BA67" s="422">
        <f>SUM(BA59:BA66)</f>
        <v>92</v>
      </c>
      <c r="BB67" s="426">
        <f>IF(ISERROR('raw data'!GB67/'raw data'!GC67),0,'raw data'!GB67/'raw data'!GC67)</f>
        <v>2.1739130434782608E-2</v>
      </c>
      <c r="BC67" s="423">
        <f>SUM(BC59:BC66)</f>
        <v>0</v>
      </c>
      <c r="BD67" s="422">
        <f>SUM(BD59:BD66)</f>
        <v>47</v>
      </c>
      <c r="BE67" s="426">
        <f>IF(ISERROR('raw data'!GD67/'raw data'!GE67),0,'raw data'!GD67/'raw data'!GE67)</f>
        <v>0</v>
      </c>
      <c r="BF67" s="423">
        <f>SUM(BF59:BF66)</f>
        <v>1</v>
      </c>
      <c r="BG67" s="422">
        <f>SUM(BG59:BG66)</f>
        <v>23</v>
      </c>
      <c r="BH67" s="426">
        <f>IF(ISERROR('raw data'!GF67/'raw data'!GG67),0,'raw data'!GF67/'raw data'!GG67)</f>
        <v>4.3478260869565216E-2</v>
      </c>
      <c r="BI67" s="423">
        <f>SUM(BI59:BI66)</f>
        <v>0</v>
      </c>
      <c r="BJ67" s="422">
        <f>SUM(BJ59:BJ66)</f>
        <v>84</v>
      </c>
      <c r="BK67" s="426">
        <f>IF(ISERROR('raw data'!GH67/'raw data'!GI67),0,'raw data'!GH67/'raw data'!GI67)</f>
        <v>0</v>
      </c>
      <c r="BL67" s="423">
        <f>SUM(BL59:BL66)</f>
        <v>0</v>
      </c>
      <c r="BM67" s="422">
        <f>SUM(BM59:BM66)</f>
        <v>72</v>
      </c>
      <c r="BN67" s="426">
        <f>IF(ISERROR('raw data'!GJ67/'raw data'!GK67),0,'raw data'!GJ67/'raw data'!GK67)</f>
        <v>0</v>
      </c>
      <c r="BO67" s="423">
        <f>SUM(BO59:BO66)</f>
        <v>0</v>
      </c>
      <c r="BP67" s="422">
        <f>SUM(BP59:BP66)</f>
        <v>99</v>
      </c>
      <c r="BQ67" s="426">
        <f>IF(ISERROR('raw data'!GL67/'raw data'!GM67),0,'raw data'!GL67/'raw data'!GM67)</f>
        <v>0</v>
      </c>
      <c r="BR67" s="423">
        <f>SUM(BR59:BR66)</f>
        <v>1</v>
      </c>
      <c r="BS67" s="422">
        <f>SUM(BS59:BS66)</f>
        <v>97</v>
      </c>
      <c r="BT67" s="426">
        <f>IF(ISERROR('raw data'!GN67/'raw data'!GO67),0,'raw data'!GN67/'raw data'!GO67)</f>
        <v>1.0309278350515464E-2</v>
      </c>
      <c r="BU67" s="423">
        <f>SUM(BU59:BU66)</f>
        <v>1</v>
      </c>
      <c r="BV67" s="422">
        <f>SUM(BV59:BV66)</f>
        <v>87</v>
      </c>
      <c r="BW67" s="426">
        <f>IF(ISERROR('raw data'!GP67/'raw data'!GQ67),0,'raw data'!GP67/'raw data'!GQ67)</f>
        <v>1.1494252873563218E-2</v>
      </c>
      <c r="BX67" s="421">
        <f>SUM(BX59:BX66)</f>
        <v>2</v>
      </c>
      <c r="BY67" s="425">
        <f>SUM(BY59:BY66)</f>
        <v>53</v>
      </c>
      <c r="BZ67" s="426">
        <f>IF(ISERROR('raw data'!GR67/'raw data'!GS67),0,'raw data'!GR67/'raw data'!GS67)</f>
        <v>3.7735849056603772E-2</v>
      </c>
      <c r="CA67" s="421">
        <f>SUM(CA59:CA66)</f>
        <v>3</v>
      </c>
      <c r="CB67" s="425">
        <f>SUM(CB59:CB66)</f>
        <v>63</v>
      </c>
      <c r="CC67" s="426">
        <f>IF(ISERROR('raw data'!GT67/'raw data'!GU67),0,'raw data'!GT67/'raw data'!GU67)</f>
        <v>4.7619047619047616E-2</v>
      </c>
      <c r="CD67" s="421">
        <f>SUM(CD59:CD66)</f>
        <v>1</v>
      </c>
      <c r="CE67" s="425">
        <f>SUM(CE59:CE66)</f>
        <v>76</v>
      </c>
      <c r="CF67" s="426">
        <f>IF(ISERROR('raw data'!GV67/'raw data'!GW67),0,'raw data'!GV67/'raw data'!GW67)</f>
        <v>1.3157894736842105E-2</v>
      </c>
      <c r="CG67" s="421">
        <f>SUM(CG59:CG66)</f>
        <v>2</v>
      </c>
      <c r="CH67" s="425">
        <f>SUM(CH59:CH66)</f>
        <v>101</v>
      </c>
      <c r="CI67" s="426">
        <f>IF(ISERROR('raw data'!GX67/'raw data'!GY67),0,'raw data'!GX67/'raw data'!GY67)</f>
        <v>1.9801980198019802E-2</v>
      </c>
      <c r="CJ67" s="421">
        <f>SUM(CJ59:CJ66)</f>
        <v>2</v>
      </c>
      <c r="CK67" s="425">
        <f>SUM(CK59:CK66)</f>
        <v>77</v>
      </c>
      <c r="CL67" s="426">
        <f>IF(ISERROR('raw data'!GZ67/'raw data'!HA67),0,'raw data'!GZ67/'raw data'!HA67)</f>
        <v>2.5974025974025976E-2</v>
      </c>
      <c r="CM67" s="421">
        <f>SUM(CM59:CM66)</f>
        <v>0</v>
      </c>
      <c r="CN67" s="425">
        <f>SUM(CN59:CN66)</f>
        <v>9</v>
      </c>
      <c r="CO67" s="426">
        <f>IF(ISERROR('raw data'!HB67/'raw data'!HC67),0,'raw data'!HB67/'raw data'!HC67)</f>
        <v>0</v>
      </c>
      <c r="CP67" s="421">
        <f>SUM(CP59:CP66)</f>
        <v>2</v>
      </c>
      <c r="CQ67" s="425">
        <f>SUM(CQ59:CQ66)</f>
        <v>4</v>
      </c>
      <c r="CR67" s="426">
        <f>IF(ISERROR('raw data'!HD67/'raw data'!HE67),0,'raw data'!HD67/'raw data'!HE67)</f>
        <v>0.5</v>
      </c>
      <c r="CS67" s="421">
        <f>SUM(CS59:CS66)</f>
        <v>0</v>
      </c>
      <c r="CT67" s="425">
        <f>SUM(CT59:CT66)</f>
        <v>4</v>
      </c>
      <c r="CU67" s="426">
        <f>IF(ISERROR('raw data'!HF67/'raw data'!HG67),0,'raw data'!HF67/'raw data'!HG67)</f>
        <v>0</v>
      </c>
      <c r="CV67" s="421">
        <f>SUM(CV59:CV66)</f>
        <v>0</v>
      </c>
      <c r="CW67" s="425">
        <f>SUM(CW59:CW66)</f>
        <v>4</v>
      </c>
      <c r="CX67" s="426">
        <f>IF(ISERROR('raw data'!HH67/'raw data'!HI67),0,'raw data'!HH67/'raw data'!HI67)</f>
        <v>0</v>
      </c>
      <c r="CY67" s="421">
        <f>SUM(CY59:CY66)</f>
        <v>0</v>
      </c>
      <c r="CZ67" s="425">
        <f>SUM(CZ59:CZ66)</f>
        <v>4</v>
      </c>
      <c r="DA67" s="426">
        <f>IF(ISERROR('raw data'!HJ67/'raw data'!HK67),0,'raw data'!HJ67/'raw data'!HK67)</f>
        <v>0</v>
      </c>
      <c r="DB67" s="421">
        <f>SUM(DB59:DB66)</f>
        <v>0</v>
      </c>
      <c r="DC67" s="425">
        <f>SUM(DC59:DC66)</f>
        <v>2</v>
      </c>
      <c r="DD67" s="426">
        <f>IF(ISERROR('raw data'!HL67/'raw data'!HM67),0,'raw data'!HL67/'raw data'!HM67)</f>
        <v>0</v>
      </c>
      <c r="DE67" s="421">
        <f>SUM(DE59:DE66)</f>
        <v>0</v>
      </c>
      <c r="DF67" s="425">
        <f>SUM(DF59:DF66)</f>
        <v>8</v>
      </c>
      <c r="DG67" s="426">
        <f>IF(ISERROR('raw data'!HN67/'raw data'!HO67),0,'raw data'!HN67/'raw data'!HO67)</f>
        <v>0</v>
      </c>
      <c r="DH67" s="421">
        <f>SUM(DH59:DH66)</f>
        <v>0</v>
      </c>
      <c r="DI67" s="425">
        <f>SUM(DI59:DI66)</f>
        <v>2</v>
      </c>
      <c r="DJ67" s="426">
        <f>IF(ISERROR('raw data'!HP67/'raw data'!HQ67),0,'raw data'!HP67/'raw data'!HQ67)</f>
        <v>0</v>
      </c>
      <c r="DK67" s="421">
        <f>SUM(DK59:DK66)</f>
        <v>1</v>
      </c>
      <c r="DL67" s="425">
        <f>SUM(DL59:DL66)</f>
        <v>7</v>
      </c>
      <c r="DM67" s="426">
        <f>IF(ISERROR('raw data'!HR67/'raw data'!HS67),0,'raw data'!HR67/'raw data'!HS67)</f>
        <v>0.14285714285714285</v>
      </c>
      <c r="DN67" s="421">
        <f>SUM(DN59:DN66)</f>
        <v>0</v>
      </c>
      <c r="DO67" s="425">
        <f>SUM(DO59:DO66)</f>
        <v>2</v>
      </c>
      <c r="DP67" s="426">
        <f>IF(ISERROR('raw data'!HT67/'raw data'!HU67),0,'raw data'!HT67/'raw data'!HU67)</f>
        <v>0</v>
      </c>
      <c r="DQ67" s="421">
        <f>SUM(DQ59:DQ66)</f>
        <v>0</v>
      </c>
      <c r="DR67" s="425">
        <f>SUM(DR59:DR66)</f>
        <v>0</v>
      </c>
      <c r="DS67" s="426">
        <f>IF(ISERROR('raw data'!HV67/'raw data'!HW67),0,'raw data'!HV67/'raw data'!HW67)</f>
        <v>0</v>
      </c>
      <c r="DT67" s="421">
        <f>SUM(DT59:DT66)</f>
        <v>0</v>
      </c>
      <c r="DU67" s="425">
        <f>SUM(DU59:DU66)</f>
        <v>5</v>
      </c>
      <c r="DV67" s="426">
        <f>IF(ISERROR('raw data'!HX67/'raw data'!HY67),0,'raw data'!HX67/'raw data'!HY67)</f>
        <v>0</v>
      </c>
      <c r="DW67" s="421">
        <f>SUM(DW59:DW66)</f>
        <v>1</v>
      </c>
      <c r="DX67" s="425">
        <f>SUM(DX59:DX66)</f>
        <v>6</v>
      </c>
      <c r="DY67" s="426">
        <f>IF(ISERROR('raw data'!HZ67/'raw data'!IA67),0,'raw data'!HZ67/'raw data'!IA67)</f>
        <v>0.16666666666666666</v>
      </c>
      <c r="DZ67" s="421">
        <f>SUM(DZ59:DZ66)</f>
        <v>1</v>
      </c>
      <c r="EA67" s="425">
        <f>SUM(EA59:EA66)</f>
        <v>7</v>
      </c>
      <c r="EB67" s="426">
        <f>IF(ISERROR('raw data'!IB67/'raw data'!IC67),0,'raw data'!IB67/'raw data'!IC67)</f>
        <v>0.14285714285714285</v>
      </c>
      <c r="EC67" s="421">
        <f>SUM(EC59:EC66)</f>
        <v>1</v>
      </c>
      <c r="ED67" s="425">
        <f>SUM(ED59:ED66)</f>
        <v>4</v>
      </c>
      <c r="EE67" s="426">
        <f>IF(ISERROR('raw data'!ID67/'raw data'!IE67),0,'raw data'!ID67/'raw data'!IE67)</f>
        <v>0.25</v>
      </c>
      <c r="EF67" s="421">
        <f>SUM(EF59:EF66)</f>
        <v>0</v>
      </c>
      <c r="EG67" s="425">
        <f>SUM(EG59:EG66)</f>
        <v>9</v>
      </c>
      <c r="EH67" s="426">
        <f>IF(ISERROR('raw data'!IF67/'raw data'!IG67),0,'raw data'!IF67/'raw data'!IG67)</f>
        <v>0</v>
      </c>
      <c r="EI67" s="421">
        <f>SUM(EI59:EI66)</f>
        <v>1</v>
      </c>
      <c r="EJ67" s="425">
        <f>SUM(EJ59:EJ66)</f>
        <v>5</v>
      </c>
      <c r="EK67" s="426">
        <f>IF(ISERROR('raw data'!IH67/'raw data'!II67),0,'raw data'!IH67/'raw data'!II67)</f>
        <v>0.2</v>
      </c>
      <c r="EL67" s="421">
        <f>SUM(EL59:EL66)</f>
        <v>0</v>
      </c>
      <c r="EM67" s="425">
        <f>SUM(EM59:EM66)</f>
        <v>2</v>
      </c>
      <c r="EN67" s="426">
        <f>IF(ISERROR('raw data'!IJ67/'raw data'!IK67),0,'raw data'!IJ67/'raw data'!IK67)</f>
        <v>0</v>
      </c>
      <c r="EO67" s="421">
        <f>SUM(EO59:EO66)</f>
        <v>1</v>
      </c>
      <c r="EP67" s="425">
        <f>SUM(EP59:EP66)</f>
        <v>5</v>
      </c>
      <c r="EQ67" s="426">
        <f>IF(ISERROR('raw data'!IL67/'raw data'!IM67),0,'raw data'!IL67/'raw data'!IM67)</f>
        <v>0.2</v>
      </c>
      <c r="ER67" s="421">
        <f>SUM(ER59:ER66)</f>
        <v>0</v>
      </c>
      <c r="ES67" s="425">
        <f>SUM(ES59:ES66)</f>
        <v>3</v>
      </c>
      <c r="ET67" s="426">
        <f>IF(ISERROR('raw data'!IN67/'raw data'!IO67),0,'raw data'!IN67/'raw data'!IO67)</f>
        <v>0</v>
      </c>
      <c r="EU67" s="421">
        <f>SUM(EU59:EU66)</f>
        <v>1</v>
      </c>
      <c r="EV67" s="425">
        <f>SUM(EV59:EV66)</f>
        <v>3</v>
      </c>
      <c r="EW67" s="426">
        <f>IF(ISERROR('raw data'!IP67/'raw data'!IQ67),0,'raw data'!IP67/'raw data'!IQ67)</f>
        <v>0.33333333333333331</v>
      </c>
      <c r="EX67" s="421">
        <f>SUM(EX59:EX66)</f>
        <v>0</v>
      </c>
      <c r="EY67" s="425">
        <f>SUM(EY59:EY66)</f>
        <v>1</v>
      </c>
      <c r="EZ67" s="426">
        <f>IF(ISERROR('raw data'!IR67/'raw data'!IS67),0,'raw data'!IR67/'raw data'!IS67)</f>
        <v>0</v>
      </c>
      <c r="FA67" s="421">
        <f>SUM(FA59:FA66)</f>
        <v>0</v>
      </c>
      <c r="FB67" s="425">
        <f>SUM(FB59:FB66)</f>
        <v>5</v>
      </c>
      <c r="FC67" s="426">
        <f>IF(ISERROR('raw data'!IT67/'raw data'!IU67),0,'raw data'!IT67/'raw data'!IU67)</f>
        <v>0</v>
      </c>
      <c r="FD67" s="421">
        <f>SUM(FD59:FD66)</f>
        <v>0</v>
      </c>
      <c r="FE67" s="425">
        <f>SUM(FE59:FE66)</f>
        <v>3</v>
      </c>
      <c r="FF67" s="426">
        <f>IF(ISERROR('raw data'!IV67/'raw data'!IW67),0,'raw data'!IV67/'raw data'!IW67)</f>
        <v>0</v>
      </c>
      <c r="FG67" s="421">
        <f>SUM(FG59:FG66)</f>
        <v>0</v>
      </c>
      <c r="FH67" s="425">
        <f>SUM(FH59:FH66)</f>
        <v>6</v>
      </c>
      <c r="FI67" s="426">
        <f>IF(ISERROR('raw data'!IX67/'raw data'!IY67),0,'raw data'!IX67/'raw data'!IY67)</f>
        <v>0</v>
      </c>
      <c r="FJ67" s="421">
        <f>SUM(FJ59:FJ66)</f>
        <v>1</v>
      </c>
      <c r="FK67" s="425">
        <f>SUM(FK59:FK66)</f>
        <v>3</v>
      </c>
      <c r="FL67" s="426">
        <f>IF(ISERROR('raw data'!IZ67/'raw data'!JA67),0,'raw data'!IZ67/'raw data'!JA67)</f>
        <v>0.33333333333333331</v>
      </c>
      <c r="FM67" s="421">
        <f>SUM(FM59:FM66)</f>
        <v>0</v>
      </c>
      <c r="FN67" s="425">
        <f>SUM(FN59:FN66)</f>
        <v>4</v>
      </c>
      <c r="FO67" s="426">
        <f>IF(ISERROR('raw data'!JB67/'raw data'!JC67),0,'raw data'!JB67/'raw data'!JC67)</f>
        <v>0</v>
      </c>
      <c r="FP67" s="421">
        <f>SUM(FP59:FP66)</f>
        <v>1</v>
      </c>
      <c r="FQ67" s="425">
        <f>SUM(FQ59:FQ66)</f>
        <v>11</v>
      </c>
      <c r="FR67" s="426">
        <f>IF(ISERROR('raw data'!JD67/'raw data'!JE67),0,'raw data'!JD67/'raw data'!JE67)</f>
        <v>9.0909090909090912E-2</v>
      </c>
      <c r="FS67" s="469"/>
      <c r="FT67" s="428">
        <f>SUM(FT59:FT66)</f>
        <v>5</v>
      </c>
      <c r="FU67" s="429">
        <f>SUM(FU59:FU66)</f>
        <v>51</v>
      </c>
      <c r="FV67" s="430">
        <f t="shared" si="0"/>
        <v>9.8039215686274508E-2</v>
      </c>
    </row>
    <row r="68" spans="1:178" ht="25.5" customHeight="1" x14ac:dyDescent="0.15">
      <c r="A68" s="502">
        <v>4.0999999999999996</v>
      </c>
      <c r="B68" s="502" t="str">
        <f>'raw data'!B68</f>
        <v>Credit Card Cash withdrawals in CoC where transactions total £3k+.</v>
      </c>
      <c r="C68" s="503" t="s">
        <v>115</v>
      </c>
      <c r="D68" s="504">
        <f>'raw data'!ET68</f>
        <v>0</v>
      </c>
      <c r="E68" s="505">
        <f>'raw data'!EU68</f>
        <v>9</v>
      </c>
      <c r="F68" s="506">
        <f>IF(ISERROR('raw data'!ET68/'raw data'!EU68),0,'raw data'!ET68/'raw data'!EU68)</f>
        <v>0</v>
      </c>
      <c r="G68" s="504">
        <f>'raw data'!EV68</f>
        <v>0</v>
      </c>
      <c r="H68" s="505">
        <f>'raw data'!EW68</f>
        <v>5</v>
      </c>
      <c r="I68" s="506">
        <f>IF(ISERROR('raw data'!EV68/'raw data'!EW68),0,'raw data'!EV68/'raw data'!EW68)</f>
        <v>0</v>
      </c>
      <c r="J68" s="504">
        <f>'raw data'!EX68</f>
        <v>0</v>
      </c>
      <c r="K68" s="505">
        <f>'raw data'!EY68</f>
        <v>14</v>
      </c>
      <c r="L68" s="506">
        <f>IF(ISERROR('raw data'!EX68/'raw data'!EY68),0,'raw data'!EX68/'raw data'!EY68)</f>
        <v>0</v>
      </c>
      <c r="M68" s="504">
        <f>'raw data'!EZ68</f>
        <v>0</v>
      </c>
      <c r="N68" s="505">
        <f>'raw data'!FA68</f>
        <v>6</v>
      </c>
      <c r="O68" s="506">
        <f>IF(ISERROR('raw data'!EZ68/'raw data'!FA68),0,'raw data'!EZ68/'raw data'!FA68)</f>
        <v>0</v>
      </c>
      <c r="P68" s="504">
        <f>'raw data'!FB68</f>
        <v>0</v>
      </c>
      <c r="Q68" s="505">
        <f>'raw data'!FC68</f>
        <v>4</v>
      </c>
      <c r="R68" s="506">
        <f>IF(ISERROR('raw data'!FB68/'raw data'!FC68),0,'raw data'!FB68/'raw data'!FC68)</f>
        <v>0</v>
      </c>
      <c r="S68" s="504">
        <f>'raw data'!FD68</f>
        <v>0</v>
      </c>
      <c r="T68" s="505">
        <f>'raw data'!FE68</f>
        <v>3</v>
      </c>
      <c r="U68" s="506">
        <f>IF(ISERROR('raw data'!FD68/'raw data'!FE68),0,'raw data'!FD68/'raw data'!FE68)</f>
        <v>0</v>
      </c>
      <c r="V68" s="504">
        <f>'raw data'!FF68</f>
        <v>0</v>
      </c>
      <c r="W68" s="505">
        <f>'raw data'!FG68</f>
        <v>6</v>
      </c>
      <c r="X68" s="506">
        <f>IF(ISERROR('raw data'!FF68/'raw data'!FG68),0,'raw data'!FF68/'raw data'!FG68)</f>
        <v>0</v>
      </c>
      <c r="Y68" s="504">
        <f>'raw data'!FH68</f>
        <v>1</v>
      </c>
      <c r="Z68" s="505">
        <f>'raw data'!FI68</f>
        <v>6</v>
      </c>
      <c r="AA68" s="506">
        <f>IF(ISERROR('raw data'!FH68/'raw data'!FI68),0,'raw data'!FH68/'raw data'!FI68)</f>
        <v>0.16666666666666666</v>
      </c>
      <c r="AB68" s="504">
        <f>'raw data'!FJ68</f>
        <v>0</v>
      </c>
      <c r="AC68" s="505">
        <f>'raw data'!FM68</f>
        <v>3</v>
      </c>
      <c r="AD68" s="506">
        <f>IF(ISERROR('raw data'!FJ68/'raw data'!FM68),0,'raw data'!FJ68/'raw data'!FM68)</f>
        <v>0</v>
      </c>
      <c r="AE68" s="504">
        <f>'raw data'!FN68</f>
        <v>0</v>
      </c>
      <c r="AF68" s="505">
        <f>'raw data'!FO68</f>
        <v>2</v>
      </c>
      <c r="AG68" s="506">
        <f>IF(ISERROR('raw data'!FN68/'raw data'!FO68),0,'raw data'!FN68/'raw data'!FO68)</f>
        <v>0</v>
      </c>
      <c r="AH68" s="504">
        <f>'raw data'!FP68</f>
        <v>0</v>
      </c>
      <c r="AI68" s="505">
        <f>'raw data'!FQ68</f>
        <v>6</v>
      </c>
      <c r="AJ68" s="506">
        <f>IF(ISERROR('raw data'!FP68/'raw data'!FQ68),0,'raw data'!FP68/'raw data'!FQ68)</f>
        <v>0</v>
      </c>
      <c r="AK68" s="504">
        <f>'raw data'!FR68</f>
        <v>0</v>
      </c>
      <c r="AL68" s="505">
        <f>'raw data'!FS68</f>
        <v>4</v>
      </c>
      <c r="AM68" s="506">
        <f>IF(ISERROR('raw data'!FR68/'raw data'!FS68),0,'raw data'!FR68/'raw data'!FS68)</f>
        <v>0</v>
      </c>
      <c r="AN68" s="504">
        <f>'raw data'!FT68</f>
        <v>0</v>
      </c>
      <c r="AO68" s="505">
        <f>'raw data'!FU68</f>
        <v>4</v>
      </c>
      <c r="AP68" s="506">
        <f>IF(ISERROR('raw data'!FT68/'raw data'!FU68),0,'raw data'!FT68/'raw data'!FU68)</f>
        <v>0</v>
      </c>
      <c r="AQ68" s="504">
        <f>'raw data'!FV68</f>
        <v>0</v>
      </c>
      <c r="AR68" s="505">
        <f>'raw data'!FW68</f>
        <v>7</v>
      </c>
      <c r="AS68" s="507">
        <f>IF(ISERROR('raw data'!FV68/'raw data'!FW68),0,'raw data'!FV68/'raw data'!FW68)</f>
        <v>0</v>
      </c>
      <c r="AT68" s="504">
        <f>'raw data'!FX68</f>
        <v>0</v>
      </c>
      <c r="AU68" s="505">
        <f>'raw data'!FY68</f>
        <v>4</v>
      </c>
      <c r="AV68" s="508">
        <f>IF(ISERROR('raw data'!FX68/'raw data'!FY68),0,'raw data'!FX68/'raw data'!FY68)</f>
        <v>0</v>
      </c>
      <c r="AW68" s="504">
        <f>'raw data'!FZ68</f>
        <v>0</v>
      </c>
      <c r="AX68" s="505">
        <f>'raw data'!GA68</f>
        <v>3</v>
      </c>
      <c r="AY68" s="508">
        <f>IF(ISERROR('raw data'!FZ68/'raw data'!GA68),0,'raw data'!FZ68/'raw data'!GA68)</f>
        <v>0</v>
      </c>
      <c r="AZ68" s="504">
        <f>'raw data'!GB68</f>
        <v>0</v>
      </c>
      <c r="BA68" s="505">
        <f>'raw data'!GC68</f>
        <v>7</v>
      </c>
      <c r="BB68" s="508">
        <f>IF(ISERROR('raw data'!GB68/'raw data'!GC68),0,'raw data'!GB68/'raw data'!GC68)</f>
        <v>0</v>
      </c>
      <c r="BC68" s="504">
        <f>'raw data'!GD68</f>
        <v>0</v>
      </c>
      <c r="BD68" s="505">
        <f>'raw data'!GE68</f>
        <v>4</v>
      </c>
      <c r="BE68" s="508">
        <f>IF(ISERROR('raw data'!GD68/'raw data'!GE68),0,'raw data'!GD68/'raw data'!GE68)</f>
        <v>0</v>
      </c>
      <c r="BF68" s="504">
        <f>'raw data'!GF68</f>
        <v>0</v>
      </c>
      <c r="BG68" s="505">
        <f>'raw data'!GG68</f>
        <v>5</v>
      </c>
      <c r="BH68" s="508">
        <f>IF(ISERROR('raw data'!GF68/'raw data'!GG68),0,'raw data'!GF68/'raw data'!GG68)</f>
        <v>0</v>
      </c>
      <c r="BI68" s="504">
        <f>'raw data'!GH68</f>
        <v>0</v>
      </c>
      <c r="BJ68" s="505">
        <f>'raw data'!GI68</f>
        <v>7</v>
      </c>
      <c r="BK68" s="508">
        <f>IF(ISERROR('raw data'!GH68/'raw data'!GI68),0,'raw data'!GH68/'raw data'!GI68)</f>
        <v>0</v>
      </c>
      <c r="BL68" s="504">
        <f>'raw data'!GJ68</f>
        <v>0</v>
      </c>
      <c r="BM68" s="505">
        <f>'raw data'!GK68</f>
        <v>5</v>
      </c>
      <c r="BN68" s="508">
        <f>IF(ISERROR('raw data'!GJ68/'raw data'!GK68),0,'raw data'!GJ68/'raw data'!GK68)</f>
        <v>0</v>
      </c>
      <c r="BO68" s="504">
        <f>'raw data'!GL68</f>
        <v>0</v>
      </c>
      <c r="BP68" s="505">
        <f>'raw data'!GM68</f>
        <v>7</v>
      </c>
      <c r="BQ68" s="508">
        <f>IF(ISERROR('raw data'!GL68/'raw data'!GM68),0,'raw data'!GL68/'raw data'!GM68)</f>
        <v>0</v>
      </c>
      <c r="BR68" s="504">
        <f>'raw data'!GN68</f>
        <v>0</v>
      </c>
      <c r="BS68" s="505">
        <f>'raw data'!GO68</f>
        <v>7</v>
      </c>
      <c r="BT68" s="508">
        <f>IF(ISERROR('raw data'!GN68/'raw data'!GO68),0,'raw data'!GN68/'raw data'!GO68)</f>
        <v>0</v>
      </c>
      <c r="BU68" s="504">
        <f>'raw data'!GP68</f>
        <v>1</v>
      </c>
      <c r="BV68" s="505">
        <f>'raw data'!GQ68</f>
        <v>2</v>
      </c>
      <c r="BW68" s="508">
        <f>IF(ISERROR('raw data'!GP68/'raw data'!GQ68),0,'raw data'!GP68/'raw data'!GQ68)</f>
        <v>0.5</v>
      </c>
      <c r="BX68" s="402" t="s">
        <v>243</v>
      </c>
      <c r="BY68" s="403" t="s">
        <v>243</v>
      </c>
      <c r="BZ68" s="405" t="s">
        <v>243</v>
      </c>
      <c r="CA68" s="402" t="s">
        <v>243</v>
      </c>
      <c r="CB68" s="403" t="s">
        <v>243</v>
      </c>
      <c r="CC68" s="405" t="s">
        <v>243</v>
      </c>
      <c r="CD68" s="402" t="s">
        <v>243</v>
      </c>
      <c r="CE68" s="403" t="s">
        <v>243</v>
      </c>
      <c r="CF68" s="405" t="s">
        <v>243</v>
      </c>
      <c r="CG68" s="402" t="s">
        <v>243</v>
      </c>
      <c r="CH68" s="403" t="s">
        <v>243</v>
      </c>
      <c r="CI68" s="405" t="s">
        <v>243</v>
      </c>
      <c r="CJ68" s="402" t="s">
        <v>243</v>
      </c>
      <c r="CK68" s="403" t="s">
        <v>243</v>
      </c>
      <c r="CL68" s="405" t="s">
        <v>243</v>
      </c>
      <c r="CM68" s="402" t="s">
        <v>243</v>
      </c>
      <c r="CN68" s="403" t="s">
        <v>243</v>
      </c>
      <c r="CO68" s="405" t="s">
        <v>243</v>
      </c>
      <c r="CP68" s="402" t="s">
        <v>243</v>
      </c>
      <c r="CQ68" s="403" t="s">
        <v>243</v>
      </c>
      <c r="CR68" s="405" t="s">
        <v>243</v>
      </c>
      <c r="CS68" s="402" t="s">
        <v>243</v>
      </c>
      <c r="CT68" s="403" t="s">
        <v>243</v>
      </c>
      <c r="CU68" s="405" t="s">
        <v>243</v>
      </c>
      <c r="CV68" s="402" t="s">
        <v>243</v>
      </c>
      <c r="CW68" s="403" t="s">
        <v>243</v>
      </c>
      <c r="CX68" s="405" t="s">
        <v>243</v>
      </c>
      <c r="CY68" s="402" t="s">
        <v>243</v>
      </c>
      <c r="CZ68" s="403" t="s">
        <v>243</v>
      </c>
      <c r="DA68" s="405" t="s">
        <v>243</v>
      </c>
      <c r="DB68" s="402" t="s">
        <v>243</v>
      </c>
      <c r="DC68" s="403" t="s">
        <v>243</v>
      </c>
      <c r="DD68" s="405" t="s">
        <v>243</v>
      </c>
      <c r="DE68" s="402" t="s">
        <v>243</v>
      </c>
      <c r="DF68" s="403" t="s">
        <v>243</v>
      </c>
      <c r="DG68" s="405" t="s">
        <v>243</v>
      </c>
      <c r="DH68" s="402" t="s">
        <v>243</v>
      </c>
      <c r="DI68" s="403" t="s">
        <v>243</v>
      </c>
      <c r="DJ68" s="405" t="s">
        <v>243</v>
      </c>
      <c r="DK68" s="402" t="s">
        <v>243</v>
      </c>
      <c r="DL68" s="403" t="s">
        <v>243</v>
      </c>
      <c r="DM68" s="405" t="s">
        <v>243</v>
      </c>
      <c r="DN68" s="402" t="s">
        <v>243</v>
      </c>
      <c r="DO68" s="403" t="s">
        <v>243</v>
      </c>
      <c r="DP68" s="405" t="s">
        <v>243</v>
      </c>
      <c r="DQ68" s="402" t="s">
        <v>243</v>
      </c>
      <c r="DR68" s="403" t="s">
        <v>243</v>
      </c>
      <c r="DS68" s="405" t="s">
        <v>243</v>
      </c>
      <c r="DT68" s="402" t="s">
        <v>243</v>
      </c>
      <c r="DU68" s="403" t="s">
        <v>243</v>
      </c>
      <c r="DV68" s="405" t="s">
        <v>243</v>
      </c>
      <c r="DW68" s="402" t="s">
        <v>243</v>
      </c>
      <c r="DX68" s="403" t="s">
        <v>243</v>
      </c>
      <c r="DY68" s="405" t="s">
        <v>243</v>
      </c>
      <c r="DZ68" s="402" t="s">
        <v>243</v>
      </c>
      <c r="EA68" s="403" t="s">
        <v>243</v>
      </c>
      <c r="EB68" s="405" t="s">
        <v>243</v>
      </c>
      <c r="EC68" s="402" t="s">
        <v>243</v>
      </c>
      <c r="ED68" s="403" t="s">
        <v>243</v>
      </c>
      <c r="EE68" s="405" t="s">
        <v>243</v>
      </c>
      <c r="EF68" s="402" t="s">
        <v>243</v>
      </c>
      <c r="EG68" s="403" t="s">
        <v>243</v>
      </c>
      <c r="EH68" s="405" t="s">
        <v>243</v>
      </c>
      <c r="EI68" s="402" t="s">
        <v>243</v>
      </c>
      <c r="EJ68" s="403" t="s">
        <v>243</v>
      </c>
      <c r="EK68" s="405" t="s">
        <v>243</v>
      </c>
      <c r="EL68" s="402" t="s">
        <v>243</v>
      </c>
      <c r="EM68" s="403" t="s">
        <v>243</v>
      </c>
      <c r="EN68" s="405" t="s">
        <v>243</v>
      </c>
      <c r="EO68" s="402" t="s">
        <v>243</v>
      </c>
      <c r="EP68" s="403" t="s">
        <v>243</v>
      </c>
      <c r="EQ68" s="405" t="s">
        <v>243</v>
      </c>
      <c r="ER68" s="402" t="s">
        <v>243</v>
      </c>
      <c r="ES68" s="403" t="s">
        <v>243</v>
      </c>
      <c r="ET68" s="405" t="s">
        <v>243</v>
      </c>
      <c r="EU68" s="402" t="s">
        <v>243</v>
      </c>
      <c r="EV68" s="403" t="s">
        <v>243</v>
      </c>
      <c r="EW68" s="405" t="s">
        <v>243</v>
      </c>
      <c r="EX68" s="402" t="s">
        <v>243</v>
      </c>
      <c r="EY68" s="403" t="s">
        <v>243</v>
      </c>
      <c r="EZ68" s="405" t="s">
        <v>243</v>
      </c>
      <c r="FA68" s="402" t="s">
        <v>243</v>
      </c>
      <c r="FB68" s="403" t="s">
        <v>243</v>
      </c>
      <c r="FC68" s="405" t="s">
        <v>243</v>
      </c>
      <c r="FD68" s="402" t="s">
        <v>243</v>
      </c>
      <c r="FE68" s="403" t="s">
        <v>243</v>
      </c>
      <c r="FF68" s="405" t="s">
        <v>243</v>
      </c>
      <c r="FG68" s="402" t="s">
        <v>243</v>
      </c>
      <c r="FH68" s="403" t="s">
        <v>243</v>
      </c>
      <c r="FI68" s="405" t="s">
        <v>243</v>
      </c>
      <c r="FJ68" s="402" t="s">
        <v>243</v>
      </c>
      <c r="FK68" s="403" t="s">
        <v>243</v>
      </c>
      <c r="FL68" s="405" t="s">
        <v>243</v>
      </c>
      <c r="FM68" s="402" t="s">
        <v>243</v>
      </c>
      <c r="FN68" s="403" t="s">
        <v>243</v>
      </c>
      <c r="FO68" s="405" t="s">
        <v>243</v>
      </c>
      <c r="FP68" s="402" t="s">
        <v>243</v>
      </c>
      <c r="FQ68" s="403" t="s">
        <v>243</v>
      </c>
      <c r="FR68" s="405" t="s">
        <v>243</v>
      </c>
      <c r="FS68" s="454"/>
      <c r="FT68" s="509">
        <v>0</v>
      </c>
      <c r="FU68" s="510">
        <v>0</v>
      </c>
      <c r="FV68" s="511">
        <f t="shared" si="0"/>
        <v>0</v>
      </c>
    </row>
    <row r="69" spans="1:178" ht="14" hidden="1" x14ac:dyDescent="0.15">
      <c r="A69" s="502">
        <v>4.2</v>
      </c>
      <c r="B69" s="502">
        <f>'raw data'!B69</f>
        <v>0</v>
      </c>
      <c r="C69" s="503" t="s">
        <v>116</v>
      </c>
      <c r="D69" s="458"/>
      <c r="E69" s="459"/>
      <c r="F69" s="460"/>
      <c r="G69" s="458"/>
      <c r="H69" s="459"/>
      <c r="I69" s="460"/>
      <c r="J69" s="458"/>
      <c r="K69" s="459"/>
      <c r="L69" s="460"/>
      <c r="M69" s="458"/>
      <c r="N69" s="459"/>
      <c r="O69" s="460"/>
      <c r="P69" s="458"/>
      <c r="Q69" s="459"/>
      <c r="R69" s="460"/>
      <c r="S69" s="458"/>
      <c r="T69" s="459"/>
      <c r="U69" s="460"/>
      <c r="V69" s="458"/>
      <c r="W69" s="459"/>
      <c r="X69" s="460"/>
      <c r="Y69" s="458"/>
      <c r="Z69" s="459"/>
      <c r="AA69" s="460"/>
      <c r="AB69" s="458"/>
      <c r="AC69" s="459"/>
      <c r="AD69" s="460"/>
      <c r="AE69" s="458"/>
      <c r="AF69" s="459"/>
      <c r="AG69" s="460"/>
      <c r="AH69" s="458"/>
      <c r="AI69" s="459"/>
      <c r="AJ69" s="460"/>
      <c r="AK69" s="458"/>
      <c r="AL69" s="459"/>
      <c r="AM69" s="460"/>
      <c r="AN69" s="458"/>
      <c r="AO69" s="459"/>
      <c r="AP69" s="460"/>
      <c r="AQ69" s="458"/>
      <c r="AR69" s="459"/>
      <c r="AS69" s="512"/>
      <c r="AT69" s="458"/>
      <c r="AU69" s="459"/>
      <c r="AV69" s="512"/>
      <c r="AW69" s="458"/>
      <c r="AX69" s="459"/>
      <c r="AY69" s="512"/>
      <c r="AZ69" s="458"/>
      <c r="BA69" s="459"/>
      <c r="BB69" s="512"/>
      <c r="BC69" s="458"/>
      <c r="BD69" s="459"/>
      <c r="BE69" s="512"/>
      <c r="BF69" s="458"/>
      <c r="BG69" s="459"/>
      <c r="BH69" s="512"/>
      <c r="BI69" s="458"/>
      <c r="BJ69" s="459"/>
      <c r="BK69" s="512"/>
      <c r="BL69" s="458"/>
      <c r="BM69" s="459"/>
      <c r="BN69" s="512"/>
      <c r="BO69" s="458"/>
      <c r="BP69" s="459"/>
      <c r="BQ69" s="512"/>
      <c r="BR69" s="458"/>
      <c r="BS69" s="459"/>
      <c r="BT69" s="512"/>
      <c r="BU69" s="458"/>
      <c r="BV69" s="459"/>
      <c r="BW69" s="512"/>
      <c r="BX69" s="458"/>
      <c r="BY69" s="459"/>
      <c r="BZ69" s="512"/>
      <c r="CA69" s="458"/>
      <c r="CB69" s="459"/>
      <c r="CC69" s="512"/>
      <c r="CD69" s="458"/>
      <c r="CE69" s="459"/>
      <c r="CF69" s="512"/>
      <c r="CG69" s="458"/>
      <c r="CH69" s="459"/>
      <c r="CI69" s="512"/>
      <c r="CJ69" s="458"/>
      <c r="CK69" s="459"/>
      <c r="CL69" s="512"/>
      <c r="CM69" s="458"/>
      <c r="CN69" s="459"/>
      <c r="CO69" s="512"/>
      <c r="CP69" s="458"/>
      <c r="CQ69" s="459"/>
      <c r="CR69" s="512"/>
      <c r="CS69" s="458"/>
      <c r="CT69" s="459"/>
      <c r="CU69" s="512"/>
      <c r="CV69" s="458"/>
      <c r="CW69" s="459"/>
      <c r="CX69" s="512"/>
      <c r="CY69" s="458"/>
      <c r="CZ69" s="459"/>
      <c r="DA69" s="512"/>
      <c r="DB69" s="458"/>
      <c r="DC69" s="459"/>
      <c r="DD69" s="512"/>
      <c r="DE69" s="458"/>
      <c r="DF69" s="459"/>
      <c r="DG69" s="512"/>
      <c r="DH69" s="458"/>
      <c r="DI69" s="459"/>
      <c r="DJ69" s="512"/>
      <c r="DK69" s="458"/>
      <c r="DL69" s="459"/>
      <c r="DM69" s="512"/>
      <c r="DN69" s="458"/>
      <c r="DO69" s="459"/>
      <c r="DP69" s="512"/>
      <c r="DQ69" s="458"/>
      <c r="DR69" s="459"/>
      <c r="DS69" s="512"/>
      <c r="DT69" s="458"/>
      <c r="DU69" s="459"/>
      <c r="DV69" s="512"/>
      <c r="DW69" s="458"/>
      <c r="DX69" s="459"/>
      <c r="DY69" s="512"/>
      <c r="DZ69" s="458"/>
      <c r="EA69" s="459"/>
      <c r="EB69" s="512"/>
      <c r="EC69" s="458"/>
      <c r="ED69" s="459"/>
      <c r="EE69" s="512"/>
      <c r="EF69" s="458"/>
      <c r="EG69" s="459"/>
      <c r="EH69" s="512"/>
      <c r="EI69" s="458"/>
      <c r="EJ69" s="459"/>
      <c r="EK69" s="512"/>
      <c r="EL69" s="458"/>
      <c r="EM69" s="459"/>
      <c r="EN69" s="512"/>
      <c r="EO69" s="458"/>
      <c r="EP69" s="459"/>
      <c r="EQ69" s="512"/>
      <c r="ER69" s="458"/>
      <c r="ES69" s="459"/>
      <c r="ET69" s="512"/>
      <c r="EU69" s="458"/>
      <c r="EV69" s="459"/>
      <c r="EW69" s="512"/>
      <c r="EX69" s="458"/>
      <c r="EY69" s="459"/>
      <c r="EZ69" s="512"/>
      <c r="FA69" s="458"/>
      <c r="FB69" s="459"/>
      <c r="FC69" s="512"/>
      <c r="FD69" s="458"/>
      <c r="FE69" s="459"/>
      <c r="FF69" s="512"/>
      <c r="FG69" s="458"/>
      <c r="FH69" s="459"/>
      <c r="FI69" s="512"/>
      <c r="FJ69" s="458"/>
      <c r="FK69" s="459"/>
      <c r="FL69" s="512"/>
      <c r="FM69" s="458"/>
      <c r="FN69" s="459"/>
      <c r="FO69" s="512"/>
      <c r="FP69" s="458"/>
      <c r="FQ69" s="459"/>
      <c r="FR69" s="512"/>
      <c r="FS69" s="454"/>
      <c r="FT69" s="513"/>
      <c r="FU69" s="514"/>
      <c r="FV69" s="515"/>
    </row>
    <row r="70" spans="1:178" ht="25.5" customHeight="1" x14ac:dyDescent="0.15">
      <c r="A70" s="502">
        <v>4.3</v>
      </c>
      <c r="B70" s="502" t="str">
        <f>'raw data'!B70</f>
        <v>Credit Card with &gt;£10k positive balance for past three months.</v>
      </c>
      <c r="C70" s="503" t="s">
        <v>118</v>
      </c>
      <c r="D70" s="504">
        <f>'raw data'!ET70</f>
        <v>2</v>
      </c>
      <c r="E70" s="505">
        <f>'raw data'!EU70</f>
        <v>21</v>
      </c>
      <c r="F70" s="506">
        <f>IF(ISERROR('raw data'!ET70/'raw data'!EU70),0,'raw data'!ET70/'raw data'!EU70)</f>
        <v>9.5238095238095233E-2</v>
      </c>
      <c r="G70" s="504">
        <f>'raw data'!EV70</f>
        <v>0</v>
      </c>
      <c r="H70" s="505">
        <f>'raw data'!EW70</f>
        <v>20</v>
      </c>
      <c r="I70" s="506">
        <f>IF(ISERROR('raw data'!EV70/'raw data'!EW70),0,'raw data'!EV70/'raw data'!EW70)</f>
        <v>0</v>
      </c>
      <c r="J70" s="504">
        <f>'raw data'!EX70</f>
        <v>0</v>
      </c>
      <c r="K70" s="505">
        <f>'raw data'!EY70</f>
        <v>5</v>
      </c>
      <c r="L70" s="506">
        <f>IF(ISERROR('raw data'!EX70/'raw data'!EY70),0,'raw data'!EX70/'raw data'!EY70)</f>
        <v>0</v>
      </c>
      <c r="M70" s="504">
        <f>'raw data'!EZ70</f>
        <v>0</v>
      </c>
      <c r="N70" s="505">
        <f>'raw data'!FA70</f>
        <v>2</v>
      </c>
      <c r="O70" s="506">
        <f>IF(ISERROR('raw data'!EZ70/'raw data'!FA70),0,'raw data'!EZ70/'raw data'!FA70)</f>
        <v>0</v>
      </c>
      <c r="P70" s="504">
        <f>'raw data'!FB70</f>
        <v>0</v>
      </c>
      <c r="Q70" s="505">
        <f>'raw data'!FC70</f>
        <v>0</v>
      </c>
      <c r="R70" s="506">
        <f>IF(ISERROR('raw data'!FB70/'raw data'!FC70),0,'raw data'!FB70/'raw data'!FC70)</f>
        <v>0</v>
      </c>
      <c r="S70" s="504">
        <f>'raw data'!FD70</f>
        <v>0</v>
      </c>
      <c r="T70" s="505">
        <f>'raw data'!FE70</f>
        <v>0</v>
      </c>
      <c r="U70" s="506">
        <f>IF(ISERROR('raw data'!FD70/'raw data'!FE70),0,'raw data'!FD70/'raw data'!FE70)</f>
        <v>0</v>
      </c>
      <c r="V70" s="504">
        <f>'raw data'!FF70</f>
        <v>0</v>
      </c>
      <c r="W70" s="505">
        <f>'raw data'!FG70</f>
        <v>0</v>
      </c>
      <c r="X70" s="506">
        <f>IF(ISERROR('raw data'!FF70/'raw data'!FG70),0,'raw data'!FF70/'raw data'!FG70)</f>
        <v>0</v>
      </c>
      <c r="Y70" s="504">
        <f>'raw data'!FH70</f>
        <v>0</v>
      </c>
      <c r="Z70" s="505">
        <f>'raw data'!FI70</f>
        <v>0</v>
      </c>
      <c r="AA70" s="506">
        <f>IF(ISERROR('raw data'!FH70/'raw data'!FI70),0,'raw data'!FH70/'raw data'!FI70)</f>
        <v>0</v>
      </c>
      <c r="AB70" s="504">
        <f>'raw data'!FJ70</f>
        <v>0</v>
      </c>
      <c r="AC70" s="505">
        <f>'raw data'!FM70</f>
        <v>0</v>
      </c>
      <c r="AD70" s="506">
        <f>IF(ISERROR('raw data'!FJ70/'raw data'!FM70),0,'raw data'!FJ70/'raw data'!FM70)</f>
        <v>0</v>
      </c>
      <c r="AE70" s="504">
        <f>'raw data'!FN70</f>
        <v>0</v>
      </c>
      <c r="AF70" s="505">
        <f>'raw data'!FO70</f>
        <v>5</v>
      </c>
      <c r="AG70" s="506">
        <f>IF(ISERROR('raw data'!FN70/'raw data'!FO70),0,'raw data'!FN70/'raw data'!FO70)</f>
        <v>0</v>
      </c>
      <c r="AH70" s="504">
        <f>'raw data'!FP70</f>
        <v>0</v>
      </c>
      <c r="AI70" s="505">
        <f>'raw data'!FQ70</f>
        <v>2</v>
      </c>
      <c r="AJ70" s="506">
        <f>IF(ISERROR('raw data'!FP70/'raw data'!FQ70),0,'raw data'!FP70/'raw data'!FQ70)</f>
        <v>0</v>
      </c>
      <c r="AK70" s="504">
        <f>'raw data'!FR70</f>
        <v>0</v>
      </c>
      <c r="AL70" s="505">
        <f>'raw data'!FS70</f>
        <v>2</v>
      </c>
      <c r="AM70" s="506">
        <f>IF(ISERROR('raw data'!FR70/'raw data'!FS70),0,'raw data'!FR70/'raw data'!FS70)</f>
        <v>0</v>
      </c>
      <c r="AN70" s="504">
        <f>'raw data'!FT70</f>
        <v>0</v>
      </c>
      <c r="AO70" s="505">
        <f>'raw data'!FU70</f>
        <v>2</v>
      </c>
      <c r="AP70" s="506">
        <f>IF(ISERROR('raw data'!FT70/'raw data'!FU70),0,'raw data'!FT70/'raw data'!FU70)</f>
        <v>0</v>
      </c>
      <c r="AQ70" s="504">
        <f>'raw data'!FV70</f>
        <v>1</v>
      </c>
      <c r="AR70" s="505">
        <f>'raw data'!FW70</f>
        <v>6</v>
      </c>
      <c r="AS70" s="507">
        <f>IF(ISERROR('raw data'!FV70/'raw data'!FW70),0,'raw data'!FV70/'raw data'!FW70)</f>
        <v>0.16666666666666666</v>
      </c>
      <c r="AT70" s="504">
        <f>'raw data'!FX70</f>
        <v>0</v>
      </c>
      <c r="AU70" s="505">
        <f>'raw data'!FY70</f>
        <v>1</v>
      </c>
      <c r="AV70" s="508">
        <f>IF(ISERROR('raw data'!FX71/'raw data'!FY71),0,'raw data'!FX71/'raw data'!FY71)</f>
        <v>0</v>
      </c>
      <c r="AW70" s="504">
        <f>'raw data'!FZ70</f>
        <v>1</v>
      </c>
      <c r="AX70" s="505">
        <f>'raw data'!GA70</f>
        <v>2</v>
      </c>
      <c r="AY70" s="508">
        <f>IF(ISERROR('raw data'!FZ71/'raw data'!GA71),0,'raw data'!FZ71/'raw data'!GA71)</f>
        <v>0</v>
      </c>
      <c r="AZ70" s="504">
        <f>'raw data'!GB70</f>
        <v>0</v>
      </c>
      <c r="BA70" s="505">
        <f>'raw data'!GC70</f>
        <v>1</v>
      </c>
      <c r="BB70" s="508">
        <f>IF(ISERROR('raw data'!GB71/'raw data'!GC71),0,'raw data'!GB71/'raw data'!GC71)</f>
        <v>0</v>
      </c>
      <c r="BC70" s="504">
        <f>'raw data'!GD70</f>
        <v>0</v>
      </c>
      <c r="BD70" s="505">
        <f>'raw data'!GE70</f>
        <v>4</v>
      </c>
      <c r="BE70" s="508">
        <f>IF(ISERROR('raw data'!GD71/'raw data'!GE71),0,'raw data'!GD71/'raw data'!GE71)</f>
        <v>0</v>
      </c>
      <c r="BF70" s="504">
        <f>'raw data'!GF70</f>
        <v>0</v>
      </c>
      <c r="BG70" s="505">
        <f>'raw data'!GG70</f>
        <v>3</v>
      </c>
      <c r="BH70" s="508">
        <f>IF(ISERROR('raw data'!GF71/'raw data'!GG71),0,'raw data'!GF71/'raw data'!GG71)</f>
        <v>0</v>
      </c>
      <c r="BI70" s="504">
        <f>'raw data'!GH70</f>
        <v>0</v>
      </c>
      <c r="BJ70" s="505">
        <f>'raw data'!GI70</f>
        <v>4</v>
      </c>
      <c r="BK70" s="508">
        <f>IF(ISERROR('raw data'!GH71/'raw data'!GI71),0,'raw data'!GH71/'raw data'!GI71)</f>
        <v>0</v>
      </c>
      <c r="BL70" s="504">
        <f>'raw data'!GJ70</f>
        <v>0</v>
      </c>
      <c r="BM70" s="505">
        <f>'raw data'!GK70</f>
        <v>1</v>
      </c>
      <c r="BN70" s="508">
        <f>IF(ISERROR('raw data'!GJ71/'raw data'!GK71),0,'raw data'!GJ71/'raw data'!GK71)</f>
        <v>0</v>
      </c>
      <c r="BO70" s="504">
        <f>'raw data'!GL70</f>
        <v>0</v>
      </c>
      <c r="BP70" s="505">
        <f>'raw data'!GM70</f>
        <v>3</v>
      </c>
      <c r="BQ70" s="508">
        <f>IF(ISERROR('raw data'!GL70/'raw data'!GM70),0,'raw data'!GL70/'raw data'!GM70)</f>
        <v>0</v>
      </c>
      <c r="BR70" s="504">
        <f>'raw data'!GN70</f>
        <v>0</v>
      </c>
      <c r="BS70" s="505">
        <f>'raw data'!GO70</f>
        <v>2</v>
      </c>
      <c r="BT70" s="508">
        <f>IF(ISERROR('raw data'!GN70/'raw data'!GO70),0,'raw data'!GN70/'raw data'!GO70)</f>
        <v>0</v>
      </c>
      <c r="BU70" s="504">
        <f>'raw data'!GP70</f>
        <v>0</v>
      </c>
      <c r="BV70" s="505">
        <f>'raw data'!GQ70</f>
        <v>1</v>
      </c>
      <c r="BW70" s="508">
        <f>IF(ISERROR('raw data'!GP70/'raw data'!GQ70),0,'raw data'!GP70/'raw data'!GQ70)</f>
        <v>0</v>
      </c>
      <c r="BX70" s="504">
        <f>'raw data'!GR70</f>
        <v>0</v>
      </c>
      <c r="BY70" s="505">
        <f>'raw data'!GS70</f>
        <v>2</v>
      </c>
      <c r="BZ70" s="508">
        <f>IF(ISERROR('raw data'!GR70/'raw data'!GS70),0,'raw data'!GR70/'raw data'!GS70)</f>
        <v>0</v>
      </c>
      <c r="CA70" s="504">
        <f>'raw data'!GT70</f>
        <v>0</v>
      </c>
      <c r="CB70" s="505">
        <f>'raw data'!GU70</f>
        <v>2</v>
      </c>
      <c r="CC70" s="508">
        <f>IF(ISERROR('raw data'!GT70/'raw data'!GU70),0,'raw data'!GT70/'raw data'!GU70)</f>
        <v>0</v>
      </c>
      <c r="CD70" s="504">
        <f>'raw data'!GV70</f>
        <v>0</v>
      </c>
      <c r="CE70" s="505">
        <f>'raw data'!GW70</f>
        <v>1</v>
      </c>
      <c r="CF70" s="508">
        <f>IF(ISERROR('raw data'!GV70/'raw data'!GW70),0,'raw data'!GV70/'raw data'!GW70)</f>
        <v>0</v>
      </c>
      <c r="CG70" s="504">
        <f>'raw data'!GX70</f>
        <v>0</v>
      </c>
      <c r="CH70" s="505">
        <f>'raw data'!GY70</f>
        <v>1</v>
      </c>
      <c r="CI70" s="508">
        <f>IF(ISERROR('raw data'!GX70/'raw data'!GY70),0,'raw data'!GX70/'raw data'!GY70)</f>
        <v>0</v>
      </c>
      <c r="CJ70" s="504">
        <f>'raw data'!GZ70</f>
        <v>0</v>
      </c>
      <c r="CK70" s="505">
        <f>'raw data'!HA70</f>
        <v>4</v>
      </c>
      <c r="CL70" s="508">
        <f>IF(ISERROR('raw data'!GZ70/'raw data'!HA70),0,'raw data'!GZ70/'raw data'!HA70)</f>
        <v>0</v>
      </c>
      <c r="CM70" s="504">
        <f>'raw data'!HB70</f>
        <v>0</v>
      </c>
      <c r="CN70" s="505">
        <f>'raw data'!HC70</f>
        <v>1</v>
      </c>
      <c r="CO70" s="508">
        <f>IF(ISERROR('raw data'!HB70/'raw data'!HC70),0,'raw data'!HB70/'raw data'!HC70)</f>
        <v>0</v>
      </c>
      <c r="CP70" s="504">
        <f>'raw data'!HD70</f>
        <v>0</v>
      </c>
      <c r="CQ70" s="505">
        <f>'raw data'!HE70</f>
        <v>3</v>
      </c>
      <c r="CR70" s="508">
        <f>IF(ISERROR('raw data'!HD70/'raw data'!HE70),0,'raw data'!HD70/'raw data'!HE70)</f>
        <v>0</v>
      </c>
      <c r="CS70" s="504">
        <f>'raw data'!HF70</f>
        <v>0</v>
      </c>
      <c r="CT70" s="505">
        <f>'raw data'!HG70</f>
        <v>4</v>
      </c>
      <c r="CU70" s="508">
        <f>IF(ISERROR('raw data'!HF70/'raw data'!HG70),0,'raw data'!HF70/'raw data'!HG70)</f>
        <v>0</v>
      </c>
      <c r="CV70" s="504">
        <f>'raw data'!HH70</f>
        <v>0</v>
      </c>
      <c r="CW70" s="505">
        <f>'raw data'!HI70</f>
        <v>4</v>
      </c>
      <c r="CX70" s="508">
        <f>IF(ISERROR('raw data'!HH70/'raw data'!HI70),0,'raw data'!HH70/'raw data'!HI70)</f>
        <v>0</v>
      </c>
      <c r="CY70" s="504">
        <f>'raw data'!HJ70</f>
        <v>0</v>
      </c>
      <c r="CZ70" s="505">
        <f>'raw data'!HK70</f>
        <v>4</v>
      </c>
      <c r="DA70" s="508">
        <f>IF(ISERROR('raw data'!HJ70/'raw data'!HK70),0,'raw data'!HJ70/'raw data'!HK70)</f>
        <v>0</v>
      </c>
      <c r="DB70" s="504">
        <f>'raw data'!HL70</f>
        <v>0</v>
      </c>
      <c r="DC70" s="505">
        <f>'raw data'!HM70</f>
        <v>5</v>
      </c>
      <c r="DD70" s="508">
        <f>IF(ISERROR('raw data'!HL70/'raw data'!HM70),0,'raw data'!HL70/'raw data'!HM70)</f>
        <v>0</v>
      </c>
      <c r="DE70" s="504">
        <f>'raw data'!HN70</f>
        <v>0</v>
      </c>
      <c r="DF70" s="505">
        <f>'raw data'!HO70</f>
        <v>1</v>
      </c>
      <c r="DG70" s="508">
        <f>IF(ISERROR('raw data'!HN70/'raw data'!HO70),0,'raw data'!HN70/'raw data'!HO70)</f>
        <v>0</v>
      </c>
      <c r="DH70" s="504">
        <f>'raw data'!HP70</f>
        <v>0</v>
      </c>
      <c r="DI70" s="505">
        <f>'raw data'!HQ70</f>
        <v>4</v>
      </c>
      <c r="DJ70" s="508">
        <f>IF(ISERROR('raw data'!HP70/'raw data'!HQ70),0,'raw data'!HP70/'raw data'!HQ70)</f>
        <v>0</v>
      </c>
      <c r="DK70" s="504">
        <f>'raw data'!HR70</f>
        <v>0</v>
      </c>
      <c r="DL70" s="505">
        <f>'raw data'!HS70</f>
        <v>4</v>
      </c>
      <c r="DM70" s="508">
        <f>IF(ISERROR('raw data'!HR70/'raw data'!HS70),0,'raw data'!HR70/'raw data'!HS70)</f>
        <v>0</v>
      </c>
      <c r="DN70" s="504">
        <f>'raw data'!HT70</f>
        <v>0</v>
      </c>
      <c r="DO70" s="505">
        <f>'raw data'!HU70</f>
        <v>6</v>
      </c>
      <c r="DP70" s="508">
        <f>IF(ISERROR('raw data'!HT70/'raw data'!HU70),0,'raw data'!HT70/'raw data'!HU70)</f>
        <v>0</v>
      </c>
      <c r="DQ70" s="504">
        <f>'raw data'!HV70</f>
        <v>0</v>
      </c>
      <c r="DR70" s="505">
        <f>'raw data'!HW70</f>
        <v>5</v>
      </c>
      <c r="DS70" s="508">
        <f>IF(ISERROR('raw data'!HV70/'raw data'!HW70),0,'raw data'!HV70/'raw data'!HW70)</f>
        <v>0</v>
      </c>
      <c r="DT70" s="504">
        <f>'raw data'!HX70</f>
        <v>0</v>
      </c>
      <c r="DU70" s="505">
        <f>'raw data'!HY70</f>
        <v>4</v>
      </c>
      <c r="DV70" s="508">
        <f>IF(ISERROR('raw data'!HX70/'raw data'!HY70),0,'raw data'!HX70/'raw data'!HY70)</f>
        <v>0</v>
      </c>
      <c r="DW70" s="504">
        <f>'raw data'!HZ70</f>
        <v>0</v>
      </c>
      <c r="DX70" s="505">
        <f>'raw data'!IA70</f>
        <v>6</v>
      </c>
      <c r="DY70" s="508">
        <f>IF(ISERROR('raw data'!HZ70/'raw data'!IA70),0,'raw data'!HZ70/'raw data'!IA70)</f>
        <v>0</v>
      </c>
      <c r="DZ70" s="504">
        <f>'raw data'!IB70</f>
        <v>0</v>
      </c>
      <c r="EA70" s="505">
        <f>'raw data'!IC70</f>
        <v>4</v>
      </c>
      <c r="EB70" s="508">
        <f>IF(ISERROR('raw data'!IB70/'raw data'!IC70),0,'raw data'!IB70/'raw data'!IC70)</f>
        <v>0</v>
      </c>
      <c r="EC70" s="504">
        <f>'raw data'!ID70</f>
        <v>0</v>
      </c>
      <c r="ED70" s="505">
        <f>'raw data'!IE70</f>
        <v>4</v>
      </c>
      <c r="EE70" s="508">
        <f>IF(ISERROR('raw data'!ID70/'raw data'!IE70),0,'raw data'!ID70/'raw data'!IE70)</f>
        <v>0</v>
      </c>
      <c r="EF70" s="504">
        <f>'raw data'!IF70</f>
        <v>0</v>
      </c>
      <c r="EG70" s="505">
        <f>'raw data'!IG70</f>
        <v>7</v>
      </c>
      <c r="EH70" s="508">
        <f>IF(ISERROR('raw data'!IF70/'raw data'!IG70),0,'raw data'!IF70/'raw data'!IG70)</f>
        <v>0</v>
      </c>
      <c r="EI70" s="504">
        <f>'raw data'!IH70</f>
        <v>1</v>
      </c>
      <c r="EJ70" s="505">
        <f>'raw data'!II70</f>
        <v>11</v>
      </c>
      <c r="EK70" s="508">
        <f>IF(ISERROR('raw data'!IH70/'raw data'!II70),0,'raw data'!IH70/'raw data'!II70)</f>
        <v>9.0909090909090912E-2</v>
      </c>
      <c r="EL70" s="504">
        <f>'raw data'!IJ70</f>
        <v>0</v>
      </c>
      <c r="EM70" s="505">
        <f>'raw data'!IK70</f>
        <v>7</v>
      </c>
      <c r="EN70" s="508">
        <f>IF(ISERROR('raw data'!IJ70/'raw data'!IK70),0,'raw data'!IJ70/'raw data'!IK70)</f>
        <v>0</v>
      </c>
      <c r="EO70" s="504">
        <f>'raw data'!IL70</f>
        <v>0</v>
      </c>
      <c r="EP70" s="505">
        <f>'raw data'!IM70</f>
        <v>7</v>
      </c>
      <c r="EQ70" s="508">
        <f>IF(ISERROR('raw data'!IL70/'raw data'!IM70),0,'raw data'!IL70/'raw data'!IM70)</f>
        <v>0</v>
      </c>
      <c r="ER70" s="504">
        <f>'raw data'!IN70</f>
        <v>0</v>
      </c>
      <c r="ES70" s="505">
        <f>'raw data'!IO70</f>
        <v>7</v>
      </c>
      <c r="ET70" s="508">
        <f>IF(ISERROR('raw data'!IN70/'raw data'!IO70),0,'raw data'!IN70/'raw data'!IO70)</f>
        <v>0</v>
      </c>
      <c r="EU70" s="504">
        <f>'raw data'!IP70</f>
        <v>0</v>
      </c>
      <c r="EV70" s="505">
        <f>'raw data'!IQ70</f>
        <v>5</v>
      </c>
      <c r="EW70" s="508">
        <f>IF(ISERROR('raw data'!IP70/'raw data'!IQ70),0,'raw data'!IP70/'raw data'!IQ70)</f>
        <v>0</v>
      </c>
      <c r="EX70" s="504">
        <f>'raw data'!IR70</f>
        <v>0</v>
      </c>
      <c r="EY70" s="505">
        <f>'raw data'!IS70</f>
        <v>9</v>
      </c>
      <c r="EZ70" s="508">
        <f>IF(ISERROR('raw data'!IR70/'raw data'!IS70),0,'raw data'!IR70/'raw data'!IS70)</f>
        <v>0</v>
      </c>
      <c r="FA70" s="504">
        <f>'raw data'!IT70</f>
        <v>0</v>
      </c>
      <c r="FB70" s="505">
        <f>'raw data'!IU70</f>
        <v>11</v>
      </c>
      <c r="FC70" s="508">
        <f>IF(ISERROR('raw data'!IT70/'raw data'!IU70),0,'raw data'!IT70/'raw data'!IU70)</f>
        <v>0</v>
      </c>
      <c r="FD70" s="504">
        <f>'raw data'!IV70</f>
        <v>0</v>
      </c>
      <c r="FE70" s="505">
        <f>'raw data'!IW70</f>
        <v>9</v>
      </c>
      <c r="FF70" s="508">
        <f>IF(ISERROR('raw data'!IV70/'raw data'!IW70),0,'raw data'!IV70/'raw data'!IW70)</f>
        <v>0</v>
      </c>
      <c r="FG70" s="504">
        <f>'raw data'!IX70</f>
        <v>0</v>
      </c>
      <c r="FH70" s="505">
        <f>'raw data'!IY70</f>
        <v>6</v>
      </c>
      <c r="FI70" s="508">
        <f>IF(ISERROR('raw data'!IX70/'raw data'!IY70),0,'raw data'!IX70/'raw data'!IY70)</f>
        <v>0</v>
      </c>
      <c r="FJ70" s="504">
        <f>'raw data'!IZ70</f>
        <v>0</v>
      </c>
      <c r="FK70" s="505">
        <f>'raw data'!JA70</f>
        <v>7</v>
      </c>
      <c r="FL70" s="508">
        <f>IF(ISERROR('raw data'!IZ70/'raw data'!JA70),0,'raw data'!IZ70/'raw data'!JA70)</f>
        <v>0</v>
      </c>
      <c r="FM70" s="504">
        <f>'raw data'!JB70</f>
        <v>1</v>
      </c>
      <c r="FN70" s="505">
        <f>'raw data'!JC70</f>
        <v>9</v>
      </c>
      <c r="FO70" s="508">
        <f>IF(ISERROR('raw data'!JB70/'raw data'!JC70),0,'raw data'!JB70/'raw data'!JC70)</f>
        <v>0.1111111111111111</v>
      </c>
      <c r="FP70" s="504">
        <f>'raw data'!JD70</f>
        <v>1</v>
      </c>
      <c r="FQ70" s="505">
        <f>'raw data'!JE70</f>
        <v>10</v>
      </c>
      <c r="FR70" s="508">
        <f>IF(ISERROR('raw data'!JD70/'raw data'!JE70),0,'raw data'!JD70/'raw data'!JE70)</f>
        <v>0.1</v>
      </c>
      <c r="FS70" s="454"/>
      <c r="FT70" s="509">
        <v>3</v>
      </c>
      <c r="FU70" s="510">
        <v>98</v>
      </c>
      <c r="FV70" s="511">
        <f t="shared" si="0"/>
        <v>3.0612244897959183E-2</v>
      </c>
    </row>
    <row r="71" spans="1:178" ht="25.5" customHeight="1" x14ac:dyDescent="0.15">
      <c r="A71" s="502">
        <v>4.4000000000000004</v>
      </c>
      <c r="B71" s="502" t="str">
        <f>'raw data'!B71</f>
        <v>Credit Cards with £2k+ spend on virtual games last month (includes Second Life, Eve Online and Blizzard).</v>
      </c>
      <c r="C71" s="516" t="s">
        <v>253</v>
      </c>
      <c r="D71" s="402" t="s">
        <v>243</v>
      </c>
      <c r="E71" s="403" t="s">
        <v>243</v>
      </c>
      <c r="F71" s="404" t="s">
        <v>243</v>
      </c>
      <c r="G71" s="402" t="s">
        <v>243</v>
      </c>
      <c r="H71" s="403" t="s">
        <v>243</v>
      </c>
      <c r="I71" s="404" t="s">
        <v>243</v>
      </c>
      <c r="J71" s="402" t="s">
        <v>243</v>
      </c>
      <c r="K71" s="403" t="s">
        <v>243</v>
      </c>
      <c r="L71" s="404" t="s">
        <v>243</v>
      </c>
      <c r="M71" s="402" t="s">
        <v>243</v>
      </c>
      <c r="N71" s="403" t="s">
        <v>243</v>
      </c>
      <c r="O71" s="404" t="s">
        <v>243</v>
      </c>
      <c r="P71" s="402" t="s">
        <v>243</v>
      </c>
      <c r="Q71" s="403" t="s">
        <v>243</v>
      </c>
      <c r="R71" s="404" t="s">
        <v>243</v>
      </c>
      <c r="S71" s="402" t="s">
        <v>243</v>
      </c>
      <c r="T71" s="403" t="s">
        <v>243</v>
      </c>
      <c r="U71" s="404" t="s">
        <v>243</v>
      </c>
      <c r="V71" s="402" t="s">
        <v>243</v>
      </c>
      <c r="W71" s="403" t="s">
        <v>243</v>
      </c>
      <c r="X71" s="404" t="s">
        <v>243</v>
      </c>
      <c r="Y71" s="402" t="s">
        <v>243</v>
      </c>
      <c r="Z71" s="403" t="s">
        <v>243</v>
      </c>
      <c r="AA71" s="404" t="s">
        <v>243</v>
      </c>
      <c r="AB71" s="402" t="s">
        <v>243</v>
      </c>
      <c r="AC71" s="403" t="s">
        <v>243</v>
      </c>
      <c r="AD71" s="404" t="s">
        <v>243</v>
      </c>
      <c r="AE71" s="402" t="s">
        <v>243</v>
      </c>
      <c r="AF71" s="403" t="s">
        <v>243</v>
      </c>
      <c r="AG71" s="404" t="s">
        <v>243</v>
      </c>
      <c r="AH71" s="402" t="s">
        <v>243</v>
      </c>
      <c r="AI71" s="403" t="s">
        <v>243</v>
      </c>
      <c r="AJ71" s="404" t="s">
        <v>243</v>
      </c>
      <c r="AK71" s="402" t="s">
        <v>243</v>
      </c>
      <c r="AL71" s="403" t="s">
        <v>243</v>
      </c>
      <c r="AM71" s="404" t="s">
        <v>243</v>
      </c>
      <c r="AN71" s="402" t="s">
        <v>243</v>
      </c>
      <c r="AO71" s="403" t="s">
        <v>243</v>
      </c>
      <c r="AP71" s="404" t="s">
        <v>243</v>
      </c>
      <c r="AQ71" s="402" t="s">
        <v>243</v>
      </c>
      <c r="AR71" s="403" t="s">
        <v>243</v>
      </c>
      <c r="AS71" s="405" t="s">
        <v>243</v>
      </c>
      <c r="AT71" s="402" t="s">
        <v>243</v>
      </c>
      <c r="AU71" s="403" t="s">
        <v>243</v>
      </c>
      <c r="AV71" s="405" t="s">
        <v>243</v>
      </c>
      <c r="AW71" s="402" t="s">
        <v>243</v>
      </c>
      <c r="AX71" s="403" t="s">
        <v>243</v>
      </c>
      <c r="AY71" s="405" t="s">
        <v>243</v>
      </c>
      <c r="AZ71" s="402" t="s">
        <v>243</v>
      </c>
      <c r="BA71" s="403" t="s">
        <v>243</v>
      </c>
      <c r="BB71" s="405" t="s">
        <v>243</v>
      </c>
      <c r="BC71" s="402" t="s">
        <v>243</v>
      </c>
      <c r="BD71" s="403" t="s">
        <v>243</v>
      </c>
      <c r="BE71" s="405" t="s">
        <v>243</v>
      </c>
      <c r="BF71" s="402" t="s">
        <v>243</v>
      </c>
      <c r="BG71" s="403" t="s">
        <v>243</v>
      </c>
      <c r="BH71" s="405" t="s">
        <v>243</v>
      </c>
      <c r="BI71" s="402" t="s">
        <v>243</v>
      </c>
      <c r="BJ71" s="403" t="s">
        <v>243</v>
      </c>
      <c r="BK71" s="405" t="s">
        <v>243</v>
      </c>
      <c r="BL71" s="402" t="s">
        <v>243</v>
      </c>
      <c r="BM71" s="403" t="s">
        <v>243</v>
      </c>
      <c r="BN71" s="405" t="s">
        <v>243</v>
      </c>
      <c r="BO71" s="402" t="s">
        <v>243</v>
      </c>
      <c r="BP71" s="403" t="s">
        <v>243</v>
      </c>
      <c r="BQ71" s="405" t="s">
        <v>243</v>
      </c>
      <c r="BR71" s="402" t="s">
        <v>243</v>
      </c>
      <c r="BS71" s="403" t="s">
        <v>243</v>
      </c>
      <c r="BT71" s="405" t="s">
        <v>243</v>
      </c>
      <c r="BU71" s="402" t="s">
        <v>243</v>
      </c>
      <c r="BV71" s="403" t="s">
        <v>243</v>
      </c>
      <c r="BW71" s="405" t="s">
        <v>243</v>
      </c>
      <c r="BX71" s="402" t="s">
        <v>243</v>
      </c>
      <c r="BY71" s="403" t="s">
        <v>243</v>
      </c>
      <c r="BZ71" s="405" t="s">
        <v>243</v>
      </c>
      <c r="CA71" s="402" t="s">
        <v>243</v>
      </c>
      <c r="CB71" s="403" t="s">
        <v>243</v>
      </c>
      <c r="CC71" s="405" t="s">
        <v>243</v>
      </c>
      <c r="CD71" s="402" t="s">
        <v>243</v>
      </c>
      <c r="CE71" s="403" t="s">
        <v>243</v>
      </c>
      <c r="CF71" s="405" t="s">
        <v>243</v>
      </c>
      <c r="CG71" s="402" t="s">
        <v>243</v>
      </c>
      <c r="CH71" s="403" t="s">
        <v>243</v>
      </c>
      <c r="CI71" s="405" t="s">
        <v>243</v>
      </c>
      <c r="CJ71" s="402" t="s">
        <v>243</v>
      </c>
      <c r="CK71" s="403" t="s">
        <v>243</v>
      </c>
      <c r="CL71" s="405" t="s">
        <v>243</v>
      </c>
      <c r="CM71" s="402" t="s">
        <v>243</v>
      </c>
      <c r="CN71" s="403" t="s">
        <v>243</v>
      </c>
      <c r="CO71" s="405" t="s">
        <v>243</v>
      </c>
      <c r="CP71" s="402" t="s">
        <v>243</v>
      </c>
      <c r="CQ71" s="403" t="s">
        <v>243</v>
      </c>
      <c r="CR71" s="405" t="s">
        <v>243</v>
      </c>
      <c r="CS71" s="402" t="s">
        <v>243</v>
      </c>
      <c r="CT71" s="403" t="s">
        <v>243</v>
      </c>
      <c r="CU71" s="405" t="s">
        <v>243</v>
      </c>
      <c r="CV71" s="402" t="s">
        <v>243</v>
      </c>
      <c r="CW71" s="403" t="s">
        <v>243</v>
      </c>
      <c r="CX71" s="405" t="s">
        <v>243</v>
      </c>
      <c r="CY71" s="402" t="s">
        <v>243</v>
      </c>
      <c r="CZ71" s="403" t="s">
        <v>243</v>
      </c>
      <c r="DA71" s="405" t="s">
        <v>243</v>
      </c>
      <c r="DB71" s="402" t="s">
        <v>243</v>
      </c>
      <c r="DC71" s="403" t="s">
        <v>243</v>
      </c>
      <c r="DD71" s="405" t="s">
        <v>243</v>
      </c>
      <c r="DE71" s="402" t="s">
        <v>243</v>
      </c>
      <c r="DF71" s="403" t="s">
        <v>243</v>
      </c>
      <c r="DG71" s="405" t="s">
        <v>243</v>
      </c>
      <c r="DH71" s="402" t="s">
        <v>243</v>
      </c>
      <c r="DI71" s="403" t="s">
        <v>243</v>
      </c>
      <c r="DJ71" s="405" t="s">
        <v>243</v>
      </c>
      <c r="DK71" s="402" t="s">
        <v>243</v>
      </c>
      <c r="DL71" s="403" t="s">
        <v>243</v>
      </c>
      <c r="DM71" s="405" t="s">
        <v>243</v>
      </c>
      <c r="DN71" s="402" t="s">
        <v>243</v>
      </c>
      <c r="DO71" s="403" t="s">
        <v>243</v>
      </c>
      <c r="DP71" s="405" t="s">
        <v>243</v>
      </c>
      <c r="DQ71" s="402" t="s">
        <v>243</v>
      </c>
      <c r="DR71" s="403" t="s">
        <v>243</v>
      </c>
      <c r="DS71" s="405" t="s">
        <v>243</v>
      </c>
      <c r="DT71" s="402" t="s">
        <v>243</v>
      </c>
      <c r="DU71" s="403" t="s">
        <v>243</v>
      </c>
      <c r="DV71" s="405" t="s">
        <v>243</v>
      </c>
      <c r="DW71" s="402" t="s">
        <v>243</v>
      </c>
      <c r="DX71" s="403" t="s">
        <v>243</v>
      </c>
      <c r="DY71" s="405" t="s">
        <v>243</v>
      </c>
      <c r="DZ71" s="402" t="s">
        <v>243</v>
      </c>
      <c r="EA71" s="403" t="s">
        <v>243</v>
      </c>
      <c r="EB71" s="405" t="s">
        <v>243</v>
      </c>
      <c r="EC71" s="402" t="s">
        <v>243</v>
      </c>
      <c r="ED71" s="403" t="s">
        <v>243</v>
      </c>
      <c r="EE71" s="405" t="s">
        <v>243</v>
      </c>
      <c r="EF71" s="402" t="s">
        <v>243</v>
      </c>
      <c r="EG71" s="403" t="s">
        <v>243</v>
      </c>
      <c r="EH71" s="405" t="s">
        <v>243</v>
      </c>
      <c r="EI71" s="402" t="s">
        <v>243</v>
      </c>
      <c r="EJ71" s="403" t="s">
        <v>243</v>
      </c>
      <c r="EK71" s="405" t="s">
        <v>243</v>
      </c>
      <c r="EL71" s="402" t="s">
        <v>243</v>
      </c>
      <c r="EM71" s="403" t="s">
        <v>243</v>
      </c>
      <c r="EN71" s="405" t="s">
        <v>243</v>
      </c>
      <c r="EO71" s="402" t="s">
        <v>243</v>
      </c>
      <c r="EP71" s="403" t="s">
        <v>243</v>
      </c>
      <c r="EQ71" s="405" t="s">
        <v>243</v>
      </c>
      <c r="ER71" s="402" t="s">
        <v>243</v>
      </c>
      <c r="ES71" s="403" t="s">
        <v>243</v>
      </c>
      <c r="ET71" s="405" t="s">
        <v>243</v>
      </c>
      <c r="EU71" s="402" t="s">
        <v>243</v>
      </c>
      <c r="EV71" s="403" t="s">
        <v>243</v>
      </c>
      <c r="EW71" s="405" t="s">
        <v>243</v>
      </c>
      <c r="EX71" s="402" t="s">
        <v>243</v>
      </c>
      <c r="EY71" s="403" t="s">
        <v>243</v>
      </c>
      <c r="EZ71" s="405" t="s">
        <v>243</v>
      </c>
      <c r="FA71" s="402" t="s">
        <v>243</v>
      </c>
      <c r="FB71" s="403" t="s">
        <v>243</v>
      </c>
      <c r="FC71" s="405" t="s">
        <v>243</v>
      </c>
      <c r="FD71" s="402" t="s">
        <v>243</v>
      </c>
      <c r="FE71" s="403" t="s">
        <v>243</v>
      </c>
      <c r="FF71" s="405" t="s">
        <v>243</v>
      </c>
      <c r="FG71" s="402" t="s">
        <v>243</v>
      </c>
      <c r="FH71" s="403" t="s">
        <v>243</v>
      </c>
      <c r="FI71" s="405" t="s">
        <v>243</v>
      </c>
      <c r="FJ71" s="402" t="s">
        <v>243</v>
      </c>
      <c r="FK71" s="403" t="s">
        <v>243</v>
      </c>
      <c r="FL71" s="405" t="s">
        <v>243</v>
      </c>
      <c r="FM71" s="402" t="s">
        <v>243</v>
      </c>
      <c r="FN71" s="403" t="s">
        <v>243</v>
      </c>
      <c r="FO71" s="405" t="s">
        <v>243</v>
      </c>
      <c r="FP71" s="402" t="s">
        <v>243</v>
      </c>
      <c r="FQ71" s="403" t="s">
        <v>243</v>
      </c>
      <c r="FR71" s="405" t="s">
        <v>243</v>
      </c>
      <c r="FS71" s="454"/>
      <c r="FT71" s="509">
        <v>0</v>
      </c>
      <c r="FU71" s="510">
        <v>0</v>
      </c>
      <c r="FV71" s="511">
        <f t="shared" si="0"/>
        <v>0</v>
      </c>
    </row>
    <row r="72" spans="1:178" ht="25.5" customHeight="1" x14ac:dyDescent="0.15">
      <c r="A72" s="502">
        <v>4.5</v>
      </c>
      <c r="B72" s="502" t="str">
        <f>'raw data'!B72</f>
        <v>Credit Card purchases, totalling £3k+ in past 3 months, at tobacconists, supermarkets and duty free stores in Europe.</v>
      </c>
      <c r="C72" s="516" t="s">
        <v>122</v>
      </c>
      <c r="D72" s="504">
        <f>'raw data'!ET72</f>
        <v>0</v>
      </c>
      <c r="E72" s="505">
        <f>'raw data'!EU72</f>
        <v>11</v>
      </c>
      <c r="F72" s="506">
        <f>IF(ISERROR('raw data'!ET72/'raw data'!EU72),0,'raw data'!ET72/'raw data'!EU72)</f>
        <v>0</v>
      </c>
      <c r="G72" s="504">
        <f>'raw data'!EV72</f>
        <v>2</v>
      </c>
      <c r="H72" s="505">
        <f>'raw data'!EW72</f>
        <v>9</v>
      </c>
      <c r="I72" s="506">
        <f>IF(ISERROR('raw data'!EV72/'raw data'!EW72),0,'raw data'!EV72/'raw data'!EW72)</f>
        <v>0.22222222222222221</v>
      </c>
      <c r="J72" s="504">
        <f>'raw data'!EX72</f>
        <v>2</v>
      </c>
      <c r="K72" s="505">
        <f>'raw data'!EY72</f>
        <v>10</v>
      </c>
      <c r="L72" s="506">
        <f>IF(ISERROR('raw data'!EX72/'raw data'!EY72),0,'raw data'!EX72/'raw data'!EY72)</f>
        <v>0.2</v>
      </c>
      <c r="M72" s="504">
        <f>'raw data'!EZ72</f>
        <v>2</v>
      </c>
      <c r="N72" s="505">
        <f>'raw data'!FA72</f>
        <v>11</v>
      </c>
      <c r="O72" s="506">
        <f>IF(ISERROR('raw data'!EZ72/'raw data'!FA72),0,'raw data'!EZ72/'raw data'!FA72)</f>
        <v>0.18181818181818182</v>
      </c>
      <c r="P72" s="504">
        <f>'raw data'!FB72</f>
        <v>11</v>
      </c>
      <c r="Q72" s="505">
        <f>'raw data'!FC72</f>
        <v>17</v>
      </c>
      <c r="R72" s="506">
        <f>IF(ISERROR('raw data'!FB72/'raw data'!FC72),0,'raw data'!FB72/'raw data'!FC72)</f>
        <v>0.6470588235294118</v>
      </c>
      <c r="S72" s="504">
        <f>'raw data'!FD72</f>
        <v>7</v>
      </c>
      <c r="T72" s="505">
        <f>'raw data'!FE72</f>
        <v>25</v>
      </c>
      <c r="U72" s="506">
        <f>IF(ISERROR('raw data'!FD72/'raw data'!FE72),0,'raw data'!FD72/'raw data'!FE72)</f>
        <v>0.28000000000000003</v>
      </c>
      <c r="V72" s="504">
        <f>'raw data'!FF72</f>
        <v>2</v>
      </c>
      <c r="W72" s="505">
        <f>'raw data'!FG72</f>
        <v>12</v>
      </c>
      <c r="X72" s="506">
        <f>IF(ISERROR('raw data'!FF72/'raw data'!FG72),0,'raw data'!FF72/'raw data'!FG72)</f>
        <v>0.16666666666666666</v>
      </c>
      <c r="Y72" s="504">
        <f>'raw data'!FH72</f>
        <v>4</v>
      </c>
      <c r="Z72" s="505">
        <f>'raw data'!FI72</f>
        <v>19</v>
      </c>
      <c r="AA72" s="506">
        <f>IF(ISERROR('raw data'!FH72/'raw data'!FI72),0,'raw data'!FH72/'raw data'!FI72)</f>
        <v>0.21052631578947367</v>
      </c>
      <c r="AB72" s="504">
        <f>'raw data'!FJ72</f>
        <v>6</v>
      </c>
      <c r="AC72" s="505">
        <f>'raw data'!FM72</f>
        <v>15</v>
      </c>
      <c r="AD72" s="506">
        <f>IF(ISERROR('raw data'!FJ72/'raw data'!FM72),0,'raw data'!FJ72/'raw data'!FM72)</f>
        <v>0.4</v>
      </c>
      <c r="AE72" s="504">
        <f>'raw data'!FN72</f>
        <v>2</v>
      </c>
      <c r="AF72" s="505">
        <f>'raw data'!FO72</f>
        <v>13</v>
      </c>
      <c r="AG72" s="506">
        <f>IF(ISERROR('raw data'!FN72/'raw data'!FO72),0,'raw data'!FN72/'raw data'!FO72)</f>
        <v>0.15384615384615385</v>
      </c>
      <c r="AH72" s="504">
        <f>'raw data'!FP72</f>
        <v>6</v>
      </c>
      <c r="AI72" s="505">
        <f>'raw data'!FQ72</f>
        <v>15</v>
      </c>
      <c r="AJ72" s="506">
        <f>IF(ISERROR('raw data'!FP72/'raw data'!FQ72),0,'raw data'!FP72/'raw data'!FQ72)</f>
        <v>0.4</v>
      </c>
      <c r="AK72" s="504">
        <f>'raw data'!FR72</f>
        <v>2</v>
      </c>
      <c r="AL72" s="505">
        <f>'raw data'!FS72</f>
        <v>7</v>
      </c>
      <c r="AM72" s="506">
        <f>IF(ISERROR('raw data'!FR72/'raw data'!FS72),0,'raw data'!FR72/'raw data'!FS72)</f>
        <v>0.2857142857142857</v>
      </c>
      <c r="AN72" s="504">
        <f>'raw data'!FT72</f>
        <v>3</v>
      </c>
      <c r="AO72" s="505">
        <f>'raw data'!FU72</f>
        <v>10</v>
      </c>
      <c r="AP72" s="506">
        <f>IF(ISERROR('raw data'!FT72/'raw data'!FU72),0,'raw data'!FT72/'raw data'!FU72)</f>
        <v>0.3</v>
      </c>
      <c r="AQ72" s="504">
        <f>'raw data'!FV72</f>
        <v>3</v>
      </c>
      <c r="AR72" s="505">
        <f>'raw data'!FW72</f>
        <v>9</v>
      </c>
      <c r="AS72" s="507">
        <f>IF(ISERROR('raw data'!FV72/'raw data'!FW72),0,'raw data'!FV72/'raw data'!FW72)</f>
        <v>0.33333333333333331</v>
      </c>
      <c r="AT72" s="504">
        <f>'raw data'!FX72</f>
        <v>3</v>
      </c>
      <c r="AU72" s="505">
        <f>'raw data'!FY72</f>
        <v>8</v>
      </c>
      <c r="AV72" s="508">
        <f>IF(ISERROR('raw data'!FX73/'raw data'!FY73),0,'raw data'!FX73/'raw data'!FY73)</f>
        <v>0</v>
      </c>
      <c r="AW72" s="504">
        <f>'raw data'!FZ72</f>
        <v>5</v>
      </c>
      <c r="AX72" s="505">
        <f>'raw data'!GA72</f>
        <v>10</v>
      </c>
      <c r="AY72" s="508">
        <f>IF(ISERROR('raw data'!FZ73/'raw data'!GA73),0,'raw data'!FZ73/'raw data'!GA73)</f>
        <v>0</v>
      </c>
      <c r="AZ72" s="504">
        <f>'raw data'!GB72</f>
        <v>4</v>
      </c>
      <c r="BA72" s="505">
        <f>'raw data'!GC72</f>
        <v>15</v>
      </c>
      <c r="BB72" s="508">
        <f>IF(ISERROR('raw data'!GB73/'raw data'!GC73),0,'raw data'!GB73/'raw data'!GC73)</f>
        <v>0</v>
      </c>
      <c r="BC72" s="504">
        <f>'raw data'!GD72</f>
        <v>4</v>
      </c>
      <c r="BD72" s="505">
        <f>'raw data'!GE72</f>
        <v>24</v>
      </c>
      <c r="BE72" s="508">
        <f>IF(ISERROR('raw data'!GD73/'raw data'!GE73),0,'raw data'!GD73/'raw data'!GE73)</f>
        <v>0</v>
      </c>
      <c r="BF72" s="504">
        <f>'raw data'!GF72</f>
        <v>6</v>
      </c>
      <c r="BG72" s="505">
        <f>'raw data'!GG72</f>
        <v>21</v>
      </c>
      <c r="BH72" s="508">
        <f>IF(ISERROR('raw data'!GF73/'raw data'!GG73),0,'raw data'!GF73/'raw data'!GG73)</f>
        <v>0</v>
      </c>
      <c r="BI72" s="504">
        <f>'raw data'!GH72</f>
        <v>7</v>
      </c>
      <c r="BJ72" s="505">
        <f>'raw data'!GI72</f>
        <v>17</v>
      </c>
      <c r="BK72" s="508">
        <f>IF(ISERROR('raw data'!GH73/'raw data'!GI73),0,'raw data'!GH73/'raw data'!GI73)</f>
        <v>0</v>
      </c>
      <c r="BL72" s="504">
        <f>'raw data'!GJ72</f>
        <v>0</v>
      </c>
      <c r="BM72" s="505">
        <f>'raw data'!GK72</f>
        <v>10</v>
      </c>
      <c r="BN72" s="508">
        <f>IF(ISERROR('raw data'!GJ73/'raw data'!GK73),0,'raw data'!GJ73/'raw data'!GK73)</f>
        <v>0</v>
      </c>
      <c r="BO72" s="504">
        <f>'raw data'!GL72</f>
        <v>5</v>
      </c>
      <c r="BP72" s="505">
        <f>'raw data'!GM72</f>
        <v>15</v>
      </c>
      <c r="BQ72" s="508">
        <f>IF(ISERROR('raw data'!GL72/'raw data'!GM72),0,'raw data'!GL72/'raw data'!GM72)</f>
        <v>0.33333333333333331</v>
      </c>
      <c r="BR72" s="504">
        <f>'raw data'!GN72</f>
        <v>7</v>
      </c>
      <c r="BS72" s="505">
        <f>'raw data'!GO72</f>
        <v>20</v>
      </c>
      <c r="BT72" s="508">
        <f>IF(ISERROR('raw data'!GN72/'raw data'!GO72),0,'raw data'!GN72/'raw data'!GO72)</f>
        <v>0.35</v>
      </c>
      <c r="BU72" s="504">
        <f>'raw data'!GP72</f>
        <v>5</v>
      </c>
      <c r="BV72" s="505">
        <f>'raw data'!GQ72</f>
        <v>17</v>
      </c>
      <c r="BW72" s="508">
        <f>IF(ISERROR('raw data'!GP72/'raw data'!GQ72),0,'raw data'!GP72/'raw data'!GQ72)</f>
        <v>0.29411764705882354</v>
      </c>
      <c r="BX72" s="504">
        <f>'raw data'!GR72</f>
        <v>1</v>
      </c>
      <c r="BY72" s="505">
        <f>'raw data'!GS72</f>
        <v>9</v>
      </c>
      <c r="BZ72" s="508">
        <f>IF(ISERROR('raw data'!GR72/'raw data'!GS72),0,'raw data'!GR72/'raw data'!GS72)</f>
        <v>0.1111111111111111</v>
      </c>
      <c r="CA72" s="504">
        <f>'raw data'!GT72</f>
        <v>3</v>
      </c>
      <c r="CB72" s="505">
        <f>'raw data'!GU72</f>
        <v>9</v>
      </c>
      <c r="CC72" s="508">
        <f>IF(ISERROR('raw data'!GT72/'raw data'!GU72),0,'raw data'!GT72/'raw data'!GU72)</f>
        <v>0.33333333333333331</v>
      </c>
      <c r="CD72" s="504">
        <f>'raw data'!GV72</f>
        <v>5</v>
      </c>
      <c r="CE72" s="505">
        <f>'raw data'!GW72</f>
        <v>12</v>
      </c>
      <c r="CF72" s="508">
        <f>IF(ISERROR('raw data'!GV72/'raw data'!GW72),0,'raw data'!GV72/'raw data'!GW72)</f>
        <v>0.41666666666666669</v>
      </c>
      <c r="CG72" s="504">
        <f>'raw data'!GX72</f>
        <v>4</v>
      </c>
      <c r="CH72" s="505">
        <f>'raw data'!GY72</f>
        <v>20</v>
      </c>
      <c r="CI72" s="508">
        <f>IF(ISERROR('raw data'!GX72/'raw data'!GY72),0,'raw data'!GX72/'raw data'!GY72)</f>
        <v>0.2</v>
      </c>
      <c r="CJ72" s="504">
        <f>'raw data'!GZ72</f>
        <v>4</v>
      </c>
      <c r="CK72" s="505">
        <f>'raw data'!HA72</f>
        <v>15</v>
      </c>
      <c r="CL72" s="508">
        <f>IF(ISERROR('raw data'!GZ72/'raw data'!HA72),0,'raw data'!GZ72/'raw data'!HA72)</f>
        <v>0.26666666666666666</v>
      </c>
      <c r="CM72" s="504">
        <f>'raw data'!HB72</f>
        <v>4</v>
      </c>
      <c r="CN72" s="505">
        <f>'raw data'!HC72</f>
        <v>17</v>
      </c>
      <c r="CO72" s="508">
        <f>IF(ISERROR('raw data'!HB72/'raw data'!HC72),0,'raw data'!HB72/'raw data'!HC72)</f>
        <v>0.23529411764705882</v>
      </c>
      <c r="CP72" s="504">
        <f>'raw data'!HD72</f>
        <v>9</v>
      </c>
      <c r="CQ72" s="505">
        <f>'raw data'!HE72</f>
        <v>26</v>
      </c>
      <c r="CR72" s="508">
        <f>IF(ISERROR('raw data'!HD72/'raw data'!HE72),0,'raw data'!HD72/'raw data'!HE72)</f>
        <v>0.34615384615384615</v>
      </c>
      <c r="CS72" s="504">
        <f>'raw data'!HF72</f>
        <v>5</v>
      </c>
      <c r="CT72" s="505">
        <f>'raw data'!HG72</f>
        <v>24</v>
      </c>
      <c r="CU72" s="508">
        <f>IF(ISERROR('raw data'!HF72/'raw data'!HG72),0,'raw data'!HF72/'raw data'!HG72)</f>
        <v>0.20833333333333334</v>
      </c>
      <c r="CV72" s="504">
        <f>'raw data'!HH72</f>
        <v>4</v>
      </c>
      <c r="CW72" s="505">
        <f>'raw data'!HI72</f>
        <v>23</v>
      </c>
      <c r="CX72" s="508">
        <f>IF(ISERROR('raw data'!HH72/'raw data'!HI72),0,'raw data'!HH72/'raw data'!HI72)</f>
        <v>0.17391304347826086</v>
      </c>
      <c r="CY72" s="504">
        <f>'raw data'!HJ72</f>
        <v>5</v>
      </c>
      <c r="CZ72" s="505">
        <f>'raw data'!HK72</f>
        <v>11</v>
      </c>
      <c r="DA72" s="508">
        <f>IF(ISERROR('raw data'!HJ72/'raw data'!HK72),0,'raw data'!HJ72/'raw data'!HK72)</f>
        <v>0.45454545454545453</v>
      </c>
      <c r="DB72" s="504">
        <f>'raw data'!HL72</f>
        <v>6</v>
      </c>
      <c r="DC72" s="505">
        <f>'raw data'!HM72</f>
        <v>18</v>
      </c>
      <c r="DD72" s="508">
        <f>IF(ISERROR('raw data'!HL72/'raw data'!HM72),0,'raw data'!HL72/'raw data'!HM72)</f>
        <v>0.33333333333333331</v>
      </c>
      <c r="DE72" s="504">
        <f>'raw data'!HN72</f>
        <v>2</v>
      </c>
      <c r="DF72" s="505">
        <f>'raw data'!HO72</f>
        <v>15</v>
      </c>
      <c r="DG72" s="508">
        <f>IF(ISERROR('raw data'!HN72/'raw data'!HO72),0,'raw data'!HN72/'raw data'!HO72)</f>
        <v>0.13333333333333333</v>
      </c>
      <c r="DH72" s="504">
        <f>'raw data'!HP72</f>
        <v>4</v>
      </c>
      <c r="DI72" s="505">
        <f>'raw data'!HQ72</f>
        <v>11</v>
      </c>
      <c r="DJ72" s="508">
        <f>IF(ISERROR('raw data'!HP72/'raw data'!HQ72),0,'raw data'!HP72/'raw data'!HQ72)</f>
        <v>0.36363636363636365</v>
      </c>
      <c r="DK72" s="504">
        <f>'raw data'!HR72</f>
        <v>1</v>
      </c>
      <c r="DL72" s="505">
        <f>'raw data'!HS72</f>
        <v>10</v>
      </c>
      <c r="DM72" s="508">
        <f>IF(ISERROR('raw data'!HR72/'raw data'!HS72),0,'raw data'!HR72/'raw data'!HS72)</f>
        <v>0.1</v>
      </c>
      <c r="DN72" s="504">
        <f>'raw data'!HT72</f>
        <v>1</v>
      </c>
      <c r="DO72" s="505">
        <f>'raw data'!HU72</f>
        <v>6</v>
      </c>
      <c r="DP72" s="508">
        <f>IF(ISERROR('raw data'!HT72/'raw data'!HU72),0,'raw data'!HT72/'raw data'!HU72)</f>
        <v>0.16666666666666666</v>
      </c>
      <c r="DQ72" s="504">
        <f>'raw data'!HV72</f>
        <v>0</v>
      </c>
      <c r="DR72" s="505">
        <f>'raw data'!HW72</f>
        <v>5</v>
      </c>
      <c r="DS72" s="508">
        <f>IF(ISERROR('raw data'!HV72/'raw data'!HW72),0,'raw data'!HV72/'raw data'!HW72)</f>
        <v>0</v>
      </c>
      <c r="DT72" s="504">
        <f>'raw data'!HX72</f>
        <v>0</v>
      </c>
      <c r="DU72" s="505">
        <f>'raw data'!HY72</f>
        <v>13</v>
      </c>
      <c r="DV72" s="508">
        <f>IF(ISERROR('raw data'!HX72/'raw data'!HY72),0,'raw data'!HX72/'raw data'!HY72)</f>
        <v>0</v>
      </c>
      <c r="DW72" s="504">
        <f>'raw data'!HZ72</f>
        <v>1</v>
      </c>
      <c r="DX72" s="505">
        <f>'raw data'!IA72</f>
        <v>12</v>
      </c>
      <c r="DY72" s="508">
        <f>IF(ISERROR('raw data'!HZ72/'raw data'!IA72),0,'raw data'!HZ72/'raw data'!IA72)</f>
        <v>8.3333333333333329E-2</v>
      </c>
      <c r="DZ72" s="504">
        <f>'raw data'!IB72</f>
        <v>3</v>
      </c>
      <c r="EA72" s="505">
        <f>'raw data'!IC72</f>
        <v>13</v>
      </c>
      <c r="EB72" s="508">
        <f>IF(ISERROR('raw data'!IB72/'raw data'!IC72),0,'raw data'!IB72/'raw data'!IC72)</f>
        <v>0.23076923076923078</v>
      </c>
      <c r="EC72" s="504">
        <f>'raw data'!ID72</f>
        <v>1</v>
      </c>
      <c r="ED72" s="505">
        <f>'raw data'!IE72</f>
        <v>15</v>
      </c>
      <c r="EE72" s="508">
        <f>IF(ISERROR('raw data'!ID72/'raw data'!IE72),0,'raw data'!ID72/'raw data'!IE72)</f>
        <v>6.6666666666666666E-2</v>
      </c>
      <c r="EF72" s="402" t="s">
        <v>243</v>
      </c>
      <c r="EG72" s="403" t="s">
        <v>243</v>
      </c>
      <c r="EH72" s="405" t="s">
        <v>243</v>
      </c>
      <c r="EI72" s="402" t="s">
        <v>243</v>
      </c>
      <c r="EJ72" s="403" t="s">
        <v>243</v>
      </c>
      <c r="EK72" s="405" t="s">
        <v>243</v>
      </c>
      <c r="EL72" s="402" t="s">
        <v>243</v>
      </c>
      <c r="EM72" s="403" t="s">
        <v>243</v>
      </c>
      <c r="EN72" s="405" t="s">
        <v>243</v>
      </c>
      <c r="EO72" s="402" t="s">
        <v>243</v>
      </c>
      <c r="EP72" s="403" t="s">
        <v>243</v>
      </c>
      <c r="EQ72" s="405" t="s">
        <v>243</v>
      </c>
      <c r="ER72" s="402" t="s">
        <v>243</v>
      </c>
      <c r="ES72" s="403" t="s">
        <v>243</v>
      </c>
      <c r="ET72" s="405" t="s">
        <v>243</v>
      </c>
      <c r="EU72" s="402" t="s">
        <v>243</v>
      </c>
      <c r="EV72" s="403" t="s">
        <v>243</v>
      </c>
      <c r="EW72" s="405" t="s">
        <v>243</v>
      </c>
      <c r="EX72" s="402" t="s">
        <v>243</v>
      </c>
      <c r="EY72" s="403" t="s">
        <v>243</v>
      </c>
      <c r="EZ72" s="405" t="s">
        <v>243</v>
      </c>
      <c r="FA72" s="402" t="s">
        <v>243</v>
      </c>
      <c r="FB72" s="403" t="s">
        <v>243</v>
      </c>
      <c r="FC72" s="405" t="s">
        <v>243</v>
      </c>
      <c r="FD72" s="402" t="s">
        <v>243</v>
      </c>
      <c r="FE72" s="403" t="s">
        <v>243</v>
      </c>
      <c r="FF72" s="405" t="s">
        <v>243</v>
      </c>
      <c r="FG72" s="402" t="s">
        <v>243</v>
      </c>
      <c r="FH72" s="403" t="s">
        <v>243</v>
      </c>
      <c r="FI72" s="405" t="s">
        <v>243</v>
      </c>
      <c r="FJ72" s="402" t="s">
        <v>243</v>
      </c>
      <c r="FK72" s="403" t="s">
        <v>243</v>
      </c>
      <c r="FL72" s="405" t="s">
        <v>243</v>
      </c>
      <c r="FM72" s="402" t="s">
        <v>243</v>
      </c>
      <c r="FN72" s="403" t="s">
        <v>243</v>
      </c>
      <c r="FO72" s="405" t="s">
        <v>243</v>
      </c>
      <c r="FP72" s="402" t="s">
        <v>243</v>
      </c>
      <c r="FQ72" s="403" t="s">
        <v>243</v>
      </c>
      <c r="FR72" s="405" t="s">
        <v>243</v>
      </c>
      <c r="FS72" s="454"/>
      <c r="FT72" s="509">
        <v>0</v>
      </c>
      <c r="FU72" s="510">
        <v>0</v>
      </c>
      <c r="FV72" s="511">
        <f t="shared" si="0"/>
        <v>0</v>
      </c>
    </row>
    <row r="73" spans="1:178" ht="25.5" customHeight="1" x14ac:dyDescent="0.15">
      <c r="A73" s="502">
        <v>4.5999999999999996</v>
      </c>
      <c r="B73" s="502" t="str">
        <f>'raw data'!B73</f>
        <v xml:space="preserve">Credit Card with at least £20k in &amp; £20k out last month. </v>
      </c>
      <c r="C73" s="516" t="s">
        <v>124</v>
      </c>
      <c r="D73" s="504">
        <f>'raw data'!ET73</f>
        <v>0</v>
      </c>
      <c r="E73" s="505">
        <f>'raw data'!EU73</f>
        <v>12</v>
      </c>
      <c r="F73" s="506">
        <f>IF(ISERROR('raw data'!ET73/'raw data'!EU73),0,'raw data'!ET73/'raw data'!EU73)</f>
        <v>0</v>
      </c>
      <c r="G73" s="504">
        <f>'raw data'!EV73</f>
        <v>0</v>
      </c>
      <c r="H73" s="505">
        <f>'raw data'!EW73</f>
        <v>9</v>
      </c>
      <c r="I73" s="506">
        <f>IF(ISERROR('raw data'!EV73/'raw data'!EW73),0,'raw data'!EV73/'raw data'!EW73)</f>
        <v>0</v>
      </c>
      <c r="J73" s="504">
        <f>'raw data'!EX73</f>
        <v>6</v>
      </c>
      <c r="K73" s="505">
        <f>'raw data'!EY73</f>
        <v>104</v>
      </c>
      <c r="L73" s="506">
        <f>IF(ISERROR('raw data'!EX73/'raw data'!EY73),0,'raw data'!EX73/'raw data'!EY73)</f>
        <v>5.7692307692307696E-2</v>
      </c>
      <c r="M73" s="504">
        <f>'raw data'!EZ73</f>
        <v>0</v>
      </c>
      <c r="N73" s="505">
        <f>'raw data'!FA73</f>
        <v>7</v>
      </c>
      <c r="O73" s="506">
        <f>IF(ISERROR('raw data'!EZ73/'raw data'!FA73),0,'raw data'!EZ73/'raw data'!FA73)</f>
        <v>0</v>
      </c>
      <c r="P73" s="504">
        <f>'raw data'!FB73</f>
        <v>0</v>
      </c>
      <c r="Q73" s="505">
        <f>'raw data'!FC73</f>
        <v>14</v>
      </c>
      <c r="R73" s="506">
        <f>IF(ISERROR('raw data'!FB73/'raw data'!FC73),0,'raw data'!FB73/'raw data'!FC73)</f>
        <v>0</v>
      </c>
      <c r="S73" s="504">
        <f>'raw data'!FD73</f>
        <v>0</v>
      </c>
      <c r="T73" s="505">
        <f>'raw data'!FE73</f>
        <v>10</v>
      </c>
      <c r="U73" s="506">
        <f>IF(ISERROR('raw data'!FD73/'raw data'!FE73),0,'raw data'!FD73/'raw data'!FE73)</f>
        <v>0</v>
      </c>
      <c r="V73" s="504">
        <f>'raw data'!FF73</f>
        <v>1</v>
      </c>
      <c r="W73" s="505">
        <f>'raw data'!FG73</f>
        <v>18</v>
      </c>
      <c r="X73" s="506">
        <f>IF(ISERROR('raw data'!FF73/'raw data'!FG73),0,'raw data'!FF73/'raw data'!FG73)</f>
        <v>5.5555555555555552E-2</v>
      </c>
      <c r="Y73" s="504">
        <f>'raw data'!FH73</f>
        <v>0</v>
      </c>
      <c r="Z73" s="505">
        <f>'raw data'!FI73</f>
        <v>21</v>
      </c>
      <c r="AA73" s="506">
        <f>IF(ISERROR('raw data'!FH73/'raw data'!FI73),0,'raw data'!FH73/'raw data'!FI73)</f>
        <v>0</v>
      </c>
      <c r="AB73" s="504">
        <f>'raw data'!FJ73</f>
        <v>0</v>
      </c>
      <c r="AC73" s="505">
        <f>'raw data'!FM73</f>
        <v>21</v>
      </c>
      <c r="AD73" s="506">
        <f>IF(ISERROR('raw data'!FJ73/'raw data'!FM73),0,'raw data'!FJ73/'raw data'!FM73)</f>
        <v>0</v>
      </c>
      <c r="AE73" s="402" t="s">
        <v>243</v>
      </c>
      <c r="AF73" s="403" t="s">
        <v>243</v>
      </c>
      <c r="AG73" s="404" t="s">
        <v>243</v>
      </c>
      <c r="AH73" s="402" t="s">
        <v>243</v>
      </c>
      <c r="AI73" s="403" t="s">
        <v>243</v>
      </c>
      <c r="AJ73" s="404" t="s">
        <v>243</v>
      </c>
      <c r="AK73" s="402" t="s">
        <v>243</v>
      </c>
      <c r="AL73" s="403" t="s">
        <v>243</v>
      </c>
      <c r="AM73" s="404" t="s">
        <v>243</v>
      </c>
      <c r="AN73" s="402" t="s">
        <v>243</v>
      </c>
      <c r="AO73" s="403" t="s">
        <v>243</v>
      </c>
      <c r="AP73" s="404" t="s">
        <v>243</v>
      </c>
      <c r="AQ73" s="402" t="s">
        <v>243</v>
      </c>
      <c r="AR73" s="403" t="s">
        <v>243</v>
      </c>
      <c r="AS73" s="405" t="s">
        <v>243</v>
      </c>
      <c r="AT73" s="402" t="s">
        <v>243</v>
      </c>
      <c r="AU73" s="403" t="s">
        <v>243</v>
      </c>
      <c r="AV73" s="405" t="s">
        <v>243</v>
      </c>
      <c r="AW73" s="402" t="s">
        <v>243</v>
      </c>
      <c r="AX73" s="403" t="s">
        <v>243</v>
      </c>
      <c r="AY73" s="405" t="s">
        <v>243</v>
      </c>
      <c r="AZ73" s="402" t="s">
        <v>243</v>
      </c>
      <c r="BA73" s="403" t="s">
        <v>243</v>
      </c>
      <c r="BB73" s="405" t="s">
        <v>243</v>
      </c>
      <c r="BC73" s="402" t="s">
        <v>243</v>
      </c>
      <c r="BD73" s="403" t="s">
        <v>243</v>
      </c>
      <c r="BE73" s="405" t="s">
        <v>243</v>
      </c>
      <c r="BF73" s="402" t="s">
        <v>243</v>
      </c>
      <c r="BG73" s="403" t="s">
        <v>243</v>
      </c>
      <c r="BH73" s="405" t="s">
        <v>243</v>
      </c>
      <c r="BI73" s="402" t="s">
        <v>243</v>
      </c>
      <c r="BJ73" s="403" t="s">
        <v>243</v>
      </c>
      <c r="BK73" s="405" t="s">
        <v>243</v>
      </c>
      <c r="BL73" s="402" t="s">
        <v>243</v>
      </c>
      <c r="BM73" s="403" t="s">
        <v>243</v>
      </c>
      <c r="BN73" s="405" t="s">
        <v>243</v>
      </c>
      <c r="BO73" s="402" t="s">
        <v>243</v>
      </c>
      <c r="BP73" s="403" t="s">
        <v>243</v>
      </c>
      <c r="BQ73" s="405" t="s">
        <v>243</v>
      </c>
      <c r="BR73" s="402" t="s">
        <v>243</v>
      </c>
      <c r="BS73" s="403" t="s">
        <v>243</v>
      </c>
      <c r="BT73" s="405" t="s">
        <v>243</v>
      </c>
      <c r="BU73" s="402" t="s">
        <v>243</v>
      </c>
      <c r="BV73" s="403" t="s">
        <v>243</v>
      </c>
      <c r="BW73" s="405" t="s">
        <v>243</v>
      </c>
      <c r="BX73" s="402" t="s">
        <v>243</v>
      </c>
      <c r="BY73" s="403" t="s">
        <v>243</v>
      </c>
      <c r="BZ73" s="405" t="s">
        <v>243</v>
      </c>
      <c r="CA73" s="402" t="s">
        <v>243</v>
      </c>
      <c r="CB73" s="403" t="s">
        <v>243</v>
      </c>
      <c r="CC73" s="405" t="s">
        <v>243</v>
      </c>
      <c r="CD73" s="402" t="s">
        <v>243</v>
      </c>
      <c r="CE73" s="403" t="s">
        <v>243</v>
      </c>
      <c r="CF73" s="405" t="s">
        <v>243</v>
      </c>
      <c r="CG73" s="402" t="s">
        <v>243</v>
      </c>
      <c r="CH73" s="403" t="s">
        <v>243</v>
      </c>
      <c r="CI73" s="405" t="s">
        <v>243</v>
      </c>
      <c r="CJ73" s="402" t="s">
        <v>243</v>
      </c>
      <c r="CK73" s="403" t="s">
        <v>243</v>
      </c>
      <c r="CL73" s="405" t="s">
        <v>243</v>
      </c>
      <c r="CM73" s="402" t="s">
        <v>243</v>
      </c>
      <c r="CN73" s="403" t="s">
        <v>243</v>
      </c>
      <c r="CO73" s="405" t="s">
        <v>243</v>
      </c>
      <c r="CP73" s="402" t="s">
        <v>243</v>
      </c>
      <c r="CQ73" s="403" t="s">
        <v>243</v>
      </c>
      <c r="CR73" s="405" t="s">
        <v>243</v>
      </c>
      <c r="CS73" s="402" t="s">
        <v>243</v>
      </c>
      <c r="CT73" s="403" t="s">
        <v>243</v>
      </c>
      <c r="CU73" s="405" t="s">
        <v>243</v>
      </c>
      <c r="CV73" s="402" t="s">
        <v>243</v>
      </c>
      <c r="CW73" s="403" t="s">
        <v>243</v>
      </c>
      <c r="CX73" s="405" t="s">
        <v>243</v>
      </c>
      <c r="CY73" s="402" t="s">
        <v>243</v>
      </c>
      <c r="CZ73" s="403" t="s">
        <v>243</v>
      </c>
      <c r="DA73" s="405" t="s">
        <v>243</v>
      </c>
      <c r="DB73" s="402" t="s">
        <v>243</v>
      </c>
      <c r="DC73" s="403" t="s">
        <v>243</v>
      </c>
      <c r="DD73" s="405" t="s">
        <v>243</v>
      </c>
      <c r="DE73" s="402" t="s">
        <v>243</v>
      </c>
      <c r="DF73" s="403" t="s">
        <v>243</v>
      </c>
      <c r="DG73" s="405" t="s">
        <v>243</v>
      </c>
      <c r="DH73" s="402" t="s">
        <v>243</v>
      </c>
      <c r="DI73" s="403" t="s">
        <v>243</v>
      </c>
      <c r="DJ73" s="405" t="s">
        <v>243</v>
      </c>
      <c r="DK73" s="402" t="s">
        <v>243</v>
      </c>
      <c r="DL73" s="403" t="s">
        <v>243</v>
      </c>
      <c r="DM73" s="405" t="s">
        <v>243</v>
      </c>
      <c r="DN73" s="402" t="s">
        <v>243</v>
      </c>
      <c r="DO73" s="403" t="s">
        <v>243</v>
      </c>
      <c r="DP73" s="405" t="s">
        <v>243</v>
      </c>
      <c r="DQ73" s="402" t="s">
        <v>243</v>
      </c>
      <c r="DR73" s="403" t="s">
        <v>243</v>
      </c>
      <c r="DS73" s="405" t="s">
        <v>243</v>
      </c>
      <c r="DT73" s="402" t="s">
        <v>243</v>
      </c>
      <c r="DU73" s="403" t="s">
        <v>243</v>
      </c>
      <c r="DV73" s="405" t="s">
        <v>243</v>
      </c>
      <c r="DW73" s="402" t="s">
        <v>243</v>
      </c>
      <c r="DX73" s="403" t="s">
        <v>243</v>
      </c>
      <c r="DY73" s="405" t="s">
        <v>243</v>
      </c>
      <c r="DZ73" s="402" t="s">
        <v>243</v>
      </c>
      <c r="EA73" s="403" t="s">
        <v>243</v>
      </c>
      <c r="EB73" s="405" t="s">
        <v>243</v>
      </c>
      <c r="EC73" s="402" t="s">
        <v>243</v>
      </c>
      <c r="ED73" s="403" t="s">
        <v>243</v>
      </c>
      <c r="EE73" s="405" t="s">
        <v>243</v>
      </c>
      <c r="EF73" s="402" t="s">
        <v>243</v>
      </c>
      <c r="EG73" s="403" t="s">
        <v>243</v>
      </c>
      <c r="EH73" s="405" t="s">
        <v>243</v>
      </c>
      <c r="EI73" s="402" t="s">
        <v>243</v>
      </c>
      <c r="EJ73" s="403" t="s">
        <v>243</v>
      </c>
      <c r="EK73" s="405" t="s">
        <v>243</v>
      </c>
      <c r="EL73" s="402" t="s">
        <v>243</v>
      </c>
      <c r="EM73" s="403" t="s">
        <v>243</v>
      </c>
      <c r="EN73" s="405" t="s">
        <v>243</v>
      </c>
      <c r="EO73" s="402" t="s">
        <v>243</v>
      </c>
      <c r="EP73" s="403" t="s">
        <v>243</v>
      </c>
      <c r="EQ73" s="405" t="s">
        <v>243</v>
      </c>
      <c r="ER73" s="402" t="s">
        <v>243</v>
      </c>
      <c r="ES73" s="403" t="s">
        <v>243</v>
      </c>
      <c r="ET73" s="405" t="s">
        <v>243</v>
      </c>
      <c r="EU73" s="402" t="s">
        <v>243</v>
      </c>
      <c r="EV73" s="403" t="s">
        <v>243</v>
      </c>
      <c r="EW73" s="405" t="s">
        <v>243</v>
      </c>
      <c r="EX73" s="402" t="s">
        <v>243</v>
      </c>
      <c r="EY73" s="403" t="s">
        <v>243</v>
      </c>
      <c r="EZ73" s="405" t="s">
        <v>243</v>
      </c>
      <c r="FA73" s="402" t="s">
        <v>243</v>
      </c>
      <c r="FB73" s="403" t="s">
        <v>243</v>
      </c>
      <c r="FC73" s="405" t="s">
        <v>243</v>
      </c>
      <c r="FD73" s="402" t="s">
        <v>243</v>
      </c>
      <c r="FE73" s="403" t="s">
        <v>243</v>
      </c>
      <c r="FF73" s="405" t="s">
        <v>243</v>
      </c>
      <c r="FG73" s="402" t="s">
        <v>243</v>
      </c>
      <c r="FH73" s="403" t="s">
        <v>243</v>
      </c>
      <c r="FI73" s="405" t="s">
        <v>243</v>
      </c>
      <c r="FJ73" s="402" t="s">
        <v>243</v>
      </c>
      <c r="FK73" s="403" t="s">
        <v>243</v>
      </c>
      <c r="FL73" s="405" t="s">
        <v>243</v>
      </c>
      <c r="FM73" s="402" t="s">
        <v>243</v>
      </c>
      <c r="FN73" s="403" t="s">
        <v>243</v>
      </c>
      <c r="FO73" s="405" t="s">
        <v>243</v>
      </c>
      <c r="FP73" s="402" t="s">
        <v>243</v>
      </c>
      <c r="FQ73" s="403" t="s">
        <v>243</v>
      </c>
      <c r="FR73" s="405" t="s">
        <v>243</v>
      </c>
      <c r="FS73" s="454"/>
      <c r="FT73" s="509">
        <v>0</v>
      </c>
      <c r="FU73" s="510">
        <v>0</v>
      </c>
      <c r="FV73" s="511">
        <f t="shared" si="0"/>
        <v>0</v>
      </c>
    </row>
    <row r="74" spans="1:178" ht="14" x14ac:dyDescent="0.15">
      <c r="A74" s="415"/>
      <c r="B74" s="416" t="s">
        <v>125</v>
      </c>
      <c r="C74" s="417" t="s">
        <v>125</v>
      </c>
      <c r="D74" s="418">
        <f>SUM(D68:D73)</f>
        <v>2</v>
      </c>
      <c r="E74" s="419">
        <f>SUM(E68:E73)</f>
        <v>53</v>
      </c>
      <c r="F74" s="420">
        <f>IF(ISERROR('raw data'!ET74/'raw data'!EU74),0,'raw data'!ET74/'raw data'!EU74)</f>
        <v>3.7735849056603772E-2</v>
      </c>
      <c r="G74" s="423">
        <f>SUM(G68:G73)</f>
        <v>2</v>
      </c>
      <c r="H74" s="422">
        <f>SUM(H68:H73)</f>
        <v>43</v>
      </c>
      <c r="I74" s="420">
        <f>IF(ISERROR('raw data'!EV74/'raw data'!EW74),0,'raw data'!EV74/'raw data'!EW74)</f>
        <v>4.6511627906976744E-2</v>
      </c>
      <c r="J74" s="421">
        <f>SUM(J68:J73)</f>
        <v>8</v>
      </c>
      <c r="K74" s="422">
        <f>SUM(K68:K73)</f>
        <v>133</v>
      </c>
      <c r="L74" s="420">
        <f>IF(ISERROR('raw data'!EX74/'raw data'!EY74),0,'raw data'!EX74/'raw data'!EY74)</f>
        <v>6.0150375939849621E-2</v>
      </c>
      <c r="M74" s="423">
        <f>SUM(M68:M73)</f>
        <v>2</v>
      </c>
      <c r="N74" s="422">
        <f>SUM(N68:N73)</f>
        <v>26</v>
      </c>
      <c r="O74" s="420">
        <f>IF(ISERROR('raw data'!EZ74/'raw data'!FA74),0,'raw data'!EZ74/'raw data'!FA74)</f>
        <v>7.6923076923076927E-2</v>
      </c>
      <c r="P74" s="423">
        <f>SUM(P68:P73)</f>
        <v>11</v>
      </c>
      <c r="Q74" s="422">
        <f>SUM(Q68:Q73)</f>
        <v>35</v>
      </c>
      <c r="R74" s="420">
        <f>IF(ISERROR('raw data'!FB74/'raw data'!FC74),0,'raw data'!FB74/'raw data'!FC74)</f>
        <v>0.31428571428571428</v>
      </c>
      <c r="S74" s="423">
        <f>SUM(S68:S73)</f>
        <v>7</v>
      </c>
      <c r="T74" s="422">
        <f>SUM(T68:T73)</f>
        <v>38</v>
      </c>
      <c r="U74" s="420">
        <f>IF(ISERROR('raw data'!FD74/'raw data'!FE74),0,'raw data'!FD74/'raw data'!FE74)</f>
        <v>0.18421052631578946</v>
      </c>
      <c r="V74" s="423">
        <f>SUM(V68:V73)</f>
        <v>3</v>
      </c>
      <c r="W74" s="422">
        <f>SUM(W68:W73)</f>
        <v>36</v>
      </c>
      <c r="X74" s="420">
        <f>IF(ISERROR('raw data'!FF74/'raw data'!FG74),0,'raw data'!FF74/'raw data'!FG74)</f>
        <v>8.3333333333333329E-2</v>
      </c>
      <c r="Y74" s="423">
        <f>SUM(Y68:Y73)</f>
        <v>5</v>
      </c>
      <c r="Z74" s="422">
        <f>SUM(Z68:Z73)</f>
        <v>46</v>
      </c>
      <c r="AA74" s="420">
        <f>IF(ISERROR('raw data'!FH74/'raw data'!FI74),0,'raw data'!FH74/'raw data'!FI74)</f>
        <v>0.10869565217391304</v>
      </c>
      <c r="AB74" s="423">
        <f>SUM(AB68:AB73)</f>
        <v>6</v>
      </c>
      <c r="AC74" s="422">
        <f>SUM(AC68:AC73)</f>
        <v>39</v>
      </c>
      <c r="AD74" s="420">
        <f>IF(ISERROR('raw data'!FJ74/'raw data'!FM74),0,'raw data'!FJ74/'raw data'!FM74)</f>
        <v>0.15384615384615385</v>
      </c>
      <c r="AE74" s="423">
        <f>SUM(AE68:AE73)</f>
        <v>2</v>
      </c>
      <c r="AF74" s="422">
        <f>SUM(AF68:AF73)</f>
        <v>20</v>
      </c>
      <c r="AG74" s="420">
        <f>IF(ISERROR('raw data'!FN74/'raw data'!FO74),0,'raw data'!FN74/'raw data'!FO74)</f>
        <v>0.1</v>
      </c>
      <c r="AH74" s="423">
        <f>SUM(AH68:AH73)</f>
        <v>6</v>
      </c>
      <c r="AI74" s="422">
        <f>SUM(AI68:AI73)</f>
        <v>23</v>
      </c>
      <c r="AJ74" s="420">
        <f>IF(ISERROR('raw data'!FP74/'raw data'!FQ74),0,'raw data'!FP74/'raw data'!FQ74)</f>
        <v>0.2608695652173913</v>
      </c>
      <c r="AK74" s="423">
        <f>SUM(AK68:AK73)</f>
        <v>2</v>
      </c>
      <c r="AL74" s="422">
        <f>SUM(AL68:AL73)</f>
        <v>13</v>
      </c>
      <c r="AM74" s="420">
        <f>IF(ISERROR('raw data'!FR74/'raw data'!FS74),0,'raw data'!FR74/'raw data'!FS74)</f>
        <v>0.15384615384615385</v>
      </c>
      <c r="AN74" s="423">
        <f>SUM(AN68:AN73)</f>
        <v>3</v>
      </c>
      <c r="AO74" s="422">
        <f>SUM(AO68:AO73)</f>
        <v>16</v>
      </c>
      <c r="AP74" s="420">
        <f>IF(ISERROR('raw data'!FT74/'raw data'!FU74),0,'raw data'!FT74/'raw data'!FU74)</f>
        <v>0.1875</v>
      </c>
      <c r="AQ74" s="423">
        <f>SUM(AQ68:AQ73)</f>
        <v>4</v>
      </c>
      <c r="AR74" s="422">
        <f>SUM(AR68:AR73)</f>
        <v>22</v>
      </c>
      <c r="AS74" s="424">
        <f>IF(ISERROR('raw data'!FV74/'raw data'!FW74),0,'raw data'!FV74/'raw data'!FW74)</f>
        <v>0.18181818181818182</v>
      </c>
      <c r="AT74" s="423">
        <f>SUM(AT68:AT73)</f>
        <v>3</v>
      </c>
      <c r="AU74" s="425">
        <f>SUM(AU68:AU73)</f>
        <v>13</v>
      </c>
      <c r="AV74" s="426">
        <f>IF(ISERROR('raw data'!FX74/'raw data'!FY74),0,'raw data'!FX74/'raw data'!FY74)</f>
        <v>0.23076923076923078</v>
      </c>
      <c r="AW74" s="423">
        <f>SUM(AW68:AW73)</f>
        <v>6</v>
      </c>
      <c r="AX74" s="425">
        <f>SUM(AX68:AX73)</f>
        <v>15</v>
      </c>
      <c r="AY74" s="426">
        <f>IF(ISERROR('raw data'!FZ74/'raw data'!GA74),0,'raw data'!FZ74/'raw data'!GA74)</f>
        <v>0.4</v>
      </c>
      <c r="AZ74" s="423">
        <f>SUM(AZ68:AZ73)</f>
        <v>4</v>
      </c>
      <c r="BA74" s="425">
        <f>SUM(BA68:BA73)</f>
        <v>23</v>
      </c>
      <c r="BB74" s="426">
        <f>IF(ISERROR('raw data'!GB74/'raw data'!GC74),0,'raw data'!GB74/'raw data'!GC74)</f>
        <v>0.17391304347826086</v>
      </c>
      <c r="BC74" s="423">
        <f>SUM(BC68:BC73)</f>
        <v>4</v>
      </c>
      <c r="BD74" s="425">
        <f>SUM(BD68:BD73)</f>
        <v>32</v>
      </c>
      <c r="BE74" s="426">
        <f>IF(ISERROR('raw data'!GD74/'raw data'!GE74),0,'raw data'!GD74/'raw data'!GE74)</f>
        <v>0.125</v>
      </c>
      <c r="BF74" s="423">
        <f>SUM(BF68:BF73)</f>
        <v>6</v>
      </c>
      <c r="BG74" s="425">
        <f>SUM(BG68:BG73)</f>
        <v>29</v>
      </c>
      <c r="BH74" s="426">
        <f>IF(ISERROR('raw data'!GF74/'raw data'!GG74),0,'raw data'!GF74/'raw data'!GG74)</f>
        <v>0.20689655172413793</v>
      </c>
      <c r="BI74" s="423">
        <f>SUM(BI68:BI73)</f>
        <v>7</v>
      </c>
      <c r="BJ74" s="425">
        <f>SUM(BJ68:BJ73)</f>
        <v>28</v>
      </c>
      <c r="BK74" s="426">
        <f>IF(ISERROR('raw data'!GH74/'raw data'!GI74),0,'raw data'!GH74/'raw data'!GI74)</f>
        <v>0.25</v>
      </c>
      <c r="BL74" s="423">
        <f>SUM(BL68:BL73)</f>
        <v>0</v>
      </c>
      <c r="BM74" s="425">
        <f>SUM(BM68:BM73)</f>
        <v>16</v>
      </c>
      <c r="BN74" s="426">
        <f>IF(ISERROR('raw data'!GJ74/'raw data'!GK74),0,'raw data'!GJ74/'raw data'!GK74)</f>
        <v>0</v>
      </c>
      <c r="BO74" s="423">
        <f>SUM(BO68:BO73)</f>
        <v>5</v>
      </c>
      <c r="BP74" s="425">
        <f>SUM(BP68:BP73)</f>
        <v>25</v>
      </c>
      <c r="BQ74" s="426">
        <f>IF(ISERROR('raw data'!GL74/'raw data'!GM74),0,'raw data'!GL74/'raw data'!GM74)</f>
        <v>0.2</v>
      </c>
      <c r="BR74" s="423">
        <f>SUM(BR68:BR73)</f>
        <v>7</v>
      </c>
      <c r="BS74" s="425">
        <f>SUM(BS68:BS73)</f>
        <v>29</v>
      </c>
      <c r="BT74" s="426">
        <f>IF(ISERROR('raw data'!GN74/'raw data'!GO74),0,'raw data'!GN74/'raw data'!GO74)</f>
        <v>0.2413793103448276</v>
      </c>
      <c r="BU74" s="423">
        <f>SUM(BU68:BU73)</f>
        <v>6</v>
      </c>
      <c r="BV74" s="425">
        <f>SUM(BV68:BV73)</f>
        <v>20</v>
      </c>
      <c r="BW74" s="426">
        <f>IF(ISERROR('raw data'!GP74/'raw data'!GQ74),0,'raw data'!GP74/'raw data'!GQ74)</f>
        <v>0.3</v>
      </c>
      <c r="BX74" s="423">
        <f>SUM(BX68:BX73)</f>
        <v>1</v>
      </c>
      <c r="BY74" s="425">
        <f>SUM(BY68:BY73)</f>
        <v>11</v>
      </c>
      <c r="BZ74" s="426">
        <f>IF(ISERROR('raw data'!GR74/'raw data'!GS74),0,'raw data'!GR74/'raw data'!GS74)</f>
        <v>9.0909090909090912E-2</v>
      </c>
      <c r="CA74" s="423">
        <f>SUM(CA68:CA73)</f>
        <v>3</v>
      </c>
      <c r="CB74" s="425">
        <f>SUM(CB68:CB73)</f>
        <v>11</v>
      </c>
      <c r="CC74" s="426">
        <f>IF(ISERROR('raw data'!GT74/'raw data'!GU74),0,'raw data'!GT74/'raw data'!GU74)</f>
        <v>0.27272727272727271</v>
      </c>
      <c r="CD74" s="423">
        <f>SUM(CD68:CD73)</f>
        <v>5</v>
      </c>
      <c r="CE74" s="425">
        <f>SUM(CE68:CE73)</f>
        <v>13</v>
      </c>
      <c r="CF74" s="426">
        <f>IF(ISERROR('raw data'!GV74/'raw data'!GW74),0,'raw data'!GV74/'raw data'!GW74)</f>
        <v>0.38461538461538464</v>
      </c>
      <c r="CG74" s="423">
        <f>SUM(CG68:CG73)</f>
        <v>4</v>
      </c>
      <c r="CH74" s="425">
        <f>SUM(CH68:CH73)</f>
        <v>21</v>
      </c>
      <c r="CI74" s="426">
        <f>IF(ISERROR('raw data'!GX74/'raw data'!GY74),0,'raw data'!GX74/'raw data'!GY74)</f>
        <v>0.19047619047619047</v>
      </c>
      <c r="CJ74" s="423">
        <f>SUM(CJ68:CJ73)</f>
        <v>4</v>
      </c>
      <c r="CK74" s="425">
        <f>SUM(CK68:CK73)</f>
        <v>19</v>
      </c>
      <c r="CL74" s="426">
        <f>IF(ISERROR('raw data'!GZ74/'raw data'!HA74),0,'raw data'!GZ74/'raw data'!HA74)</f>
        <v>0.21052631578947367</v>
      </c>
      <c r="CM74" s="423">
        <f>SUM(CM68:CM73)</f>
        <v>4</v>
      </c>
      <c r="CN74" s="425">
        <f>SUM(CN68:CN73)</f>
        <v>18</v>
      </c>
      <c r="CO74" s="426">
        <f>IF(ISERROR('raw data'!HB74/'raw data'!HC74),0,'raw data'!HB74/'raw data'!HC74)</f>
        <v>0.22222222222222221</v>
      </c>
      <c r="CP74" s="423">
        <f>SUM(CP68:CP73)</f>
        <v>9</v>
      </c>
      <c r="CQ74" s="425">
        <f>SUM(CQ68:CQ73)</f>
        <v>29</v>
      </c>
      <c r="CR74" s="426">
        <f>IF(ISERROR('raw data'!HD74/'raw data'!HE74),0,'raw data'!HD74/'raw data'!HE74)</f>
        <v>0.31034482758620691</v>
      </c>
      <c r="CS74" s="423">
        <f>SUM(CS68:CS73)</f>
        <v>5</v>
      </c>
      <c r="CT74" s="425">
        <f>SUM(CT68:CT73)</f>
        <v>28</v>
      </c>
      <c r="CU74" s="426">
        <f>IF(ISERROR('raw data'!HF74/'raw data'!HG74),0,'raw data'!HF74/'raw data'!HG74)</f>
        <v>0.17857142857142858</v>
      </c>
      <c r="CV74" s="423">
        <f>SUM(CV68:CV73)</f>
        <v>4</v>
      </c>
      <c r="CW74" s="425">
        <f>SUM(CW68:CW73)</f>
        <v>27</v>
      </c>
      <c r="CX74" s="426">
        <f>IF(ISERROR('raw data'!HH74/'raw data'!HI74),0,'raw data'!HH74/'raw data'!HI74)</f>
        <v>0.14814814814814814</v>
      </c>
      <c r="CY74" s="423">
        <f>SUM(CY68:CY73)</f>
        <v>5</v>
      </c>
      <c r="CZ74" s="425">
        <f>SUM(CZ68:CZ73)</f>
        <v>15</v>
      </c>
      <c r="DA74" s="426">
        <f>IF(ISERROR('raw data'!HJ74/'raw data'!HK74),0,'raw data'!HJ74/'raw data'!HK74)</f>
        <v>0.33333333333333331</v>
      </c>
      <c r="DB74" s="423">
        <f>SUM(DB68:DB73)</f>
        <v>6</v>
      </c>
      <c r="DC74" s="425">
        <f>SUM(DC68:DC73)</f>
        <v>23</v>
      </c>
      <c r="DD74" s="426">
        <f>IF(ISERROR('raw data'!HL74/'raw data'!HM74),0,'raw data'!HL74/'raw data'!HM74)</f>
        <v>0.2608695652173913</v>
      </c>
      <c r="DE74" s="423">
        <f>SUM(DE68:DE73)</f>
        <v>2</v>
      </c>
      <c r="DF74" s="425">
        <f>SUM(DF68:DF73)</f>
        <v>16</v>
      </c>
      <c r="DG74" s="426">
        <f>IF(ISERROR('raw data'!HN74/'raw data'!HO74),0,'raw data'!HN74/'raw data'!HO74)</f>
        <v>0.125</v>
      </c>
      <c r="DH74" s="423">
        <f>SUM(DH68:DH73)</f>
        <v>4</v>
      </c>
      <c r="DI74" s="425">
        <f>SUM(DI68:DI73)</f>
        <v>15</v>
      </c>
      <c r="DJ74" s="426">
        <f>IF(ISERROR('raw data'!HP74/'raw data'!HQ74),0,'raw data'!HP74/'raw data'!HQ74)</f>
        <v>0.26666666666666666</v>
      </c>
      <c r="DK74" s="423">
        <f>SUM(DK68:DK73)</f>
        <v>1</v>
      </c>
      <c r="DL74" s="425">
        <f>SUM(DL68:DL73)</f>
        <v>14</v>
      </c>
      <c r="DM74" s="426">
        <f>IF(ISERROR('raw data'!HR74/'raw data'!HS74),0,'raw data'!HR74/'raw data'!HS74)</f>
        <v>7.1428571428571425E-2</v>
      </c>
      <c r="DN74" s="423">
        <f>SUM(DN68:DN73)</f>
        <v>1</v>
      </c>
      <c r="DO74" s="425">
        <f>SUM(DO68:DO73)</f>
        <v>12</v>
      </c>
      <c r="DP74" s="426">
        <f>IF(ISERROR('raw data'!HT74/'raw data'!HU74),0,'raw data'!HT74/'raw data'!HU74)</f>
        <v>8.3333333333333329E-2</v>
      </c>
      <c r="DQ74" s="423">
        <f>SUM(DQ68:DQ73)</f>
        <v>0</v>
      </c>
      <c r="DR74" s="425">
        <f>SUM(DR68:DR73)</f>
        <v>10</v>
      </c>
      <c r="DS74" s="426">
        <f>IF(ISERROR('raw data'!HV74/'raw data'!HW74),0,'raw data'!HV74/'raw data'!HW74)</f>
        <v>0</v>
      </c>
      <c r="DT74" s="423">
        <f>SUM(DT68:DT73)</f>
        <v>0</v>
      </c>
      <c r="DU74" s="425">
        <f>SUM(DU68:DU73)</f>
        <v>17</v>
      </c>
      <c r="DV74" s="426">
        <f>IF(ISERROR('raw data'!HX74/'raw data'!HY74),0,'raw data'!HX74/'raw data'!HY74)</f>
        <v>0</v>
      </c>
      <c r="DW74" s="423">
        <f>SUM(DW68:DW73)</f>
        <v>1</v>
      </c>
      <c r="DX74" s="425">
        <f>SUM(DX68:DX73)</f>
        <v>18</v>
      </c>
      <c r="DY74" s="426">
        <f>IF(ISERROR('raw data'!HZ74/'raw data'!IA74),0,'raw data'!HZ74/'raw data'!IA74)</f>
        <v>5.5555555555555552E-2</v>
      </c>
      <c r="DZ74" s="423">
        <f>SUM(DZ68:DZ73)</f>
        <v>3</v>
      </c>
      <c r="EA74" s="425">
        <f>SUM(EA68:EA73)</f>
        <v>17</v>
      </c>
      <c r="EB74" s="426">
        <f>IF(ISERROR('raw data'!IB74/'raw data'!IC74),0,'raw data'!IB74/'raw data'!IC74)</f>
        <v>0.17647058823529413</v>
      </c>
      <c r="EC74" s="423">
        <f>SUM(EC68:EC73)</f>
        <v>1</v>
      </c>
      <c r="ED74" s="422">
        <f>SUM(ED68:ED73)</f>
        <v>19</v>
      </c>
      <c r="EE74" s="426">
        <f>IF(ISERROR('raw data'!ID74/'raw data'!IE74),0,'raw data'!ID74/'raw data'!IE74)</f>
        <v>5.2631578947368418E-2</v>
      </c>
      <c r="EF74" s="423">
        <f>SUM(EF68:EF73)</f>
        <v>0</v>
      </c>
      <c r="EG74" s="422">
        <f>SUM(EG68:EG73)</f>
        <v>7</v>
      </c>
      <c r="EH74" s="426">
        <f>IF(ISERROR('raw data'!IF74/'raw data'!IG74),0,'raw data'!IF74/'raw data'!IG74)</f>
        <v>0</v>
      </c>
      <c r="EI74" s="423">
        <f>SUM(EI68:EI73)</f>
        <v>1</v>
      </c>
      <c r="EJ74" s="422">
        <f>SUM(EJ68:EJ73)</f>
        <v>11</v>
      </c>
      <c r="EK74" s="426">
        <f>IF(ISERROR('raw data'!IH74/'raw data'!II74),0,'raw data'!IH74/'raw data'!II74)</f>
        <v>9.0909090909090912E-2</v>
      </c>
      <c r="EL74" s="423">
        <f>SUM(EL68:EL73)</f>
        <v>0</v>
      </c>
      <c r="EM74" s="422">
        <f>SUM(EM68:EM73)</f>
        <v>7</v>
      </c>
      <c r="EN74" s="426">
        <f>IF(ISERROR('raw data'!IJ74/'raw data'!IK74),0,'raw data'!IJ74/'raw data'!IK74)</f>
        <v>0</v>
      </c>
      <c r="EO74" s="423">
        <f>SUM(EO68:EO73)</f>
        <v>0</v>
      </c>
      <c r="EP74" s="422">
        <f>SUM(EP68:EP73)</f>
        <v>7</v>
      </c>
      <c r="EQ74" s="426">
        <f>IF(ISERROR('raw data'!IL74/'raw data'!IM74),0,'raw data'!IL74/'raw data'!IM74)</f>
        <v>0</v>
      </c>
      <c r="ER74" s="423">
        <f>SUM(ER68:ER73)</f>
        <v>0</v>
      </c>
      <c r="ES74" s="422">
        <f>SUM(ES68:ES73)</f>
        <v>7</v>
      </c>
      <c r="ET74" s="426">
        <f>IF(ISERROR('raw data'!IN74/'raw data'!IO74),0,'raw data'!IN74/'raw data'!IO74)</f>
        <v>0</v>
      </c>
      <c r="EU74" s="423">
        <f>SUM(EU68:EU73)</f>
        <v>0</v>
      </c>
      <c r="EV74" s="422">
        <f>SUM(EV68:EV73)</f>
        <v>5</v>
      </c>
      <c r="EW74" s="426">
        <f>IF(ISERROR('raw data'!IP74/'raw data'!IQ74),0,'raw data'!IP74/'raw data'!IQ74)</f>
        <v>0</v>
      </c>
      <c r="EX74" s="423">
        <f>SUM(EX68:EX73)</f>
        <v>0</v>
      </c>
      <c r="EY74" s="422">
        <f>SUM(EY68:EY73)</f>
        <v>9</v>
      </c>
      <c r="EZ74" s="426">
        <f>IF(ISERROR('raw data'!IR74/'raw data'!IS74),0,'raw data'!IR74/'raw data'!IS74)</f>
        <v>0</v>
      </c>
      <c r="FA74" s="423">
        <f>SUM(FA68:FA73)</f>
        <v>0</v>
      </c>
      <c r="FB74" s="422">
        <f>SUM(FB68:FB73)</f>
        <v>11</v>
      </c>
      <c r="FC74" s="426">
        <f>IF(ISERROR('raw data'!IT74/'raw data'!IU74),0,'raw data'!IT74/'raw data'!IU74)</f>
        <v>0</v>
      </c>
      <c r="FD74" s="423">
        <f>SUM(FD68:FD73)</f>
        <v>0</v>
      </c>
      <c r="FE74" s="422">
        <f>SUM(FE68:FE73)</f>
        <v>9</v>
      </c>
      <c r="FF74" s="426">
        <f>IF(ISERROR('raw data'!IV74/'raw data'!IW74),0,'raw data'!IV74/'raw data'!IW74)</f>
        <v>0</v>
      </c>
      <c r="FG74" s="423">
        <f>SUM(FG68:FG73)</f>
        <v>0</v>
      </c>
      <c r="FH74" s="422">
        <f>SUM(FH68:FH73)</f>
        <v>6</v>
      </c>
      <c r="FI74" s="426">
        <f>IF(ISERROR('raw data'!IX74/'raw data'!IY74),0,'raw data'!IX74/'raw data'!IY74)</f>
        <v>0</v>
      </c>
      <c r="FJ74" s="423">
        <f>SUM(FJ68:FJ73)</f>
        <v>0</v>
      </c>
      <c r="FK74" s="422">
        <f>SUM(FK68:FK73)</f>
        <v>7</v>
      </c>
      <c r="FL74" s="426">
        <f>IF(ISERROR('raw data'!IZ74/'raw data'!JA74),0,'raw data'!IZ74/'raw data'!JA74)</f>
        <v>0</v>
      </c>
      <c r="FM74" s="423">
        <f>SUM(FM68:FM73)</f>
        <v>1</v>
      </c>
      <c r="FN74" s="422">
        <f>SUM(FN68:FN73)</f>
        <v>9</v>
      </c>
      <c r="FO74" s="426">
        <f>IF(ISERROR('raw data'!JB74/'raw data'!JC74),0,'raw data'!JB74/'raw data'!JC74)</f>
        <v>0.1111111111111111</v>
      </c>
      <c r="FP74" s="423">
        <f>SUM(FP68:FP73)</f>
        <v>1</v>
      </c>
      <c r="FQ74" s="422">
        <f>SUM(FQ68:FQ73)</f>
        <v>10</v>
      </c>
      <c r="FR74" s="426">
        <f>IF(ISERROR('raw data'!JD74/'raw data'!JE74),0,'raw data'!JD74/'raw data'!JE74)</f>
        <v>0.1</v>
      </c>
      <c r="FS74" s="469"/>
      <c r="FT74" s="428">
        <f>SUM(FT68:FT73)</f>
        <v>3</v>
      </c>
      <c r="FU74" s="429">
        <f>SUM(FU68:FU73)</f>
        <v>98</v>
      </c>
      <c r="FV74" s="430">
        <f t="shared" si="0"/>
        <v>3.0612244897959183E-2</v>
      </c>
    </row>
    <row r="75" spans="1:178" ht="42" x14ac:dyDescent="0.15">
      <c r="A75" s="517" t="s">
        <v>126</v>
      </c>
      <c r="B75" s="517" t="str">
        <f>'raw data'!B75</f>
        <v>Flex accounts with a £5k+ loan received 3 months ago and 10+ foreign Visa withdrawals (VW), each £100+, totalling £3k+ within past 3 months.</v>
      </c>
      <c r="C75" s="518"/>
      <c r="D75" s="484"/>
      <c r="E75" s="485"/>
      <c r="F75" s="483"/>
      <c r="G75" s="519">
        <f>'raw data'!EV75</f>
        <v>0</v>
      </c>
      <c r="H75" s="520">
        <f>'raw data'!EW75</f>
        <v>2</v>
      </c>
      <c r="I75" s="521">
        <f>IF(ISERROR('raw data'!EV75/'raw data'!EW75),0,'raw data'!EV75/'raw data'!EW75)</f>
        <v>0</v>
      </c>
      <c r="J75" s="519">
        <f>'raw data'!EX75</f>
        <v>0</v>
      </c>
      <c r="K75" s="520">
        <f>'raw data'!EY75</f>
        <v>3</v>
      </c>
      <c r="L75" s="521">
        <f>IF(ISERROR('raw data'!EX75/'raw data'!EY75),0,'raw data'!EX75/'raw data'!EY75)</f>
        <v>0</v>
      </c>
      <c r="M75" s="519">
        <f>'raw data'!EZ75</f>
        <v>0</v>
      </c>
      <c r="N75" s="520">
        <f>'raw data'!FA75</f>
        <v>3</v>
      </c>
      <c r="O75" s="521">
        <f>IF(ISERROR('raw data'!EZ75/'raw data'!FA75),0,'raw data'!EZ75/'raw data'!FA75)</f>
        <v>0</v>
      </c>
      <c r="P75" s="402" t="s">
        <v>243</v>
      </c>
      <c r="Q75" s="403" t="s">
        <v>243</v>
      </c>
      <c r="R75" s="404" t="s">
        <v>243</v>
      </c>
      <c r="S75" s="402" t="s">
        <v>243</v>
      </c>
      <c r="T75" s="403" t="s">
        <v>243</v>
      </c>
      <c r="U75" s="404" t="s">
        <v>243</v>
      </c>
      <c r="V75" s="402" t="s">
        <v>243</v>
      </c>
      <c r="W75" s="403" t="s">
        <v>243</v>
      </c>
      <c r="X75" s="404" t="s">
        <v>243</v>
      </c>
      <c r="Y75" s="402" t="s">
        <v>243</v>
      </c>
      <c r="Z75" s="403" t="s">
        <v>243</v>
      </c>
      <c r="AA75" s="404" t="s">
        <v>243</v>
      </c>
      <c r="AB75" s="402" t="s">
        <v>243</v>
      </c>
      <c r="AC75" s="403" t="s">
        <v>243</v>
      </c>
      <c r="AD75" s="404" t="s">
        <v>243</v>
      </c>
      <c r="AE75" s="402" t="s">
        <v>243</v>
      </c>
      <c r="AF75" s="403" t="s">
        <v>243</v>
      </c>
      <c r="AG75" s="404" t="s">
        <v>243</v>
      </c>
      <c r="AH75" s="402" t="s">
        <v>243</v>
      </c>
      <c r="AI75" s="403" t="s">
        <v>243</v>
      </c>
      <c r="AJ75" s="404" t="s">
        <v>243</v>
      </c>
      <c r="AK75" s="402" t="s">
        <v>243</v>
      </c>
      <c r="AL75" s="403" t="s">
        <v>243</v>
      </c>
      <c r="AM75" s="404" t="s">
        <v>243</v>
      </c>
      <c r="AN75" s="402" t="s">
        <v>243</v>
      </c>
      <c r="AO75" s="403" t="s">
        <v>243</v>
      </c>
      <c r="AP75" s="404" t="s">
        <v>243</v>
      </c>
      <c r="AQ75" s="402" t="s">
        <v>243</v>
      </c>
      <c r="AR75" s="403" t="s">
        <v>243</v>
      </c>
      <c r="AS75" s="405" t="s">
        <v>243</v>
      </c>
      <c r="AT75" s="402" t="s">
        <v>243</v>
      </c>
      <c r="AU75" s="403" t="s">
        <v>243</v>
      </c>
      <c r="AV75" s="405" t="s">
        <v>243</v>
      </c>
      <c r="AW75" s="402" t="s">
        <v>243</v>
      </c>
      <c r="AX75" s="403" t="s">
        <v>243</v>
      </c>
      <c r="AY75" s="405" t="s">
        <v>243</v>
      </c>
      <c r="AZ75" s="402" t="s">
        <v>243</v>
      </c>
      <c r="BA75" s="403" t="s">
        <v>243</v>
      </c>
      <c r="BB75" s="405" t="s">
        <v>243</v>
      </c>
      <c r="BC75" s="402" t="s">
        <v>243</v>
      </c>
      <c r="BD75" s="403" t="s">
        <v>243</v>
      </c>
      <c r="BE75" s="405" t="s">
        <v>243</v>
      </c>
      <c r="BF75" s="402" t="s">
        <v>243</v>
      </c>
      <c r="BG75" s="403" t="s">
        <v>243</v>
      </c>
      <c r="BH75" s="405" t="s">
        <v>243</v>
      </c>
      <c r="BI75" s="402" t="s">
        <v>243</v>
      </c>
      <c r="BJ75" s="403" t="s">
        <v>243</v>
      </c>
      <c r="BK75" s="405" t="s">
        <v>243</v>
      </c>
      <c r="BL75" s="402" t="s">
        <v>243</v>
      </c>
      <c r="BM75" s="403" t="s">
        <v>243</v>
      </c>
      <c r="BN75" s="405" t="s">
        <v>243</v>
      </c>
      <c r="BO75" s="402" t="s">
        <v>243</v>
      </c>
      <c r="BP75" s="403" t="s">
        <v>243</v>
      </c>
      <c r="BQ75" s="405" t="s">
        <v>243</v>
      </c>
      <c r="BR75" s="402" t="s">
        <v>243</v>
      </c>
      <c r="BS75" s="403" t="s">
        <v>243</v>
      </c>
      <c r="BT75" s="405" t="s">
        <v>243</v>
      </c>
      <c r="BU75" s="402" t="s">
        <v>243</v>
      </c>
      <c r="BV75" s="403" t="s">
        <v>243</v>
      </c>
      <c r="BW75" s="405" t="s">
        <v>243</v>
      </c>
      <c r="BX75" s="402" t="s">
        <v>243</v>
      </c>
      <c r="BY75" s="403" t="s">
        <v>243</v>
      </c>
      <c r="BZ75" s="405" t="s">
        <v>243</v>
      </c>
      <c r="CA75" s="402" t="s">
        <v>243</v>
      </c>
      <c r="CB75" s="403" t="s">
        <v>243</v>
      </c>
      <c r="CC75" s="405" t="s">
        <v>243</v>
      </c>
      <c r="CD75" s="402" t="s">
        <v>243</v>
      </c>
      <c r="CE75" s="403" t="s">
        <v>243</v>
      </c>
      <c r="CF75" s="405" t="s">
        <v>243</v>
      </c>
      <c r="CG75" s="402" t="s">
        <v>243</v>
      </c>
      <c r="CH75" s="403" t="s">
        <v>243</v>
      </c>
      <c r="CI75" s="405" t="s">
        <v>243</v>
      </c>
      <c r="CJ75" s="402" t="s">
        <v>243</v>
      </c>
      <c r="CK75" s="403" t="s">
        <v>243</v>
      </c>
      <c r="CL75" s="405" t="s">
        <v>243</v>
      </c>
      <c r="CM75" s="402" t="s">
        <v>243</v>
      </c>
      <c r="CN75" s="403" t="s">
        <v>243</v>
      </c>
      <c r="CO75" s="405" t="s">
        <v>243</v>
      </c>
      <c r="CP75" s="402" t="s">
        <v>243</v>
      </c>
      <c r="CQ75" s="403" t="s">
        <v>243</v>
      </c>
      <c r="CR75" s="405" t="s">
        <v>243</v>
      </c>
      <c r="CS75" s="402" t="s">
        <v>243</v>
      </c>
      <c r="CT75" s="403" t="s">
        <v>243</v>
      </c>
      <c r="CU75" s="405" t="s">
        <v>243</v>
      </c>
      <c r="CV75" s="402" t="s">
        <v>243</v>
      </c>
      <c r="CW75" s="403" t="s">
        <v>243</v>
      </c>
      <c r="CX75" s="405" t="s">
        <v>243</v>
      </c>
      <c r="CY75" s="402" t="s">
        <v>243</v>
      </c>
      <c r="CZ75" s="403" t="s">
        <v>243</v>
      </c>
      <c r="DA75" s="405" t="s">
        <v>243</v>
      </c>
      <c r="DB75" s="402" t="s">
        <v>243</v>
      </c>
      <c r="DC75" s="403" t="s">
        <v>243</v>
      </c>
      <c r="DD75" s="405" t="s">
        <v>243</v>
      </c>
      <c r="DE75" s="402" t="s">
        <v>243</v>
      </c>
      <c r="DF75" s="403" t="s">
        <v>243</v>
      </c>
      <c r="DG75" s="405" t="s">
        <v>243</v>
      </c>
      <c r="DH75" s="402" t="s">
        <v>243</v>
      </c>
      <c r="DI75" s="403" t="s">
        <v>243</v>
      </c>
      <c r="DJ75" s="405" t="s">
        <v>243</v>
      </c>
      <c r="DK75" s="402" t="s">
        <v>243</v>
      </c>
      <c r="DL75" s="403" t="s">
        <v>243</v>
      </c>
      <c r="DM75" s="405" t="s">
        <v>243</v>
      </c>
      <c r="DN75" s="402" t="s">
        <v>243</v>
      </c>
      <c r="DO75" s="403" t="s">
        <v>243</v>
      </c>
      <c r="DP75" s="405" t="s">
        <v>243</v>
      </c>
      <c r="DQ75" s="402" t="s">
        <v>243</v>
      </c>
      <c r="DR75" s="403" t="s">
        <v>243</v>
      </c>
      <c r="DS75" s="405" t="s">
        <v>243</v>
      </c>
      <c r="DT75" s="402" t="s">
        <v>243</v>
      </c>
      <c r="DU75" s="403" t="s">
        <v>243</v>
      </c>
      <c r="DV75" s="405" t="s">
        <v>243</v>
      </c>
      <c r="DW75" s="402" t="s">
        <v>243</v>
      </c>
      <c r="DX75" s="403" t="s">
        <v>243</v>
      </c>
      <c r="DY75" s="405" t="s">
        <v>243</v>
      </c>
      <c r="DZ75" s="402" t="s">
        <v>243</v>
      </c>
      <c r="EA75" s="403" t="s">
        <v>243</v>
      </c>
      <c r="EB75" s="405" t="s">
        <v>243</v>
      </c>
      <c r="EC75" s="402" t="s">
        <v>243</v>
      </c>
      <c r="ED75" s="403" t="s">
        <v>243</v>
      </c>
      <c r="EE75" s="405" t="s">
        <v>243</v>
      </c>
      <c r="EF75" s="402" t="s">
        <v>243</v>
      </c>
      <c r="EG75" s="403" t="s">
        <v>243</v>
      </c>
      <c r="EH75" s="405" t="s">
        <v>243</v>
      </c>
      <c r="EI75" s="402" t="s">
        <v>243</v>
      </c>
      <c r="EJ75" s="403" t="s">
        <v>243</v>
      </c>
      <c r="EK75" s="405" t="s">
        <v>243</v>
      </c>
      <c r="EL75" s="402" t="s">
        <v>243</v>
      </c>
      <c r="EM75" s="403" t="s">
        <v>243</v>
      </c>
      <c r="EN75" s="405" t="s">
        <v>243</v>
      </c>
      <c r="EO75" s="402" t="s">
        <v>243</v>
      </c>
      <c r="EP75" s="403" t="s">
        <v>243</v>
      </c>
      <c r="EQ75" s="405" t="s">
        <v>243</v>
      </c>
      <c r="ER75" s="402" t="s">
        <v>243</v>
      </c>
      <c r="ES75" s="403" t="s">
        <v>243</v>
      </c>
      <c r="ET75" s="405" t="s">
        <v>243</v>
      </c>
      <c r="EU75" s="402" t="s">
        <v>243</v>
      </c>
      <c r="EV75" s="403" t="s">
        <v>243</v>
      </c>
      <c r="EW75" s="405" t="s">
        <v>243</v>
      </c>
      <c r="EX75" s="402" t="s">
        <v>243</v>
      </c>
      <c r="EY75" s="403" t="s">
        <v>243</v>
      </c>
      <c r="EZ75" s="405" t="s">
        <v>243</v>
      </c>
      <c r="FA75" s="402" t="s">
        <v>243</v>
      </c>
      <c r="FB75" s="403" t="s">
        <v>243</v>
      </c>
      <c r="FC75" s="405" t="s">
        <v>243</v>
      </c>
      <c r="FD75" s="402" t="s">
        <v>243</v>
      </c>
      <c r="FE75" s="403" t="s">
        <v>243</v>
      </c>
      <c r="FF75" s="405" t="s">
        <v>243</v>
      </c>
      <c r="FG75" s="402" t="s">
        <v>243</v>
      </c>
      <c r="FH75" s="403" t="s">
        <v>243</v>
      </c>
      <c r="FI75" s="405" t="s">
        <v>243</v>
      </c>
      <c r="FJ75" s="402" t="s">
        <v>243</v>
      </c>
      <c r="FK75" s="403" t="s">
        <v>243</v>
      </c>
      <c r="FL75" s="405" t="s">
        <v>243</v>
      </c>
      <c r="FM75" s="402" t="s">
        <v>243</v>
      </c>
      <c r="FN75" s="403" t="s">
        <v>243</v>
      </c>
      <c r="FO75" s="405" t="s">
        <v>243</v>
      </c>
      <c r="FP75" s="402" t="s">
        <v>243</v>
      </c>
      <c r="FQ75" s="403" t="s">
        <v>243</v>
      </c>
      <c r="FR75" s="405" t="s">
        <v>243</v>
      </c>
      <c r="FS75" s="469"/>
      <c r="FT75" s="522">
        <v>0</v>
      </c>
      <c r="FU75" s="523">
        <v>0</v>
      </c>
      <c r="FV75" s="524">
        <f>IF(ISERROR(FT75/FU75),0,FT75/FU75)</f>
        <v>0</v>
      </c>
    </row>
    <row r="76" spans="1:178" ht="28" x14ac:dyDescent="0.15">
      <c r="A76" s="525" t="s">
        <v>127</v>
      </c>
      <c r="B76" s="517" t="str">
        <f>'raw data'!B76</f>
        <v>Flex accounts with a £5k+ loan received 3 months ago and a CHAPS/SWIFT to a CoC in past 3 months.</v>
      </c>
      <c r="C76" s="518"/>
      <c r="D76" s="484"/>
      <c r="E76" s="485"/>
      <c r="F76" s="483"/>
      <c r="G76" s="519">
        <f>'raw data'!EV76</f>
        <v>0</v>
      </c>
      <c r="H76" s="520">
        <f>'raw data'!EW76</f>
        <v>6</v>
      </c>
      <c r="I76" s="521">
        <f>IF(ISERROR('raw data'!EV76/'raw data'!EW76),0,'raw data'!EV76/'raw data'!EW76)</f>
        <v>0</v>
      </c>
      <c r="J76" s="519">
        <f>'raw data'!EX76</f>
        <v>1</v>
      </c>
      <c r="K76" s="520">
        <f>'raw data'!EY76</f>
        <v>10</v>
      </c>
      <c r="L76" s="521">
        <f>IF(ISERROR('raw data'!EX76/'raw data'!EY76),0,'raw data'!EX76/'raw data'!EY76)</f>
        <v>0.1</v>
      </c>
      <c r="M76" s="519">
        <f>'raw data'!EZ76</f>
        <v>0</v>
      </c>
      <c r="N76" s="520">
        <f>'raw data'!FA76</f>
        <v>6</v>
      </c>
      <c r="O76" s="521">
        <f>IF(ISERROR('raw data'!EZ76/'raw data'!FA76),0,'raw data'!EZ76/'raw data'!FA76)</f>
        <v>0</v>
      </c>
      <c r="P76" s="402" t="s">
        <v>243</v>
      </c>
      <c r="Q76" s="403" t="s">
        <v>243</v>
      </c>
      <c r="R76" s="404" t="s">
        <v>243</v>
      </c>
      <c r="S76" s="402" t="s">
        <v>243</v>
      </c>
      <c r="T76" s="403" t="s">
        <v>243</v>
      </c>
      <c r="U76" s="404" t="s">
        <v>243</v>
      </c>
      <c r="V76" s="402" t="s">
        <v>243</v>
      </c>
      <c r="W76" s="403" t="s">
        <v>243</v>
      </c>
      <c r="X76" s="404" t="s">
        <v>243</v>
      </c>
      <c r="Y76" s="402" t="s">
        <v>243</v>
      </c>
      <c r="Z76" s="403" t="s">
        <v>243</v>
      </c>
      <c r="AA76" s="404" t="s">
        <v>243</v>
      </c>
      <c r="AB76" s="402" t="s">
        <v>243</v>
      </c>
      <c r="AC76" s="403" t="s">
        <v>243</v>
      </c>
      <c r="AD76" s="404" t="s">
        <v>243</v>
      </c>
      <c r="AE76" s="402" t="s">
        <v>243</v>
      </c>
      <c r="AF76" s="403" t="s">
        <v>243</v>
      </c>
      <c r="AG76" s="404" t="s">
        <v>243</v>
      </c>
      <c r="AH76" s="402" t="s">
        <v>243</v>
      </c>
      <c r="AI76" s="403" t="s">
        <v>243</v>
      </c>
      <c r="AJ76" s="404" t="s">
        <v>243</v>
      </c>
      <c r="AK76" s="402" t="s">
        <v>243</v>
      </c>
      <c r="AL76" s="403" t="s">
        <v>243</v>
      </c>
      <c r="AM76" s="404" t="s">
        <v>243</v>
      </c>
      <c r="AN76" s="402" t="s">
        <v>243</v>
      </c>
      <c r="AO76" s="403" t="s">
        <v>243</v>
      </c>
      <c r="AP76" s="404" t="s">
        <v>243</v>
      </c>
      <c r="AQ76" s="402" t="s">
        <v>243</v>
      </c>
      <c r="AR76" s="403" t="s">
        <v>243</v>
      </c>
      <c r="AS76" s="405" t="s">
        <v>243</v>
      </c>
      <c r="AT76" s="402" t="s">
        <v>243</v>
      </c>
      <c r="AU76" s="403" t="s">
        <v>243</v>
      </c>
      <c r="AV76" s="405" t="s">
        <v>243</v>
      </c>
      <c r="AW76" s="402" t="s">
        <v>243</v>
      </c>
      <c r="AX76" s="403" t="s">
        <v>243</v>
      </c>
      <c r="AY76" s="405" t="s">
        <v>243</v>
      </c>
      <c r="AZ76" s="402" t="s">
        <v>243</v>
      </c>
      <c r="BA76" s="403" t="s">
        <v>243</v>
      </c>
      <c r="BB76" s="405" t="s">
        <v>243</v>
      </c>
      <c r="BC76" s="402" t="s">
        <v>243</v>
      </c>
      <c r="BD76" s="403" t="s">
        <v>243</v>
      </c>
      <c r="BE76" s="405" t="s">
        <v>243</v>
      </c>
      <c r="BF76" s="402" t="s">
        <v>243</v>
      </c>
      <c r="BG76" s="403" t="s">
        <v>243</v>
      </c>
      <c r="BH76" s="405" t="s">
        <v>243</v>
      </c>
      <c r="BI76" s="402" t="s">
        <v>243</v>
      </c>
      <c r="BJ76" s="403" t="s">
        <v>243</v>
      </c>
      <c r="BK76" s="405" t="s">
        <v>243</v>
      </c>
      <c r="BL76" s="402" t="s">
        <v>243</v>
      </c>
      <c r="BM76" s="403" t="s">
        <v>243</v>
      </c>
      <c r="BN76" s="405" t="s">
        <v>243</v>
      </c>
      <c r="BO76" s="402" t="s">
        <v>243</v>
      </c>
      <c r="BP76" s="403" t="s">
        <v>243</v>
      </c>
      <c r="BQ76" s="405" t="s">
        <v>243</v>
      </c>
      <c r="BR76" s="402" t="s">
        <v>243</v>
      </c>
      <c r="BS76" s="403" t="s">
        <v>243</v>
      </c>
      <c r="BT76" s="405" t="s">
        <v>243</v>
      </c>
      <c r="BU76" s="402" t="s">
        <v>243</v>
      </c>
      <c r="BV76" s="403" t="s">
        <v>243</v>
      </c>
      <c r="BW76" s="405" t="s">
        <v>243</v>
      </c>
      <c r="BX76" s="402" t="s">
        <v>243</v>
      </c>
      <c r="BY76" s="403" t="s">
        <v>243</v>
      </c>
      <c r="BZ76" s="405" t="s">
        <v>243</v>
      </c>
      <c r="CA76" s="402" t="s">
        <v>243</v>
      </c>
      <c r="CB76" s="403" t="s">
        <v>243</v>
      </c>
      <c r="CC76" s="405" t="s">
        <v>243</v>
      </c>
      <c r="CD76" s="402" t="s">
        <v>243</v>
      </c>
      <c r="CE76" s="403" t="s">
        <v>243</v>
      </c>
      <c r="CF76" s="405" t="s">
        <v>243</v>
      </c>
      <c r="CG76" s="402" t="s">
        <v>243</v>
      </c>
      <c r="CH76" s="403" t="s">
        <v>243</v>
      </c>
      <c r="CI76" s="405" t="s">
        <v>243</v>
      </c>
      <c r="CJ76" s="402" t="s">
        <v>243</v>
      </c>
      <c r="CK76" s="403" t="s">
        <v>243</v>
      </c>
      <c r="CL76" s="405" t="s">
        <v>243</v>
      </c>
      <c r="CM76" s="402" t="s">
        <v>243</v>
      </c>
      <c r="CN76" s="403" t="s">
        <v>243</v>
      </c>
      <c r="CO76" s="405" t="s">
        <v>243</v>
      </c>
      <c r="CP76" s="402" t="s">
        <v>243</v>
      </c>
      <c r="CQ76" s="403" t="s">
        <v>243</v>
      </c>
      <c r="CR76" s="405" t="s">
        <v>243</v>
      </c>
      <c r="CS76" s="402" t="s">
        <v>243</v>
      </c>
      <c r="CT76" s="403" t="s">
        <v>243</v>
      </c>
      <c r="CU76" s="405" t="s">
        <v>243</v>
      </c>
      <c r="CV76" s="402" t="s">
        <v>243</v>
      </c>
      <c r="CW76" s="403" t="s">
        <v>243</v>
      </c>
      <c r="CX76" s="405" t="s">
        <v>243</v>
      </c>
      <c r="CY76" s="402" t="s">
        <v>243</v>
      </c>
      <c r="CZ76" s="403" t="s">
        <v>243</v>
      </c>
      <c r="DA76" s="405" t="s">
        <v>243</v>
      </c>
      <c r="DB76" s="402" t="s">
        <v>243</v>
      </c>
      <c r="DC76" s="403" t="s">
        <v>243</v>
      </c>
      <c r="DD76" s="405" t="s">
        <v>243</v>
      </c>
      <c r="DE76" s="402" t="s">
        <v>243</v>
      </c>
      <c r="DF76" s="403" t="s">
        <v>243</v>
      </c>
      <c r="DG76" s="405" t="s">
        <v>243</v>
      </c>
      <c r="DH76" s="402" t="s">
        <v>243</v>
      </c>
      <c r="DI76" s="403" t="s">
        <v>243</v>
      </c>
      <c r="DJ76" s="405" t="s">
        <v>243</v>
      </c>
      <c r="DK76" s="402" t="s">
        <v>243</v>
      </c>
      <c r="DL76" s="403" t="s">
        <v>243</v>
      </c>
      <c r="DM76" s="405" t="s">
        <v>243</v>
      </c>
      <c r="DN76" s="402" t="s">
        <v>243</v>
      </c>
      <c r="DO76" s="403" t="s">
        <v>243</v>
      </c>
      <c r="DP76" s="405" t="s">
        <v>243</v>
      </c>
      <c r="DQ76" s="402" t="s">
        <v>243</v>
      </c>
      <c r="DR76" s="403" t="s">
        <v>243</v>
      </c>
      <c r="DS76" s="405" t="s">
        <v>243</v>
      </c>
      <c r="DT76" s="402" t="s">
        <v>243</v>
      </c>
      <c r="DU76" s="403" t="s">
        <v>243</v>
      </c>
      <c r="DV76" s="405" t="s">
        <v>243</v>
      </c>
      <c r="DW76" s="402" t="s">
        <v>243</v>
      </c>
      <c r="DX76" s="403" t="s">
        <v>243</v>
      </c>
      <c r="DY76" s="405" t="s">
        <v>243</v>
      </c>
      <c r="DZ76" s="402" t="s">
        <v>243</v>
      </c>
      <c r="EA76" s="403" t="s">
        <v>243</v>
      </c>
      <c r="EB76" s="405" t="s">
        <v>243</v>
      </c>
      <c r="EC76" s="402" t="s">
        <v>243</v>
      </c>
      <c r="ED76" s="403" t="s">
        <v>243</v>
      </c>
      <c r="EE76" s="405" t="s">
        <v>243</v>
      </c>
      <c r="EF76" s="402" t="s">
        <v>243</v>
      </c>
      <c r="EG76" s="403" t="s">
        <v>243</v>
      </c>
      <c r="EH76" s="405" t="s">
        <v>243</v>
      </c>
      <c r="EI76" s="402" t="s">
        <v>243</v>
      </c>
      <c r="EJ76" s="403" t="s">
        <v>243</v>
      </c>
      <c r="EK76" s="405" t="s">
        <v>243</v>
      </c>
      <c r="EL76" s="402" t="s">
        <v>243</v>
      </c>
      <c r="EM76" s="403" t="s">
        <v>243</v>
      </c>
      <c r="EN76" s="405" t="s">
        <v>243</v>
      </c>
      <c r="EO76" s="402" t="s">
        <v>243</v>
      </c>
      <c r="EP76" s="403" t="s">
        <v>243</v>
      </c>
      <c r="EQ76" s="405" t="s">
        <v>243</v>
      </c>
      <c r="ER76" s="402" t="s">
        <v>243</v>
      </c>
      <c r="ES76" s="403" t="s">
        <v>243</v>
      </c>
      <c r="ET76" s="405" t="s">
        <v>243</v>
      </c>
      <c r="EU76" s="402" t="s">
        <v>243</v>
      </c>
      <c r="EV76" s="403" t="s">
        <v>243</v>
      </c>
      <c r="EW76" s="405" t="s">
        <v>243</v>
      </c>
      <c r="EX76" s="402" t="s">
        <v>243</v>
      </c>
      <c r="EY76" s="403" t="s">
        <v>243</v>
      </c>
      <c r="EZ76" s="405" t="s">
        <v>243</v>
      </c>
      <c r="FA76" s="402" t="s">
        <v>243</v>
      </c>
      <c r="FB76" s="403" t="s">
        <v>243</v>
      </c>
      <c r="FC76" s="405" t="s">
        <v>243</v>
      </c>
      <c r="FD76" s="402" t="s">
        <v>243</v>
      </c>
      <c r="FE76" s="403" t="s">
        <v>243</v>
      </c>
      <c r="FF76" s="405" t="s">
        <v>243</v>
      </c>
      <c r="FG76" s="402" t="s">
        <v>243</v>
      </c>
      <c r="FH76" s="403" t="s">
        <v>243</v>
      </c>
      <c r="FI76" s="405" t="s">
        <v>243</v>
      </c>
      <c r="FJ76" s="402" t="s">
        <v>243</v>
      </c>
      <c r="FK76" s="403" t="s">
        <v>243</v>
      </c>
      <c r="FL76" s="405" t="s">
        <v>243</v>
      </c>
      <c r="FM76" s="402" t="s">
        <v>243</v>
      </c>
      <c r="FN76" s="403" t="s">
        <v>243</v>
      </c>
      <c r="FO76" s="405" t="s">
        <v>243</v>
      </c>
      <c r="FP76" s="402" t="s">
        <v>243</v>
      </c>
      <c r="FQ76" s="403" t="s">
        <v>243</v>
      </c>
      <c r="FR76" s="405" t="s">
        <v>243</v>
      </c>
      <c r="FS76" s="469"/>
      <c r="FT76" s="522">
        <v>0</v>
      </c>
      <c r="FU76" s="523">
        <v>0</v>
      </c>
      <c r="FV76" s="524">
        <f t="shared" si="0"/>
        <v>0</v>
      </c>
    </row>
    <row r="77" spans="1:178" ht="28" hidden="1" x14ac:dyDescent="0.15">
      <c r="A77" s="517" t="s">
        <v>128</v>
      </c>
      <c r="B77" s="517" t="str">
        <f>'raw data'!B77</f>
        <v>Swift Payments to or from Afghanistan, VISA spend in Afghanistan and Online bank activity in Afghanistan</v>
      </c>
      <c r="C77" s="518"/>
      <c r="D77" s="484"/>
      <c r="E77" s="485"/>
      <c r="F77" s="483"/>
      <c r="G77" s="484"/>
      <c r="H77" s="485"/>
      <c r="I77" s="483"/>
      <c r="J77" s="484"/>
      <c r="K77" s="485"/>
      <c r="L77" s="483"/>
      <c r="M77" s="484"/>
      <c r="N77" s="485"/>
      <c r="O77" s="483"/>
      <c r="P77" s="484"/>
      <c r="Q77" s="485"/>
      <c r="R77" s="483"/>
      <c r="S77" s="484"/>
      <c r="T77" s="485"/>
      <c r="U77" s="404"/>
      <c r="V77" s="484"/>
      <c r="W77" s="485"/>
      <c r="X77" s="404"/>
      <c r="Y77" s="484"/>
      <c r="Z77" s="485"/>
      <c r="AA77" s="404"/>
      <c r="AB77" s="484"/>
      <c r="AC77" s="485"/>
      <c r="AD77" s="404"/>
      <c r="AE77" s="484"/>
      <c r="AF77" s="485"/>
      <c r="AG77" s="404"/>
      <c r="AH77" s="484"/>
      <c r="AI77" s="485"/>
      <c r="AJ77" s="404"/>
      <c r="AK77" s="484"/>
      <c r="AL77" s="485"/>
      <c r="AM77" s="404"/>
      <c r="AN77" s="484"/>
      <c r="AO77" s="485"/>
      <c r="AP77" s="404"/>
      <c r="AQ77" s="484"/>
      <c r="AR77" s="485"/>
      <c r="AS77" s="405"/>
      <c r="AT77" s="484"/>
      <c r="AU77" s="485"/>
      <c r="AV77" s="405"/>
      <c r="AW77" s="484"/>
      <c r="AX77" s="485"/>
      <c r="AY77" s="405"/>
      <c r="AZ77" s="484"/>
      <c r="BA77" s="485"/>
      <c r="BB77" s="405"/>
      <c r="BC77" s="484"/>
      <c r="BD77" s="485"/>
      <c r="BE77" s="405"/>
      <c r="BF77" s="484"/>
      <c r="BG77" s="485"/>
      <c r="BH77" s="405"/>
      <c r="BI77" s="484"/>
      <c r="BJ77" s="485"/>
      <c r="BK77" s="405"/>
      <c r="BL77" s="484"/>
      <c r="BM77" s="485"/>
      <c r="BN77" s="405"/>
      <c r="BO77" s="484"/>
      <c r="BP77" s="485"/>
      <c r="BQ77" s="405"/>
      <c r="BR77" s="484"/>
      <c r="BS77" s="485"/>
      <c r="BT77" s="405"/>
      <c r="BU77" s="484"/>
      <c r="BV77" s="485"/>
      <c r="BW77" s="405"/>
      <c r="BX77" s="484"/>
      <c r="BY77" s="485"/>
      <c r="BZ77" s="405"/>
      <c r="CA77" s="484"/>
      <c r="CB77" s="485"/>
      <c r="CC77" s="405"/>
      <c r="CD77" s="484"/>
      <c r="CE77" s="485"/>
      <c r="CF77" s="405"/>
      <c r="CG77" s="484"/>
      <c r="CH77" s="485"/>
      <c r="CI77" s="405"/>
      <c r="CJ77" s="484"/>
      <c r="CK77" s="485"/>
      <c r="CL77" s="405"/>
      <c r="CM77" s="484"/>
      <c r="CN77" s="485"/>
      <c r="CO77" s="405"/>
      <c r="CP77" s="484"/>
      <c r="CQ77" s="485"/>
      <c r="CR77" s="405"/>
      <c r="CS77" s="484"/>
      <c r="CT77" s="485"/>
      <c r="CU77" s="405"/>
      <c r="CV77" s="484"/>
      <c r="CW77" s="485"/>
      <c r="CX77" s="405"/>
      <c r="CY77" s="484"/>
      <c r="CZ77" s="485"/>
      <c r="DA77" s="405"/>
      <c r="DB77" s="484"/>
      <c r="DC77" s="485"/>
      <c r="DD77" s="405"/>
      <c r="DE77" s="484"/>
      <c r="DF77" s="485"/>
      <c r="DG77" s="405"/>
      <c r="DH77" s="484"/>
      <c r="DI77" s="485"/>
      <c r="DJ77" s="405"/>
      <c r="DK77" s="484"/>
      <c r="DL77" s="485"/>
      <c r="DM77" s="405"/>
      <c r="DN77" s="484"/>
      <c r="DO77" s="485"/>
      <c r="DP77" s="405"/>
      <c r="DQ77" s="484"/>
      <c r="DR77" s="485"/>
      <c r="DS77" s="405"/>
      <c r="DT77" s="484"/>
      <c r="DU77" s="485"/>
      <c r="DV77" s="405"/>
      <c r="DW77" s="484"/>
      <c r="DX77" s="485"/>
      <c r="DY77" s="405"/>
      <c r="DZ77" s="484"/>
      <c r="EA77" s="485"/>
      <c r="EB77" s="405"/>
      <c r="EC77" s="484"/>
      <c r="ED77" s="485"/>
      <c r="EE77" s="405"/>
      <c r="EF77" s="484"/>
      <c r="EG77" s="485"/>
      <c r="EH77" s="405"/>
      <c r="EI77" s="484"/>
      <c r="EJ77" s="485"/>
      <c r="EK77" s="405"/>
      <c r="EL77" s="484"/>
      <c r="EM77" s="485"/>
      <c r="EN77" s="405"/>
      <c r="EO77" s="484"/>
      <c r="EP77" s="485"/>
      <c r="EQ77" s="405"/>
      <c r="ER77" s="484"/>
      <c r="ES77" s="485"/>
      <c r="ET77" s="405"/>
      <c r="EU77" s="484"/>
      <c r="EV77" s="485"/>
      <c r="EW77" s="405"/>
      <c r="EX77" s="484"/>
      <c r="EY77" s="485"/>
      <c r="EZ77" s="405"/>
      <c r="FA77" s="484"/>
      <c r="FB77" s="485"/>
      <c r="FC77" s="405"/>
      <c r="FD77" s="484"/>
      <c r="FE77" s="485"/>
      <c r="FF77" s="405"/>
      <c r="FG77" s="484"/>
      <c r="FH77" s="485"/>
      <c r="FI77" s="405"/>
      <c r="FJ77" s="484"/>
      <c r="FK77" s="485"/>
      <c r="FL77" s="405"/>
      <c r="FM77" s="484"/>
      <c r="FN77" s="485"/>
      <c r="FO77" s="405"/>
      <c r="FP77" s="484"/>
      <c r="FQ77" s="485"/>
      <c r="FR77" s="405"/>
      <c r="FS77" s="469"/>
      <c r="FT77" s="522"/>
      <c r="FU77" s="523"/>
      <c r="FV77" s="524"/>
    </row>
    <row r="78" spans="1:178" ht="28" hidden="1" x14ac:dyDescent="0.15">
      <c r="A78" s="517" t="s">
        <v>130</v>
      </c>
      <c r="B78" s="517" t="str">
        <f>'raw data'!B78</f>
        <v>Swift Payments to or from Iraq, VISA spend in Iraq and Online bank activity in Iraq</v>
      </c>
      <c r="C78" s="518"/>
      <c r="D78" s="484"/>
      <c r="E78" s="485"/>
      <c r="F78" s="483"/>
      <c r="G78" s="484"/>
      <c r="H78" s="485"/>
      <c r="I78" s="483"/>
      <c r="J78" s="484"/>
      <c r="K78" s="485"/>
      <c r="L78" s="483"/>
      <c r="M78" s="484"/>
      <c r="N78" s="485"/>
      <c r="O78" s="483"/>
      <c r="P78" s="484"/>
      <c r="Q78" s="485"/>
      <c r="R78" s="483"/>
      <c r="S78" s="484"/>
      <c r="T78" s="485"/>
      <c r="U78" s="404"/>
      <c r="V78" s="484"/>
      <c r="W78" s="485"/>
      <c r="X78" s="404"/>
      <c r="Y78" s="484"/>
      <c r="Z78" s="485"/>
      <c r="AA78" s="404"/>
      <c r="AB78" s="484"/>
      <c r="AC78" s="485"/>
      <c r="AD78" s="404"/>
      <c r="AE78" s="484"/>
      <c r="AF78" s="485"/>
      <c r="AG78" s="404"/>
      <c r="AH78" s="484"/>
      <c r="AI78" s="485"/>
      <c r="AJ78" s="404"/>
      <c r="AK78" s="484"/>
      <c r="AL78" s="485"/>
      <c r="AM78" s="404"/>
      <c r="AN78" s="484"/>
      <c r="AO78" s="485"/>
      <c r="AP78" s="404"/>
      <c r="AQ78" s="484"/>
      <c r="AR78" s="485"/>
      <c r="AS78" s="405"/>
      <c r="AT78" s="484"/>
      <c r="AU78" s="485"/>
      <c r="AV78" s="405"/>
      <c r="AW78" s="484"/>
      <c r="AX78" s="485"/>
      <c r="AY78" s="405"/>
      <c r="AZ78" s="484"/>
      <c r="BA78" s="485"/>
      <c r="BB78" s="405"/>
      <c r="BC78" s="484"/>
      <c r="BD78" s="485"/>
      <c r="BE78" s="405"/>
      <c r="BF78" s="484"/>
      <c r="BG78" s="485"/>
      <c r="BH78" s="405"/>
      <c r="BI78" s="484"/>
      <c r="BJ78" s="485"/>
      <c r="BK78" s="405"/>
      <c r="BL78" s="484"/>
      <c r="BM78" s="485"/>
      <c r="BN78" s="405"/>
      <c r="BO78" s="484"/>
      <c r="BP78" s="485"/>
      <c r="BQ78" s="405"/>
      <c r="BR78" s="484"/>
      <c r="BS78" s="485"/>
      <c r="BT78" s="405"/>
      <c r="BU78" s="484"/>
      <c r="BV78" s="485"/>
      <c r="BW78" s="405"/>
      <c r="BX78" s="484"/>
      <c r="BY78" s="485"/>
      <c r="BZ78" s="405"/>
      <c r="CA78" s="484"/>
      <c r="CB78" s="485"/>
      <c r="CC78" s="405"/>
      <c r="CD78" s="484"/>
      <c r="CE78" s="485"/>
      <c r="CF78" s="405"/>
      <c r="CG78" s="484"/>
      <c r="CH78" s="485"/>
      <c r="CI78" s="405"/>
      <c r="CJ78" s="484"/>
      <c r="CK78" s="485"/>
      <c r="CL78" s="405"/>
      <c r="CM78" s="484"/>
      <c r="CN78" s="485"/>
      <c r="CO78" s="405"/>
      <c r="CP78" s="484"/>
      <c r="CQ78" s="485"/>
      <c r="CR78" s="405"/>
      <c r="CS78" s="484"/>
      <c r="CT78" s="485"/>
      <c r="CU78" s="405"/>
      <c r="CV78" s="484"/>
      <c r="CW78" s="485"/>
      <c r="CX78" s="405"/>
      <c r="CY78" s="484"/>
      <c r="CZ78" s="485"/>
      <c r="DA78" s="405"/>
      <c r="DB78" s="484"/>
      <c r="DC78" s="485"/>
      <c r="DD78" s="405"/>
      <c r="DE78" s="484"/>
      <c r="DF78" s="485"/>
      <c r="DG78" s="405"/>
      <c r="DH78" s="484"/>
      <c r="DI78" s="485"/>
      <c r="DJ78" s="405"/>
      <c r="DK78" s="484"/>
      <c r="DL78" s="485"/>
      <c r="DM78" s="405"/>
      <c r="DN78" s="484"/>
      <c r="DO78" s="485"/>
      <c r="DP78" s="405"/>
      <c r="DQ78" s="484"/>
      <c r="DR78" s="485"/>
      <c r="DS78" s="405"/>
      <c r="DT78" s="484"/>
      <c r="DU78" s="485"/>
      <c r="DV78" s="405"/>
      <c r="DW78" s="484"/>
      <c r="DX78" s="485"/>
      <c r="DY78" s="405"/>
      <c r="DZ78" s="484"/>
      <c r="EA78" s="485"/>
      <c r="EB78" s="405"/>
      <c r="EC78" s="484"/>
      <c r="ED78" s="485"/>
      <c r="EE78" s="405"/>
      <c r="EF78" s="484"/>
      <c r="EG78" s="485"/>
      <c r="EH78" s="405"/>
      <c r="EI78" s="484"/>
      <c r="EJ78" s="485"/>
      <c r="EK78" s="405"/>
      <c r="EL78" s="484"/>
      <c r="EM78" s="485"/>
      <c r="EN78" s="405"/>
      <c r="EO78" s="484"/>
      <c r="EP78" s="485"/>
      <c r="EQ78" s="405"/>
      <c r="ER78" s="484"/>
      <c r="ES78" s="485"/>
      <c r="ET78" s="405"/>
      <c r="EU78" s="484"/>
      <c r="EV78" s="485"/>
      <c r="EW78" s="405"/>
      <c r="EX78" s="484"/>
      <c r="EY78" s="485"/>
      <c r="EZ78" s="405"/>
      <c r="FA78" s="484"/>
      <c r="FB78" s="485"/>
      <c r="FC78" s="405"/>
      <c r="FD78" s="484"/>
      <c r="FE78" s="485"/>
      <c r="FF78" s="405"/>
      <c r="FG78" s="484"/>
      <c r="FH78" s="485"/>
      <c r="FI78" s="405"/>
      <c r="FJ78" s="484"/>
      <c r="FK78" s="485"/>
      <c r="FL78" s="405"/>
      <c r="FM78" s="484"/>
      <c r="FN78" s="485"/>
      <c r="FO78" s="405"/>
      <c r="FP78" s="484"/>
      <c r="FQ78" s="485"/>
      <c r="FR78" s="405"/>
      <c r="FS78" s="469"/>
      <c r="FT78" s="522"/>
      <c r="FU78" s="523"/>
      <c r="FV78" s="524"/>
    </row>
    <row r="79" spans="1:178" ht="28" hidden="1" x14ac:dyDescent="0.15">
      <c r="A79" s="517" t="s">
        <v>132</v>
      </c>
      <c r="B79" s="517" t="str">
        <f>'raw data'!B79</f>
        <v>Swift Payments to or from Somalia, VISA spend in Somalia and Online bank activity in Somalia</v>
      </c>
      <c r="C79" s="518"/>
      <c r="D79" s="484"/>
      <c r="E79" s="485"/>
      <c r="F79" s="483"/>
      <c r="G79" s="484"/>
      <c r="H79" s="485"/>
      <c r="I79" s="483"/>
      <c r="J79" s="484"/>
      <c r="K79" s="485"/>
      <c r="L79" s="483"/>
      <c r="M79" s="484"/>
      <c r="N79" s="485"/>
      <c r="O79" s="483"/>
      <c r="P79" s="484"/>
      <c r="Q79" s="485"/>
      <c r="R79" s="483"/>
      <c r="S79" s="484"/>
      <c r="T79" s="485"/>
      <c r="U79" s="404"/>
      <c r="V79" s="484"/>
      <c r="W79" s="485"/>
      <c r="X79" s="404"/>
      <c r="Y79" s="484"/>
      <c r="Z79" s="485"/>
      <c r="AA79" s="404"/>
      <c r="AB79" s="484"/>
      <c r="AC79" s="485"/>
      <c r="AD79" s="404"/>
      <c r="AE79" s="484"/>
      <c r="AF79" s="485"/>
      <c r="AG79" s="404"/>
      <c r="AH79" s="484"/>
      <c r="AI79" s="485"/>
      <c r="AJ79" s="404"/>
      <c r="AK79" s="484"/>
      <c r="AL79" s="485"/>
      <c r="AM79" s="404"/>
      <c r="AN79" s="484"/>
      <c r="AO79" s="485"/>
      <c r="AP79" s="404"/>
      <c r="AQ79" s="484"/>
      <c r="AR79" s="485"/>
      <c r="AS79" s="405"/>
      <c r="AT79" s="484"/>
      <c r="AU79" s="485"/>
      <c r="AV79" s="405"/>
      <c r="AW79" s="484"/>
      <c r="AX79" s="485"/>
      <c r="AY79" s="405"/>
      <c r="AZ79" s="484"/>
      <c r="BA79" s="485"/>
      <c r="BB79" s="405"/>
      <c r="BC79" s="484"/>
      <c r="BD79" s="485"/>
      <c r="BE79" s="405"/>
      <c r="BF79" s="484"/>
      <c r="BG79" s="485"/>
      <c r="BH79" s="405"/>
      <c r="BI79" s="484"/>
      <c r="BJ79" s="485"/>
      <c r="BK79" s="405"/>
      <c r="BL79" s="484"/>
      <c r="BM79" s="485"/>
      <c r="BN79" s="405"/>
      <c r="BO79" s="484"/>
      <c r="BP79" s="485"/>
      <c r="BQ79" s="405"/>
      <c r="BR79" s="484"/>
      <c r="BS79" s="485"/>
      <c r="BT79" s="405"/>
      <c r="BU79" s="484"/>
      <c r="BV79" s="485"/>
      <c r="BW79" s="405"/>
      <c r="BX79" s="484"/>
      <c r="BY79" s="485"/>
      <c r="BZ79" s="405"/>
      <c r="CA79" s="484"/>
      <c r="CB79" s="485"/>
      <c r="CC79" s="405"/>
      <c r="CD79" s="484"/>
      <c r="CE79" s="485"/>
      <c r="CF79" s="405"/>
      <c r="CG79" s="484"/>
      <c r="CH79" s="485"/>
      <c r="CI79" s="405"/>
      <c r="CJ79" s="484"/>
      <c r="CK79" s="485"/>
      <c r="CL79" s="405"/>
      <c r="CM79" s="484"/>
      <c r="CN79" s="485"/>
      <c r="CO79" s="405"/>
      <c r="CP79" s="484"/>
      <c r="CQ79" s="485"/>
      <c r="CR79" s="405"/>
      <c r="CS79" s="484"/>
      <c r="CT79" s="485"/>
      <c r="CU79" s="405"/>
      <c r="CV79" s="484"/>
      <c r="CW79" s="485"/>
      <c r="CX79" s="405"/>
      <c r="CY79" s="484"/>
      <c r="CZ79" s="485"/>
      <c r="DA79" s="405"/>
      <c r="DB79" s="484"/>
      <c r="DC79" s="485"/>
      <c r="DD79" s="405"/>
      <c r="DE79" s="484"/>
      <c r="DF79" s="485"/>
      <c r="DG79" s="405"/>
      <c r="DH79" s="484"/>
      <c r="DI79" s="485"/>
      <c r="DJ79" s="405"/>
      <c r="DK79" s="484"/>
      <c r="DL79" s="485"/>
      <c r="DM79" s="405"/>
      <c r="DN79" s="484"/>
      <c r="DO79" s="485"/>
      <c r="DP79" s="405"/>
      <c r="DQ79" s="484"/>
      <c r="DR79" s="485"/>
      <c r="DS79" s="405"/>
      <c r="DT79" s="484"/>
      <c r="DU79" s="485"/>
      <c r="DV79" s="405"/>
      <c r="DW79" s="484"/>
      <c r="DX79" s="485"/>
      <c r="DY79" s="405"/>
      <c r="DZ79" s="484"/>
      <c r="EA79" s="485"/>
      <c r="EB79" s="405"/>
      <c r="EC79" s="484"/>
      <c r="ED79" s="485"/>
      <c r="EE79" s="405"/>
      <c r="EF79" s="484"/>
      <c r="EG79" s="485"/>
      <c r="EH79" s="405"/>
      <c r="EI79" s="484"/>
      <c r="EJ79" s="485"/>
      <c r="EK79" s="405"/>
      <c r="EL79" s="484"/>
      <c r="EM79" s="485"/>
      <c r="EN79" s="405"/>
      <c r="EO79" s="484"/>
      <c r="EP79" s="485"/>
      <c r="EQ79" s="405"/>
      <c r="ER79" s="484"/>
      <c r="ES79" s="485"/>
      <c r="ET79" s="405"/>
      <c r="EU79" s="484"/>
      <c r="EV79" s="485"/>
      <c r="EW79" s="405"/>
      <c r="EX79" s="484"/>
      <c r="EY79" s="485"/>
      <c r="EZ79" s="405"/>
      <c r="FA79" s="484"/>
      <c r="FB79" s="485"/>
      <c r="FC79" s="405"/>
      <c r="FD79" s="484"/>
      <c r="FE79" s="485"/>
      <c r="FF79" s="405"/>
      <c r="FG79" s="484"/>
      <c r="FH79" s="485"/>
      <c r="FI79" s="405"/>
      <c r="FJ79" s="484"/>
      <c r="FK79" s="485"/>
      <c r="FL79" s="405"/>
      <c r="FM79" s="484"/>
      <c r="FN79" s="485"/>
      <c r="FO79" s="405"/>
      <c r="FP79" s="484"/>
      <c r="FQ79" s="485"/>
      <c r="FR79" s="405"/>
      <c r="FS79" s="469"/>
      <c r="FT79" s="522"/>
      <c r="FU79" s="523"/>
      <c r="FV79" s="524"/>
    </row>
    <row r="80" spans="1:178" ht="28" x14ac:dyDescent="0.15">
      <c r="A80" s="517" t="s">
        <v>134</v>
      </c>
      <c r="B80" s="517" t="str">
        <f>'raw data'!B80</f>
        <v>Swift Payments to or from Syria, VISA spend in Syria and Online bank activity in Syria</v>
      </c>
      <c r="C80" s="518"/>
      <c r="D80" s="484"/>
      <c r="E80" s="485"/>
      <c r="F80" s="483"/>
      <c r="G80" s="484"/>
      <c r="H80" s="485"/>
      <c r="I80" s="483"/>
      <c r="J80" s="484"/>
      <c r="K80" s="485"/>
      <c r="L80" s="483"/>
      <c r="M80" s="484"/>
      <c r="N80" s="485"/>
      <c r="O80" s="483"/>
      <c r="P80" s="484"/>
      <c r="Q80" s="485"/>
      <c r="R80" s="483"/>
      <c r="S80" s="484"/>
      <c r="T80" s="485"/>
      <c r="U80" s="404"/>
      <c r="V80" s="484"/>
      <c r="W80" s="485"/>
      <c r="X80" s="404"/>
      <c r="Y80" s="484"/>
      <c r="Z80" s="485"/>
      <c r="AA80" s="404"/>
      <c r="AB80" s="484"/>
      <c r="AC80" s="485"/>
      <c r="AD80" s="404"/>
      <c r="AE80" s="484"/>
      <c r="AF80" s="485"/>
      <c r="AG80" s="404"/>
      <c r="AH80" s="484"/>
      <c r="AI80" s="485"/>
      <c r="AJ80" s="404"/>
      <c r="AK80" s="526">
        <f>'raw data'!FR80</f>
        <v>1</v>
      </c>
      <c r="AL80" s="520">
        <f>'raw data'!FS80</f>
        <v>7</v>
      </c>
      <c r="AM80" s="521">
        <f>IF(ISERROR('raw data'!FR80/'raw data'!FS80),0,'raw data'!FR80/'raw data'!FS80)</f>
        <v>0.14285714285714285</v>
      </c>
      <c r="AN80" s="519">
        <f>'raw data'!FT80</f>
        <v>0</v>
      </c>
      <c r="AO80" s="520">
        <f>'raw data'!FU80</f>
        <v>6</v>
      </c>
      <c r="AP80" s="521">
        <f>IF(ISERROR('raw data'!FT80/'raw data'!FU80),0,'raw data'!FT80/'raw data'!FU80)</f>
        <v>0</v>
      </c>
      <c r="AQ80" s="519">
        <f>'raw data'!FV80</f>
        <v>0</v>
      </c>
      <c r="AR80" s="520">
        <f>'raw data'!FW80</f>
        <v>4</v>
      </c>
      <c r="AS80" s="527">
        <f>IF(ISERROR('raw data'!FV80/'raw data'!FW80),0,'raw data'!FV80/'raw data'!FW80)</f>
        <v>0</v>
      </c>
      <c r="AT80" s="528">
        <f>'raw data'!FX80</f>
        <v>0</v>
      </c>
      <c r="AU80" s="529">
        <f>'raw data'!FY80</f>
        <v>8</v>
      </c>
      <c r="AV80" s="527">
        <f>IF(ISERROR('raw data'!FX81/'raw data'!FY81),0,'raw data'!FX81/'raw data'!FY81)</f>
        <v>0</v>
      </c>
      <c r="AW80" s="528">
        <f>'raw data'!FZ80</f>
        <v>3</v>
      </c>
      <c r="AX80" s="529">
        <f>'raw data'!GA80</f>
        <v>11</v>
      </c>
      <c r="AY80" s="527">
        <f>IF(ISERROR('raw data'!FZ81/'raw data'!GA81),0,'raw data'!FZ81/'raw data'!GA81)</f>
        <v>0</v>
      </c>
      <c r="AZ80" s="528">
        <f>'raw data'!GB80</f>
        <v>0</v>
      </c>
      <c r="BA80" s="529">
        <f>'raw data'!GC80</f>
        <v>10</v>
      </c>
      <c r="BB80" s="527">
        <f>IF(ISERROR('raw data'!#REF!/'raw data'!GC81),0,'raw data'!#REF!/'raw data'!GC81)</f>
        <v>0</v>
      </c>
      <c r="BC80" s="528">
        <f>'raw data'!GD80</f>
        <v>0</v>
      </c>
      <c r="BD80" s="529">
        <f>'raw data'!GE80</f>
        <v>9</v>
      </c>
      <c r="BE80" s="527">
        <f>IF(ISERROR('raw data'!#REF!/'raw data'!GE81),0,'raw data'!#REF!/'raw data'!GE81)</f>
        <v>0</v>
      </c>
      <c r="BF80" s="528">
        <f>'raw data'!GF80</f>
        <v>3</v>
      </c>
      <c r="BG80" s="529">
        <f>'raw data'!GG80</f>
        <v>16</v>
      </c>
      <c r="BH80" s="527">
        <f>IF(ISERROR('raw data'!#REF!/'raw data'!GG81),0,'raw data'!#REF!/'raw data'!GG81)</f>
        <v>0</v>
      </c>
      <c r="BI80" s="528">
        <f>'raw data'!GH80</f>
        <v>4</v>
      </c>
      <c r="BJ80" s="529">
        <f>'raw data'!GI80</f>
        <v>15</v>
      </c>
      <c r="BK80" s="527">
        <f>IF(ISERROR('raw data'!#REF!/'raw data'!GI81),0,'raw data'!#REF!/'raw data'!GI81)</f>
        <v>0</v>
      </c>
      <c r="BL80" s="528">
        <f>'raw data'!GJ80</f>
        <v>1</v>
      </c>
      <c r="BM80" s="529">
        <f>'raw data'!GK80</f>
        <v>14</v>
      </c>
      <c r="BN80" s="527">
        <f>IF(ISERROR('raw data'!#REF!/'raw data'!GK81),0,'raw data'!#REF!/'raw data'!GK81)</f>
        <v>0</v>
      </c>
      <c r="BO80" s="528">
        <f>'raw data'!GL80</f>
        <v>0</v>
      </c>
      <c r="BP80" s="529">
        <f>'raw data'!GM80</f>
        <v>16</v>
      </c>
      <c r="BQ80" s="527">
        <f>IF(ISERROR('raw data'!GL80/'raw data'!GM80),0,'raw data'!GL80/'raw data'!GM80)</f>
        <v>0</v>
      </c>
      <c r="BR80" s="528">
        <f>'raw data'!GN80</f>
        <v>1</v>
      </c>
      <c r="BS80" s="529">
        <f>'raw data'!GO80</f>
        <v>16</v>
      </c>
      <c r="BT80" s="527">
        <f>IF(ISERROR('raw data'!GN80/'raw data'!GO80),0,'raw data'!GN80/'raw data'!GO80)</f>
        <v>6.25E-2</v>
      </c>
      <c r="BU80" s="528">
        <f>'raw data'!GP80</f>
        <v>1</v>
      </c>
      <c r="BV80" s="529">
        <f>'raw data'!GQ80</f>
        <v>18</v>
      </c>
      <c r="BW80" s="527">
        <f>IF(ISERROR('raw data'!GP80/'raw data'!GQ80),0,'raw data'!GP80/'raw data'!GQ80)</f>
        <v>5.5555555555555552E-2</v>
      </c>
      <c r="BX80" s="528">
        <f>'raw data'!GR80</f>
        <v>0</v>
      </c>
      <c r="BY80" s="529">
        <f>'raw data'!GS80</f>
        <v>18</v>
      </c>
      <c r="BZ80" s="527">
        <f>IF(ISERROR('raw data'!GR80/'raw data'!GS80),0,'raw data'!GR80/'raw data'!GS80)</f>
        <v>0</v>
      </c>
      <c r="CA80" s="528">
        <f>'raw data'!GT80</f>
        <v>0</v>
      </c>
      <c r="CB80" s="529">
        <f>'raw data'!GU80</f>
        <v>13</v>
      </c>
      <c r="CC80" s="527">
        <f>IF(ISERROR('raw data'!GT80/'raw data'!GU80),0,'raw data'!GT80/'raw data'!GU80)</f>
        <v>0</v>
      </c>
      <c r="CD80" s="528">
        <f>'raw data'!GV80</f>
        <v>1</v>
      </c>
      <c r="CE80" s="529">
        <f>'raw data'!GW80</f>
        <v>15</v>
      </c>
      <c r="CF80" s="527">
        <f>IF(ISERROR('raw data'!GV80/'raw data'!GW80),0,'raw data'!GV80/'raw data'!GW80)</f>
        <v>6.6666666666666666E-2</v>
      </c>
      <c r="CG80" s="528">
        <f>'raw data'!GX80</f>
        <v>3</v>
      </c>
      <c r="CH80" s="529">
        <f>'raw data'!GY80</f>
        <v>17</v>
      </c>
      <c r="CI80" s="527">
        <f>IF(ISERROR('raw data'!GX80/'raw data'!GY80),0,'raw data'!GX80/'raw data'!GY80)</f>
        <v>0.17647058823529413</v>
      </c>
      <c r="CJ80" s="528">
        <f>'raw data'!GZ80</f>
        <v>0</v>
      </c>
      <c r="CK80" s="529">
        <f>'raw data'!HA80</f>
        <v>18</v>
      </c>
      <c r="CL80" s="527">
        <f>IF(ISERROR('raw data'!GZ80/'raw data'!HA80),0,'raw data'!GZ80/'raw data'!HA80)</f>
        <v>0</v>
      </c>
      <c r="CM80" s="528">
        <f>'raw data'!HB80</f>
        <v>1</v>
      </c>
      <c r="CN80" s="529">
        <f>'raw data'!HC80</f>
        <v>11</v>
      </c>
      <c r="CO80" s="527">
        <f>IF(ISERROR('raw data'!HB80/'raw data'!HC80),0,'raw data'!HB80/'raw data'!HC80)</f>
        <v>9.0909090909090912E-2</v>
      </c>
      <c r="CP80" s="408" t="str">
        <f>'raw data'!HD80</f>
        <v>Suspended</v>
      </c>
      <c r="CQ80" s="409" t="str">
        <f>'raw data'!HE80</f>
        <v>Suspended</v>
      </c>
      <c r="CR80" s="410" t="s">
        <v>30</v>
      </c>
      <c r="CS80" s="528">
        <f>'raw data'!HF80</f>
        <v>0</v>
      </c>
      <c r="CT80" s="529">
        <f>'raw data'!HG80</f>
        <v>0</v>
      </c>
      <c r="CU80" s="527">
        <f>IF(ISERROR('raw data'!HF80/'raw data'!HG80),0,'raw data'!HF80/'raw data'!HG80)</f>
        <v>0</v>
      </c>
      <c r="CV80" s="528">
        <f>'raw data'!HH80</f>
        <v>0</v>
      </c>
      <c r="CW80" s="529">
        <f>'raw data'!HI80</f>
        <v>0</v>
      </c>
      <c r="CX80" s="527">
        <f>IF(ISERROR('raw data'!HH80/'raw data'!HI80),0,'raw data'!HH80/'raw data'!HI80)</f>
        <v>0</v>
      </c>
      <c r="CY80" s="528">
        <f>'raw data'!HJ80</f>
        <v>0</v>
      </c>
      <c r="CZ80" s="529">
        <f>'raw data'!HK80</f>
        <v>0</v>
      </c>
      <c r="DA80" s="527">
        <f>IF(ISERROR('raw data'!HJ80/'raw data'!HK80),0,'raw data'!HJ80/'raw data'!HK80)</f>
        <v>0</v>
      </c>
      <c r="DB80" s="528">
        <f>'raw data'!HL80</f>
        <v>0</v>
      </c>
      <c r="DC80" s="529">
        <f>'raw data'!HM80</f>
        <v>0</v>
      </c>
      <c r="DD80" s="527">
        <f>IF(ISERROR('raw data'!HL80/'raw data'!HM80),0,'raw data'!HL80/'raw data'!HM80)</f>
        <v>0</v>
      </c>
      <c r="DE80" s="528">
        <f>'raw data'!HN80</f>
        <v>0</v>
      </c>
      <c r="DF80" s="529">
        <f>'raw data'!HO80</f>
        <v>0</v>
      </c>
      <c r="DG80" s="527">
        <f>IF(ISERROR('raw data'!HN80/'raw data'!HO80),0,'raw data'!HN80/'raw data'!HO80)</f>
        <v>0</v>
      </c>
      <c r="DH80" s="528">
        <f>'raw data'!HP80</f>
        <v>0</v>
      </c>
      <c r="DI80" s="529">
        <f>'raw data'!HQ80</f>
        <v>0</v>
      </c>
      <c r="DJ80" s="527">
        <f>IF(ISERROR('raw data'!HP80/'raw data'!HQ80),0,'raw data'!HP80/'raw data'!HQ80)</f>
        <v>0</v>
      </c>
      <c r="DK80" s="528">
        <f>'raw data'!HR80</f>
        <v>0</v>
      </c>
      <c r="DL80" s="529">
        <f>'raw data'!HS80</f>
        <v>0</v>
      </c>
      <c r="DM80" s="527">
        <f>IF(ISERROR('raw data'!HR80/'raw data'!HS80),0,'raw data'!HR80/'raw data'!HS80)</f>
        <v>0</v>
      </c>
      <c r="DN80" s="528">
        <f>'raw data'!HT80</f>
        <v>0</v>
      </c>
      <c r="DO80" s="529">
        <f>'raw data'!HU80</f>
        <v>0</v>
      </c>
      <c r="DP80" s="527">
        <f>IF(ISERROR('raw data'!HT80/'raw data'!HU80),0,'raw data'!HT80/'raw data'!HU80)</f>
        <v>0</v>
      </c>
      <c r="DQ80" s="528">
        <f>'raw data'!HV80</f>
        <v>0</v>
      </c>
      <c r="DR80" s="529">
        <f>'raw data'!HW80</f>
        <v>0</v>
      </c>
      <c r="DS80" s="527">
        <f>IF(ISERROR('raw data'!HV80/'raw data'!HW80),0,'raw data'!HV80/'raw data'!HW80)</f>
        <v>0</v>
      </c>
      <c r="DT80" s="528">
        <f>'raw data'!HX80</f>
        <v>0</v>
      </c>
      <c r="DU80" s="529">
        <f>'raw data'!HY80</f>
        <v>0</v>
      </c>
      <c r="DV80" s="527">
        <f>IF(ISERROR('raw data'!HX80/'raw data'!HY80),0,'raw data'!HX80/'raw data'!HY80)</f>
        <v>0</v>
      </c>
      <c r="DW80" s="528">
        <f>'raw data'!HZ80</f>
        <v>0</v>
      </c>
      <c r="DX80" s="529">
        <f>'raw data'!IA80</f>
        <v>0</v>
      </c>
      <c r="DY80" s="527">
        <f>IF(ISERROR('raw data'!HZ80/'raw data'!IA80),0,'raw data'!HZ80/'raw data'!IA80)</f>
        <v>0</v>
      </c>
      <c r="DZ80" s="528">
        <f>'raw data'!IB80</f>
        <v>0</v>
      </c>
      <c r="EA80" s="529">
        <f>'raw data'!IC80</f>
        <v>0</v>
      </c>
      <c r="EB80" s="527">
        <f>IF(ISERROR('raw data'!IB80/'raw data'!IC80),0,'raw data'!IB80/'raw data'!IC80)</f>
        <v>0</v>
      </c>
      <c r="EC80" s="528">
        <f>'raw data'!ID80</f>
        <v>0</v>
      </c>
      <c r="ED80" s="529">
        <f>'raw data'!IE80</f>
        <v>0</v>
      </c>
      <c r="EE80" s="527">
        <f>IF(ISERROR('raw data'!ID80/'raw data'!IE80),0,'raw data'!ID80/'raw data'!IE80)</f>
        <v>0</v>
      </c>
      <c r="EF80" s="528">
        <f>'raw data'!IF80</f>
        <v>0</v>
      </c>
      <c r="EG80" s="529">
        <f>'raw data'!IG80</f>
        <v>0</v>
      </c>
      <c r="EH80" s="527">
        <f>IF(ISERROR('raw data'!IF80/'raw data'!IG80),0,'raw data'!IF80/'raw data'!IG80)</f>
        <v>0</v>
      </c>
      <c r="EI80" s="528">
        <f>'raw data'!IH80</f>
        <v>0</v>
      </c>
      <c r="EJ80" s="529">
        <f>'raw data'!II80</f>
        <v>0</v>
      </c>
      <c r="EK80" s="527">
        <f>IF(ISERROR('raw data'!IH80/'raw data'!II80),0,'raw data'!IH80/'raw data'!II80)</f>
        <v>0</v>
      </c>
      <c r="EL80" s="528">
        <f>'raw data'!IJ80</f>
        <v>0</v>
      </c>
      <c r="EM80" s="529">
        <f>'raw data'!IK80</f>
        <v>0</v>
      </c>
      <c r="EN80" s="527">
        <f>IF(ISERROR('raw data'!IJ80/'raw data'!IK80),0,'raw data'!IJ80/'raw data'!IK80)</f>
        <v>0</v>
      </c>
      <c r="EO80" s="528">
        <f>'raw data'!IL80</f>
        <v>0</v>
      </c>
      <c r="EP80" s="529">
        <f>'raw data'!IM80</f>
        <v>0</v>
      </c>
      <c r="EQ80" s="527">
        <f>IF(ISERROR('raw data'!IL80/'raw data'!IM80),0,'raw data'!IL80/'raw data'!IM80)</f>
        <v>0</v>
      </c>
      <c r="ER80" s="528">
        <f>'raw data'!IN80</f>
        <v>0</v>
      </c>
      <c r="ES80" s="529">
        <f>'raw data'!IO80</f>
        <v>0</v>
      </c>
      <c r="ET80" s="527">
        <f>IF(ISERROR('raw data'!IN80/'raw data'!IO80),0,'raw data'!IN80/'raw data'!IO80)</f>
        <v>0</v>
      </c>
      <c r="EU80" s="528">
        <f>'raw data'!IP80</f>
        <v>0</v>
      </c>
      <c r="EV80" s="529">
        <f>'raw data'!IQ80</f>
        <v>0</v>
      </c>
      <c r="EW80" s="527">
        <f>IF(ISERROR('raw data'!IP80/'raw data'!IQ80),0,'raw data'!IP80/'raw data'!IQ80)</f>
        <v>0</v>
      </c>
      <c r="EX80" s="528">
        <f>'raw data'!IR80</f>
        <v>5</v>
      </c>
      <c r="EY80" s="529">
        <f>'raw data'!IS80</f>
        <v>26</v>
      </c>
      <c r="EZ80" s="527">
        <f>IF(ISERROR('raw data'!IR80/'raw data'!IS80),0,'raw data'!IR80/'raw data'!IS80)</f>
        <v>0.19230769230769232</v>
      </c>
      <c r="FA80" s="528">
        <f>'raw data'!IT80</f>
        <v>1</v>
      </c>
      <c r="FB80" s="529">
        <f>'raw data'!IU80</f>
        <v>26</v>
      </c>
      <c r="FC80" s="527">
        <f>IF(ISERROR('raw data'!IT80/'raw data'!IU80),0,'raw data'!IT80/'raw data'!IU80)</f>
        <v>3.8461538461538464E-2</v>
      </c>
      <c r="FD80" s="528">
        <f>'raw data'!IV80</f>
        <v>3</v>
      </c>
      <c r="FE80" s="529">
        <f>'raw data'!IW80</f>
        <v>20</v>
      </c>
      <c r="FF80" s="527">
        <f>IF(ISERROR('raw data'!IV80/'raw data'!IW80),0,'raw data'!IV80/'raw data'!IW80)</f>
        <v>0.15</v>
      </c>
      <c r="FG80" s="528">
        <f>'raw data'!IX80</f>
        <v>3</v>
      </c>
      <c r="FH80" s="529">
        <f>'raw data'!IY80</f>
        <v>23</v>
      </c>
      <c r="FI80" s="527">
        <f>IF(ISERROR('raw data'!IX80/'raw data'!IY80),0,'raw data'!IX80/'raw data'!IY80)</f>
        <v>0.13043478260869565</v>
      </c>
      <c r="FJ80" s="528">
        <f>'raw data'!IZ80</f>
        <v>3</v>
      </c>
      <c r="FK80" s="529">
        <f>'raw data'!JA80</f>
        <v>34</v>
      </c>
      <c r="FL80" s="527">
        <f>IF(ISERROR('raw data'!IZ80/'raw data'!JA80),0,'raw data'!IZ80/'raw data'!JA80)</f>
        <v>8.8235294117647065E-2</v>
      </c>
      <c r="FM80" s="528">
        <f>'raw data'!JB80</f>
        <v>3</v>
      </c>
      <c r="FN80" s="529">
        <f>'raw data'!JC80</f>
        <v>46</v>
      </c>
      <c r="FO80" s="527">
        <f>IF(ISERROR('raw data'!JB80/'raw data'!JC80),0,'raw data'!JB80/'raw data'!JC80)</f>
        <v>6.5217391304347824E-2</v>
      </c>
      <c r="FP80" s="528">
        <f>'raw data'!JD80</f>
        <v>1</v>
      </c>
      <c r="FQ80" s="529">
        <f>'raw data'!JE80</f>
        <v>36</v>
      </c>
      <c r="FR80" s="527">
        <f>IF(ISERROR('raw data'!JD80/'raw data'!JE80),0,'raw data'!JD80/'raw data'!JE80)</f>
        <v>2.7777777777777776E-2</v>
      </c>
      <c r="FS80" s="469"/>
      <c r="FT80" s="522">
        <v>19</v>
      </c>
      <c r="FU80" s="523">
        <v>211</v>
      </c>
      <c r="FV80" s="524">
        <f t="shared" ref="FV80:FV82" si="2">IF(ISERROR(FT80/FU80),0,FT80/FU80)</f>
        <v>9.004739336492891E-2</v>
      </c>
    </row>
    <row r="81" spans="1:178" ht="28" x14ac:dyDescent="0.15">
      <c r="A81" s="517" t="s">
        <v>136</v>
      </c>
      <c r="B81" s="517" t="str">
        <f>'raw data'!B81</f>
        <v>Swift Payments to or from Yemen, VISA spend in Yemen and Online bank activity in Yemen</v>
      </c>
      <c r="C81" s="518"/>
      <c r="D81" s="484"/>
      <c r="E81" s="485"/>
      <c r="F81" s="483"/>
      <c r="G81" s="484"/>
      <c r="H81" s="485"/>
      <c r="I81" s="483"/>
      <c r="J81" s="484"/>
      <c r="K81" s="485"/>
      <c r="L81" s="483"/>
      <c r="M81" s="484"/>
      <c r="N81" s="485"/>
      <c r="O81" s="483"/>
      <c r="P81" s="484"/>
      <c r="Q81" s="485"/>
      <c r="R81" s="483"/>
      <c r="S81" s="484"/>
      <c r="T81" s="485"/>
      <c r="U81" s="404"/>
      <c r="V81" s="484"/>
      <c r="W81" s="485"/>
      <c r="X81" s="404"/>
      <c r="Y81" s="484"/>
      <c r="Z81" s="485"/>
      <c r="AA81" s="404"/>
      <c r="AB81" s="484"/>
      <c r="AC81" s="485"/>
      <c r="AD81" s="404"/>
      <c r="AE81" s="484"/>
      <c r="AF81" s="485"/>
      <c r="AG81" s="404"/>
      <c r="AH81" s="484"/>
      <c r="AI81" s="485"/>
      <c r="AJ81" s="404"/>
      <c r="AK81" s="526">
        <f>'raw data'!FR81</f>
        <v>0</v>
      </c>
      <c r="AL81" s="520">
        <f>'raw data'!FS81</f>
        <v>7</v>
      </c>
      <c r="AM81" s="521">
        <f>IF(ISERROR('raw data'!FR81/'raw data'!FS81),0,'raw data'!FR81/'raw data'!FS81)</f>
        <v>0</v>
      </c>
      <c r="AN81" s="519">
        <f>'raw data'!FT81</f>
        <v>0</v>
      </c>
      <c r="AO81" s="520">
        <f>'raw data'!FU81</f>
        <v>2</v>
      </c>
      <c r="AP81" s="521">
        <f>IF(ISERROR('raw data'!FT81/'raw data'!FU81),0,'raw data'!FT81/'raw data'!FU81)</f>
        <v>0</v>
      </c>
      <c r="AQ81" s="519">
        <f>'raw data'!FV81</f>
        <v>0</v>
      </c>
      <c r="AR81" s="520">
        <f>'raw data'!FW81</f>
        <v>3</v>
      </c>
      <c r="AS81" s="527">
        <f>IF(ISERROR('raw data'!FV81/'raw data'!FW81),0,'raw data'!FV81/'raw data'!FW81)</f>
        <v>0</v>
      </c>
      <c r="AT81" s="528">
        <f>'raw data'!FX81</f>
        <v>0</v>
      </c>
      <c r="AU81" s="529">
        <f>'raw data'!FY81</f>
        <v>4</v>
      </c>
      <c r="AV81" s="527">
        <f>IF(ISERROR('raw data'!FX82/'raw data'!FY82),0,'raw data'!FX82/'raw data'!FY82)</f>
        <v>0.10810810810810811</v>
      </c>
      <c r="AW81" s="528">
        <f>'raw data'!FZ81</f>
        <v>0</v>
      </c>
      <c r="AX81" s="529">
        <f>'raw data'!GA81</f>
        <v>6</v>
      </c>
      <c r="AY81" s="527">
        <f>IF(ISERROR('raw data'!FZ82/'raw data'!GA82),0,'raw data'!FZ82/'raw data'!GA82)</f>
        <v>7.1428571428571425E-2</v>
      </c>
      <c r="AZ81" s="528">
        <f>'raw data'!GB81</f>
        <v>0</v>
      </c>
      <c r="BA81" s="529">
        <f>'raw data'!GC81</f>
        <v>8</v>
      </c>
      <c r="BB81" s="527">
        <f>IF(ISERROR('raw data'!GB82/'raw data'!GC82),0,'raw data'!GB82/'raw data'!GC82)</f>
        <v>9.375E-2</v>
      </c>
      <c r="BC81" s="528">
        <f>'raw data'!GD81</f>
        <v>0</v>
      </c>
      <c r="BD81" s="529">
        <f>'raw data'!GE81</f>
        <v>7</v>
      </c>
      <c r="BE81" s="527">
        <f>IF(ISERROR('raw data'!GD82/'raw data'!GE82),0,'raw data'!GD82/'raw data'!GE82)</f>
        <v>0.14705882352941177</v>
      </c>
      <c r="BF81" s="528">
        <f>'raw data'!GF81</f>
        <v>0</v>
      </c>
      <c r="BG81" s="529">
        <f>'raw data'!GG81</f>
        <v>13</v>
      </c>
      <c r="BH81" s="527">
        <f>IF(ISERROR('raw data'!GF82/'raw data'!GG82),0,'raw data'!GF82/'raw data'!GG82)</f>
        <v>0.1</v>
      </c>
      <c r="BI81" s="528">
        <f>'raw data'!GH81</f>
        <v>0</v>
      </c>
      <c r="BJ81" s="529">
        <f>'raw data'!GI81</f>
        <v>11</v>
      </c>
      <c r="BK81" s="527">
        <f>IF(ISERROR('raw data'!GH82/'raw data'!GI82),0,'raw data'!GH82/'raw data'!GI82)</f>
        <v>3.4482758620689655E-2</v>
      </c>
      <c r="BL81" s="528">
        <f>'raw data'!GJ81</f>
        <v>0</v>
      </c>
      <c r="BM81" s="529">
        <f>'raw data'!GK81</f>
        <v>9</v>
      </c>
      <c r="BN81" s="527">
        <f>IF(ISERROR('raw data'!GJ82/'raw data'!GK82),0,'raw data'!GJ82/'raw data'!GK82)</f>
        <v>4.878048780487805E-2</v>
      </c>
      <c r="BO81" s="528">
        <f>'raw data'!GL81</f>
        <v>1</v>
      </c>
      <c r="BP81" s="529">
        <f>'raw data'!GM81</f>
        <v>9</v>
      </c>
      <c r="BQ81" s="527">
        <f>IF(ISERROR('raw data'!GL81/'raw data'!GM81),0,'raw data'!GL81/'raw data'!GM81)</f>
        <v>0.1111111111111111</v>
      </c>
      <c r="BR81" s="528">
        <f>'raw data'!GN81</f>
        <v>0</v>
      </c>
      <c r="BS81" s="529">
        <f>'raw data'!GO81</f>
        <v>2</v>
      </c>
      <c r="BT81" s="527">
        <f>IF(ISERROR('raw data'!GN81/'raw data'!GO81),0,'raw data'!GN81/'raw data'!GO81)</f>
        <v>0</v>
      </c>
      <c r="BU81" s="528">
        <f>'raw data'!GP81</f>
        <v>1</v>
      </c>
      <c r="BV81" s="529">
        <f>'raw data'!GQ81</f>
        <v>6</v>
      </c>
      <c r="BW81" s="527">
        <f>IF(ISERROR('raw data'!GP81/'raw data'!GQ81),0,'raw data'!GP81/'raw data'!GQ81)</f>
        <v>0.16666666666666666</v>
      </c>
      <c r="BX81" s="528">
        <f>'raw data'!GR81</f>
        <v>0</v>
      </c>
      <c r="BY81" s="529">
        <f>'raw data'!GS81</f>
        <v>5</v>
      </c>
      <c r="BZ81" s="527">
        <f>IF(ISERROR('raw data'!GR81/'raw data'!GS81),0,'raw data'!GR81/'raw data'!GS81)</f>
        <v>0</v>
      </c>
      <c r="CA81" s="528">
        <f>'raw data'!GT81</f>
        <v>0</v>
      </c>
      <c r="CB81" s="529">
        <f>'raw data'!GU81</f>
        <v>6</v>
      </c>
      <c r="CC81" s="527">
        <f>IF(ISERROR('raw data'!GT81/'raw data'!GU81),0,'raw data'!GT81/'raw data'!GU81)</f>
        <v>0</v>
      </c>
      <c r="CD81" s="528">
        <f>'raw data'!GV81</f>
        <v>1</v>
      </c>
      <c r="CE81" s="529">
        <f>'raw data'!GW81</f>
        <v>6</v>
      </c>
      <c r="CF81" s="527">
        <f>IF(ISERROR('raw data'!GV81/'raw data'!GW81),0,'raw data'!GV81/'raw data'!GW81)</f>
        <v>0.16666666666666666</v>
      </c>
      <c r="CG81" s="528">
        <f>'raw data'!GX81</f>
        <v>1</v>
      </c>
      <c r="CH81" s="529">
        <f>'raw data'!GY81</f>
        <v>6</v>
      </c>
      <c r="CI81" s="527">
        <f>IF(ISERROR('raw data'!GX81/'raw data'!GY81),0,'raw data'!GX81/'raw data'!GY81)</f>
        <v>0.16666666666666666</v>
      </c>
      <c r="CJ81" s="528">
        <f>'raw data'!GZ81</f>
        <v>1</v>
      </c>
      <c r="CK81" s="529">
        <f>'raw data'!HA81</f>
        <v>5</v>
      </c>
      <c r="CL81" s="527">
        <f>IF(ISERROR('raw data'!GZ81/'raw data'!HA81),0,'raw data'!GZ81/'raw data'!HA81)</f>
        <v>0.2</v>
      </c>
      <c r="CM81" s="528">
        <f>'raw data'!HB81</f>
        <v>1</v>
      </c>
      <c r="CN81" s="529">
        <f>'raw data'!HC81</f>
        <v>8</v>
      </c>
      <c r="CO81" s="527">
        <f>IF(ISERROR('raw data'!HB81/'raw data'!HC81),0,'raw data'!HB81/'raw data'!HC81)</f>
        <v>0.125</v>
      </c>
      <c r="CP81" s="408" t="str">
        <f>'raw data'!HD81</f>
        <v>Suspended</v>
      </c>
      <c r="CQ81" s="409" t="str">
        <f>'raw data'!HE81</f>
        <v>Suspended</v>
      </c>
      <c r="CR81" s="410" t="s">
        <v>30</v>
      </c>
      <c r="CS81" s="528">
        <f>'raw data'!HF81</f>
        <v>0</v>
      </c>
      <c r="CT81" s="529">
        <f>'raw data'!HG81</f>
        <v>3</v>
      </c>
      <c r="CU81" s="527">
        <f>IF(ISERROR('raw data'!HF81/'raw data'!HG81),0,'raw data'!HF81/'raw data'!HG81)</f>
        <v>0</v>
      </c>
      <c r="CV81" s="528">
        <f>'raw data'!HH81</f>
        <v>0</v>
      </c>
      <c r="CW81" s="529">
        <f>'raw data'!HI81</f>
        <v>3</v>
      </c>
      <c r="CX81" s="527">
        <f>IF(ISERROR('raw data'!HH81/'raw data'!HI81),0,'raw data'!HH81/'raw data'!HI81)</f>
        <v>0</v>
      </c>
      <c r="CY81" s="528">
        <f>'raw data'!HJ81</f>
        <v>0</v>
      </c>
      <c r="CZ81" s="529">
        <f>'raw data'!HK81</f>
        <v>0</v>
      </c>
      <c r="DA81" s="527">
        <f>IF(ISERROR('raw data'!HJ81/'raw data'!HK81),0,'raw data'!HJ81/'raw data'!HK81)</f>
        <v>0</v>
      </c>
      <c r="DB81" s="528">
        <f>'raw data'!HL81</f>
        <v>0</v>
      </c>
      <c r="DC81" s="529">
        <f>'raw data'!HM81</f>
        <v>0</v>
      </c>
      <c r="DD81" s="527">
        <f>IF(ISERROR('raw data'!HL81/'raw data'!HM81),0,'raw data'!HL81/'raw data'!HM81)</f>
        <v>0</v>
      </c>
      <c r="DE81" s="528">
        <f>'raw data'!HN81</f>
        <v>0</v>
      </c>
      <c r="DF81" s="529">
        <f>'raw data'!HO81</f>
        <v>1</v>
      </c>
      <c r="DG81" s="527">
        <f>IF(ISERROR('raw data'!HN81/'raw data'!HO81),0,'raw data'!HN81/'raw data'!HO81)</f>
        <v>0</v>
      </c>
      <c r="DH81" s="528">
        <f>'raw data'!HP81</f>
        <v>0</v>
      </c>
      <c r="DI81" s="529">
        <f>'raw data'!HQ81</f>
        <v>0</v>
      </c>
      <c r="DJ81" s="527">
        <f>IF(ISERROR('raw data'!HP81/'raw data'!HQ81),0,'raw data'!HP81/'raw data'!HQ81)</f>
        <v>0</v>
      </c>
      <c r="DK81" s="528">
        <f>'raw data'!HR81</f>
        <v>0</v>
      </c>
      <c r="DL81" s="529">
        <f>'raw data'!HS81</f>
        <v>1</v>
      </c>
      <c r="DM81" s="527">
        <f>IF(ISERROR('raw data'!HR81/'raw data'!HS81),0,'raw data'!HR81/'raw data'!HS81)</f>
        <v>0</v>
      </c>
      <c r="DN81" s="528">
        <f>'raw data'!HT81</f>
        <v>0</v>
      </c>
      <c r="DO81" s="529">
        <f>'raw data'!HU81</f>
        <v>0</v>
      </c>
      <c r="DP81" s="527">
        <f>IF(ISERROR('raw data'!HT81/'raw data'!HU81),0,'raw data'!HT81/'raw data'!HU81)</f>
        <v>0</v>
      </c>
      <c r="DQ81" s="528">
        <f>'raw data'!HV81</f>
        <v>1</v>
      </c>
      <c r="DR81" s="529">
        <f>'raw data'!HW81</f>
        <v>2</v>
      </c>
      <c r="DS81" s="527">
        <f>IF(ISERROR('raw data'!HV81/'raw data'!HW81),0,'raw data'!HV81/'raw data'!HW81)</f>
        <v>0.5</v>
      </c>
      <c r="DT81" s="528">
        <f>'raw data'!HX81</f>
        <v>0</v>
      </c>
      <c r="DU81" s="529">
        <f>'raw data'!HY81</f>
        <v>1</v>
      </c>
      <c r="DV81" s="527">
        <f>IF(ISERROR('raw data'!HX81/'raw data'!HY81),0,'raw data'!HX81/'raw data'!HY81)</f>
        <v>0</v>
      </c>
      <c r="DW81" s="528">
        <f>'raw data'!HZ81</f>
        <v>0</v>
      </c>
      <c r="DX81" s="529">
        <f>'raw data'!IA81</f>
        <v>0</v>
      </c>
      <c r="DY81" s="527">
        <f>IF(ISERROR('raw data'!HZ81/'raw data'!IA81),0,'raw data'!HZ81/'raw data'!IA81)</f>
        <v>0</v>
      </c>
      <c r="DZ81" s="528">
        <f>'raw data'!IB81</f>
        <v>0</v>
      </c>
      <c r="EA81" s="529">
        <f>'raw data'!IC81</f>
        <v>0</v>
      </c>
      <c r="EB81" s="527">
        <f>IF(ISERROR('raw data'!IB81/'raw data'!IC81),0,'raw data'!IB81/'raw data'!IC81)</f>
        <v>0</v>
      </c>
      <c r="EC81" s="528">
        <f>'raw data'!ID81</f>
        <v>0</v>
      </c>
      <c r="ED81" s="529">
        <f>'raw data'!IE81</f>
        <v>3</v>
      </c>
      <c r="EE81" s="527">
        <f>IF(ISERROR('raw data'!ID81/'raw data'!IE81),0,'raw data'!ID81/'raw data'!IE81)</f>
        <v>0</v>
      </c>
      <c r="EF81" s="528">
        <f>'raw data'!IF81</f>
        <v>0</v>
      </c>
      <c r="EG81" s="529">
        <f>'raw data'!IG81</f>
        <v>0</v>
      </c>
      <c r="EH81" s="527">
        <f>IF(ISERROR('raw data'!IF81/'raw data'!IG81),0,'raw data'!IF81/'raw data'!IG81)</f>
        <v>0</v>
      </c>
      <c r="EI81" s="528">
        <f>'raw data'!IH81</f>
        <v>0</v>
      </c>
      <c r="EJ81" s="529">
        <f>'raw data'!II81</f>
        <v>0</v>
      </c>
      <c r="EK81" s="527">
        <f>IF(ISERROR('raw data'!IH81/'raw data'!II81),0,'raw data'!IH81/'raw data'!II81)</f>
        <v>0</v>
      </c>
      <c r="EL81" s="528">
        <f>'raw data'!IJ81</f>
        <v>0</v>
      </c>
      <c r="EM81" s="529">
        <f>'raw data'!IK81</f>
        <v>0</v>
      </c>
      <c r="EN81" s="527">
        <f>IF(ISERROR('raw data'!IJ81/'raw data'!IK81),0,'raw data'!IJ81/'raw data'!IK81)</f>
        <v>0</v>
      </c>
      <c r="EO81" s="528">
        <f>'raw data'!IL81</f>
        <v>0</v>
      </c>
      <c r="EP81" s="529">
        <f>'raw data'!IM81</f>
        <v>0</v>
      </c>
      <c r="EQ81" s="527">
        <f>IF(ISERROR('raw data'!IL81/'raw data'!IM81),0,'raw data'!IL81/'raw data'!IM81)</f>
        <v>0</v>
      </c>
      <c r="ER81" s="528">
        <f>'raw data'!IN81</f>
        <v>1</v>
      </c>
      <c r="ES81" s="529">
        <f>'raw data'!IO81</f>
        <v>1</v>
      </c>
      <c r="ET81" s="527">
        <f>IF(ISERROR('raw data'!IN81/'raw data'!IO81),0,'raw data'!IN81/'raw data'!IO81)</f>
        <v>1</v>
      </c>
      <c r="EU81" s="528">
        <f>'raw data'!IP81</f>
        <v>0</v>
      </c>
      <c r="EV81" s="529">
        <f>'raw data'!IQ81</f>
        <v>1</v>
      </c>
      <c r="EW81" s="527">
        <f>IF(ISERROR('raw data'!IP81/'raw data'!IQ81),0,'raw data'!IP81/'raw data'!IQ81)</f>
        <v>0</v>
      </c>
      <c r="EX81" s="528">
        <f>'raw data'!IR81</f>
        <v>2</v>
      </c>
      <c r="EY81" s="529">
        <f>'raw data'!IS81</f>
        <v>21</v>
      </c>
      <c r="EZ81" s="527">
        <f>IF(ISERROR('raw data'!IR81/'raw data'!IS81),0,'raw data'!IR81/'raw data'!IS81)</f>
        <v>9.5238095238095233E-2</v>
      </c>
      <c r="FA81" s="528">
        <f>'raw data'!IT81</f>
        <v>1</v>
      </c>
      <c r="FB81" s="529">
        <f>'raw data'!IU81</f>
        <v>18</v>
      </c>
      <c r="FC81" s="527">
        <f>IF(ISERROR('raw data'!IT81/'raw data'!IU81),0,'raw data'!IT81/'raw data'!IU81)</f>
        <v>5.5555555555555552E-2</v>
      </c>
      <c r="FD81" s="528">
        <f>'raw data'!IV81</f>
        <v>2</v>
      </c>
      <c r="FE81" s="529">
        <f>'raw data'!IW81</f>
        <v>17</v>
      </c>
      <c r="FF81" s="527">
        <f>IF(ISERROR('raw data'!IV81/'raw data'!IW81),0,'raw data'!IV81/'raw data'!IW81)</f>
        <v>0.11764705882352941</v>
      </c>
      <c r="FG81" s="528">
        <f>'raw data'!IX81</f>
        <v>1</v>
      </c>
      <c r="FH81" s="529">
        <f>'raw data'!IY81</f>
        <v>13</v>
      </c>
      <c r="FI81" s="527">
        <f>IF(ISERROR('raw data'!IX81/'raw data'!IY81),0,'raw data'!IX81/'raw data'!IY81)</f>
        <v>7.6923076923076927E-2</v>
      </c>
      <c r="FJ81" s="528">
        <f>'raw data'!IZ81</f>
        <v>1</v>
      </c>
      <c r="FK81" s="529">
        <f>'raw data'!JA81</f>
        <v>23</v>
      </c>
      <c r="FL81" s="527">
        <f>IF(ISERROR('raw data'!IZ81/'raw data'!JA81),0,'raw data'!IZ81/'raw data'!JA81)</f>
        <v>4.3478260869565216E-2</v>
      </c>
      <c r="FM81" s="528">
        <f>'raw data'!JB81</f>
        <v>0</v>
      </c>
      <c r="FN81" s="529">
        <f>'raw data'!JC81</f>
        <v>36</v>
      </c>
      <c r="FO81" s="527">
        <f>IF(ISERROR('raw data'!JB81/'raw data'!JC81),0,'raw data'!JB81/'raw data'!JC81)</f>
        <v>0</v>
      </c>
      <c r="FP81" s="528">
        <f>'raw data'!JD81</f>
        <v>1</v>
      </c>
      <c r="FQ81" s="529">
        <f>'raw data'!JE81</f>
        <v>24</v>
      </c>
      <c r="FR81" s="527">
        <f>IF(ISERROR('raw data'!JD81/'raw data'!JE81),0,'raw data'!JD81/'raw data'!JE81)</f>
        <v>4.1666666666666664E-2</v>
      </c>
      <c r="FS81" s="469"/>
      <c r="FT81" s="522">
        <v>9</v>
      </c>
      <c r="FU81" s="523">
        <v>154</v>
      </c>
      <c r="FV81" s="524">
        <f t="shared" si="2"/>
        <v>5.844155844155844E-2</v>
      </c>
    </row>
    <row r="82" spans="1:178" ht="28" x14ac:dyDescent="0.15">
      <c r="A82" s="517" t="s">
        <v>138</v>
      </c>
      <c r="B82" s="517" t="str">
        <f>'raw data'!B82</f>
        <v>Swift Payments to or from Libya, VISA spend in Libya and Online bank activity in Libya</v>
      </c>
      <c r="C82" s="518"/>
      <c r="D82" s="484"/>
      <c r="E82" s="485"/>
      <c r="F82" s="483"/>
      <c r="G82" s="484"/>
      <c r="H82" s="485"/>
      <c r="I82" s="483"/>
      <c r="J82" s="484"/>
      <c r="K82" s="485"/>
      <c r="L82" s="483"/>
      <c r="M82" s="484"/>
      <c r="N82" s="485"/>
      <c r="O82" s="483"/>
      <c r="P82" s="484"/>
      <c r="Q82" s="485"/>
      <c r="R82" s="483"/>
      <c r="S82" s="484"/>
      <c r="T82" s="485"/>
      <c r="U82" s="404"/>
      <c r="V82" s="484"/>
      <c r="W82" s="485"/>
      <c r="X82" s="404"/>
      <c r="Y82" s="484"/>
      <c r="Z82" s="485"/>
      <c r="AA82" s="404"/>
      <c r="AB82" s="484"/>
      <c r="AC82" s="485"/>
      <c r="AD82" s="404"/>
      <c r="AE82" s="484"/>
      <c r="AF82" s="485"/>
      <c r="AG82" s="404"/>
      <c r="AH82" s="484"/>
      <c r="AI82" s="485"/>
      <c r="AJ82" s="404"/>
      <c r="AK82" s="526">
        <f>'raw data'!FR82</f>
        <v>1</v>
      </c>
      <c r="AL82" s="520">
        <f>'raw data'!FS82</f>
        <v>35</v>
      </c>
      <c r="AM82" s="521">
        <f>IF(ISERROR('raw data'!FR82/'raw data'!FS82),0,'raw data'!FR82/'raw data'!FS82)</f>
        <v>2.8571428571428571E-2</v>
      </c>
      <c r="AN82" s="519">
        <f>'raw data'!FT82</f>
        <v>0</v>
      </c>
      <c r="AO82" s="520">
        <f>'raw data'!FU82</f>
        <v>26</v>
      </c>
      <c r="AP82" s="521">
        <f>IF(ISERROR('raw data'!FT82/'raw data'!FU82),0,'raw data'!FT82/'raw data'!FU82)</f>
        <v>0</v>
      </c>
      <c r="AQ82" s="519">
        <f>'raw data'!FV82</f>
        <v>0</v>
      </c>
      <c r="AR82" s="520">
        <f>'raw data'!FW82</f>
        <v>32</v>
      </c>
      <c r="AS82" s="527">
        <f>IF(ISERROR('raw data'!FV82/'raw data'!FW82),0,'raw data'!FV82/'raw data'!FW82)</f>
        <v>0</v>
      </c>
      <c r="AT82" s="528">
        <f>'raw data'!FX82</f>
        <v>4</v>
      </c>
      <c r="AU82" s="529">
        <f>'raw data'!FY82</f>
        <v>37</v>
      </c>
      <c r="AV82" s="527">
        <f>IF(ISERROR('raw data'!FX83/'raw data'!FY83),0,'raw data'!FX83/'raw data'!FY83)</f>
        <v>8.1632653061224483E-2</v>
      </c>
      <c r="AW82" s="528">
        <f>'raw data'!FZ82</f>
        <v>2</v>
      </c>
      <c r="AX82" s="529">
        <f>'raw data'!GA82</f>
        <v>28</v>
      </c>
      <c r="AY82" s="527">
        <f>IF(ISERROR('raw data'!FZ83/'raw data'!GA83),0,'raw data'!FZ83/'raw data'!GA83)</f>
        <v>0.1111111111111111</v>
      </c>
      <c r="AZ82" s="528">
        <f>'raw data'!GB82</f>
        <v>3</v>
      </c>
      <c r="BA82" s="529">
        <f>'raw data'!GC82</f>
        <v>32</v>
      </c>
      <c r="BB82" s="527">
        <f>IF(ISERROR('raw data'!GB83/'raw data'!GC83),0,'raw data'!GB83/'raw data'!GC83)</f>
        <v>0.06</v>
      </c>
      <c r="BC82" s="528">
        <f>'raw data'!GD82</f>
        <v>5</v>
      </c>
      <c r="BD82" s="529">
        <f>'raw data'!GE82</f>
        <v>34</v>
      </c>
      <c r="BE82" s="527">
        <f>IF(ISERROR('raw data'!GD83/'raw data'!GE83),0,'raw data'!GD83/'raw data'!GE83)</f>
        <v>0.1</v>
      </c>
      <c r="BF82" s="528">
        <f>'raw data'!GF82</f>
        <v>3</v>
      </c>
      <c r="BG82" s="529">
        <f>'raw data'!GG82</f>
        <v>30</v>
      </c>
      <c r="BH82" s="527">
        <f>IF(ISERROR('raw data'!GF83/'raw data'!GG83),0,'raw data'!GF83/'raw data'!GG83)</f>
        <v>0.10169491525423729</v>
      </c>
      <c r="BI82" s="528">
        <f>'raw data'!GH82</f>
        <v>2</v>
      </c>
      <c r="BJ82" s="529">
        <f>'raw data'!GI82</f>
        <v>58</v>
      </c>
      <c r="BK82" s="527">
        <f>IF(ISERROR('raw data'!GH83/'raw data'!GI83),0,'raw data'!GH83/'raw data'!GI83)</f>
        <v>7.1428571428571425E-2</v>
      </c>
      <c r="BL82" s="528">
        <f>'raw data'!GJ82</f>
        <v>2</v>
      </c>
      <c r="BM82" s="529">
        <f>'raw data'!GK82</f>
        <v>41</v>
      </c>
      <c r="BN82" s="527">
        <f>IF(ISERROR('raw data'!GJ83/'raw data'!GK83),0,'raw data'!GJ83/'raw data'!GK83)</f>
        <v>4.6875E-2</v>
      </c>
      <c r="BO82" s="528">
        <f>'raw data'!GL82</f>
        <v>1</v>
      </c>
      <c r="BP82" s="529">
        <f>'raw data'!GM82</f>
        <v>27</v>
      </c>
      <c r="BQ82" s="527">
        <f>IF(ISERROR('raw data'!GL82/'raw data'!GM82),0,'raw data'!GL82/'raw data'!GM82)</f>
        <v>3.7037037037037035E-2</v>
      </c>
      <c r="BR82" s="528">
        <f>'raw data'!GN82</f>
        <v>0</v>
      </c>
      <c r="BS82" s="529">
        <f>'raw data'!GO82</f>
        <v>29</v>
      </c>
      <c r="BT82" s="527">
        <f>IF(ISERROR('raw data'!GN82/'raw data'!GO82),0,'raw data'!GN82/'raw data'!GO82)</f>
        <v>0</v>
      </c>
      <c r="BU82" s="528">
        <f>'raw data'!GP82</f>
        <v>1</v>
      </c>
      <c r="BV82" s="529">
        <f>'raw data'!GQ82</f>
        <v>37</v>
      </c>
      <c r="BW82" s="527">
        <f>IF(ISERROR('raw data'!GP82/'raw data'!GQ82),0,'raw data'!GP82/'raw data'!GQ82)</f>
        <v>2.7027027027027029E-2</v>
      </c>
      <c r="BX82" s="528">
        <f>'raw data'!GR82</f>
        <v>0</v>
      </c>
      <c r="BY82" s="529">
        <f>'raw data'!GS82</f>
        <v>36</v>
      </c>
      <c r="BZ82" s="527">
        <f>IF(ISERROR('raw data'!GR82/'raw data'!GS82),0,'raw data'!GR82/'raw data'!GS82)</f>
        <v>0</v>
      </c>
      <c r="CA82" s="528">
        <f>'raw data'!GT82</f>
        <v>0</v>
      </c>
      <c r="CB82" s="529">
        <f>'raw data'!GU82</f>
        <v>36</v>
      </c>
      <c r="CC82" s="527">
        <f>IF(ISERROR('raw data'!GT82/'raw data'!GU82),0,'raw data'!GT82/'raw data'!GU82)</f>
        <v>0</v>
      </c>
      <c r="CD82" s="528">
        <f>'raw data'!GV82</f>
        <v>2</v>
      </c>
      <c r="CE82" s="529">
        <f>'raw data'!GW82</f>
        <v>33</v>
      </c>
      <c r="CF82" s="527">
        <f>IF(ISERROR('raw data'!GV82/'raw data'!GW82),0,'raw data'!GV82/'raw data'!GW82)</f>
        <v>6.0606060606060608E-2</v>
      </c>
      <c r="CG82" s="528">
        <f>'raw data'!GX82</f>
        <v>2</v>
      </c>
      <c r="CH82" s="529">
        <f>'raw data'!GY82</f>
        <v>25</v>
      </c>
      <c r="CI82" s="527">
        <f>IF(ISERROR('raw data'!GX82/'raw data'!GY82),0,'raw data'!GX82/'raw data'!GY82)</f>
        <v>0.08</v>
      </c>
      <c r="CJ82" s="528">
        <f>'raw data'!GZ82</f>
        <v>1</v>
      </c>
      <c r="CK82" s="529">
        <f>'raw data'!HA82</f>
        <v>26</v>
      </c>
      <c r="CL82" s="527">
        <f>IF(ISERROR('raw data'!GZ82/'raw data'!HA82),0,'raw data'!GZ82/'raw data'!HA82)</f>
        <v>3.8461538461538464E-2</v>
      </c>
      <c r="CM82" s="528">
        <f>'raw data'!HB82</f>
        <v>3</v>
      </c>
      <c r="CN82" s="529">
        <f>'raw data'!HC82</f>
        <v>32</v>
      </c>
      <c r="CO82" s="527">
        <f>IF(ISERROR('raw data'!HB82/'raw data'!HC82),0,'raw data'!HB82/'raw data'!HC82)</f>
        <v>9.375E-2</v>
      </c>
      <c r="CP82" s="408" t="str">
        <f>'raw data'!HD82</f>
        <v>Suspended</v>
      </c>
      <c r="CQ82" s="409" t="str">
        <f>'raw data'!HE82</f>
        <v>Suspended</v>
      </c>
      <c r="CR82" s="410" t="s">
        <v>30</v>
      </c>
      <c r="CS82" s="528">
        <f>'raw data'!HF82</f>
        <v>0</v>
      </c>
      <c r="CT82" s="529">
        <f>'raw data'!HG82</f>
        <v>0</v>
      </c>
      <c r="CU82" s="527">
        <f>IF(ISERROR('raw data'!HF82/'raw data'!HG82),0,'raw data'!HF82/'raw data'!HG82)</f>
        <v>0</v>
      </c>
      <c r="CV82" s="528">
        <f>'raw data'!HH82</f>
        <v>0</v>
      </c>
      <c r="CW82" s="529">
        <f>'raw data'!HI82</f>
        <v>0</v>
      </c>
      <c r="CX82" s="527">
        <f>IF(ISERROR('raw data'!HH82/'raw data'!HI82),0,'raw data'!HH82/'raw data'!HI82)</f>
        <v>0</v>
      </c>
      <c r="CY82" s="528">
        <f>'raw data'!HJ82</f>
        <v>0</v>
      </c>
      <c r="CZ82" s="529">
        <f>'raw data'!HK82</f>
        <v>1</v>
      </c>
      <c r="DA82" s="527">
        <f>IF(ISERROR('raw data'!HJ82/'raw data'!HK82),0,'raw data'!HJ82/'raw data'!HK82)</f>
        <v>0</v>
      </c>
      <c r="DB82" s="528">
        <f>'raw data'!HL82</f>
        <v>1</v>
      </c>
      <c r="DC82" s="529">
        <f>'raw data'!HM82</f>
        <v>2</v>
      </c>
      <c r="DD82" s="527">
        <f>IF(ISERROR('raw data'!HL82/'raw data'!HM82),0,'raw data'!HL82/'raw data'!HM82)</f>
        <v>0.5</v>
      </c>
      <c r="DE82" s="528">
        <f>'raw data'!HN82</f>
        <v>0</v>
      </c>
      <c r="DF82" s="529">
        <f>'raw data'!HO82</f>
        <v>1</v>
      </c>
      <c r="DG82" s="527">
        <f>IF(ISERROR('raw data'!HN82/'raw data'!HO82),0,'raw data'!HN82/'raw data'!HO82)</f>
        <v>0</v>
      </c>
      <c r="DH82" s="528">
        <f>'raw data'!HP82</f>
        <v>0</v>
      </c>
      <c r="DI82" s="529">
        <f>'raw data'!HQ82</f>
        <v>2</v>
      </c>
      <c r="DJ82" s="527">
        <f>IF(ISERROR('raw data'!HP82/'raw data'!HQ82),0,'raw data'!HP82/'raw data'!HQ82)</f>
        <v>0</v>
      </c>
      <c r="DK82" s="528">
        <f>'raw data'!HR82</f>
        <v>1</v>
      </c>
      <c r="DL82" s="529">
        <f>'raw data'!HS82</f>
        <v>2</v>
      </c>
      <c r="DM82" s="527">
        <f>IF(ISERROR('raw data'!HR82/'raw data'!HS82),0,'raw data'!HR82/'raw data'!HS82)</f>
        <v>0.5</v>
      </c>
      <c r="DN82" s="528">
        <f>'raw data'!HT82</f>
        <v>0</v>
      </c>
      <c r="DO82" s="529">
        <f>'raw data'!HU82</f>
        <v>1</v>
      </c>
      <c r="DP82" s="527">
        <f>IF(ISERROR('raw data'!HT82/'raw data'!HU82),0,'raw data'!HT82/'raw data'!HU82)</f>
        <v>0</v>
      </c>
      <c r="DQ82" s="528">
        <f>'raw data'!HV82</f>
        <v>0</v>
      </c>
      <c r="DR82" s="529">
        <f>'raw data'!HW82</f>
        <v>1</v>
      </c>
      <c r="DS82" s="527">
        <f>IF(ISERROR('raw data'!HV82/'raw data'!HW82),0,'raw data'!HV82/'raw data'!HW82)</f>
        <v>0</v>
      </c>
      <c r="DT82" s="528">
        <f>'raw data'!HX82</f>
        <v>0</v>
      </c>
      <c r="DU82" s="529">
        <f>'raw data'!HY82</f>
        <v>0</v>
      </c>
      <c r="DV82" s="527">
        <f>IF(ISERROR('raw data'!HX82/'raw data'!HY82),0,'raw data'!HX82/'raw data'!HY82)</f>
        <v>0</v>
      </c>
      <c r="DW82" s="528">
        <f>'raw data'!HZ82</f>
        <v>0</v>
      </c>
      <c r="DX82" s="529">
        <f>'raw data'!IA82</f>
        <v>0</v>
      </c>
      <c r="DY82" s="527">
        <f>IF(ISERROR('raw data'!HZ82/'raw data'!IA82),0,'raw data'!HZ82/'raw data'!IA82)</f>
        <v>0</v>
      </c>
      <c r="DZ82" s="528">
        <f>'raw data'!IB82</f>
        <v>0</v>
      </c>
      <c r="EA82" s="529">
        <f>'raw data'!IC82</f>
        <v>1</v>
      </c>
      <c r="EB82" s="527">
        <f>IF(ISERROR('raw data'!IB82/'raw data'!IC82),0,'raw data'!IB82/'raw data'!IC82)</f>
        <v>0</v>
      </c>
      <c r="EC82" s="528">
        <f>'raw data'!ID82</f>
        <v>0</v>
      </c>
      <c r="ED82" s="529">
        <f>'raw data'!IE82</f>
        <v>0</v>
      </c>
      <c r="EE82" s="527">
        <f>IF(ISERROR('raw data'!ID82/'raw data'!IE82),0,'raw data'!ID82/'raw data'!IE82)</f>
        <v>0</v>
      </c>
      <c r="EF82" s="528">
        <f>'raw data'!IF82</f>
        <v>0</v>
      </c>
      <c r="EG82" s="529">
        <f>'raw data'!IG82</f>
        <v>1</v>
      </c>
      <c r="EH82" s="527">
        <f>IF(ISERROR('raw data'!IF82/'raw data'!IG82),0,'raw data'!IF82/'raw data'!IG82)</f>
        <v>0</v>
      </c>
      <c r="EI82" s="528">
        <f>'raw data'!IH82</f>
        <v>0</v>
      </c>
      <c r="EJ82" s="529">
        <f>'raw data'!II82</f>
        <v>0</v>
      </c>
      <c r="EK82" s="527">
        <f>IF(ISERROR('raw data'!IH82/'raw data'!II82),0,'raw data'!IH82/'raw data'!II82)</f>
        <v>0</v>
      </c>
      <c r="EL82" s="528">
        <f>'raw data'!IJ82</f>
        <v>0</v>
      </c>
      <c r="EM82" s="529">
        <f>'raw data'!IK82</f>
        <v>0</v>
      </c>
      <c r="EN82" s="527">
        <f>IF(ISERROR('raw data'!IJ82/'raw data'!IK82),0,'raw data'!IJ82/'raw data'!IK82)</f>
        <v>0</v>
      </c>
      <c r="EO82" s="528">
        <f>'raw data'!IL82</f>
        <v>0</v>
      </c>
      <c r="EP82" s="529">
        <f>'raw data'!IM82</f>
        <v>0</v>
      </c>
      <c r="EQ82" s="527">
        <f>IF(ISERROR('raw data'!IL82/'raw data'!IM82),0,'raw data'!IL82/'raw data'!IM82)</f>
        <v>0</v>
      </c>
      <c r="ER82" s="528">
        <f>'raw data'!IN82</f>
        <v>0</v>
      </c>
      <c r="ES82" s="529">
        <f>'raw data'!IO82</f>
        <v>0</v>
      </c>
      <c r="ET82" s="527">
        <f>IF(ISERROR('raw data'!IN82/'raw data'!IO82),0,'raw data'!IN82/'raw data'!IO82)</f>
        <v>0</v>
      </c>
      <c r="EU82" s="528">
        <f>'raw data'!IP82</f>
        <v>0</v>
      </c>
      <c r="EV82" s="529">
        <f>'raw data'!IQ82</f>
        <v>0</v>
      </c>
      <c r="EW82" s="527">
        <f>IF(ISERROR('raw data'!IP82/'raw data'!IQ82),0,'raw data'!IP82/'raw data'!IQ82)</f>
        <v>0</v>
      </c>
      <c r="EX82" s="528">
        <f>'raw data'!IR82</f>
        <v>5</v>
      </c>
      <c r="EY82" s="529">
        <f>'raw data'!IS82</f>
        <v>45</v>
      </c>
      <c r="EZ82" s="527">
        <f>IF(ISERROR('raw data'!IR82/'raw data'!IS82),0,'raw data'!IR82/'raw data'!IS82)</f>
        <v>0.1111111111111111</v>
      </c>
      <c r="FA82" s="528">
        <f>'raw data'!IT82</f>
        <v>5</v>
      </c>
      <c r="FB82" s="529">
        <f>'raw data'!IU82</f>
        <v>54</v>
      </c>
      <c r="FC82" s="527">
        <f>IF(ISERROR('raw data'!IT82/'raw data'!IU82),0,'raw data'!IT82/'raw data'!IU82)</f>
        <v>9.2592592592592587E-2</v>
      </c>
      <c r="FD82" s="528">
        <f>'raw data'!IV82</f>
        <v>5</v>
      </c>
      <c r="FE82" s="529">
        <f>'raw data'!IW82</f>
        <v>57</v>
      </c>
      <c r="FF82" s="527">
        <f>IF(ISERROR('raw data'!IV82/'raw data'!IW82),0,'raw data'!IV82/'raw data'!IW82)</f>
        <v>8.771929824561403E-2</v>
      </c>
      <c r="FG82" s="528">
        <f>'raw data'!IX82</f>
        <v>5</v>
      </c>
      <c r="FH82" s="529">
        <f>'raw data'!IY82</f>
        <v>53</v>
      </c>
      <c r="FI82" s="527">
        <f>IF(ISERROR('raw data'!IX82/'raw data'!IY82),0,'raw data'!IX82/'raw data'!IY82)</f>
        <v>9.4339622641509441E-2</v>
      </c>
      <c r="FJ82" s="528">
        <f>'raw data'!IZ82</f>
        <v>9</v>
      </c>
      <c r="FK82" s="529">
        <f>'raw data'!JA82</f>
        <v>59</v>
      </c>
      <c r="FL82" s="527">
        <f>IF(ISERROR('raw data'!IZ82/'raw data'!JA82),0,'raw data'!IZ82/'raw data'!JA82)</f>
        <v>0.15254237288135594</v>
      </c>
      <c r="FM82" s="528">
        <f>'raw data'!JB82</f>
        <v>9</v>
      </c>
      <c r="FN82" s="529">
        <f>'raw data'!JC82</f>
        <v>70</v>
      </c>
      <c r="FO82" s="527">
        <f>IF(ISERROR('raw data'!JB82/'raw data'!JC82),0,'raw data'!JB82/'raw data'!JC82)</f>
        <v>0.12857142857142856</v>
      </c>
      <c r="FP82" s="528">
        <f>'raw data'!JD82</f>
        <v>3</v>
      </c>
      <c r="FQ82" s="529">
        <f>'raw data'!JE82</f>
        <v>55</v>
      </c>
      <c r="FR82" s="527">
        <f>IF(ISERROR('raw data'!JD82/'raw data'!JE82),0,'raw data'!JD82/'raw data'!JE82)</f>
        <v>5.4545454545454543E-2</v>
      </c>
      <c r="FS82" s="469"/>
      <c r="FT82" s="522">
        <v>41</v>
      </c>
      <c r="FU82" s="523">
        <v>393</v>
      </c>
      <c r="FV82" s="524">
        <f t="shared" si="2"/>
        <v>0.10432569974554708</v>
      </c>
    </row>
    <row r="83" spans="1:178" ht="14" x14ac:dyDescent="0.15">
      <c r="A83" s="530"/>
      <c r="B83" s="531" t="s">
        <v>254</v>
      </c>
      <c r="C83" s="532"/>
      <c r="D83" s="499">
        <f>SUM(D75:D82)</f>
        <v>0</v>
      </c>
      <c r="E83" s="500">
        <f>SUM(E75:E82)</f>
        <v>0</v>
      </c>
      <c r="F83" s="420">
        <f>IF(ISERROR('raw data'!ET83/'raw data'!EU83),0,'raw data'!ET83/'raw data'!EU83)</f>
        <v>0</v>
      </c>
      <c r="G83" s="423">
        <f>SUM(G75:G82)</f>
        <v>0</v>
      </c>
      <c r="H83" s="422">
        <f>SUM(H75:H82)</f>
        <v>8</v>
      </c>
      <c r="I83" s="420">
        <f>IF(ISERROR('raw data'!EV83/'raw data'!EW83),0,'raw data'!EV83/'raw data'!EW83)</f>
        <v>0</v>
      </c>
      <c r="J83" s="423">
        <f>SUM(J75:J76)</f>
        <v>1</v>
      </c>
      <c r="K83" s="422">
        <f>SUM(K75:K76)</f>
        <v>13</v>
      </c>
      <c r="L83" s="420">
        <f>IF(ISERROR('raw data'!EX83/'raw data'!EY83),0,'raw data'!EX83/'raw data'!EY83)</f>
        <v>7.6923076923076927E-2</v>
      </c>
      <c r="M83" s="423">
        <f>SUM(M75:M82)</f>
        <v>0</v>
      </c>
      <c r="N83" s="422">
        <f>SUM(N75:N82)</f>
        <v>9</v>
      </c>
      <c r="O83" s="420">
        <f>IF(ISERROR('raw data'!EZ83/'raw data'!FA83),0,'raw data'!EZ83/'raw data'!FA83)</f>
        <v>0</v>
      </c>
      <c r="P83" s="423">
        <f>SUM(P75:P82)</f>
        <v>0</v>
      </c>
      <c r="Q83" s="422">
        <f>SUM(Q75:Q82)</f>
        <v>0</v>
      </c>
      <c r="R83" s="420">
        <f>IF(ISERROR('raw data'!FB83/'raw data'!FC83),0,'raw data'!FB83/'raw data'!FC83)</f>
        <v>0</v>
      </c>
      <c r="S83" s="423">
        <f>SUM(S75:S82)</f>
        <v>0</v>
      </c>
      <c r="T83" s="422">
        <f>SUM(T75:T82)</f>
        <v>0</v>
      </c>
      <c r="U83" s="420">
        <f>IF(ISERROR('raw data'!FD83/'raw data'!FE83),0,'raw data'!FD83/'raw data'!FE83)</f>
        <v>0</v>
      </c>
      <c r="V83" s="423">
        <f>SUM(V75:V82)</f>
        <v>0</v>
      </c>
      <c r="W83" s="422">
        <f>SUM(W75:W82)</f>
        <v>0</v>
      </c>
      <c r="X83" s="420">
        <f>IF(ISERROR('raw data'!FF83/'raw data'!FG83),0,'raw data'!FF83/'raw data'!FG83)</f>
        <v>0</v>
      </c>
      <c r="Y83" s="423">
        <f>SUM(Y75:Y82)</f>
        <v>0</v>
      </c>
      <c r="Z83" s="422">
        <f>SUM(Z75:Z82)</f>
        <v>0</v>
      </c>
      <c r="AA83" s="420">
        <f>IF(ISERROR('raw data'!FH83/'raw data'!FI83),0,'raw data'!FH83/'raw data'!FI83)</f>
        <v>0</v>
      </c>
      <c r="AB83" s="423">
        <f>SUM(AB75:AB82)</f>
        <v>0</v>
      </c>
      <c r="AC83" s="422">
        <f>SUM(AC75:AC82)</f>
        <v>0</v>
      </c>
      <c r="AD83" s="420">
        <f>IF(ISERROR('raw data'!FJ83/'raw data'!FM83),0,'raw data'!FJ83/'raw data'!FM83)</f>
        <v>0</v>
      </c>
      <c r="AE83" s="423">
        <f>SUM(AE75:AE82)</f>
        <v>0</v>
      </c>
      <c r="AF83" s="422">
        <f>SUM(AF75:AF82)</f>
        <v>0</v>
      </c>
      <c r="AG83" s="420">
        <f>IF(ISERROR('raw data'!FN83/'raw data'!FO83),0,'raw data'!FN83/'raw data'!FO83)</f>
        <v>0</v>
      </c>
      <c r="AH83" s="423">
        <f>SUM(AH75:AH82)</f>
        <v>0</v>
      </c>
      <c r="AI83" s="422">
        <f>SUM(AI75:AI82)</f>
        <v>0</v>
      </c>
      <c r="AJ83" s="420">
        <f>IF(ISERROR('raw data'!FP83/'raw data'!FQ83),0,'raw data'!FP83/'raw data'!FQ83)</f>
        <v>0</v>
      </c>
      <c r="AK83" s="423">
        <f>SUM(AK75:AK82)</f>
        <v>2</v>
      </c>
      <c r="AL83" s="422">
        <f>SUM(AL75:AL82)</f>
        <v>49</v>
      </c>
      <c r="AM83" s="420">
        <f>IF(ISERROR('raw data'!FR83/'raw data'!FS83),0,'raw data'!FR83/'raw data'!FS83)</f>
        <v>4.0816326530612242E-2</v>
      </c>
      <c r="AN83" s="423">
        <f>SUM(AN75:AN82)</f>
        <v>0</v>
      </c>
      <c r="AO83" s="422">
        <f>SUM(AO75:AO82)</f>
        <v>34</v>
      </c>
      <c r="AP83" s="420">
        <f>IF(ISERROR('raw data'!FT83/'raw data'!FU83),0,'raw data'!FT83/'raw data'!FU83)</f>
        <v>0</v>
      </c>
      <c r="AQ83" s="423">
        <f>SUM(AQ75:AQ82)</f>
        <v>0</v>
      </c>
      <c r="AR83" s="422">
        <f>SUM(AR75:AR82)</f>
        <v>39</v>
      </c>
      <c r="AS83" s="424">
        <f>IF(ISERROR('raw data'!FV83/'raw data'!FW83),0,'raw data'!FV83/'raw data'!FW83)</f>
        <v>0</v>
      </c>
      <c r="AT83" s="423">
        <f>SUM(AT75:AT82)</f>
        <v>4</v>
      </c>
      <c r="AU83" s="422">
        <f>SUM(AU75:AU82)</f>
        <v>49</v>
      </c>
      <c r="AV83" s="426">
        <f>IF(ISERROR('raw data'!FX83/'raw data'!FY83),0,'raw data'!FX83/'raw data'!FY83)</f>
        <v>8.1632653061224483E-2</v>
      </c>
      <c r="AW83" s="423">
        <f>SUM(AW75:AW82)</f>
        <v>5</v>
      </c>
      <c r="AX83" s="422">
        <f>SUM(AX75:AX82)</f>
        <v>45</v>
      </c>
      <c r="AY83" s="426">
        <f>IF(ISERROR('raw data'!FZ83/'raw data'!GA83),0,'raw data'!FZ83/'raw data'!GA83)</f>
        <v>0.1111111111111111</v>
      </c>
      <c r="AZ83" s="423">
        <f>SUM(AZ75:AZ82)</f>
        <v>3</v>
      </c>
      <c r="BA83" s="422">
        <f>SUM(BA75:BA82)</f>
        <v>50</v>
      </c>
      <c r="BB83" s="426">
        <f>IF(ISERROR('raw data'!GB83/'raw data'!GC83),0,'raw data'!GB83/'raw data'!GC83)</f>
        <v>0.06</v>
      </c>
      <c r="BC83" s="423">
        <f>SUM(BC75:BC82)</f>
        <v>5</v>
      </c>
      <c r="BD83" s="422">
        <f>SUM(BD75:BD82)</f>
        <v>50</v>
      </c>
      <c r="BE83" s="426">
        <f>IF(ISERROR('raw data'!GD83/'raw data'!GE83),0,'raw data'!GD83/'raw data'!GE83)</f>
        <v>0.1</v>
      </c>
      <c r="BF83" s="423">
        <f>SUM(BF75:BF82)</f>
        <v>6</v>
      </c>
      <c r="BG83" s="422">
        <f>SUM(BG75:BG82)</f>
        <v>59</v>
      </c>
      <c r="BH83" s="426">
        <f>IF(ISERROR('raw data'!GF83/'raw data'!GG83),0,'raw data'!GF83/'raw data'!GG83)</f>
        <v>0.10169491525423729</v>
      </c>
      <c r="BI83" s="423">
        <f>SUM(BI75:BI82)</f>
        <v>6</v>
      </c>
      <c r="BJ83" s="422">
        <f>SUM(BJ75:BJ82)</f>
        <v>84</v>
      </c>
      <c r="BK83" s="426">
        <f>IF(ISERROR('raw data'!GH83/'raw data'!GI83),0,'raw data'!GH83/'raw data'!GI83)</f>
        <v>7.1428571428571425E-2</v>
      </c>
      <c r="BL83" s="423">
        <f>SUM(BL75:BL82)</f>
        <v>3</v>
      </c>
      <c r="BM83" s="422">
        <f>SUM(BM75:BM82)</f>
        <v>64</v>
      </c>
      <c r="BN83" s="426">
        <f>IF(ISERROR('raw data'!GJ83/'raw data'!GK83),0,'raw data'!GJ83/'raw data'!GK83)</f>
        <v>4.6875E-2</v>
      </c>
      <c r="BO83" s="423">
        <f>SUM(BO75:BO82)</f>
        <v>2</v>
      </c>
      <c r="BP83" s="422">
        <f>SUM(BP75:BP82)</f>
        <v>52</v>
      </c>
      <c r="BQ83" s="426">
        <f>IF(ISERROR('raw data'!GL83/'raw data'!GM83),0,'raw data'!GL83/'raw data'!GM83)</f>
        <v>3.8461538461538464E-2</v>
      </c>
      <c r="BR83" s="423">
        <f>SUM(BR75:BR82)</f>
        <v>1</v>
      </c>
      <c r="BS83" s="422">
        <f>SUM(BS75:BS82)</f>
        <v>47</v>
      </c>
      <c r="BT83" s="426">
        <f>IF(ISERROR('raw data'!GN83/'raw data'!GO83),0,'raw data'!GN83/'raw data'!GO83)</f>
        <v>2.1276595744680851E-2</v>
      </c>
      <c r="BU83" s="423">
        <f>SUM(BU75:BU82)</f>
        <v>3</v>
      </c>
      <c r="BV83" s="422">
        <f>SUM(BV75:BV82)</f>
        <v>61</v>
      </c>
      <c r="BW83" s="426">
        <f>IF(ISERROR('raw data'!GP83/'raw data'!GQ83),0,'raw data'!GP83/'raw data'!GQ83)</f>
        <v>4.9180327868852458E-2</v>
      </c>
      <c r="BX83" s="423">
        <f>SUM(BX75:BX82)</f>
        <v>0</v>
      </c>
      <c r="BY83" s="422">
        <f>SUM(BY75:BY82)</f>
        <v>59</v>
      </c>
      <c r="BZ83" s="426">
        <f>IF(ISERROR('raw data'!GR83/'raw data'!GS83),0,'raw data'!GR83/'raw data'!GS83)</f>
        <v>0</v>
      </c>
      <c r="CA83" s="423">
        <f>SUM(CA75:CA82)</f>
        <v>0</v>
      </c>
      <c r="CB83" s="422">
        <f>SUM(CB75:CB82)</f>
        <v>55</v>
      </c>
      <c r="CC83" s="426">
        <f>IF(ISERROR('raw data'!GT83/'raw data'!GU83),0,'raw data'!GT83/'raw data'!GU83)</f>
        <v>0</v>
      </c>
      <c r="CD83" s="423">
        <f>SUM(CD75:CD82)</f>
        <v>4</v>
      </c>
      <c r="CE83" s="422">
        <f>SUM(CE75:CE82)</f>
        <v>54</v>
      </c>
      <c r="CF83" s="426">
        <f>IF(ISERROR('raw data'!GV83/'raw data'!GW83),0,'raw data'!GV83/'raw data'!GW83)</f>
        <v>7.407407407407407E-2</v>
      </c>
      <c r="CG83" s="423">
        <f>SUM(CG75:CG82)</f>
        <v>6</v>
      </c>
      <c r="CH83" s="422">
        <f>SUM(CH75:CH82)</f>
        <v>48</v>
      </c>
      <c r="CI83" s="426">
        <f>IF(ISERROR('raw data'!GX83/'raw data'!GY83),0,'raw data'!GX83/'raw data'!GY83)</f>
        <v>0.125</v>
      </c>
      <c r="CJ83" s="423">
        <f>SUM(CJ75:CJ82)</f>
        <v>2</v>
      </c>
      <c r="CK83" s="422">
        <f>SUM(CK75:CK82)</f>
        <v>49</v>
      </c>
      <c r="CL83" s="426">
        <f>IF(ISERROR('raw data'!GZ83/'raw data'!HA83),0,'raw data'!GZ83/'raw data'!HA83)</f>
        <v>4.0816326530612242E-2</v>
      </c>
      <c r="CM83" s="423">
        <f>SUM(CM75:CM82)</f>
        <v>5</v>
      </c>
      <c r="CN83" s="422">
        <f>SUM(CN75:CN82)</f>
        <v>51</v>
      </c>
      <c r="CO83" s="426">
        <f>IF(ISERROR('raw data'!HB83/'raw data'!HC83),0,'raw data'!HB83/'raw data'!HC83)</f>
        <v>9.8039215686274508E-2</v>
      </c>
      <c r="CP83" s="423">
        <f>SUM(CP75:CP82)</f>
        <v>0</v>
      </c>
      <c r="CQ83" s="422">
        <f>SUM(CQ75:CQ82)</f>
        <v>0</v>
      </c>
      <c r="CR83" s="426">
        <f>IF(ISERROR('raw data'!HD83/'raw data'!HE83),0,'raw data'!HD83/'raw data'!HE83)</f>
        <v>0</v>
      </c>
      <c r="CS83" s="423">
        <f>SUM(CS75:CS82)</f>
        <v>0</v>
      </c>
      <c r="CT83" s="422">
        <f>SUM(CT75:CT82)</f>
        <v>3</v>
      </c>
      <c r="CU83" s="426">
        <f>IF(ISERROR('raw data'!HF83/'raw data'!HG83),0,'raw data'!HF83/'raw data'!HG83)</f>
        <v>0</v>
      </c>
      <c r="CV83" s="423">
        <f>SUM(CV75:CV82)</f>
        <v>0</v>
      </c>
      <c r="CW83" s="422">
        <f>SUM(CW75:CW82)</f>
        <v>3</v>
      </c>
      <c r="CX83" s="426">
        <f>IF(ISERROR('raw data'!HH83/'raw data'!HI83),0,'raw data'!HH83/'raw data'!HI83)</f>
        <v>0</v>
      </c>
      <c r="CY83" s="423">
        <f>SUM(CY75:CY82)</f>
        <v>0</v>
      </c>
      <c r="CZ83" s="422">
        <f>SUM(CZ75:CZ82)</f>
        <v>1</v>
      </c>
      <c r="DA83" s="426">
        <f>IF(ISERROR('raw data'!HJ83/'raw data'!HK83),0,'raw data'!HJ83/'raw data'!HK83)</f>
        <v>0</v>
      </c>
      <c r="DB83" s="423">
        <f>SUM(DB75:DB82)</f>
        <v>1</v>
      </c>
      <c r="DC83" s="422">
        <f>SUM(DC75:DC82)</f>
        <v>2</v>
      </c>
      <c r="DD83" s="426">
        <f>IF(ISERROR('raw data'!HL83/'raw data'!HM83),0,'raw data'!HL83/'raw data'!HM83)</f>
        <v>0.5</v>
      </c>
      <c r="DE83" s="423">
        <f>SUM(DE75:DE82)</f>
        <v>0</v>
      </c>
      <c r="DF83" s="422">
        <f>SUM(DF75:DF82)</f>
        <v>2</v>
      </c>
      <c r="DG83" s="426">
        <f>IF(ISERROR('raw data'!HN83/'raw data'!HO83),0,'raw data'!HN83/'raw data'!HO83)</f>
        <v>0</v>
      </c>
      <c r="DH83" s="423">
        <f>SUM(DH75:DH82)</f>
        <v>0</v>
      </c>
      <c r="DI83" s="422">
        <f>SUM(DI75:DI82)</f>
        <v>2</v>
      </c>
      <c r="DJ83" s="426">
        <f>IF(ISERROR('raw data'!HP83/'raw data'!HQ83),0,'raw data'!HP83/'raw data'!HQ83)</f>
        <v>0</v>
      </c>
      <c r="DK83" s="423">
        <f>SUM(DK75:DK82)</f>
        <v>1</v>
      </c>
      <c r="DL83" s="422">
        <f>SUM(DL75:DL82)</f>
        <v>3</v>
      </c>
      <c r="DM83" s="426">
        <f>IF(ISERROR('raw data'!HR83/'raw data'!HS83),0,'raw data'!HR83/'raw data'!HS83)</f>
        <v>0.33333333333333331</v>
      </c>
      <c r="DN83" s="423">
        <f>SUM(DN75:DN82)</f>
        <v>0</v>
      </c>
      <c r="DO83" s="422">
        <f>SUM(DO75:DO82)</f>
        <v>1</v>
      </c>
      <c r="DP83" s="426">
        <f>IF(ISERROR('raw data'!HT83/'raw data'!HU83),0,'raw data'!HT83/'raw data'!HU83)</f>
        <v>0</v>
      </c>
      <c r="DQ83" s="423">
        <f>SUM(DQ75:DQ82)</f>
        <v>1</v>
      </c>
      <c r="DR83" s="422">
        <f>SUM(DR75:DR82)</f>
        <v>3</v>
      </c>
      <c r="DS83" s="426">
        <f>IF(ISERROR('raw data'!HV83/'raw data'!HW83),0,'raw data'!HV83/'raw data'!HW83)</f>
        <v>0.33333333333333331</v>
      </c>
      <c r="DT83" s="423">
        <f>SUM(DT75:DT82)</f>
        <v>0</v>
      </c>
      <c r="DU83" s="422">
        <f>SUM(DU75:DU82)</f>
        <v>1</v>
      </c>
      <c r="DV83" s="426">
        <f>IF(ISERROR('raw data'!HX83/'raw data'!HY83),0,'raw data'!HX83/'raw data'!HY83)</f>
        <v>0</v>
      </c>
      <c r="DW83" s="423">
        <f>SUM(DW75:DW82)</f>
        <v>0</v>
      </c>
      <c r="DX83" s="422">
        <f>SUM(DX75:DX82)</f>
        <v>0</v>
      </c>
      <c r="DY83" s="426">
        <f>IF(ISERROR('raw data'!HZ83/'raw data'!IA83),0,'raw data'!HZ83/'raw data'!IA83)</f>
        <v>0</v>
      </c>
      <c r="DZ83" s="423">
        <f>SUM(DZ75:DZ82)</f>
        <v>0</v>
      </c>
      <c r="EA83" s="422">
        <f>SUM(EA75:EA82)</f>
        <v>1</v>
      </c>
      <c r="EB83" s="426">
        <f>IF(ISERROR('raw data'!IB83/'raw data'!IC83),0,'raw data'!IB83/'raw data'!IC83)</f>
        <v>0</v>
      </c>
      <c r="EC83" s="423">
        <f>SUM(EC75:EC82)</f>
        <v>0</v>
      </c>
      <c r="ED83" s="422">
        <f>SUM(ED75:ED82)</f>
        <v>3</v>
      </c>
      <c r="EE83" s="426">
        <f>IF(ISERROR('raw data'!ID83/'raw data'!IE83),0,'raw data'!ID83/'raw data'!IE83)</f>
        <v>0</v>
      </c>
      <c r="EF83" s="423">
        <f>SUM(EF75:EF82)</f>
        <v>0</v>
      </c>
      <c r="EG83" s="422">
        <f>SUM(EG75:EG82)</f>
        <v>1</v>
      </c>
      <c r="EH83" s="426">
        <f>IF(ISERROR('raw data'!IF83/'raw data'!IG83),0,'raw data'!IF83/'raw data'!IG83)</f>
        <v>0</v>
      </c>
      <c r="EI83" s="423">
        <f>SUM(EI75:EI82)</f>
        <v>0</v>
      </c>
      <c r="EJ83" s="422">
        <f>SUM(EJ75:EJ82)</f>
        <v>0</v>
      </c>
      <c r="EK83" s="426">
        <f>IF(ISERROR('raw data'!IH83/'raw data'!II83),0,'raw data'!IH83/'raw data'!II83)</f>
        <v>0</v>
      </c>
      <c r="EL83" s="423">
        <f>SUM(EL75:EL82)</f>
        <v>0</v>
      </c>
      <c r="EM83" s="422">
        <f>SUM(EM75:EM82)</f>
        <v>0</v>
      </c>
      <c r="EN83" s="426">
        <f>IF(ISERROR('raw data'!IJ83/'raw data'!IK83),0,'raw data'!IJ83/'raw data'!IK83)</f>
        <v>0</v>
      </c>
      <c r="EO83" s="423">
        <f>SUM(EO75:EO82)</f>
        <v>0</v>
      </c>
      <c r="EP83" s="422">
        <f>SUM(EP75:EP82)</f>
        <v>0</v>
      </c>
      <c r="EQ83" s="426">
        <f>IF(ISERROR('raw data'!IL83/'raw data'!IM83),0,'raw data'!IL83/'raw data'!IM83)</f>
        <v>0</v>
      </c>
      <c r="ER83" s="423">
        <f>SUM(ER75:ER82)</f>
        <v>1</v>
      </c>
      <c r="ES83" s="422">
        <f>SUM(ES75:ES82)</f>
        <v>1</v>
      </c>
      <c r="ET83" s="426">
        <f>IF(ISERROR('raw data'!IN83/'raw data'!IO83),0,'raw data'!IN83/'raw data'!IO83)</f>
        <v>1</v>
      </c>
      <c r="EU83" s="423">
        <f>SUM(EU75:EU82)</f>
        <v>0</v>
      </c>
      <c r="EV83" s="422">
        <f>SUM(EV75:EV82)</f>
        <v>1</v>
      </c>
      <c r="EW83" s="426">
        <f>IF(ISERROR('raw data'!IP83/'raw data'!IQ83),0,'raw data'!IP83/'raw data'!IQ83)</f>
        <v>0</v>
      </c>
      <c r="EX83" s="423">
        <f>SUM(EX75:EX82)</f>
        <v>12</v>
      </c>
      <c r="EY83" s="422">
        <f>SUM(EY75:EY82)</f>
        <v>92</v>
      </c>
      <c r="EZ83" s="426">
        <f>IF(ISERROR('raw data'!IR83/'raw data'!IS83),0,'raw data'!IR83/'raw data'!IS83)</f>
        <v>0.13043478260869565</v>
      </c>
      <c r="FA83" s="423">
        <f>SUM(FA75:FA82)</f>
        <v>7</v>
      </c>
      <c r="FB83" s="422">
        <f>SUM(FB75:FB82)</f>
        <v>98</v>
      </c>
      <c r="FC83" s="426">
        <f>IF(ISERROR('raw data'!IT83/'raw data'!IU83),0,'raw data'!IT83/'raw data'!IU83)</f>
        <v>7.1428571428571425E-2</v>
      </c>
      <c r="FD83" s="423">
        <f>SUM(FD75:FD82)</f>
        <v>10</v>
      </c>
      <c r="FE83" s="422">
        <f>SUM(FE75:FE82)</f>
        <v>94</v>
      </c>
      <c r="FF83" s="426">
        <f>IF(ISERROR('raw data'!IV83/'raw data'!IW83),0,'raw data'!IV83/'raw data'!IW83)</f>
        <v>0.10638297872340426</v>
      </c>
      <c r="FG83" s="423">
        <f>SUM(FG75:FG82)</f>
        <v>9</v>
      </c>
      <c r="FH83" s="422">
        <f>SUM(FH75:FH82)</f>
        <v>89</v>
      </c>
      <c r="FI83" s="426">
        <f>IF(ISERROR('raw data'!IX83/'raw data'!IY83),0,'raw data'!IX83/'raw data'!IY83)</f>
        <v>0.10112359550561797</v>
      </c>
      <c r="FJ83" s="423">
        <f>SUM(FJ75:FJ82)</f>
        <v>13</v>
      </c>
      <c r="FK83" s="422">
        <f>SUM(FK75:FK82)</f>
        <v>116</v>
      </c>
      <c r="FL83" s="426">
        <f>IF(ISERROR('raw data'!IZ83/'raw data'!JA83),0,'raw data'!IZ83/'raw data'!JA83)</f>
        <v>0.11206896551724138</v>
      </c>
      <c r="FM83" s="423">
        <f>SUM(FM75:FM82)</f>
        <v>12</v>
      </c>
      <c r="FN83" s="422">
        <f>SUM(FN75:FN82)</f>
        <v>152</v>
      </c>
      <c r="FO83" s="426">
        <f>IF(ISERROR('raw data'!JB83/'raw data'!JC83),0,'raw data'!JB83/'raw data'!JC83)</f>
        <v>7.8947368421052627E-2</v>
      </c>
      <c r="FP83" s="423">
        <f>SUM(FP75:FP82)</f>
        <v>5</v>
      </c>
      <c r="FQ83" s="422">
        <f>SUM(FQ75:FQ82)</f>
        <v>115</v>
      </c>
      <c r="FR83" s="426">
        <f>IF(ISERROR('raw data'!JD83/'raw data'!JE83),0,'raw data'!JD83/'raw data'!JE83)</f>
        <v>4.3478260869565216E-2</v>
      </c>
      <c r="FS83" s="469"/>
      <c r="FT83" s="428">
        <f>SUM(FT75:FT82)</f>
        <v>69</v>
      </c>
      <c r="FU83" s="429">
        <f>SUM(FU75:FU82)</f>
        <v>758</v>
      </c>
      <c r="FV83" s="430">
        <f>IF(ISERROR(FT83/FU83),0,FT83/FU83)</f>
        <v>9.1029023746701854E-2</v>
      </c>
    </row>
    <row r="84" spans="1:178" ht="25.5" customHeight="1" x14ac:dyDescent="0.15">
      <c r="A84" s="533" t="s">
        <v>141</v>
      </c>
      <c r="B84" s="534" t="str">
        <f>'raw data'!B84</f>
        <v>Cash Deposits &gt;=£10K In 3 or more transactions</v>
      </c>
      <c r="C84" s="535"/>
      <c r="D84" s="536"/>
      <c r="E84" s="485"/>
      <c r="F84" s="483"/>
      <c r="G84" s="484"/>
      <c r="H84" s="485"/>
      <c r="I84" s="483"/>
      <c r="J84" s="484"/>
      <c r="K84" s="485"/>
      <c r="L84" s="483"/>
      <c r="M84" s="484"/>
      <c r="N84" s="485"/>
      <c r="O84" s="483"/>
      <c r="P84" s="484"/>
      <c r="Q84" s="485"/>
      <c r="R84" s="483"/>
      <c r="S84" s="484"/>
      <c r="T84" s="485"/>
      <c r="U84" s="404"/>
      <c r="V84" s="484"/>
      <c r="W84" s="485"/>
      <c r="X84" s="404"/>
      <c r="Y84" s="484"/>
      <c r="Z84" s="485"/>
      <c r="AA84" s="404"/>
      <c r="AB84" s="484"/>
      <c r="AC84" s="485"/>
      <c r="AD84" s="404"/>
      <c r="AE84" s="484"/>
      <c r="AF84" s="485"/>
      <c r="AG84" s="404"/>
      <c r="AH84" s="484"/>
      <c r="AI84" s="485"/>
      <c r="AJ84" s="404"/>
      <c r="AK84" s="484"/>
      <c r="AL84" s="485"/>
      <c r="AM84" s="404"/>
      <c r="AN84" s="484"/>
      <c r="AO84" s="485"/>
      <c r="AP84" s="404"/>
      <c r="AQ84" s="484"/>
      <c r="AR84" s="485"/>
      <c r="AS84" s="404"/>
      <c r="AT84" s="484"/>
      <c r="AU84" s="485"/>
      <c r="AV84" s="404"/>
      <c r="AW84" s="484"/>
      <c r="AX84" s="485"/>
      <c r="AY84" s="404"/>
      <c r="AZ84" s="484"/>
      <c r="BA84" s="485"/>
      <c r="BB84" s="404"/>
      <c r="BC84" s="484"/>
      <c r="BD84" s="485"/>
      <c r="BE84" s="404"/>
      <c r="BF84" s="484"/>
      <c r="BG84" s="485"/>
      <c r="BH84" s="404"/>
      <c r="BI84" s="484"/>
      <c r="BJ84" s="485"/>
      <c r="BK84" s="404"/>
      <c r="BL84" s="484"/>
      <c r="BM84" s="485"/>
      <c r="BN84" s="404"/>
      <c r="BO84" s="484"/>
      <c r="BP84" s="485"/>
      <c r="BQ84" s="404"/>
      <c r="BR84" s="537">
        <f>'raw data'!GN84</f>
        <v>11</v>
      </c>
      <c r="BS84" s="538">
        <f>'raw data'!GO84</f>
        <v>43</v>
      </c>
      <c r="BT84" s="539">
        <f>IF(ISERROR('raw data'!GN84/'raw data'!GO84),0,'raw data'!GN84/'raw data'!GO84)</f>
        <v>0.2558139534883721</v>
      </c>
      <c r="BU84" s="537">
        <f>'raw data'!GP84</f>
        <v>19</v>
      </c>
      <c r="BV84" s="538">
        <f>'raw data'!GQ84</f>
        <v>58</v>
      </c>
      <c r="BW84" s="539">
        <f>IF(ISERROR('raw data'!GP84/'raw data'!GQ84),0,'raw data'!GP84/'raw data'!GQ84)</f>
        <v>0.32758620689655171</v>
      </c>
      <c r="BX84" s="537">
        <f>'raw data'!GR84</f>
        <v>18</v>
      </c>
      <c r="BY84" s="538">
        <f>'raw data'!GS84</f>
        <v>43</v>
      </c>
      <c r="BZ84" s="539">
        <f>IF(ISERROR('raw data'!GR84/'raw data'!GS84),0,'raw data'!GR84/'raw data'!GS84)</f>
        <v>0.41860465116279072</v>
      </c>
      <c r="CA84" s="537">
        <f>'raw data'!GT84</f>
        <v>11</v>
      </c>
      <c r="CB84" s="538">
        <f>'raw data'!GU84</f>
        <v>27</v>
      </c>
      <c r="CC84" s="539">
        <f>IF(ISERROR('raw data'!GT84/'raw data'!GU84),0,'raw data'!GT84/'raw data'!GU84)</f>
        <v>0.40740740740740738</v>
      </c>
      <c r="CD84" s="537">
        <f>'raw data'!GV84</f>
        <v>14</v>
      </c>
      <c r="CE84" s="538">
        <f>'raw data'!GW84</f>
        <v>49</v>
      </c>
      <c r="CF84" s="539">
        <f>IF(ISERROR('raw data'!GV84/'raw data'!GW84),0,'raw data'!GV84/'raw data'!GW84)</f>
        <v>0.2857142857142857</v>
      </c>
      <c r="CG84" s="537">
        <f>'raw data'!GX84</f>
        <v>9</v>
      </c>
      <c r="CH84" s="538">
        <f>'raw data'!GY84</f>
        <v>41</v>
      </c>
      <c r="CI84" s="539">
        <f>IF(ISERROR('raw data'!GX84/'raw data'!GY84),0,'raw data'!GX84/'raw data'!GY84)</f>
        <v>0.21951219512195122</v>
      </c>
      <c r="CJ84" s="537">
        <f>'raw data'!GZ84</f>
        <v>10</v>
      </c>
      <c r="CK84" s="538">
        <f>'raw data'!HA84</f>
        <v>39</v>
      </c>
      <c r="CL84" s="539">
        <f>IF(ISERROR('raw data'!GZ84/'raw data'!HA84),0,'raw data'!GZ84/'raw data'!HA84)</f>
        <v>0.25641025641025639</v>
      </c>
      <c r="CM84" s="537">
        <f>'raw data'!HB84</f>
        <v>4</v>
      </c>
      <c r="CN84" s="538">
        <f>'raw data'!HC84</f>
        <v>12</v>
      </c>
      <c r="CO84" s="539">
        <f>IF(ISERROR('raw data'!HB84/'raw data'!HC84),0,'raw data'!HB84/'raw data'!HC84)</f>
        <v>0.33333333333333331</v>
      </c>
      <c r="CP84" s="402" t="s">
        <v>243</v>
      </c>
      <c r="CQ84" s="403" t="s">
        <v>243</v>
      </c>
      <c r="CR84" s="405" t="s">
        <v>243</v>
      </c>
      <c r="CS84" s="402" t="s">
        <v>243</v>
      </c>
      <c r="CT84" s="403" t="s">
        <v>243</v>
      </c>
      <c r="CU84" s="405" t="s">
        <v>243</v>
      </c>
      <c r="CV84" s="402" t="s">
        <v>243</v>
      </c>
      <c r="CW84" s="403" t="s">
        <v>243</v>
      </c>
      <c r="CX84" s="405" t="s">
        <v>243</v>
      </c>
      <c r="CY84" s="402" t="s">
        <v>243</v>
      </c>
      <c r="CZ84" s="403" t="s">
        <v>243</v>
      </c>
      <c r="DA84" s="405" t="s">
        <v>243</v>
      </c>
      <c r="DB84" s="402" t="s">
        <v>243</v>
      </c>
      <c r="DC84" s="403" t="s">
        <v>243</v>
      </c>
      <c r="DD84" s="405" t="s">
        <v>243</v>
      </c>
      <c r="DE84" s="402" t="s">
        <v>243</v>
      </c>
      <c r="DF84" s="403" t="s">
        <v>243</v>
      </c>
      <c r="DG84" s="405" t="s">
        <v>243</v>
      </c>
      <c r="DH84" s="402" t="s">
        <v>243</v>
      </c>
      <c r="DI84" s="403" t="s">
        <v>243</v>
      </c>
      <c r="DJ84" s="405" t="s">
        <v>243</v>
      </c>
      <c r="DK84" s="402" t="s">
        <v>243</v>
      </c>
      <c r="DL84" s="403" t="s">
        <v>243</v>
      </c>
      <c r="DM84" s="405" t="s">
        <v>243</v>
      </c>
      <c r="DN84" s="402" t="s">
        <v>243</v>
      </c>
      <c r="DO84" s="403" t="s">
        <v>243</v>
      </c>
      <c r="DP84" s="405" t="s">
        <v>243</v>
      </c>
      <c r="DQ84" s="402" t="s">
        <v>243</v>
      </c>
      <c r="DR84" s="403" t="s">
        <v>243</v>
      </c>
      <c r="DS84" s="405" t="s">
        <v>243</v>
      </c>
      <c r="DT84" s="402" t="s">
        <v>243</v>
      </c>
      <c r="DU84" s="403" t="s">
        <v>243</v>
      </c>
      <c r="DV84" s="405" t="s">
        <v>243</v>
      </c>
      <c r="DW84" s="402" t="s">
        <v>243</v>
      </c>
      <c r="DX84" s="403" t="s">
        <v>243</v>
      </c>
      <c r="DY84" s="405" t="s">
        <v>243</v>
      </c>
      <c r="DZ84" s="402" t="s">
        <v>243</v>
      </c>
      <c r="EA84" s="403" t="s">
        <v>243</v>
      </c>
      <c r="EB84" s="405" t="s">
        <v>243</v>
      </c>
      <c r="EC84" s="402" t="s">
        <v>243</v>
      </c>
      <c r="ED84" s="403" t="s">
        <v>243</v>
      </c>
      <c r="EE84" s="405" t="s">
        <v>243</v>
      </c>
      <c r="EF84" s="402" t="s">
        <v>243</v>
      </c>
      <c r="EG84" s="403" t="s">
        <v>243</v>
      </c>
      <c r="EH84" s="405" t="s">
        <v>243</v>
      </c>
      <c r="EI84" s="402" t="s">
        <v>243</v>
      </c>
      <c r="EJ84" s="403" t="s">
        <v>243</v>
      </c>
      <c r="EK84" s="405" t="s">
        <v>243</v>
      </c>
      <c r="EL84" s="402" t="s">
        <v>243</v>
      </c>
      <c r="EM84" s="403" t="s">
        <v>243</v>
      </c>
      <c r="EN84" s="405" t="s">
        <v>243</v>
      </c>
      <c r="EO84" s="402" t="s">
        <v>243</v>
      </c>
      <c r="EP84" s="403" t="s">
        <v>243</v>
      </c>
      <c r="EQ84" s="405" t="s">
        <v>243</v>
      </c>
      <c r="ER84" s="402" t="s">
        <v>243</v>
      </c>
      <c r="ES84" s="403" t="s">
        <v>243</v>
      </c>
      <c r="ET84" s="405" t="s">
        <v>243</v>
      </c>
      <c r="EU84" s="402" t="s">
        <v>243</v>
      </c>
      <c r="EV84" s="403" t="s">
        <v>243</v>
      </c>
      <c r="EW84" s="405" t="s">
        <v>243</v>
      </c>
      <c r="EX84" s="402" t="s">
        <v>243</v>
      </c>
      <c r="EY84" s="403" t="s">
        <v>243</v>
      </c>
      <c r="EZ84" s="405" t="s">
        <v>243</v>
      </c>
      <c r="FA84" s="402" t="s">
        <v>243</v>
      </c>
      <c r="FB84" s="403" t="s">
        <v>243</v>
      </c>
      <c r="FC84" s="405" t="s">
        <v>243</v>
      </c>
      <c r="FD84" s="402" t="s">
        <v>243</v>
      </c>
      <c r="FE84" s="403" t="s">
        <v>243</v>
      </c>
      <c r="FF84" s="405" t="s">
        <v>243</v>
      </c>
      <c r="FG84" s="402" t="s">
        <v>243</v>
      </c>
      <c r="FH84" s="403" t="s">
        <v>243</v>
      </c>
      <c r="FI84" s="405" t="s">
        <v>243</v>
      </c>
      <c r="FJ84" s="402" t="s">
        <v>243</v>
      </c>
      <c r="FK84" s="403" t="s">
        <v>243</v>
      </c>
      <c r="FL84" s="405" t="s">
        <v>243</v>
      </c>
      <c r="FM84" s="402" t="s">
        <v>243</v>
      </c>
      <c r="FN84" s="403" t="s">
        <v>243</v>
      </c>
      <c r="FO84" s="405" t="s">
        <v>243</v>
      </c>
      <c r="FP84" s="402" t="s">
        <v>243</v>
      </c>
      <c r="FQ84" s="403" t="s">
        <v>243</v>
      </c>
      <c r="FR84" s="405" t="s">
        <v>243</v>
      </c>
      <c r="FS84" s="469"/>
      <c r="FT84" s="540">
        <v>0</v>
      </c>
      <c r="FU84" s="541">
        <v>0</v>
      </c>
      <c r="FV84" s="542">
        <f>IF(ISERROR(FT84/FU84),0,FT84/FU84)</f>
        <v>0</v>
      </c>
    </row>
    <row r="85" spans="1:178" ht="25.5" customHeight="1" x14ac:dyDescent="0.15">
      <c r="A85" s="533" t="s">
        <v>143</v>
      </c>
      <c r="B85" s="534" t="str">
        <f>'raw data'!B85</f>
        <v>Branch Visits &gt;=3 Branches in 2 weeks</v>
      </c>
      <c r="C85" s="535"/>
      <c r="D85" s="536"/>
      <c r="E85" s="485"/>
      <c r="F85" s="483"/>
      <c r="G85" s="484"/>
      <c r="H85" s="485"/>
      <c r="I85" s="483"/>
      <c r="J85" s="484"/>
      <c r="K85" s="485"/>
      <c r="L85" s="483"/>
      <c r="M85" s="484"/>
      <c r="N85" s="485"/>
      <c r="O85" s="483"/>
      <c r="P85" s="484"/>
      <c r="Q85" s="485"/>
      <c r="R85" s="483"/>
      <c r="S85" s="484"/>
      <c r="T85" s="485"/>
      <c r="U85" s="404"/>
      <c r="V85" s="484"/>
      <c r="W85" s="485"/>
      <c r="X85" s="404"/>
      <c r="Y85" s="484"/>
      <c r="Z85" s="485"/>
      <c r="AA85" s="404"/>
      <c r="AB85" s="484"/>
      <c r="AC85" s="485"/>
      <c r="AD85" s="404"/>
      <c r="AE85" s="484"/>
      <c r="AF85" s="485"/>
      <c r="AG85" s="404"/>
      <c r="AH85" s="484"/>
      <c r="AI85" s="485"/>
      <c r="AJ85" s="404"/>
      <c r="AK85" s="484"/>
      <c r="AL85" s="485"/>
      <c r="AM85" s="404"/>
      <c r="AN85" s="484"/>
      <c r="AO85" s="485"/>
      <c r="AP85" s="404"/>
      <c r="AQ85" s="484"/>
      <c r="AR85" s="485"/>
      <c r="AS85" s="404"/>
      <c r="AT85" s="484"/>
      <c r="AU85" s="485"/>
      <c r="AV85" s="404"/>
      <c r="AW85" s="484"/>
      <c r="AX85" s="485"/>
      <c r="AY85" s="404"/>
      <c r="AZ85" s="484"/>
      <c r="BA85" s="485"/>
      <c r="BB85" s="404"/>
      <c r="BC85" s="484"/>
      <c r="BD85" s="485"/>
      <c r="BE85" s="404"/>
      <c r="BF85" s="484"/>
      <c r="BG85" s="485"/>
      <c r="BH85" s="404"/>
      <c r="BI85" s="484"/>
      <c r="BJ85" s="485"/>
      <c r="BK85" s="404"/>
      <c r="BL85" s="484"/>
      <c r="BM85" s="485"/>
      <c r="BN85" s="404"/>
      <c r="BO85" s="484"/>
      <c r="BP85" s="485"/>
      <c r="BQ85" s="404"/>
      <c r="BR85" s="537">
        <f>'raw data'!GN85</f>
        <v>6</v>
      </c>
      <c r="BS85" s="538">
        <f>'raw data'!GO85</f>
        <v>28</v>
      </c>
      <c r="BT85" s="539">
        <f>IF(ISERROR('raw data'!GN85/'raw data'!GO85),0,'raw data'!GN85/'raw data'!GO85)</f>
        <v>0.21428571428571427</v>
      </c>
      <c r="BU85" s="537">
        <f>'raw data'!GP85</f>
        <v>22</v>
      </c>
      <c r="BV85" s="538">
        <f>'raw data'!GQ85</f>
        <v>108</v>
      </c>
      <c r="BW85" s="539">
        <f>IF(ISERROR('raw data'!GP85/'raw data'!GQ85),0,'raw data'!GP85/'raw data'!GQ85)</f>
        <v>0.20370370370370369</v>
      </c>
      <c r="BX85" s="537">
        <f>'raw data'!GR85</f>
        <v>24</v>
      </c>
      <c r="BY85" s="538">
        <f>'raw data'!GS85</f>
        <v>88</v>
      </c>
      <c r="BZ85" s="539">
        <f>IF(ISERROR('raw data'!GR85/'raw data'!GS85),0,'raw data'!GR85/'raw data'!GS85)</f>
        <v>0.27272727272727271</v>
      </c>
      <c r="CA85" s="537">
        <f>'raw data'!GT85</f>
        <v>21</v>
      </c>
      <c r="CB85" s="538">
        <f>'raw data'!GU85</f>
        <v>72</v>
      </c>
      <c r="CC85" s="539">
        <f>IF(ISERROR('raw data'!GT85/'raw data'!GU85),0,'raw data'!GT85/'raw data'!GU85)</f>
        <v>0.29166666666666669</v>
      </c>
      <c r="CD85" s="537">
        <f>'raw data'!GV85</f>
        <v>11</v>
      </c>
      <c r="CE85" s="538">
        <f>'raw data'!GW85</f>
        <v>58</v>
      </c>
      <c r="CF85" s="539">
        <f>IF(ISERROR('raw data'!GV85/'raw data'!GW85),0,'raw data'!GV85/'raw data'!GW85)</f>
        <v>0.18965517241379309</v>
      </c>
      <c r="CG85" s="537">
        <f>'raw data'!GX85</f>
        <v>18</v>
      </c>
      <c r="CH85" s="538">
        <f>'raw data'!GY85</f>
        <v>86</v>
      </c>
      <c r="CI85" s="539">
        <f>IF(ISERROR('raw data'!GX85/'raw data'!GY85),0,'raw data'!GX85/'raw data'!GY85)</f>
        <v>0.20930232558139536</v>
      </c>
      <c r="CJ85" s="537">
        <f>'raw data'!GZ85</f>
        <v>11</v>
      </c>
      <c r="CK85" s="538">
        <f>'raw data'!HA85</f>
        <v>56</v>
      </c>
      <c r="CL85" s="539">
        <f>IF(ISERROR('raw data'!GZ85/'raw data'!HA85),0,'raw data'!GZ85/'raw data'!HA85)</f>
        <v>0.19642857142857142</v>
      </c>
      <c r="CM85" s="537">
        <f>'raw data'!HB85</f>
        <v>4</v>
      </c>
      <c r="CN85" s="538">
        <f>'raw data'!HC85</f>
        <v>16</v>
      </c>
      <c r="CO85" s="539">
        <f>IF(ISERROR('raw data'!HB85/'raw data'!HC85),0,'raw data'!HB85/'raw data'!HC85)</f>
        <v>0.25</v>
      </c>
      <c r="CP85" s="402" t="s">
        <v>243</v>
      </c>
      <c r="CQ85" s="403" t="s">
        <v>243</v>
      </c>
      <c r="CR85" s="405" t="s">
        <v>243</v>
      </c>
      <c r="CS85" s="402" t="s">
        <v>243</v>
      </c>
      <c r="CT85" s="403" t="s">
        <v>243</v>
      </c>
      <c r="CU85" s="405" t="s">
        <v>243</v>
      </c>
      <c r="CV85" s="402" t="s">
        <v>243</v>
      </c>
      <c r="CW85" s="403" t="s">
        <v>243</v>
      </c>
      <c r="CX85" s="405" t="s">
        <v>243</v>
      </c>
      <c r="CY85" s="402" t="s">
        <v>243</v>
      </c>
      <c r="CZ85" s="403" t="s">
        <v>243</v>
      </c>
      <c r="DA85" s="405" t="s">
        <v>243</v>
      </c>
      <c r="DB85" s="402" t="s">
        <v>243</v>
      </c>
      <c r="DC85" s="403" t="s">
        <v>243</v>
      </c>
      <c r="DD85" s="405" t="s">
        <v>243</v>
      </c>
      <c r="DE85" s="402" t="s">
        <v>243</v>
      </c>
      <c r="DF85" s="403" t="s">
        <v>243</v>
      </c>
      <c r="DG85" s="405" t="s">
        <v>243</v>
      </c>
      <c r="DH85" s="402" t="s">
        <v>243</v>
      </c>
      <c r="DI85" s="403" t="s">
        <v>243</v>
      </c>
      <c r="DJ85" s="405" t="s">
        <v>243</v>
      </c>
      <c r="DK85" s="402" t="s">
        <v>243</v>
      </c>
      <c r="DL85" s="403" t="s">
        <v>243</v>
      </c>
      <c r="DM85" s="405" t="s">
        <v>243</v>
      </c>
      <c r="DN85" s="402" t="s">
        <v>243</v>
      </c>
      <c r="DO85" s="403" t="s">
        <v>243</v>
      </c>
      <c r="DP85" s="405" t="s">
        <v>243</v>
      </c>
      <c r="DQ85" s="402" t="s">
        <v>243</v>
      </c>
      <c r="DR85" s="403" t="s">
        <v>243</v>
      </c>
      <c r="DS85" s="405" t="s">
        <v>243</v>
      </c>
      <c r="DT85" s="402" t="s">
        <v>243</v>
      </c>
      <c r="DU85" s="403" t="s">
        <v>243</v>
      </c>
      <c r="DV85" s="405" t="s">
        <v>243</v>
      </c>
      <c r="DW85" s="402" t="s">
        <v>243</v>
      </c>
      <c r="DX85" s="403" t="s">
        <v>243</v>
      </c>
      <c r="DY85" s="405" t="s">
        <v>243</v>
      </c>
      <c r="DZ85" s="402" t="s">
        <v>243</v>
      </c>
      <c r="EA85" s="403" t="s">
        <v>243</v>
      </c>
      <c r="EB85" s="405" t="s">
        <v>243</v>
      </c>
      <c r="EC85" s="402" t="s">
        <v>243</v>
      </c>
      <c r="ED85" s="403" t="s">
        <v>243</v>
      </c>
      <c r="EE85" s="405" t="s">
        <v>243</v>
      </c>
      <c r="EF85" s="402" t="s">
        <v>243</v>
      </c>
      <c r="EG85" s="403" t="s">
        <v>243</v>
      </c>
      <c r="EH85" s="405" t="s">
        <v>243</v>
      </c>
      <c r="EI85" s="402" t="s">
        <v>243</v>
      </c>
      <c r="EJ85" s="403" t="s">
        <v>243</v>
      </c>
      <c r="EK85" s="405" t="s">
        <v>243</v>
      </c>
      <c r="EL85" s="402" t="s">
        <v>243</v>
      </c>
      <c r="EM85" s="403" t="s">
        <v>243</v>
      </c>
      <c r="EN85" s="405" t="s">
        <v>243</v>
      </c>
      <c r="EO85" s="402" t="s">
        <v>243</v>
      </c>
      <c r="EP85" s="403" t="s">
        <v>243</v>
      </c>
      <c r="EQ85" s="405" t="s">
        <v>243</v>
      </c>
      <c r="ER85" s="402" t="s">
        <v>243</v>
      </c>
      <c r="ES85" s="403" t="s">
        <v>243</v>
      </c>
      <c r="ET85" s="405" t="s">
        <v>243</v>
      </c>
      <c r="EU85" s="402" t="s">
        <v>243</v>
      </c>
      <c r="EV85" s="403" t="s">
        <v>243</v>
      </c>
      <c r="EW85" s="405" t="s">
        <v>243</v>
      </c>
      <c r="EX85" s="402" t="s">
        <v>243</v>
      </c>
      <c r="EY85" s="403" t="s">
        <v>243</v>
      </c>
      <c r="EZ85" s="405" t="s">
        <v>243</v>
      </c>
      <c r="FA85" s="402" t="s">
        <v>243</v>
      </c>
      <c r="FB85" s="403" t="s">
        <v>243</v>
      </c>
      <c r="FC85" s="405" t="s">
        <v>243</v>
      </c>
      <c r="FD85" s="402" t="s">
        <v>243</v>
      </c>
      <c r="FE85" s="403" t="s">
        <v>243</v>
      </c>
      <c r="FF85" s="405" t="s">
        <v>243</v>
      </c>
      <c r="FG85" s="402" t="s">
        <v>243</v>
      </c>
      <c r="FH85" s="403" t="s">
        <v>243</v>
      </c>
      <c r="FI85" s="405" t="s">
        <v>243</v>
      </c>
      <c r="FJ85" s="402" t="s">
        <v>243</v>
      </c>
      <c r="FK85" s="403" t="s">
        <v>243</v>
      </c>
      <c r="FL85" s="405" t="s">
        <v>243</v>
      </c>
      <c r="FM85" s="402" t="s">
        <v>243</v>
      </c>
      <c r="FN85" s="403" t="s">
        <v>243</v>
      </c>
      <c r="FO85" s="405" t="s">
        <v>243</v>
      </c>
      <c r="FP85" s="402" t="s">
        <v>243</v>
      </c>
      <c r="FQ85" s="403" t="s">
        <v>243</v>
      </c>
      <c r="FR85" s="405" t="s">
        <v>243</v>
      </c>
      <c r="FS85" s="469"/>
      <c r="FT85" s="540">
        <v>0</v>
      </c>
      <c r="FU85" s="541">
        <v>0</v>
      </c>
      <c r="FV85" s="542">
        <f t="shared" ref="FV85:FV88" si="3">IF(ISERROR(FT85/FU85),0,FT85/FU85)</f>
        <v>0</v>
      </c>
    </row>
    <row r="86" spans="1:178" ht="25.5" customHeight="1" x14ac:dyDescent="0.15">
      <c r="A86" s="533" t="s">
        <v>145</v>
      </c>
      <c r="B86" s="534" t="str">
        <f>'raw data'!B86</f>
        <v>Transaction to Coc &gt;=£10k exc if payment to ctry of nationality/residency</v>
      </c>
      <c r="C86" s="535"/>
      <c r="D86" s="536"/>
      <c r="E86" s="485"/>
      <c r="F86" s="483"/>
      <c r="G86" s="484"/>
      <c r="H86" s="485"/>
      <c r="I86" s="483"/>
      <c r="J86" s="484"/>
      <c r="K86" s="485"/>
      <c r="L86" s="483"/>
      <c r="M86" s="484"/>
      <c r="N86" s="485"/>
      <c r="O86" s="483"/>
      <c r="P86" s="484"/>
      <c r="Q86" s="485"/>
      <c r="R86" s="483"/>
      <c r="S86" s="484"/>
      <c r="T86" s="485"/>
      <c r="U86" s="404"/>
      <c r="V86" s="484"/>
      <c r="W86" s="485"/>
      <c r="X86" s="404"/>
      <c r="Y86" s="484"/>
      <c r="Z86" s="485"/>
      <c r="AA86" s="404"/>
      <c r="AB86" s="484"/>
      <c r="AC86" s="485"/>
      <c r="AD86" s="404"/>
      <c r="AE86" s="484"/>
      <c r="AF86" s="485"/>
      <c r="AG86" s="404"/>
      <c r="AH86" s="484"/>
      <c r="AI86" s="485"/>
      <c r="AJ86" s="404"/>
      <c r="AK86" s="484"/>
      <c r="AL86" s="485"/>
      <c r="AM86" s="404"/>
      <c r="AN86" s="484"/>
      <c r="AO86" s="485"/>
      <c r="AP86" s="404"/>
      <c r="AQ86" s="484"/>
      <c r="AR86" s="485"/>
      <c r="AS86" s="404"/>
      <c r="AT86" s="484"/>
      <c r="AU86" s="485"/>
      <c r="AV86" s="404"/>
      <c r="AW86" s="484"/>
      <c r="AX86" s="485"/>
      <c r="AY86" s="404"/>
      <c r="AZ86" s="484"/>
      <c r="BA86" s="485"/>
      <c r="BB86" s="404"/>
      <c r="BC86" s="484"/>
      <c r="BD86" s="485"/>
      <c r="BE86" s="404"/>
      <c r="BF86" s="484"/>
      <c r="BG86" s="485"/>
      <c r="BH86" s="404"/>
      <c r="BI86" s="484"/>
      <c r="BJ86" s="485"/>
      <c r="BK86" s="404"/>
      <c r="BL86" s="484"/>
      <c r="BM86" s="485"/>
      <c r="BN86" s="404"/>
      <c r="BO86" s="484"/>
      <c r="BP86" s="485"/>
      <c r="BQ86" s="404"/>
      <c r="BR86" s="537">
        <f>'raw data'!GN86</f>
        <v>0</v>
      </c>
      <c r="BS86" s="538">
        <f>'raw data'!GO86</f>
        <v>5</v>
      </c>
      <c r="BT86" s="539">
        <f>IF(ISERROR('raw data'!GN86/'raw data'!GO86),0,'raw data'!GN86/'raw data'!GO86)</f>
        <v>0</v>
      </c>
      <c r="BU86" s="537">
        <f>'raw data'!GP86</f>
        <v>2</v>
      </c>
      <c r="BV86" s="538">
        <f>'raw data'!GQ86</f>
        <v>9</v>
      </c>
      <c r="BW86" s="539">
        <f>IF(ISERROR('raw data'!GP86/'raw data'!GQ86),0,'raw data'!GP86/'raw data'!GQ86)</f>
        <v>0.22222222222222221</v>
      </c>
      <c r="BX86" s="537">
        <f>'raw data'!GR86</f>
        <v>1</v>
      </c>
      <c r="BY86" s="538">
        <f>'raw data'!GS86</f>
        <v>13</v>
      </c>
      <c r="BZ86" s="539">
        <f>IF(ISERROR('raw data'!GR86/'raw data'!GS86),0,'raw data'!GR86/'raw data'!GS86)</f>
        <v>7.6923076923076927E-2</v>
      </c>
      <c r="CA86" s="537">
        <f>'raw data'!GT86</f>
        <v>1</v>
      </c>
      <c r="CB86" s="538">
        <f>'raw data'!GU86</f>
        <v>11</v>
      </c>
      <c r="CC86" s="539">
        <f>IF(ISERROR('raw data'!GT86/'raw data'!GU86),0,'raw data'!GT86/'raw data'!GU86)</f>
        <v>9.0909090909090912E-2</v>
      </c>
      <c r="CD86" s="537">
        <f>'raw data'!GV86</f>
        <v>0</v>
      </c>
      <c r="CE86" s="538">
        <f>'raw data'!GW86</f>
        <v>17</v>
      </c>
      <c r="CF86" s="539">
        <f>IF(ISERROR('raw data'!GV86/'raw data'!GW86),0,'raw data'!GV86/'raw data'!GW86)</f>
        <v>0</v>
      </c>
      <c r="CG86" s="537">
        <f>'raw data'!GX86</f>
        <v>2</v>
      </c>
      <c r="CH86" s="538">
        <f>'raw data'!GY86</f>
        <v>15</v>
      </c>
      <c r="CI86" s="539">
        <f>IF(ISERROR('raw data'!GX86/'raw data'!GY86),0,'raw data'!GX86/'raw data'!GY86)</f>
        <v>0.13333333333333333</v>
      </c>
      <c r="CJ86" s="537">
        <f>'raw data'!GZ86</f>
        <v>0</v>
      </c>
      <c r="CK86" s="538">
        <f>'raw data'!HA86</f>
        <v>1</v>
      </c>
      <c r="CL86" s="539">
        <f>IF(ISERROR('raw data'!GZ86/'raw data'!HA86),0,'raw data'!GZ86/'raw data'!HA86)</f>
        <v>0</v>
      </c>
      <c r="CM86" s="537">
        <f>'raw data'!HB86</f>
        <v>2</v>
      </c>
      <c r="CN86" s="538">
        <f>'raw data'!HC86</f>
        <v>3</v>
      </c>
      <c r="CO86" s="539">
        <f>IF(ISERROR('raw data'!HB86/'raw data'!HC86),0,'raw data'!HB86/'raw data'!HC86)</f>
        <v>0.66666666666666663</v>
      </c>
      <c r="CP86" s="402" t="s">
        <v>243</v>
      </c>
      <c r="CQ86" s="403" t="s">
        <v>243</v>
      </c>
      <c r="CR86" s="405" t="s">
        <v>243</v>
      </c>
      <c r="CS86" s="402" t="s">
        <v>243</v>
      </c>
      <c r="CT86" s="403" t="s">
        <v>243</v>
      </c>
      <c r="CU86" s="405" t="s">
        <v>243</v>
      </c>
      <c r="CV86" s="402" t="s">
        <v>243</v>
      </c>
      <c r="CW86" s="403" t="s">
        <v>243</v>
      </c>
      <c r="CX86" s="405" t="s">
        <v>243</v>
      </c>
      <c r="CY86" s="402" t="s">
        <v>243</v>
      </c>
      <c r="CZ86" s="403" t="s">
        <v>243</v>
      </c>
      <c r="DA86" s="405" t="s">
        <v>243</v>
      </c>
      <c r="DB86" s="402" t="s">
        <v>243</v>
      </c>
      <c r="DC86" s="403" t="s">
        <v>243</v>
      </c>
      <c r="DD86" s="405" t="s">
        <v>243</v>
      </c>
      <c r="DE86" s="402" t="s">
        <v>243</v>
      </c>
      <c r="DF86" s="403" t="s">
        <v>243</v>
      </c>
      <c r="DG86" s="405" t="s">
        <v>243</v>
      </c>
      <c r="DH86" s="402" t="s">
        <v>243</v>
      </c>
      <c r="DI86" s="403" t="s">
        <v>243</v>
      </c>
      <c r="DJ86" s="405" t="s">
        <v>243</v>
      </c>
      <c r="DK86" s="402" t="s">
        <v>243</v>
      </c>
      <c r="DL86" s="403" t="s">
        <v>243</v>
      </c>
      <c r="DM86" s="405" t="s">
        <v>243</v>
      </c>
      <c r="DN86" s="402" t="s">
        <v>243</v>
      </c>
      <c r="DO86" s="403" t="s">
        <v>243</v>
      </c>
      <c r="DP86" s="405" t="s">
        <v>243</v>
      </c>
      <c r="DQ86" s="402" t="s">
        <v>243</v>
      </c>
      <c r="DR86" s="403" t="s">
        <v>243</v>
      </c>
      <c r="DS86" s="405" t="s">
        <v>243</v>
      </c>
      <c r="DT86" s="402" t="s">
        <v>243</v>
      </c>
      <c r="DU86" s="403" t="s">
        <v>243</v>
      </c>
      <c r="DV86" s="405" t="s">
        <v>243</v>
      </c>
      <c r="DW86" s="402" t="s">
        <v>243</v>
      </c>
      <c r="DX86" s="403" t="s">
        <v>243</v>
      </c>
      <c r="DY86" s="405" t="s">
        <v>243</v>
      </c>
      <c r="DZ86" s="402" t="s">
        <v>243</v>
      </c>
      <c r="EA86" s="403" t="s">
        <v>243</v>
      </c>
      <c r="EB86" s="405" t="s">
        <v>243</v>
      </c>
      <c r="EC86" s="402" t="s">
        <v>243</v>
      </c>
      <c r="ED86" s="403" t="s">
        <v>243</v>
      </c>
      <c r="EE86" s="405" t="s">
        <v>243</v>
      </c>
      <c r="EF86" s="402" t="s">
        <v>243</v>
      </c>
      <c r="EG86" s="403" t="s">
        <v>243</v>
      </c>
      <c r="EH86" s="405" t="s">
        <v>243</v>
      </c>
      <c r="EI86" s="402" t="s">
        <v>243</v>
      </c>
      <c r="EJ86" s="403" t="s">
        <v>243</v>
      </c>
      <c r="EK86" s="405" t="s">
        <v>243</v>
      </c>
      <c r="EL86" s="402" t="s">
        <v>243</v>
      </c>
      <c r="EM86" s="403" t="s">
        <v>243</v>
      </c>
      <c r="EN86" s="405" t="s">
        <v>243</v>
      </c>
      <c r="EO86" s="402" t="s">
        <v>243</v>
      </c>
      <c r="EP86" s="403" t="s">
        <v>243</v>
      </c>
      <c r="EQ86" s="405" t="s">
        <v>243</v>
      </c>
      <c r="ER86" s="402" t="s">
        <v>243</v>
      </c>
      <c r="ES86" s="403" t="s">
        <v>243</v>
      </c>
      <c r="ET86" s="405" t="s">
        <v>243</v>
      </c>
      <c r="EU86" s="402" t="s">
        <v>243</v>
      </c>
      <c r="EV86" s="403" t="s">
        <v>243</v>
      </c>
      <c r="EW86" s="405" t="s">
        <v>243</v>
      </c>
      <c r="EX86" s="402" t="s">
        <v>243</v>
      </c>
      <c r="EY86" s="403" t="s">
        <v>243</v>
      </c>
      <c r="EZ86" s="405" t="s">
        <v>243</v>
      </c>
      <c r="FA86" s="402" t="s">
        <v>243</v>
      </c>
      <c r="FB86" s="403" t="s">
        <v>243</v>
      </c>
      <c r="FC86" s="405" t="s">
        <v>243</v>
      </c>
      <c r="FD86" s="402" t="s">
        <v>243</v>
      </c>
      <c r="FE86" s="403" t="s">
        <v>243</v>
      </c>
      <c r="FF86" s="405" t="s">
        <v>243</v>
      </c>
      <c r="FG86" s="402" t="s">
        <v>243</v>
      </c>
      <c r="FH86" s="403" t="s">
        <v>243</v>
      </c>
      <c r="FI86" s="405" t="s">
        <v>243</v>
      </c>
      <c r="FJ86" s="402" t="s">
        <v>243</v>
      </c>
      <c r="FK86" s="403" t="s">
        <v>243</v>
      </c>
      <c r="FL86" s="405" t="s">
        <v>243</v>
      </c>
      <c r="FM86" s="402" t="s">
        <v>243</v>
      </c>
      <c r="FN86" s="403" t="s">
        <v>243</v>
      </c>
      <c r="FO86" s="405" t="s">
        <v>243</v>
      </c>
      <c r="FP86" s="402" t="s">
        <v>243</v>
      </c>
      <c r="FQ86" s="403" t="s">
        <v>243</v>
      </c>
      <c r="FR86" s="405" t="s">
        <v>243</v>
      </c>
      <c r="FS86" s="469"/>
      <c r="FT86" s="540">
        <v>0</v>
      </c>
      <c r="FU86" s="541">
        <v>0</v>
      </c>
      <c r="FV86" s="542">
        <f t="shared" si="3"/>
        <v>0</v>
      </c>
    </row>
    <row r="87" spans="1:178" ht="25.5" customHeight="1" x14ac:dyDescent="0.15">
      <c r="A87" s="533" t="s">
        <v>147</v>
      </c>
      <c r="B87" s="534" t="str">
        <f>'raw data'!B87</f>
        <v>£30K Credit - Debit 200+ transactions</v>
      </c>
      <c r="C87" s="535"/>
      <c r="D87" s="536"/>
      <c r="E87" s="485"/>
      <c r="F87" s="483"/>
      <c r="G87" s="484"/>
      <c r="H87" s="485"/>
      <c r="I87" s="483"/>
      <c r="J87" s="484"/>
      <c r="K87" s="485"/>
      <c r="L87" s="483"/>
      <c r="M87" s="484"/>
      <c r="N87" s="485"/>
      <c r="O87" s="483"/>
      <c r="P87" s="484"/>
      <c r="Q87" s="485"/>
      <c r="R87" s="483"/>
      <c r="S87" s="484"/>
      <c r="T87" s="485"/>
      <c r="U87" s="404"/>
      <c r="V87" s="484"/>
      <c r="W87" s="485"/>
      <c r="X87" s="404"/>
      <c r="Y87" s="484"/>
      <c r="Z87" s="485"/>
      <c r="AA87" s="404"/>
      <c r="AB87" s="484"/>
      <c r="AC87" s="485"/>
      <c r="AD87" s="404"/>
      <c r="AE87" s="484"/>
      <c r="AF87" s="485"/>
      <c r="AG87" s="404"/>
      <c r="AH87" s="484"/>
      <c r="AI87" s="485"/>
      <c r="AJ87" s="404"/>
      <c r="AK87" s="484"/>
      <c r="AL87" s="485"/>
      <c r="AM87" s="404"/>
      <c r="AN87" s="484"/>
      <c r="AO87" s="485"/>
      <c r="AP87" s="404"/>
      <c r="AQ87" s="484"/>
      <c r="AR87" s="485"/>
      <c r="AS87" s="404"/>
      <c r="AT87" s="484"/>
      <c r="AU87" s="485"/>
      <c r="AV87" s="404"/>
      <c r="AW87" s="484"/>
      <c r="AX87" s="485"/>
      <c r="AY87" s="404"/>
      <c r="AZ87" s="484"/>
      <c r="BA87" s="485"/>
      <c r="BB87" s="404"/>
      <c r="BC87" s="484"/>
      <c r="BD87" s="485"/>
      <c r="BE87" s="404"/>
      <c r="BF87" s="484"/>
      <c r="BG87" s="485"/>
      <c r="BH87" s="404"/>
      <c r="BI87" s="484"/>
      <c r="BJ87" s="485"/>
      <c r="BK87" s="404"/>
      <c r="BL87" s="484"/>
      <c r="BM87" s="485"/>
      <c r="BN87" s="404"/>
      <c r="BO87" s="484"/>
      <c r="BP87" s="485"/>
      <c r="BQ87" s="404"/>
      <c r="BR87" s="537">
        <f>'raw data'!GN87</f>
        <v>36</v>
      </c>
      <c r="BS87" s="538">
        <f>'raw data'!GO87</f>
        <v>204</v>
      </c>
      <c r="BT87" s="539">
        <f>IF(ISERROR('raw data'!GN87/'raw data'!GO87),0,'raw data'!GN87/'raw data'!GO87)</f>
        <v>0.17647058823529413</v>
      </c>
      <c r="BU87" s="537">
        <f>'raw data'!GP87</f>
        <v>10</v>
      </c>
      <c r="BV87" s="538">
        <f>'raw data'!GQ87</f>
        <v>66</v>
      </c>
      <c r="BW87" s="539">
        <f>IF(ISERROR('raw data'!GP87/'raw data'!GQ87),0,'raw data'!GP87/'raw data'!GQ87)</f>
        <v>0.15151515151515152</v>
      </c>
      <c r="BX87" s="537">
        <f>'raw data'!GR87</f>
        <v>4</v>
      </c>
      <c r="BY87" s="538">
        <f>'raw data'!GS87</f>
        <v>45</v>
      </c>
      <c r="BZ87" s="539">
        <f>IF(ISERROR('raw data'!GR87/'raw data'!GS87),0,'raw data'!GR87/'raw data'!GS87)</f>
        <v>8.8888888888888892E-2</v>
      </c>
      <c r="CA87" s="537">
        <f>'raw data'!GT87</f>
        <v>10</v>
      </c>
      <c r="CB87" s="538">
        <f>'raw data'!GU87</f>
        <v>54</v>
      </c>
      <c r="CC87" s="539">
        <f>IF(ISERROR('raw data'!GT87/'raw data'!GU87),0,'raw data'!GT87/'raw data'!GU87)</f>
        <v>0.18518518518518517</v>
      </c>
      <c r="CD87" s="537">
        <f>'raw data'!GV87</f>
        <v>13</v>
      </c>
      <c r="CE87" s="538">
        <f>'raw data'!GW87</f>
        <v>86</v>
      </c>
      <c r="CF87" s="539">
        <f>IF(ISERROR('raw data'!GV87/'raw data'!GW87),0,'raw data'!GV87/'raw data'!GW87)</f>
        <v>0.15116279069767441</v>
      </c>
      <c r="CG87" s="537">
        <f>'raw data'!GX87</f>
        <v>9</v>
      </c>
      <c r="CH87" s="538">
        <f>'raw data'!GY87</f>
        <v>91</v>
      </c>
      <c r="CI87" s="539">
        <f>IF(ISERROR('raw data'!GX87/'raw data'!GY87),0,'raw data'!GX87/'raw data'!GY87)</f>
        <v>9.8901098901098897E-2</v>
      </c>
      <c r="CJ87" s="537">
        <f>'raw data'!GZ87</f>
        <v>12</v>
      </c>
      <c r="CK87" s="538">
        <f>'raw data'!HA87</f>
        <v>63</v>
      </c>
      <c r="CL87" s="539">
        <f>IF(ISERROR('raw data'!GZ87/'raw data'!HA87),0,'raw data'!GZ87/'raw data'!HA87)</f>
        <v>0.19047619047619047</v>
      </c>
      <c r="CM87" s="537">
        <f>'raw data'!HB87</f>
        <v>6</v>
      </c>
      <c r="CN87" s="538">
        <f>'raw data'!HC87</f>
        <v>33</v>
      </c>
      <c r="CO87" s="539">
        <f>IF(ISERROR('raw data'!HB87/'raw data'!HC87),0,'raw data'!HB87/'raw data'!HC87)</f>
        <v>0.18181818181818182</v>
      </c>
      <c r="CP87" s="402" t="s">
        <v>243</v>
      </c>
      <c r="CQ87" s="403" t="s">
        <v>243</v>
      </c>
      <c r="CR87" s="405" t="s">
        <v>243</v>
      </c>
      <c r="CS87" s="402" t="s">
        <v>243</v>
      </c>
      <c r="CT87" s="403" t="s">
        <v>243</v>
      </c>
      <c r="CU87" s="405" t="s">
        <v>243</v>
      </c>
      <c r="CV87" s="402" t="s">
        <v>243</v>
      </c>
      <c r="CW87" s="403" t="s">
        <v>243</v>
      </c>
      <c r="CX87" s="405" t="s">
        <v>243</v>
      </c>
      <c r="CY87" s="402" t="s">
        <v>243</v>
      </c>
      <c r="CZ87" s="403" t="s">
        <v>243</v>
      </c>
      <c r="DA87" s="405" t="s">
        <v>243</v>
      </c>
      <c r="DB87" s="402" t="s">
        <v>243</v>
      </c>
      <c r="DC87" s="403" t="s">
        <v>243</v>
      </c>
      <c r="DD87" s="405" t="s">
        <v>243</v>
      </c>
      <c r="DE87" s="402" t="s">
        <v>243</v>
      </c>
      <c r="DF87" s="403" t="s">
        <v>243</v>
      </c>
      <c r="DG87" s="405" t="s">
        <v>243</v>
      </c>
      <c r="DH87" s="402" t="s">
        <v>243</v>
      </c>
      <c r="DI87" s="403" t="s">
        <v>243</v>
      </c>
      <c r="DJ87" s="405" t="s">
        <v>243</v>
      </c>
      <c r="DK87" s="402" t="s">
        <v>243</v>
      </c>
      <c r="DL87" s="403" t="s">
        <v>243</v>
      </c>
      <c r="DM87" s="405" t="s">
        <v>243</v>
      </c>
      <c r="DN87" s="402" t="s">
        <v>243</v>
      </c>
      <c r="DO87" s="403" t="s">
        <v>243</v>
      </c>
      <c r="DP87" s="405" t="s">
        <v>243</v>
      </c>
      <c r="DQ87" s="402" t="s">
        <v>243</v>
      </c>
      <c r="DR87" s="403" t="s">
        <v>243</v>
      </c>
      <c r="DS87" s="405" t="s">
        <v>243</v>
      </c>
      <c r="DT87" s="402" t="s">
        <v>243</v>
      </c>
      <c r="DU87" s="403" t="s">
        <v>243</v>
      </c>
      <c r="DV87" s="405" t="s">
        <v>243</v>
      </c>
      <c r="DW87" s="402" t="s">
        <v>243</v>
      </c>
      <c r="DX87" s="403" t="s">
        <v>243</v>
      </c>
      <c r="DY87" s="405" t="s">
        <v>243</v>
      </c>
      <c r="DZ87" s="402" t="s">
        <v>243</v>
      </c>
      <c r="EA87" s="403" t="s">
        <v>243</v>
      </c>
      <c r="EB87" s="405" t="s">
        <v>243</v>
      </c>
      <c r="EC87" s="402" t="s">
        <v>243</v>
      </c>
      <c r="ED87" s="403" t="s">
        <v>243</v>
      </c>
      <c r="EE87" s="405" t="s">
        <v>243</v>
      </c>
      <c r="EF87" s="402" t="s">
        <v>243</v>
      </c>
      <c r="EG87" s="403" t="s">
        <v>243</v>
      </c>
      <c r="EH87" s="405" t="s">
        <v>243</v>
      </c>
      <c r="EI87" s="402" t="s">
        <v>243</v>
      </c>
      <c r="EJ87" s="403" t="s">
        <v>243</v>
      </c>
      <c r="EK87" s="405" t="s">
        <v>243</v>
      </c>
      <c r="EL87" s="402" t="s">
        <v>243</v>
      </c>
      <c r="EM87" s="403" t="s">
        <v>243</v>
      </c>
      <c r="EN87" s="405" t="s">
        <v>243</v>
      </c>
      <c r="EO87" s="402" t="s">
        <v>243</v>
      </c>
      <c r="EP87" s="403" t="s">
        <v>243</v>
      </c>
      <c r="EQ87" s="405" t="s">
        <v>243</v>
      </c>
      <c r="ER87" s="402" t="s">
        <v>243</v>
      </c>
      <c r="ES87" s="403" t="s">
        <v>243</v>
      </c>
      <c r="ET87" s="405" t="s">
        <v>243</v>
      </c>
      <c r="EU87" s="402" t="s">
        <v>243</v>
      </c>
      <c r="EV87" s="403" t="s">
        <v>243</v>
      </c>
      <c r="EW87" s="405" t="s">
        <v>243</v>
      </c>
      <c r="EX87" s="402" t="s">
        <v>243</v>
      </c>
      <c r="EY87" s="403" t="s">
        <v>243</v>
      </c>
      <c r="EZ87" s="405" t="s">
        <v>243</v>
      </c>
      <c r="FA87" s="402" t="s">
        <v>243</v>
      </c>
      <c r="FB87" s="403" t="s">
        <v>243</v>
      </c>
      <c r="FC87" s="405" t="s">
        <v>243</v>
      </c>
      <c r="FD87" s="402" t="s">
        <v>243</v>
      </c>
      <c r="FE87" s="403" t="s">
        <v>243</v>
      </c>
      <c r="FF87" s="405" t="s">
        <v>243</v>
      </c>
      <c r="FG87" s="402" t="s">
        <v>243</v>
      </c>
      <c r="FH87" s="403" t="s">
        <v>243</v>
      </c>
      <c r="FI87" s="405" t="s">
        <v>243</v>
      </c>
      <c r="FJ87" s="402" t="s">
        <v>243</v>
      </c>
      <c r="FK87" s="403" t="s">
        <v>243</v>
      </c>
      <c r="FL87" s="405" t="s">
        <v>243</v>
      </c>
      <c r="FM87" s="402" t="s">
        <v>243</v>
      </c>
      <c r="FN87" s="403" t="s">
        <v>243</v>
      </c>
      <c r="FO87" s="405" t="s">
        <v>243</v>
      </c>
      <c r="FP87" s="402" t="s">
        <v>243</v>
      </c>
      <c r="FQ87" s="403" t="s">
        <v>243</v>
      </c>
      <c r="FR87" s="405" t="s">
        <v>243</v>
      </c>
      <c r="FS87" s="469"/>
      <c r="FT87" s="540">
        <v>0</v>
      </c>
      <c r="FU87" s="541">
        <v>0</v>
      </c>
      <c r="FV87" s="542">
        <f t="shared" si="3"/>
        <v>0</v>
      </c>
    </row>
    <row r="88" spans="1:178" ht="25.5" customHeight="1" x14ac:dyDescent="0.15">
      <c r="A88" s="533" t="s">
        <v>149</v>
      </c>
      <c r="B88" s="534" t="str">
        <f>'raw data'!B88</f>
        <v>High Value Transactions - Credits &gt;= £100K</v>
      </c>
      <c r="C88" s="535"/>
      <c r="D88" s="536"/>
      <c r="E88" s="485"/>
      <c r="F88" s="483"/>
      <c r="G88" s="484"/>
      <c r="H88" s="485"/>
      <c r="I88" s="483"/>
      <c r="J88" s="484"/>
      <c r="K88" s="485"/>
      <c r="L88" s="483"/>
      <c r="M88" s="484"/>
      <c r="N88" s="485"/>
      <c r="O88" s="483"/>
      <c r="P88" s="484"/>
      <c r="Q88" s="485"/>
      <c r="R88" s="483"/>
      <c r="S88" s="484"/>
      <c r="T88" s="485"/>
      <c r="U88" s="404"/>
      <c r="V88" s="484"/>
      <c r="W88" s="485"/>
      <c r="X88" s="404"/>
      <c r="Y88" s="484"/>
      <c r="Z88" s="485"/>
      <c r="AA88" s="404"/>
      <c r="AB88" s="484"/>
      <c r="AC88" s="485"/>
      <c r="AD88" s="404"/>
      <c r="AE88" s="484"/>
      <c r="AF88" s="485"/>
      <c r="AG88" s="404"/>
      <c r="AH88" s="484"/>
      <c r="AI88" s="485"/>
      <c r="AJ88" s="404"/>
      <c r="AK88" s="484"/>
      <c r="AL88" s="485"/>
      <c r="AM88" s="404"/>
      <c r="AN88" s="484"/>
      <c r="AO88" s="485"/>
      <c r="AP88" s="404"/>
      <c r="AQ88" s="484"/>
      <c r="AR88" s="485"/>
      <c r="AS88" s="404"/>
      <c r="AT88" s="484"/>
      <c r="AU88" s="485"/>
      <c r="AV88" s="404"/>
      <c r="AW88" s="484"/>
      <c r="AX88" s="485"/>
      <c r="AY88" s="404"/>
      <c r="AZ88" s="484"/>
      <c r="BA88" s="485"/>
      <c r="BB88" s="404"/>
      <c r="BC88" s="484"/>
      <c r="BD88" s="485"/>
      <c r="BE88" s="404"/>
      <c r="BF88" s="484"/>
      <c r="BG88" s="485"/>
      <c r="BH88" s="404"/>
      <c r="BI88" s="484"/>
      <c r="BJ88" s="485"/>
      <c r="BK88" s="404"/>
      <c r="BL88" s="484"/>
      <c r="BM88" s="485"/>
      <c r="BN88" s="404"/>
      <c r="BO88" s="484"/>
      <c r="BP88" s="485"/>
      <c r="BQ88" s="404"/>
      <c r="BR88" s="537">
        <f>'raw data'!GN88</f>
        <v>0</v>
      </c>
      <c r="BS88" s="538">
        <f>'raw data'!GO88</f>
        <v>4</v>
      </c>
      <c r="BT88" s="539">
        <f>IF(ISERROR('raw data'!GN88/'raw data'!GO88),0,'raw data'!GN88/'raw data'!GO88)</f>
        <v>0</v>
      </c>
      <c r="BU88" s="537">
        <f>'raw data'!GP88</f>
        <v>1</v>
      </c>
      <c r="BV88" s="538">
        <f>'raw data'!GQ88</f>
        <v>11</v>
      </c>
      <c r="BW88" s="539">
        <f>IF(ISERROR('raw data'!GP88/'raw data'!GQ88),0,'raw data'!GP88/'raw data'!GQ88)</f>
        <v>9.0909090909090912E-2</v>
      </c>
      <c r="BX88" s="537">
        <f>'raw data'!GR88</f>
        <v>4</v>
      </c>
      <c r="BY88" s="538">
        <f>'raw data'!GS88</f>
        <v>24</v>
      </c>
      <c r="BZ88" s="539">
        <f>IF(ISERROR('raw data'!GR88/'raw data'!GS88),0,'raw data'!GR88/'raw data'!GS88)</f>
        <v>0.16666666666666666</v>
      </c>
      <c r="CA88" s="537">
        <f>'raw data'!GT88</f>
        <v>1</v>
      </c>
      <c r="CB88" s="538">
        <f>'raw data'!GU88</f>
        <v>19</v>
      </c>
      <c r="CC88" s="539">
        <f>IF(ISERROR('raw data'!GT88/'raw data'!GU88),0,'raw data'!GT88/'raw data'!GU88)</f>
        <v>5.2631578947368418E-2</v>
      </c>
      <c r="CD88" s="537">
        <f>'raw data'!GV88</f>
        <v>1</v>
      </c>
      <c r="CE88" s="538">
        <f>'raw data'!GW88</f>
        <v>13</v>
      </c>
      <c r="CF88" s="539">
        <f>IF(ISERROR('raw data'!GV88/'raw data'!GW88),0,'raw data'!GV88/'raw data'!GW88)</f>
        <v>7.6923076923076927E-2</v>
      </c>
      <c r="CG88" s="537">
        <f>'raw data'!GX88</f>
        <v>1</v>
      </c>
      <c r="CH88" s="538">
        <f>'raw data'!GY88</f>
        <v>22</v>
      </c>
      <c r="CI88" s="539">
        <f>IF(ISERROR('raw data'!GX88/'raw data'!GY88),0,'raw data'!GX88/'raw data'!GY88)</f>
        <v>4.5454545454545456E-2</v>
      </c>
      <c r="CJ88" s="537">
        <f>'raw data'!GZ88</f>
        <v>0</v>
      </c>
      <c r="CK88" s="538">
        <f>'raw data'!HA88</f>
        <v>11</v>
      </c>
      <c r="CL88" s="539">
        <f>IF(ISERROR('raw data'!GZ88/'raw data'!HA88),0,'raw data'!GZ88/'raw data'!HA88)</f>
        <v>0</v>
      </c>
      <c r="CM88" s="537">
        <f>'raw data'!HB88</f>
        <v>1</v>
      </c>
      <c r="CN88" s="538">
        <f>'raw data'!HC88</f>
        <v>9</v>
      </c>
      <c r="CO88" s="539">
        <f>IF(ISERROR('raw data'!HB88/'raw data'!HC88),0,'raw data'!HB88/'raw data'!HC88)</f>
        <v>0.1111111111111111</v>
      </c>
      <c r="CP88" s="402" t="s">
        <v>243</v>
      </c>
      <c r="CQ88" s="403" t="s">
        <v>243</v>
      </c>
      <c r="CR88" s="405" t="s">
        <v>243</v>
      </c>
      <c r="CS88" s="402" t="s">
        <v>243</v>
      </c>
      <c r="CT88" s="403" t="s">
        <v>243</v>
      </c>
      <c r="CU88" s="405" t="s">
        <v>243</v>
      </c>
      <c r="CV88" s="402" t="s">
        <v>243</v>
      </c>
      <c r="CW88" s="403" t="s">
        <v>243</v>
      </c>
      <c r="CX88" s="405" t="s">
        <v>243</v>
      </c>
      <c r="CY88" s="402" t="s">
        <v>243</v>
      </c>
      <c r="CZ88" s="403" t="s">
        <v>243</v>
      </c>
      <c r="DA88" s="405" t="s">
        <v>243</v>
      </c>
      <c r="DB88" s="402" t="s">
        <v>243</v>
      </c>
      <c r="DC88" s="403" t="s">
        <v>243</v>
      </c>
      <c r="DD88" s="405" t="s">
        <v>243</v>
      </c>
      <c r="DE88" s="402" t="s">
        <v>243</v>
      </c>
      <c r="DF88" s="403" t="s">
        <v>243</v>
      </c>
      <c r="DG88" s="405" t="s">
        <v>243</v>
      </c>
      <c r="DH88" s="402" t="s">
        <v>243</v>
      </c>
      <c r="DI88" s="403" t="s">
        <v>243</v>
      </c>
      <c r="DJ88" s="405" t="s">
        <v>243</v>
      </c>
      <c r="DK88" s="402" t="s">
        <v>243</v>
      </c>
      <c r="DL88" s="403" t="s">
        <v>243</v>
      </c>
      <c r="DM88" s="405" t="s">
        <v>243</v>
      </c>
      <c r="DN88" s="402" t="s">
        <v>243</v>
      </c>
      <c r="DO88" s="403" t="s">
        <v>243</v>
      </c>
      <c r="DP88" s="405" t="s">
        <v>243</v>
      </c>
      <c r="DQ88" s="402" t="s">
        <v>243</v>
      </c>
      <c r="DR88" s="403" t="s">
        <v>243</v>
      </c>
      <c r="DS88" s="405" t="s">
        <v>243</v>
      </c>
      <c r="DT88" s="402" t="s">
        <v>243</v>
      </c>
      <c r="DU88" s="403" t="s">
        <v>243</v>
      </c>
      <c r="DV88" s="405" t="s">
        <v>243</v>
      </c>
      <c r="DW88" s="402" t="s">
        <v>243</v>
      </c>
      <c r="DX88" s="403" t="s">
        <v>243</v>
      </c>
      <c r="DY88" s="405" t="s">
        <v>243</v>
      </c>
      <c r="DZ88" s="402" t="s">
        <v>243</v>
      </c>
      <c r="EA88" s="403" t="s">
        <v>243</v>
      </c>
      <c r="EB88" s="405" t="s">
        <v>243</v>
      </c>
      <c r="EC88" s="402" t="s">
        <v>243</v>
      </c>
      <c r="ED88" s="403" t="s">
        <v>243</v>
      </c>
      <c r="EE88" s="405" t="s">
        <v>243</v>
      </c>
      <c r="EF88" s="402" t="s">
        <v>243</v>
      </c>
      <c r="EG88" s="403" t="s">
        <v>243</v>
      </c>
      <c r="EH88" s="405" t="s">
        <v>243</v>
      </c>
      <c r="EI88" s="402" t="s">
        <v>243</v>
      </c>
      <c r="EJ88" s="403" t="s">
        <v>243</v>
      </c>
      <c r="EK88" s="405" t="s">
        <v>243</v>
      </c>
      <c r="EL88" s="402" t="s">
        <v>243</v>
      </c>
      <c r="EM88" s="403" t="s">
        <v>243</v>
      </c>
      <c r="EN88" s="405" t="s">
        <v>243</v>
      </c>
      <c r="EO88" s="402" t="s">
        <v>243</v>
      </c>
      <c r="EP88" s="403" t="s">
        <v>243</v>
      </c>
      <c r="EQ88" s="405" t="s">
        <v>243</v>
      </c>
      <c r="ER88" s="402" t="s">
        <v>243</v>
      </c>
      <c r="ES88" s="403" t="s">
        <v>243</v>
      </c>
      <c r="ET88" s="405" t="s">
        <v>243</v>
      </c>
      <c r="EU88" s="402" t="s">
        <v>243</v>
      </c>
      <c r="EV88" s="403" t="s">
        <v>243</v>
      </c>
      <c r="EW88" s="405" t="s">
        <v>243</v>
      </c>
      <c r="EX88" s="402" t="s">
        <v>243</v>
      </c>
      <c r="EY88" s="403" t="s">
        <v>243</v>
      </c>
      <c r="EZ88" s="405" t="s">
        <v>243</v>
      </c>
      <c r="FA88" s="402" t="s">
        <v>243</v>
      </c>
      <c r="FB88" s="403" t="s">
        <v>243</v>
      </c>
      <c r="FC88" s="405" t="s">
        <v>243</v>
      </c>
      <c r="FD88" s="402" t="s">
        <v>243</v>
      </c>
      <c r="FE88" s="403" t="s">
        <v>243</v>
      </c>
      <c r="FF88" s="405" t="s">
        <v>243</v>
      </c>
      <c r="FG88" s="402" t="s">
        <v>243</v>
      </c>
      <c r="FH88" s="403" t="s">
        <v>243</v>
      </c>
      <c r="FI88" s="405" t="s">
        <v>243</v>
      </c>
      <c r="FJ88" s="402" t="s">
        <v>243</v>
      </c>
      <c r="FK88" s="403" t="s">
        <v>243</v>
      </c>
      <c r="FL88" s="405" t="s">
        <v>243</v>
      </c>
      <c r="FM88" s="402" t="s">
        <v>243</v>
      </c>
      <c r="FN88" s="403" t="s">
        <v>243</v>
      </c>
      <c r="FO88" s="405" t="s">
        <v>243</v>
      </c>
      <c r="FP88" s="402" t="s">
        <v>243</v>
      </c>
      <c r="FQ88" s="403" t="s">
        <v>243</v>
      </c>
      <c r="FR88" s="405" t="s">
        <v>243</v>
      </c>
      <c r="FS88" s="469"/>
      <c r="FT88" s="540">
        <v>0</v>
      </c>
      <c r="FU88" s="541">
        <v>0</v>
      </c>
      <c r="FV88" s="542">
        <f t="shared" si="3"/>
        <v>0</v>
      </c>
    </row>
    <row r="89" spans="1:178" ht="14" x14ac:dyDescent="0.15">
      <c r="A89" s="543"/>
      <c r="B89" s="544" t="s">
        <v>255</v>
      </c>
      <c r="C89" s="545"/>
      <c r="D89" s="501"/>
      <c r="E89" s="416"/>
      <c r="F89" s="420"/>
      <c r="G89" s="423"/>
      <c r="H89" s="422"/>
      <c r="I89" s="420"/>
      <c r="J89" s="423"/>
      <c r="K89" s="422"/>
      <c r="L89" s="420"/>
      <c r="M89" s="423"/>
      <c r="N89" s="422"/>
      <c r="O89" s="420"/>
      <c r="P89" s="423"/>
      <c r="Q89" s="422"/>
      <c r="R89" s="420"/>
      <c r="S89" s="423"/>
      <c r="T89" s="422"/>
      <c r="U89" s="420"/>
      <c r="V89" s="423"/>
      <c r="W89" s="422"/>
      <c r="X89" s="420"/>
      <c r="Y89" s="423"/>
      <c r="Z89" s="422"/>
      <c r="AA89" s="420"/>
      <c r="AB89" s="423"/>
      <c r="AC89" s="422"/>
      <c r="AD89" s="420"/>
      <c r="AE89" s="423"/>
      <c r="AF89" s="422"/>
      <c r="AG89" s="420"/>
      <c r="AH89" s="423"/>
      <c r="AI89" s="422"/>
      <c r="AJ89" s="420"/>
      <c r="AK89" s="423"/>
      <c r="AL89" s="422"/>
      <c r="AM89" s="420"/>
      <c r="AN89" s="423"/>
      <c r="AO89" s="422"/>
      <c r="AP89" s="420"/>
      <c r="AQ89" s="423"/>
      <c r="AR89" s="422"/>
      <c r="AS89" s="424"/>
      <c r="AT89" s="423"/>
      <c r="AU89" s="422"/>
      <c r="AV89" s="426"/>
      <c r="AW89" s="423"/>
      <c r="AX89" s="422"/>
      <c r="AY89" s="426"/>
      <c r="AZ89" s="423"/>
      <c r="BA89" s="422"/>
      <c r="BB89" s="426"/>
      <c r="BC89" s="423"/>
      <c r="BD89" s="422"/>
      <c r="BE89" s="426"/>
      <c r="BF89" s="423"/>
      <c r="BG89" s="422"/>
      <c r="BH89" s="426"/>
      <c r="BI89" s="423"/>
      <c r="BJ89" s="422"/>
      <c r="BK89" s="426"/>
      <c r="BL89" s="423"/>
      <c r="BM89" s="422"/>
      <c r="BN89" s="426"/>
      <c r="BO89" s="423"/>
      <c r="BP89" s="422"/>
      <c r="BQ89" s="426"/>
      <c r="BR89" s="421">
        <f>SUM(BR84:BR88)</f>
        <v>53</v>
      </c>
      <c r="BS89" s="425">
        <f>SUM(BS84:BS88)</f>
        <v>284</v>
      </c>
      <c r="BT89" s="426">
        <f>IF(ISERROR('raw data'!GN89/'raw data'!GO89),0,'raw data'!GN89/'raw data'!GO89)</f>
        <v>0.18661971830985916</v>
      </c>
      <c r="BU89" s="421">
        <f>SUM(BU84:BU88)</f>
        <v>54</v>
      </c>
      <c r="BV89" s="425">
        <f>SUM(BV84:BV88)</f>
        <v>252</v>
      </c>
      <c r="BW89" s="426">
        <f>IF(ISERROR('raw data'!GP89/'raw data'!GQ89),0,'raw data'!GP89/'raw data'!GQ89)</f>
        <v>0.21428571428571427</v>
      </c>
      <c r="BX89" s="421">
        <f>SUM(BX84:BX88)</f>
        <v>51</v>
      </c>
      <c r="BY89" s="425">
        <f>SUM(BY84:BY88)</f>
        <v>213</v>
      </c>
      <c r="BZ89" s="426">
        <f>IF(ISERROR('raw data'!GR89/'raw data'!GS89),0,'raw data'!GR89/'raw data'!GS89)</f>
        <v>0.23943661971830985</v>
      </c>
      <c r="CA89" s="421">
        <f>SUM(CA84:CA88)</f>
        <v>44</v>
      </c>
      <c r="CB89" s="425">
        <f>SUM(CB84:CB88)</f>
        <v>183</v>
      </c>
      <c r="CC89" s="426">
        <f>IF(ISERROR('raw data'!GT89/'raw data'!GU89),0,'raw data'!GT89/'raw data'!GU89)</f>
        <v>0.24043715846994534</v>
      </c>
      <c r="CD89" s="421">
        <f>SUM(CD84:CD88)</f>
        <v>39</v>
      </c>
      <c r="CE89" s="425">
        <f>SUM(CE84:CE88)</f>
        <v>223</v>
      </c>
      <c r="CF89" s="426">
        <f>IF(ISERROR('raw data'!GV89/'raw data'!GW89),0,'raw data'!GV89/'raw data'!GW89)</f>
        <v>0.17488789237668162</v>
      </c>
      <c r="CG89" s="421">
        <f>SUM(CG84:CG88)</f>
        <v>39</v>
      </c>
      <c r="CH89" s="425">
        <f>SUM(CH84:CH88)</f>
        <v>255</v>
      </c>
      <c r="CI89" s="426">
        <f>IF(ISERROR('raw data'!GX89/'raw data'!GY89),0,'raw data'!GX89/'raw data'!GY89)</f>
        <v>0.15294117647058825</v>
      </c>
      <c r="CJ89" s="421">
        <f>SUM(CJ84:CJ88)</f>
        <v>33</v>
      </c>
      <c r="CK89" s="425">
        <f>SUM(CK84:CK88)</f>
        <v>170</v>
      </c>
      <c r="CL89" s="426">
        <f>IF(ISERROR('raw data'!GZ89/'raw data'!HA89),0,'raw data'!GZ89/'raw data'!HA89)</f>
        <v>0.19411764705882353</v>
      </c>
      <c r="CM89" s="421">
        <f>SUM(CM84:CM88)</f>
        <v>17</v>
      </c>
      <c r="CN89" s="425">
        <f>SUM(CN84:CN88)</f>
        <v>73</v>
      </c>
      <c r="CO89" s="426">
        <f>IF(ISERROR('raw data'!HB89/'raw data'!HC89),0,'raw data'!HB89/'raw data'!HC89)</f>
        <v>0.23287671232876711</v>
      </c>
      <c r="CP89" s="421">
        <f>SUM(CP84:CP88)</f>
        <v>0</v>
      </c>
      <c r="CQ89" s="425">
        <f>SUM(CQ84:CQ88)</f>
        <v>0</v>
      </c>
      <c r="CR89" s="426">
        <f>IF(ISERROR('raw data'!HD89/'raw data'!HE89),0,'raw data'!HD89/'raw data'!HE89)</f>
        <v>0</v>
      </c>
      <c r="CS89" s="421">
        <f>SUM(CS84:CS88)</f>
        <v>0</v>
      </c>
      <c r="CT89" s="425">
        <f>SUM(CT84:CT88)</f>
        <v>0</v>
      </c>
      <c r="CU89" s="426">
        <f>IF(ISERROR('raw data'!HF89/'raw data'!HG89),0,'raw data'!HF89/'raw data'!HG89)</f>
        <v>0</v>
      </c>
      <c r="CV89" s="421">
        <f>SUM(CV84:CV88)</f>
        <v>0</v>
      </c>
      <c r="CW89" s="425">
        <f>SUM(CW84:CW88)</f>
        <v>0</v>
      </c>
      <c r="CX89" s="426">
        <f>IF(ISERROR('raw data'!HH89/'raw data'!HI89),0,'raw data'!HH89/'raw data'!HI89)</f>
        <v>0</v>
      </c>
      <c r="CY89" s="421">
        <f>SUM(CY84:CY88)</f>
        <v>0</v>
      </c>
      <c r="CZ89" s="425">
        <f>SUM(CZ84:CZ88)</f>
        <v>0</v>
      </c>
      <c r="DA89" s="426">
        <f>IF(ISERROR('raw data'!HJ89/'raw data'!HK89),0,'raw data'!HJ89/'raw data'!HK89)</f>
        <v>0</v>
      </c>
      <c r="DB89" s="421">
        <f>SUM(DB84:DB88)</f>
        <v>0</v>
      </c>
      <c r="DC89" s="425">
        <f>SUM(DC84:DC88)</f>
        <v>0</v>
      </c>
      <c r="DD89" s="426">
        <f>IF(ISERROR('raw data'!HL89/'raw data'!HM89),0,'raw data'!HL89/'raw data'!HM89)</f>
        <v>0</v>
      </c>
      <c r="DE89" s="421">
        <f>SUM(DE84:DE88)</f>
        <v>0</v>
      </c>
      <c r="DF89" s="425">
        <f>SUM(DF84:DF88)</f>
        <v>0</v>
      </c>
      <c r="DG89" s="426">
        <f>IF(ISERROR('raw data'!HN89/'raw data'!HO89),0,'raw data'!HN89/'raw data'!HO89)</f>
        <v>0</v>
      </c>
      <c r="DH89" s="421">
        <f>SUM(DH84:DH88)</f>
        <v>0</v>
      </c>
      <c r="DI89" s="425">
        <f>SUM(DI84:DI88)</f>
        <v>0</v>
      </c>
      <c r="DJ89" s="426">
        <f>IF(ISERROR('raw data'!HP89/'raw data'!HQ89),0,'raw data'!HP89/'raw data'!HQ89)</f>
        <v>0</v>
      </c>
      <c r="DK89" s="421">
        <f>SUM(DK84:DK88)</f>
        <v>0</v>
      </c>
      <c r="DL89" s="425">
        <f>SUM(DL84:DL88)</f>
        <v>0</v>
      </c>
      <c r="DM89" s="426">
        <f>IF(ISERROR('raw data'!HR89/'raw data'!HS89),0,'raw data'!HR89/'raw data'!HS89)</f>
        <v>0</v>
      </c>
      <c r="DN89" s="421">
        <f>SUM(DN84:DN88)</f>
        <v>0</v>
      </c>
      <c r="DO89" s="425">
        <f>SUM(DO84:DO88)</f>
        <v>0</v>
      </c>
      <c r="DP89" s="426">
        <f>IF(ISERROR('raw data'!HT89/'raw data'!HU89),0,'raw data'!HT89/'raw data'!HU89)</f>
        <v>0</v>
      </c>
      <c r="DQ89" s="421">
        <f>SUM(DQ84:DQ88)</f>
        <v>0</v>
      </c>
      <c r="DR89" s="425">
        <f>SUM(DR84:DR88)</f>
        <v>0</v>
      </c>
      <c r="DS89" s="426">
        <f>IF(ISERROR('raw data'!HV89/'raw data'!HW89),0,'raw data'!HV89/'raw data'!HW89)</f>
        <v>0</v>
      </c>
      <c r="DT89" s="421">
        <f>SUM(DT84:DT88)</f>
        <v>0</v>
      </c>
      <c r="DU89" s="425">
        <f>SUM(DU84:DU88)</f>
        <v>0</v>
      </c>
      <c r="DV89" s="426">
        <f>IF(ISERROR('raw data'!HX89/'raw data'!HY89),0,'raw data'!HX89/'raw data'!HY89)</f>
        <v>0</v>
      </c>
      <c r="DW89" s="421">
        <f>SUM(DW84:DW88)</f>
        <v>0</v>
      </c>
      <c r="DX89" s="425">
        <f>SUM(DX84:DX88)</f>
        <v>0</v>
      </c>
      <c r="DY89" s="426">
        <f>IF(ISERROR('raw data'!HZ89/'raw data'!IA89),0,'raw data'!HZ89/'raw data'!IA89)</f>
        <v>0</v>
      </c>
      <c r="DZ89" s="421">
        <f>SUM(DZ84:DZ88)</f>
        <v>0</v>
      </c>
      <c r="EA89" s="425">
        <f>SUM(EA84:EA88)</f>
        <v>0</v>
      </c>
      <c r="EB89" s="426">
        <f>IF(ISERROR('raw data'!IB89/'raw data'!IC89),0,'raw data'!IB89/'raw data'!IC89)</f>
        <v>0</v>
      </c>
      <c r="EC89" s="421">
        <f>SUM(EC84:EC88)</f>
        <v>0</v>
      </c>
      <c r="ED89" s="425">
        <f>SUM(ED84:ED88)</f>
        <v>0</v>
      </c>
      <c r="EE89" s="426">
        <f>IF(ISERROR('raw data'!ID89/'raw data'!IE89),0,'raw data'!ID89/'raw data'!IE89)</f>
        <v>0</v>
      </c>
      <c r="EF89" s="421">
        <f>SUM(EF84:EF88)</f>
        <v>0</v>
      </c>
      <c r="EG89" s="425">
        <f>SUM(EG84:EG88)</f>
        <v>0</v>
      </c>
      <c r="EH89" s="426">
        <f>IF(ISERROR('raw data'!IF89/'raw data'!IG89),0,'raw data'!IF89/'raw data'!IG89)</f>
        <v>0</v>
      </c>
      <c r="EI89" s="421">
        <f>SUM(EI84:EI88)</f>
        <v>0</v>
      </c>
      <c r="EJ89" s="425">
        <f>SUM(EJ84:EJ88)</f>
        <v>0</v>
      </c>
      <c r="EK89" s="426">
        <f>IF(ISERROR('raw data'!IH89/'raw data'!II89),0,'raw data'!IH89/'raw data'!II89)</f>
        <v>0</v>
      </c>
      <c r="EL89" s="421">
        <f>SUM(EL84:EL88)</f>
        <v>0</v>
      </c>
      <c r="EM89" s="425">
        <f>SUM(EM84:EM88)</f>
        <v>0</v>
      </c>
      <c r="EN89" s="426">
        <f>IF(ISERROR('raw data'!IJ89/'raw data'!IK89),0,'raw data'!IJ89/'raw data'!IK89)</f>
        <v>0</v>
      </c>
      <c r="EO89" s="421">
        <f>SUM(EO84:EO88)</f>
        <v>0</v>
      </c>
      <c r="EP89" s="425">
        <f>SUM(EP84:EP88)</f>
        <v>0</v>
      </c>
      <c r="EQ89" s="426">
        <f>IF(ISERROR('raw data'!IL89/'raw data'!IM89),0,'raw data'!IL89/'raw data'!IM89)</f>
        <v>0</v>
      </c>
      <c r="ER89" s="421">
        <f>SUM(ER84:ER88)</f>
        <v>0</v>
      </c>
      <c r="ES89" s="425">
        <f>SUM(ES84:ES88)</f>
        <v>0</v>
      </c>
      <c r="ET89" s="426">
        <f>IF(ISERROR('raw data'!IN89/'raw data'!IO89),0,'raw data'!IN89/'raw data'!IO89)</f>
        <v>0</v>
      </c>
      <c r="EU89" s="421">
        <f>SUM(EU84:EU88)</f>
        <v>0</v>
      </c>
      <c r="EV89" s="425">
        <f>SUM(EV84:EV88)</f>
        <v>0</v>
      </c>
      <c r="EW89" s="426">
        <f>IF(ISERROR('raw data'!IP89/'raw data'!IQ89),0,'raw data'!IP89/'raw data'!IQ89)</f>
        <v>0</v>
      </c>
      <c r="EX89" s="421">
        <f>SUM(EX84:EX88)</f>
        <v>0</v>
      </c>
      <c r="EY89" s="425">
        <f>SUM(EY84:EY88)</f>
        <v>0</v>
      </c>
      <c r="EZ89" s="426">
        <f>IF(ISERROR('raw data'!IR89/'raw data'!IS89),0,'raw data'!IR89/'raw data'!IS89)</f>
        <v>0</v>
      </c>
      <c r="FA89" s="421">
        <f>SUM(FA84:FA88)</f>
        <v>0</v>
      </c>
      <c r="FB89" s="425">
        <f>SUM(FB84:FB88)</f>
        <v>0</v>
      </c>
      <c r="FC89" s="426">
        <f>IF(ISERROR('raw data'!IT89/'raw data'!IU89),0,'raw data'!IT89/'raw data'!IU89)</f>
        <v>0</v>
      </c>
      <c r="FD89" s="421">
        <f>SUM(FD84:FD88)</f>
        <v>0</v>
      </c>
      <c r="FE89" s="425">
        <f>SUM(FE84:FE88)</f>
        <v>0</v>
      </c>
      <c r="FF89" s="426">
        <f>IF(ISERROR('raw data'!IV89/'raw data'!IW89),0,'raw data'!IV89/'raw data'!IW89)</f>
        <v>0</v>
      </c>
      <c r="FG89" s="421">
        <f>SUM(FG84:FG88)</f>
        <v>0</v>
      </c>
      <c r="FH89" s="425">
        <f>SUM(FH84:FH88)</f>
        <v>0</v>
      </c>
      <c r="FI89" s="426">
        <f>IF(ISERROR('raw data'!IX89/'raw data'!IY89),0,'raw data'!IX89/'raw data'!IY89)</f>
        <v>0</v>
      </c>
      <c r="FJ89" s="421">
        <f>SUM(FJ84:FJ88)</f>
        <v>0</v>
      </c>
      <c r="FK89" s="425">
        <f>SUM(FK84:FK88)</f>
        <v>0</v>
      </c>
      <c r="FL89" s="426">
        <f>IF(ISERROR('raw data'!IZ89/'raw data'!JA89),0,'raw data'!IZ89/'raw data'!JA89)</f>
        <v>0</v>
      </c>
      <c r="FM89" s="421">
        <f>SUM(FM84:FM88)</f>
        <v>0</v>
      </c>
      <c r="FN89" s="425">
        <f>SUM(FN84:FN88)</f>
        <v>0</v>
      </c>
      <c r="FO89" s="426">
        <f>IF(ISERROR('raw data'!JB89/'raw data'!JC89),0,'raw data'!JB89/'raw data'!JC89)</f>
        <v>0</v>
      </c>
      <c r="FP89" s="421">
        <f>SUM(FP84:FP88)</f>
        <v>0</v>
      </c>
      <c r="FQ89" s="425">
        <f>SUM(FQ84:FQ88)</f>
        <v>0</v>
      </c>
      <c r="FR89" s="426">
        <f>IF(ISERROR('raw data'!JD89/'raw data'!JE89),0,'raw data'!JD89/'raw data'!JE89)</f>
        <v>0</v>
      </c>
      <c r="FS89" s="469"/>
      <c r="FT89" s="428">
        <f>SUM(FT84:FT88)</f>
        <v>0</v>
      </c>
      <c r="FU89" s="429">
        <f>SUM(FU84:FU88)</f>
        <v>0</v>
      </c>
      <c r="FV89" s="430">
        <f>IF(ISERROR(FT89/FU89),0,FT89/FU89)</f>
        <v>0</v>
      </c>
    </row>
    <row r="90" spans="1:178" ht="25.5" customHeight="1" x14ac:dyDescent="0.15">
      <c r="A90" s="546" t="s">
        <v>152</v>
      </c>
      <c r="B90" s="547" t="str">
        <f>'raw data'!B90</f>
        <v>Cash Deposits &gt;=£10K In 3 or more transactions</v>
      </c>
      <c r="C90" s="548"/>
      <c r="D90" s="536"/>
      <c r="E90" s="485"/>
      <c r="F90" s="483"/>
      <c r="G90" s="484"/>
      <c r="H90" s="485"/>
      <c r="I90" s="483"/>
      <c r="J90" s="484"/>
      <c r="K90" s="485"/>
      <c r="L90" s="483"/>
      <c r="M90" s="484"/>
      <c r="N90" s="485"/>
      <c r="O90" s="483"/>
      <c r="P90" s="484"/>
      <c r="Q90" s="485"/>
      <c r="R90" s="483"/>
      <c r="S90" s="484"/>
      <c r="T90" s="485"/>
      <c r="U90" s="404"/>
      <c r="V90" s="484"/>
      <c r="W90" s="485"/>
      <c r="X90" s="404"/>
      <c r="Y90" s="484"/>
      <c r="Z90" s="485"/>
      <c r="AA90" s="404"/>
      <c r="AB90" s="484"/>
      <c r="AC90" s="485"/>
      <c r="AD90" s="404"/>
      <c r="AE90" s="484"/>
      <c r="AF90" s="485"/>
      <c r="AG90" s="404"/>
      <c r="AH90" s="484"/>
      <c r="AI90" s="485"/>
      <c r="AJ90" s="404"/>
      <c r="AK90" s="484"/>
      <c r="AL90" s="485"/>
      <c r="AM90" s="404"/>
      <c r="AN90" s="484"/>
      <c r="AO90" s="485"/>
      <c r="AP90" s="404"/>
      <c r="AQ90" s="484"/>
      <c r="AR90" s="485"/>
      <c r="AS90" s="404"/>
      <c r="AT90" s="484"/>
      <c r="AU90" s="485"/>
      <c r="AV90" s="404"/>
      <c r="AW90" s="484"/>
      <c r="AX90" s="485"/>
      <c r="AY90" s="404"/>
      <c r="AZ90" s="484"/>
      <c r="BA90" s="485"/>
      <c r="BB90" s="404"/>
      <c r="BC90" s="484"/>
      <c r="BD90" s="485"/>
      <c r="BE90" s="404"/>
      <c r="BF90" s="484"/>
      <c r="BG90" s="485"/>
      <c r="BH90" s="404"/>
      <c r="BI90" s="484"/>
      <c r="BJ90" s="485"/>
      <c r="BK90" s="404"/>
      <c r="BL90" s="484"/>
      <c r="BM90" s="485"/>
      <c r="BN90" s="404"/>
      <c r="BO90" s="484"/>
      <c r="BP90" s="485"/>
      <c r="BQ90" s="404"/>
      <c r="BR90" s="484"/>
      <c r="BS90" s="485"/>
      <c r="BT90" s="404"/>
      <c r="BU90" s="484"/>
      <c r="BV90" s="485"/>
      <c r="BW90" s="404"/>
      <c r="BX90" s="484"/>
      <c r="BY90" s="485"/>
      <c r="BZ90" s="404"/>
      <c r="CA90" s="484"/>
      <c r="CB90" s="485"/>
      <c r="CC90" s="404"/>
      <c r="CD90" s="484"/>
      <c r="CE90" s="485"/>
      <c r="CF90" s="404"/>
      <c r="CG90" s="484"/>
      <c r="CH90" s="485"/>
      <c r="CI90" s="404"/>
      <c r="CJ90" s="484"/>
      <c r="CK90" s="485"/>
      <c r="CL90" s="404"/>
      <c r="CM90" s="549">
        <f>'raw data'!HB90</f>
        <v>3</v>
      </c>
      <c r="CN90" s="550">
        <f>'raw data'!HC90</f>
        <v>28</v>
      </c>
      <c r="CO90" s="551">
        <f>IF(ISERROR('raw data'!HB90/'raw data'!HC90),0,'raw data'!HB90/'raw data'!HC90)</f>
        <v>0.10714285714285714</v>
      </c>
      <c r="CP90" s="549">
        <f>'raw data'!HD90</f>
        <v>0</v>
      </c>
      <c r="CQ90" s="550">
        <f>'raw data'!HE90</f>
        <v>8</v>
      </c>
      <c r="CR90" s="551">
        <f>IF(ISERROR('raw data'!HD90/'raw data'!HE90),0,'raw data'!HD90/'raw data'!HE90)</f>
        <v>0</v>
      </c>
      <c r="CS90" s="549">
        <f>'raw data'!HF90</f>
        <v>3</v>
      </c>
      <c r="CT90" s="550">
        <f>'raw data'!HG90</f>
        <v>10</v>
      </c>
      <c r="CU90" s="551">
        <f>IF(ISERROR('raw data'!HF90/'raw data'!HG90),0,'raw data'!HF90/'raw data'!HG90)</f>
        <v>0.3</v>
      </c>
      <c r="CV90" s="549">
        <f>'raw data'!HH90</f>
        <v>0</v>
      </c>
      <c r="CW90" s="550">
        <f>'raw data'!HI90</f>
        <v>11</v>
      </c>
      <c r="CX90" s="551">
        <f>IF(ISERROR('raw data'!HH90/'raw data'!HI90),0,'raw data'!HH90/'raw data'!HI90)</f>
        <v>0</v>
      </c>
      <c r="CY90" s="549">
        <f>'raw data'!HJ90</f>
        <v>0</v>
      </c>
      <c r="CZ90" s="550">
        <f>'raw data'!HK90</f>
        <v>9</v>
      </c>
      <c r="DA90" s="551">
        <f>IF(ISERROR('raw data'!HJ90/'raw data'!HK90),0,'raw data'!HJ90/'raw data'!HK90)</f>
        <v>0</v>
      </c>
      <c r="DB90" s="549">
        <f>'raw data'!HL90</f>
        <v>1</v>
      </c>
      <c r="DC90" s="550">
        <f>'raw data'!HM90</f>
        <v>6</v>
      </c>
      <c r="DD90" s="551">
        <f>IF(ISERROR('raw data'!HL90/'raw data'!HM90),0,'raw data'!HL90/'raw data'!HM90)</f>
        <v>0.16666666666666666</v>
      </c>
      <c r="DE90" s="549">
        <f>'raw data'!HN90</f>
        <v>1</v>
      </c>
      <c r="DF90" s="550">
        <f>'raw data'!HO90</f>
        <v>8</v>
      </c>
      <c r="DG90" s="551">
        <f>IF(ISERROR('raw data'!HN90/'raw data'!HO90),0,'raw data'!HN90/'raw data'!HO90)</f>
        <v>0.125</v>
      </c>
      <c r="DH90" s="549">
        <f>'raw data'!HP90</f>
        <v>0</v>
      </c>
      <c r="DI90" s="550">
        <f>'raw data'!HQ90</f>
        <v>6</v>
      </c>
      <c r="DJ90" s="551">
        <f>IF(ISERROR('raw data'!HP90/'raw data'!HQ90),0,'raw data'!HP90/'raw data'!HQ90)</f>
        <v>0</v>
      </c>
      <c r="DK90" s="549">
        <f>'raw data'!HR90</f>
        <v>0</v>
      </c>
      <c r="DL90" s="550">
        <f>'raw data'!HS90</f>
        <v>4</v>
      </c>
      <c r="DM90" s="551">
        <f>IF(ISERROR('raw data'!HR90/'raw data'!HS90),0,'raw data'!HR90/'raw data'!HS90)</f>
        <v>0</v>
      </c>
      <c r="DN90" s="549">
        <f>'raw data'!HT90</f>
        <v>0</v>
      </c>
      <c r="DO90" s="550">
        <f>'raw data'!HU90</f>
        <v>3</v>
      </c>
      <c r="DP90" s="551">
        <f>IF(ISERROR('raw data'!HT90/'raw data'!HU90),0,'raw data'!HT90/'raw data'!HU90)</f>
        <v>0</v>
      </c>
      <c r="DQ90" s="549">
        <f>'raw data'!HV90</f>
        <v>0</v>
      </c>
      <c r="DR90" s="550">
        <f>'raw data'!HW90</f>
        <v>2</v>
      </c>
      <c r="DS90" s="551">
        <f>IF(ISERROR('raw data'!HV90/'raw data'!HW90),0,'raw data'!HV90/'raw data'!HW90)</f>
        <v>0</v>
      </c>
      <c r="DT90" s="549">
        <f>'raw data'!HX90</f>
        <v>0</v>
      </c>
      <c r="DU90" s="550">
        <f>'raw data'!HY90</f>
        <v>2</v>
      </c>
      <c r="DV90" s="551">
        <f>IF(ISERROR('raw data'!HX90/'raw data'!HY90),0,'raw data'!HX90/'raw data'!HY90)</f>
        <v>0</v>
      </c>
      <c r="DW90" s="549">
        <f>'raw data'!HZ90</f>
        <v>0</v>
      </c>
      <c r="DX90" s="550">
        <f>'raw data'!IA90</f>
        <v>5</v>
      </c>
      <c r="DY90" s="551">
        <f>IF(ISERROR('raw data'!HZ90/'raw data'!IA90),0,'raw data'!HZ90/'raw data'!IA90)</f>
        <v>0</v>
      </c>
      <c r="DZ90" s="549">
        <f>'raw data'!IB90</f>
        <v>0</v>
      </c>
      <c r="EA90" s="550">
        <f>'raw data'!IC90</f>
        <v>4</v>
      </c>
      <c r="EB90" s="551">
        <f>IF(ISERROR('raw data'!IB90/'raw data'!IC90),0,'raw data'!IB90/'raw data'!IC90)</f>
        <v>0</v>
      </c>
      <c r="EC90" s="549">
        <f>'raw data'!ID90</f>
        <v>0</v>
      </c>
      <c r="ED90" s="550">
        <f>'raw data'!IE90</f>
        <v>4</v>
      </c>
      <c r="EE90" s="551">
        <f>IF(ISERROR('raw data'!ID90/'raw data'!IE90),0,'raw data'!ID90/'raw data'!IE90)</f>
        <v>0</v>
      </c>
      <c r="EF90" s="549">
        <f>'raw data'!IF90</f>
        <v>0</v>
      </c>
      <c r="EG90" s="550">
        <f>'raw data'!IG90</f>
        <v>7</v>
      </c>
      <c r="EH90" s="551">
        <f>IF(ISERROR('raw data'!IF90/'raw data'!IG90),0,'raw data'!IF90/'raw data'!IG90)</f>
        <v>0</v>
      </c>
      <c r="EI90" s="549">
        <f>'raw data'!IH90</f>
        <v>0</v>
      </c>
      <c r="EJ90" s="550">
        <f>'raw data'!II90</f>
        <v>1</v>
      </c>
      <c r="EK90" s="551">
        <f>IF(ISERROR('raw data'!IH90/'raw data'!II90),0,'raw data'!IH90/'raw data'!II90)</f>
        <v>0</v>
      </c>
      <c r="EL90" s="549">
        <f>'raw data'!IJ90</f>
        <v>0</v>
      </c>
      <c r="EM90" s="550">
        <f>'raw data'!IK90</f>
        <v>4</v>
      </c>
      <c r="EN90" s="551">
        <f>IF(ISERROR('raw data'!IJ90/'raw data'!IK90),0,'raw data'!IJ90/'raw data'!IK90)</f>
        <v>0</v>
      </c>
      <c r="EO90" s="549">
        <f>'raw data'!IL90</f>
        <v>0</v>
      </c>
      <c r="EP90" s="550">
        <f>'raw data'!IM90</f>
        <v>8</v>
      </c>
      <c r="EQ90" s="551">
        <f>IF(ISERROR('raw data'!IL90/'raw data'!IM90),0,'raw data'!IL90/'raw data'!IM90)</f>
        <v>0</v>
      </c>
      <c r="ER90" s="549">
        <f>'raw data'!IN90</f>
        <v>0</v>
      </c>
      <c r="ES90" s="550">
        <f>'raw data'!IO90</f>
        <v>3</v>
      </c>
      <c r="ET90" s="551">
        <f>IF(ISERROR('raw data'!IN90/'raw data'!IO90),0,'raw data'!IN90/'raw data'!IO90)</f>
        <v>0</v>
      </c>
      <c r="EU90" s="549">
        <f>'raw data'!IP90</f>
        <v>0</v>
      </c>
      <c r="EV90" s="550">
        <f>'raw data'!IQ90</f>
        <v>7</v>
      </c>
      <c r="EW90" s="551">
        <f>IF(ISERROR('raw data'!IP90/'raw data'!IQ90),0,'raw data'!IP90/'raw data'!IQ90)</f>
        <v>0</v>
      </c>
      <c r="EX90" s="549">
        <f>'raw data'!IR90</f>
        <v>0</v>
      </c>
      <c r="EY90" s="550">
        <f>'raw data'!IS90</f>
        <v>5</v>
      </c>
      <c r="EZ90" s="551">
        <f>IF(ISERROR('raw data'!IR90/'raw data'!IS90),0,'raw data'!IR90/'raw data'!IS90)</f>
        <v>0</v>
      </c>
      <c r="FA90" s="549">
        <f>'raw data'!IT90</f>
        <v>0</v>
      </c>
      <c r="FB90" s="550">
        <f>'raw data'!IU90</f>
        <v>2</v>
      </c>
      <c r="FC90" s="551">
        <f>IF(ISERROR('raw data'!IT90/'raw data'!IU90),0,'raw data'!IT90/'raw data'!IU90)</f>
        <v>0</v>
      </c>
      <c r="FD90" s="549">
        <f>'raw data'!IV90</f>
        <v>0</v>
      </c>
      <c r="FE90" s="550">
        <f>'raw data'!IW90</f>
        <v>0</v>
      </c>
      <c r="FF90" s="551">
        <f>IF(ISERROR('raw data'!IV90/'raw data'!IW90),0,'raw data'!IV90/'raw data'!IW90)</f>
        <v>0</v>
      </c>
      <c r="FG90" s="549">
        <f>'raw data'!IX90</f>
        <v>0</v>
      </c>
      <c r="FH90" s="550">
        <f>'raw data'!IY90</f>
        <v>24</v>
      </c>
      <c r="FI90" s="551">
        <f>IF(ISERROR('raw data'!IX90/'raw data'!IY90),0,'raw data'!IX90/'raw data'!IY90)</f>
        <v>0</v>
      </c>
      <c r="FJ90" s="549">
        <f>'raw data'!IZ90</f>
        <v>2</v>
      </c>
      <c r="FK90" s="550">
        <f>'raw data'!JA90</f>
        <v>11</v>
      </c>
      <c r="FL90" s="551">
        <f>IF(ISERROR('raw data'!IZ90/'raw data'!JA90),0,'raw data'!IZ90/'raw data'!JA90)</f>
        <v>0.18181818181818182</v>
      </c>
      <c r="FM90" s="549">
        <f>'raw data'!JB90</f>
        <v>0</v>
      </c>
      <c r="FN90" s="550">
        <f>'raw data'!JC90</f>
        <v>16</v>
      </c>
      <c r="FO90" s="551">
        <f>IF(ISERROR('raw data'!JB90/'raw data'!JC90),0,'raw data'!JB90/'raw data'!JC90)</f>
        <v>0</v>
      </c>
      <c r="FP90" s="549">
        <f>'raw data'!JD90</f>
        <v>2</v>
      </c>
      <c r="FQ90" s="550">
        <f>'raw data'!JE90</f>
        <v>15</v>
      </c>
      <c r="FR90" s="551">
        <f>IF(ISERROR('raw data'!JD90/'raw data'!JE90),0,'raw data'!JD90/'raw data'!JE90)</f>
        <v>0.13333333333333333</v>
      </c>
      <c r="FS90" s="469"/>
      <c r="FT90" s="552">
        <v>4</v>
      </c>
      <c r="FU90" s="553">
        <v>96</v>
      </c>
      <c r="FV90" s="554">
        <f>IF(ISERROR(FT90/FU90),0,FT90/FU90)</f>
        <v>4.1666666666666664E-2</v>
      </c>
    </row>
    <row r="91" spans="1:178" ht="25.5" customHeight="1" x14ac:dyDescent="0.15">
      <c r="A91" s="546" t="s">
        <v>153</v>
      </c>
      <c r="B91" s="547" t="str">
        <f>'raw data'!B91</f>
        <v>Branch Visits &gt;=3 Branches in 2 weeks</v>
      </c>
      <c r="C91" s="548"/>
      <c r="D91" s="536"/>
      <c r="E91" s="485"/>
      <c r="F91" s="483"/>
      <c r="G91" s="484"/>
      <c r="H91" s="485"/>
      <c r="I91" s="483"/>
      <c r="J91" s="484"/>
      <c r="K91" s="485"/>
      <c r="L91" s="483"/>
      <c r="M91" s="484"/>
      <c r="N91" s="485"/>
      <c r="O91" s="483"/>
      <c r="P91" s="484"/>
      <c r="Q91" s="485"/>
      <c r="R91" s="483"/>
      <c r="S91" s="484"/>
      <c r="T91" s="485"/>
      <c r="U91" s="404"/>
      <c r="V91" s="484"/>
      <c r="W91" s="485"/>
      <c r="X91" s="404"/>
      <c r="Y91" s="484"/>
      <c r="Z91" s="485"/>
      <c r="AA91" s="404"/>
      <c r="AB91" s="484"/>
      <c r="AC91" s="485"/>
      <c r="AD91" s="404"/>
      <c r="AE91" s="484"/>
      <c r="AF91" s="485"/>
      <c r="AG91" s="404"/>
      <c r="AH91" s="484"/>
      <c r="AI91" s="485"/>
      <c r="AJ91" s="404"/>
      <c r="AK91" s="484"/>
      <c r="AL91" s="485"/>
      <c r="AM91" s="404"/>
      <c r="AN91" s="484"/>
      <c r="AO91" s="485"/>
      <c r="AP91" s="404"/>
      <c r="AQ91" s="484"/>
      <c r="AR91" s="485"/>
      <c r="AS91" s="404"/>
      <c r="AT91" s="484"/>
      <c r="AU91" s="485"/>
      <c r="AV91" s="404"/>
      <c r="AW91" s="484"/>
      <c r="AX91" s="485"/>
      <c r="AY91" s="404"/>
      <c r="AZ91" s="484"/>
      <c r="BA91" s="485"/>
      <c r="BB91" s="404"/>
      <c r="BC91" s="484"/>
      <c r="BD91" s="485"/>
      <c r="BE91" s="404"/>
      <c r="BF91" s="484"/>
      <c r="BG91" s="485"/>
      <c r="BH91" s="404"/>
      <c r="BI91" s="484"/>
      <c r="BJ91" s="485"/>
      <c r="BK91" s="404"/>
      <c r="BL91" s="484"/>
      <c r="BM91" s="485"/>
      <c r="BN91" s="404"/>
      <c r="BO91" s="484"/>
      <c r="BP91" s="485"/>
      <c r="BQ91" s="404"/>
      <c r="BR91" s="484"/>
      <c r="BS91" s="485"/>
      <c r="BT91" s="404"/>
      <c r="BU91" s="484"/>
      <c r="BV91" s="485"/>
      <c r="BW91" s="404"/>
      <c r="BX91" s="484"/>
      <c r="BY91" s="485"/>
      <c r="BZ91" s="404"/>
      <c r="CA91" s="484"/>
      <c r="CB91" s="485"/>
      <c r="CC91" s="404"/>
      <c r="CD91" s="484"/>
      <c r="CE91" s="485"/>
      <c r="CF91" s="404"/>
      <c r="CG91" s="484"/>
      <c r="CH91" s="485"/>
      <c r="CI91" s="404"/>
      <c r="CJ91" s="484"/>
      <c r="CK91" s="485"/>
      <c r="CL91" s="404"/>
      <c r="CM91" s="549">
        <f>'raw data'!HB91</f>
        <v>0</v>
      </c>
      <c r="CN91" s="550">
        <f>'raw data'!HC91</f>
        <v>56</v>
      </c>
      <c r="CO91" s="551">
        <f>IF(ISERROR('raw data'!HB91/'raw data'!HC91),0,'raw data'!HB91/'raw data'!HC91)</f>
        <v>0</v>
      </c>
      <c r="CP91" s="549">
        <f>'raw data'!HD91</f>
        <v>0</v>
      </c>
      <c r="CQ91" s="550">
        <f>'raw data'!HE91</f>
        <v>20</v>
      </c>
      <c r="CR91" s="551">
        <f>IF(ISERROR('raw data'!HD91/'raw data'!HE91),0,'raw data'!HD91/'raw data'!HE91)</f>
        <v>0</v>
      </c>
      <c r="CS91" s="549">
        <f>'raw data'!HF91</f>
        <v>1</v>
      </c>
      <c r="CT91" s="550">
        <f>'raw data'!HG91</f>
        <v>29</v>
      </c>
      <c r="CU91" s="551">
        <f>IF(ISERROR('raw data'!HF91/'raw data'!HG91),0,'raw data'!HF91/'raw data'!HG91)</f>
        <v>3.4482758620689655E-2</v>
      </c>
      <c r="CV91" s="549">
        <f>'raw data'!HH91</f>
        <v>1</v>
      </c>
      <c r="CW91" s="550">
        <f>'raw data'!HI91</f>
        <v>10</v>
      </c>
      <c r="CX91" s="551">
        <f>IF(ISERROR('raw data'!HH91/'raw data'!HI91),0,'raw data'!HH91/'raw data'!HI91)</f>
        <v>0.1</v>
      </c>
      <c r="CY91" s="549">
        <f>'raw data'!HJ91</f>
        <v>0</v>
      </c>
      <c r="CZ91" s="550">
        <f>'raw data'!HK91</f>
        <v>7</v>
      </c>
      <c r="DA91" s="551">
        <f>IF(ISERROR('raw data'!HJ91/'raw data'!HK91),0,'raw data'!HJ91/'raw data'!HK91)</f>
        <v>0</v>
      </c>
      <c r="DB91" s="549">
        <f>'raw data'!HL91</f>
        <v>0</v>
      </c>
      <c r="DC91" s="550">
        <f>'raw data'!HM91</f>
        <v>2</v>
      </c>
      <c r="DD91" s="551">
        <f>IF(ISERROR('raw data'!HL91/'raw data'!HM91),0,'raw data'!HL91/'raw data'!HM91)</f>
        <v>0</v>
      </c>
      <c r="DE91" s="549">
        <f>'raw data'!HN91</f>
        <v>0</v>
      </c>
      <c r="DF91" s="550">
        <f>'raw data'!HO91</f>
        <v>2</v>
      </c>
      <c r="DG91" s="551">
        <f>IF(ISERROR('raw data'!HN91/'raw data'!HO91),0,'raw data'!HN91/'raw data'!HO91)</f>
        <v>0</v>
      </c>
      <c r="DH91" s="549">
        <f>'raw data'!HP91</f>
        <v>0</v>
      </c>
      <c r="DI91" s="550">
        <f>'raw data'!HQ91</f>
        <v>5</v>
      </c>
      <c r="DJ91" s="551">
        <f>IF(ISERROR('raw data'!HP91/'raw data'!HQ91),0,'raw data'!HP91/'raw data'!HQ91)</f>
        <v>0</v>
      </c>
      <c r="DK91" s="549">
        <f>'raw data'!HR91</f>
        <v>0</v>
      </c>
      <c r="DL91" s="550">
        <f>'raw data'!HS91</f>
        <v>1</v>
      </c>
      <c r="DM91" s="551">
        <f>IF(ISERROR('raw data'!HR91/'raw data'!HS91),0,'raw data'!HR91/'raw data'!HS91)</f>
        <v>0</v>
      </c>
      <c r="DN91" s="549">
        <f>'raw data'!HT91</f>
        <v>0</v>
      </c>
      <c r="DO91" s="550">
        <f>'raw data'!HU91</f>
        <v>1</v>
      </c>
      <c r="DP91" s="551">
        <f>IF(ISERROR('raw data'!HT91/'raw data'!HU91),0,'raw data'!HT91/'raw data'!HU91)</f>
        <v>0</v>
      </c>
      <c r="DQ91" s="549">
        <f>'raw data'!HV91</f>
        <v>0</v>
      </c>
      <c r="DR91" s="550">
        <f>'raw data'!HW91</f>
        <v>2</v>
      </c>
      <c r="DS91" s="551">
        <f>IF(ISERROR('raw data'!HV91/'raw data'!HW91),0,'raw data'!HV91/'raw data'!HW91)</f>
        <v>0</v>
      </c>
      <c r="DT91" s="549">
        <f>'raw data'!HX91</f>
        <v>0</v>
      </c>
      <c r="DU91" s="550">
        <f>'raw data'!HY91</f>
        <v>0</v>
      </c>
      <c r="DV91" s="551">
        <f>IF(ISERROR('raw data'!HX91/'raw data'!HY91),0,'raw data'!HX91/'raw data'!HY91)</f>
        <v>0</v>
      </c>
      <c r="DW91" s="549">
        <f>'raw data'!HZ91</f>
        <v>0</v>
      </c>
      <c r="DX91" s="550">
        <f>'raw data'!IA91</f>
        <v>1</v>
      </c>
      <c r="DY91" s="551">
        <f>IF(ISERROR('raw data'!HZ91/'raw data'!IA91),0,'raw data'!HZ91/'raw data'!IA91)</f>
        <v>0</v>
      </c>
      <c r="DZ91" s="549">
        <f>'raw data'!IB91</f>
        <v>0</v>
      </c>
      <c r="EA91" s="550">
        <f>'raw data'!IC91</f>
        <v>0</v>
      </c>
      <c r="EB91" s="551">
        <f>IF(ISERROR('raw data'!IB91/'raw data'!IC91),0,'raw data'!IB91/'raw data'!IC91)</f>
        <v>0</v>
      </c>
      <c r="EC91" s="549">
        <f>'raw data'!ID91</f>
        <v>0</v>
      </c>
      <c r="ED91" s="550">
        <f>'raw data'!IE91</f>
        <v>1</v>
      </c>
      <c r="EE91" s="551">
        <f>IF(ISERROR('raw data'!ID91/'raw data'!IE91),0,'raw data'!ID91/'raw data'!IE91)</f>
        <v>0</v>
      </c>
      <c r="EF91" s="549">
        <f>'raw data'!IF91</f>
        <v>0</v>
      </c>
      <c r="EG91" s="550">
        <f>'raw data'!IG91</f>
        <v>3</v>
      </c>
      <c r="EH91" s="551">
        <f>IF(ISERROR('raw data'!IF91/'raw data'!IG91),0,'raw data'!IF91/'raw data'!IG91)</f>
        <v>0</v>
      </c>
      <c r="EI91" s="549">
        <f>'raw data'!IH91</f>
        <v>0</v>
      </c>
      <c r="EJ91" s="550">
        <f>'raw data'!II91</f>
        <v>2</v>
      </c>
      <c r="EK91" s="551">
        <f>IF(ISERROR('raw data'!IH91/'raw data'!II91),0,'raw data'!IH91/'raw data'!II91)</f>
        <v>0</v>
      </c>
      <c r="EL91" s="549">
        <f>'raw data'!IJ91</f>
        <v>0</v>
      </c>
      <c r="EM91" s="550">
        <f>'raw data'!IK91</f>
        <v>4</v>
      </c>
      <c r="EN91" s="551">
        <f>IF(ISERROR('raw data'!IJ91/'raw data'!IK91),0,'raw data'!IJ91/'raw data'!IK91)</f>
        <v>0</v>
      </c>
      <c r="EO91" s="549">
        <f>'raw data'!IL91</f>
        <v>0</v>
      </c>
      <c r="EP91" s="550">
        <f>'raw data'!IM91</f>
        <v>1</v>
      </c>
      <c r="EQ91" s="551">
        <f>IF(ISERROR('raw data'!IL91/'raw data'!IM91),0,'raw data'!IL91/'raw data'!IM91)</f>
        <v>0</v>
      </c>
      <c r="ER91" s="549">
        <f>'raw data'!IN91</f>
        <v>0</v>
      </c>
      <c r="ES91" s="550">
        <f>'raw data'!IO91</f>
        <v>3</v>
      </c>
      <c r="ET91" s="551">
        <f>IF(ISERROR('raw data'!IN91/'raw data'!IO91),0,'raw data'!IN91/'raw data'!IO91)</f>
        <v>0</v>
      </c>
      <c r="EU91" s="549">
        <f>'raw data'!IP91</f>
        <v>0</v>
      </c>
      <c r="EV91" s="550">
        <f>'raw data'!IQ91</f>
        <v>1</v>
      </c>
      <c r="EW91" s="551">
        <f>IF(ISERROR('raw data'!IP91/'raw data'!IQ91),0,'raw data'!IP91/'raw data'!IQ91)</f>
        <v>0</v>
      </c>
      <c r="EX91" s="549">
        <f>'raw data'!IR91</f>
        <v>0</v>
      </c>
      <c r="EY91" s="550">
        <f>'raw data'!IS91</f>
        <v>0</v>
      </c>
      <c r="EZ91" s="551">
        <f>IF(ISERROR('raw data'!IR91/'raw data'!IS91),0,'raw data'!IR91/'raw data'!IS91)</f>
        <v>0</v>
      </c>
      <c r="FA91" s="549">
        <f>'raw data'!IT91</f>
        <v>0</v>
      </c>
      <c r="FB91" s="550">
        <f>'raw data'!IU91</f>
        <v>0</v>
      </c>
      <c r="FC91" s="551">
        <f>IF(ISERROR('raw data'!IT91/'raw data'!IU91),0,'raw data'!IT91/'raw data'!IU91)</f>
        <v>0</v>
      </c>
      <c r="FD91" s="549">
        <f>'raw data'!IV91</f>
        <v>0</v>
      </c>
      <c r="FE91" s="550">
        <f>'raw data'!IW91</f>
        <v>0</v>
      </c>
      <c r="FF91" s="551">
        <f>IF(ISERROR('raw data'!IV91/'raw data'!IW91),0,'raw data'!IV91/'raw data'!IW91)</f>
        <v>0</v>
      </c>
      <c r="FG91" s="549">
        <f>'raw data'!IX91</f>
        <v>0</v>
      </c>
      <c r="FH91" s="550">
        <f>'raw data'!IY91</f>
        <v>13</v>
      </c>
      <c r="FI91" s="551">
        <f>IF(ISERROR('raw data'!IX91/'raw data'!IY91),0,'raw data'!IX91/'raw data'!IY91)</f>
        <v>0</v>
      </c>
      <c r="FJ91" s="549">
        <f>'raw data'!IZ91</f>
        <v>0</v>
      </c>
      <c r="FK91" s="550">
        <f>'raw data'!JA91</f>
        <v>2</v>
      </c>
      <c r="FL91" s="551">
        <f>IF(ISERROR('raw data'!IZ91/'raw data'!JA91),0,'raw data'!IZ91/'raw data'!JA91)</f>
        <v>0</v>
      </c>
      <c r="FM91" s="549">
        <f>'raw data'!JB91</f>
        <v>0</v>
      </c>
      <c r="FN91" s="550">
        <f>'raw data'!JC91</f>
        <v>8</v>
      </c>
      <c r="FO91" s="551">
        <f>IF(ISERROR('raw data'!JB91/'raw data'!JC91),0,'raw data'!JB91/'raw data'!JC91)</f>
        <v>0</v>
      </c>
      <c r="FP91" s="549">
        <f>'raw data'!JD91</f>
        <v>0</v>
      </c>
      <c r="FQ91" s="550">
        <f>'raw data'!JE91</f>
        <v>5</v>
      </c>
      <c r="FR91" s="551">
        <f>IF(ISERROR('raw data'!JD91/'raw data'!JE91),0,'raw data'!JD91/'raw data'!JE91)</f>
        <v>0</v>
      </c>
      <c r="FS91" s="469"/>
      <c r="FT91" s="552">
        <v>0</v>
      </c>
      <c r="FU91" s="553">
        <v>39</v>
      </c>
      <c r="FV91" s="554">
        <f t="shared" ref="FV91:FV94" si="4">IF(ISERROR(FT91/FU91),0,FT91/FU91)</f>
        <v>0</v>
      </c>
    </row>
    <row r="92" spans="1:178" ht="25.5" customHeight="1" x14ac:dyDescent="0.15">
      <c r="A92" s="546" t="s">
        <v>154</v>
      </c>
      <c r="B92" s="547" t="str">
        <f>'raw data'!B92</f>
        <v>Transaction to Coc &gt;=£10k exc if payment to ctry of nationality/residency</v>
      </c>
      <c r="C92" s="548"/>
      <c r="D92" s="536"/>
      <c r="E92" s="485"/>
      <c r="F92" s="483"/>
      <c r="G92" s="484"/>
      <c r="H92" s="485"/>
      <c r="I92" s="483"/>
      <c r="J92" s="484"/>
      <c r="K92" s="485"/>
      <c r="L92" s="483"/>
      <c r="M92" s="484"/>
      <c r="N92" s="485"/>
      <c r="O92" s="483"/>
      <c r="P92" s="484"/>
      <c r="Q92" s="485"/>
      <c r="R92" s="483"/>
      <c r="S92" s="484"/>
      <c r="T92" s="485"/>
      <c r="U92" s="404"/>
      <c r="V92" s="484"/>
      <c r="W92" s="485"/>
      <c r="X92" s="404"/>
      <c r="Y92" s="484"/>
      <c r="Z92" s="485"/>
      <c r="AA92" s="404"/>
      <c r="AB92" s="484"/>
      <c r="AC92" s="485"/>
      <c r="AD92" s="404"/>
      <c r="AE92" s="484"/>
      <c r="AF92" s="485"/>
      <c r="AG92" s="404"/>
      <c r="AH92" s="484"/>
      <c r="AI92" s="485"/>
      <c r="AJ92" s="404"/>
      <c r="AK92" s="484"/>
      <c r="AL92" s="485"/>
      <c r="AM92" s="404"/>
      <c r="AN92" s="484"/>
      <c r="AO92" s="485"/>
      <c r="AP92" s="404"/>
      <c r="AQ92" s="484"/>
      <c r="AR92" s="485"/>
      <c r="AS92" s="404"/>
      <c r="AT92" s="484"/>
      <c r="AU92" s="485"/>
      <c r="AV92" s="404"/>
      <c r="AW92" s="484"/>
      <c r="AX92" s="485"/>
      <c r="AY92" s="404"/>
      <c r="AZ92" s="484"/>
      <c r="BA92" s="485"/>
      <c r="BB92" s="404"/>
      <c r="BC92" s="484"/>
      <c r="BD92" s="485"/>
      <c r="BE92" s="404"/>
      <c r="BF92" s="484"/>
      <c r="BG92" s="485"/>
      <c r="BH92" s="404"/>
      <c r="BI92" s="484"/>
      <c r="BJ92" s="485"/>
      <c r="BK92" s="404"/>
      <c r="BL92" s="484"/>
      <c r="BM92" s="485"/>
      <c r="BN92" s="404"/>
      <c r="BO92" s="484"/>
      <c r="BP92" s="485"/>
      <c r="BQ92" s="404"/>
      <c r="BR92" s="484"/>
      <c r="BS92" s="485"/>
      <c r="BT92" s="404"/>
      <c r="BU92" s="484"/>
      <c r="BV92" s="485"/>
      <c r="BW92" s="404"/>
      <c r="BX92" s="484"/>
      <c r="BY92" s="485"/>
      <c r="BZ92" s="404"/>
      <c r="CA92" s="484"/>
      <c r="CB92" s="485"/>
      <c r="CC92" s="404"/>
      <c r="CD92" s="484"/>
      <c r="CE92" s="485"/>
      <c r="CF92" s="404"/>
      <c r="CG92" s="484"/>
      <c r="CH92" s="485"/>
      <c r="CI92" s="404"/>
      <c r="CJ92" s="484"/>
      <c r="CK92" s="485"/>
      <c r="CL92" s="404"/>
      <c r="CM92" s="549">
        <f>'raw data'!HB92</f>
        <v>0</v>
      </c>
      <c r="CN92" s="550">
        <f>'raw data'!HC92</f>
        <v>6</v>
      </c>
      <c r="CO92" s="551">
        <f>IF(ISERROR('raw data'!HB92/'raw data'!HC92),0,'raw data'!HB92/'raw data'!HC92)</f>
        <v>0</v>
      </c>
      <c r="CP92" s="549">
        <f>'raw data'!HD92</f>
        <v>0</v>
      </c>
      <c r="CQ92" s="550">
        <f>'raw data'!HE92</f>
        <v>1</v>
      </c>
      <c r="CR92" s="551">
        <f>IF(ISERROR('raw data'!HD92/'raw data'!HE92),0,'raw data'!HD92/'raw data'!HE92)</f>
        <v>0</v>
      </c>
      <c r="CS92" s="549">
        <f>'raw data'!HF92</f>
        <v>0</v>
      </c>
      <c r="CT92" s="550">
        <f>'raw data'!HG92</f>
        <v>2</v>
      </c>
      <c r="CU92" s="551">
        <f>IF(ISERROR('raw data'!HF92/'raw data'!HG92),0,'raw data'!HF92/'raw data'!HG92)</f>
        <v>0</v>
      </c>
      <c r="CV92" s="549">
        <f>'raw data'!HH92</f>
        <v>0</v>
      </c>
      <c r="CW92" s="550">
        <f>'raw data'!HI92</f>
        <v>0</v>
      </c>
      <c r="CX92" s="551">
        <f>IF(ISERROR('raw data'!HH92/'raw data'!HI92),0,'raw data'!HH92/'raw data'!HI92)</f>
        <v>0</v>
      </c>
      <c r="CY92" s="549">
        <f>'raw data'!HJ92</f>
        <v>0</v>
      </c>
      <c r="CZ92" s="550">
        <f>'raw data'!HK92</f>
        <v>0</v>
      </c>
      <c r="DA92" s="551">
        <f>IF(ISERROR('raw data'!HJ92/'raw data'!HK92),0,'raw data'!HJ92/'raw data'!HK92)</f>
        <v>0</v>
      </c>
      <c r="DB92" s="549">
        <f>'raw data'!HL92</f>
        <v>0</v>
      </c>
      <c r="DC92" s="550">
        <f>'raw data'!HM92</f>
        <v>1</v>
      </c>
      <c r="DD92" s="551">
        <f>IF(ISERROR('raw data'!HL92/'raw data'!HM92),0,'raw data'!HL92/'raw data'!HM92)</f>
        <v>0</v>
      </c>
      <c r="DE92" s="549">
        <f>'raw data'!HN92</f>
        <v>0</v>
      </c>
      <c r="DF92" s="550">
        <f>'raw data'!HO92</f>
        <v>1</v>
      </c>
      <c r="DG92" s="551">
        <f>IF(ISERROR('raw data'!HN92/'raw data'!HO92),0,'raw data'!HN92/'raw data'!HO92)</f>
        <v>0</v>
      </c>
      <c r="DH92" s="549">
        <f>'raw data'!HP92</f>
        <v>0</v>
      </c>
      <c r="DI92" s="550">
        <f>'raw data'!HQ92</f>
        <v>1</v>
      </c>
      <c r="DJ92" s="551">
        <f>IF(ISERROR('raw data'!HP92/'raw data'!HQ92),0,'raw data'!HP92/'raw data'!HQ92)</f>
        <v>0</v>
      </c>
      <c r="DK92" s="549">
        <f>'raw data'!HR92</f>
        <v>0</v>
      </c>
      <c r="DL92" s="550">
        <f>'raw data'!HS92</f>
        <v>2</v>
      </c>
      <c r="DM92" s="551">
        <f>IF(ISERROR('raw data'!HR92/'raw data'!HS92),0,'raw data'!HR92/'raw data'!HS92)</f>
        <v>0</v>
      </c>
      <c r="DN92" s="549">
        <f>'raw data'!HT92</f>
        <v>0</v>
      </c>
      <c r="DO92" s="550">
        <f>'raw data'!HU92</f>
        <v>0</v>
      </c>
      <c r="DP92" s="551">
        <f>IF(ISERROR('raw data'!HT92/'raw data'!HU92),0,'raw data'!HT92/'raw data'!HU92)</f>
        <v>0</v>
      </c>
      <c r="DQ92" s="549">
        <f>'raw data'!HV92</f>
        <v>0</v>
      </c>
      <c r="DR92" s="550">
        <f>'raw data'!HW92</f>
        <v>0</v>
      </c>
      <c r="DS92" s="551">
        <f>IF(ISERROR('raw data'!HV92/'raw data'!HW92),0,'raw data'!HV92/'raw data'!HW92)</f>
        <v>0</v>
      </c>
      <c r="DT92" s="549">
        <f>'raw data'!HX92</f>
        <v>0</v>
      </c>
      <c r="DU92" s="550">
        <f>'raw data'!HY92</f>
        <v>1</v>
      </c>
      <c r="DV92" s="551">
        <f>IF(ISERROR('raw data'!HX92/'raw data'!HY92),0,'raw data'!HX92/'raw data'!HY92)</f>
        <v>0</v>
      </c>
      <c r="DW92" s="549">
        <f>'raw data'!HZ92</f>
        <v>0</v>
      </c>
      <c r="DX92" s="550">
        <f>'raw data'!IA92</f>
        <v>0</v>
      </c>
      <c r="DY92" s="551">
        <f>IF(ISERROR('raw data'!HZ92/'raw data'!IA92),0,'raw data'!HZ92/'raw data'!IA92)</f>
        <v>0</v>
      </c>
      <c r="DZ92" s="549">
        <f>'raw data'!IB92</f>
        <v>0</v>
      </c>
      <c r="EA92" s="550">
        <f>'raw data'!IC92</f>
        <v>1</v>
      </c>
      <c r="EB92" s="551">
        <f>IF(ISERROR('raw data'!IB92/'raw data'!IC92),0,'raw data'!IB92/'raw data'!IC92)</f>
        <v>0</v>
      </c>
      <c r="EC92" s="549">
        <f>'raw data'!ID92</f>
        <v>0</v>
      </c>
      <c r="ED92" s="550">
        <f>'raw data'!IE92</f>
        <v>1</v>
      </c>
      <c r="EE92" s="551">
        <f>IF(ISERROR('raw data'!ID92/'raw data'!IE92),0,'raw data'!ID92/'raw data'!IE92)</f>
        <v>0</v>
      </c>
      <c r="EF92" s="549">
        <f>'raw data'!IF92</f>
        <v>0</v>
      </c>
      <c r="EG92" s="550">
        <f>'raw data'!IG92</f>
        <v>1</v>
      </c>
      <c r="EH92" s="551">
        <f>IF(ISERROR('raw data'!IF92/'raw data'!IG92),0,'raw data'!IF92/'raw data'!IG92)</f>
        <v>0</v>
      </c>
      <c r="EI92" s="549">
        <f>'raw data'!IH92</f>
        <v>0</v>
      </c>
      <c r="EJ92" s="550">
        <f>'raw data'!II92</f>
        <v>0</v>
      </c>
      <c r="EK92" s="551">
        <f>IF(ISERROR('raw data'!IH92/'raw data'!II92),0,'raw data'!IH92/'raw data'!II92)</f>
        <v>0</v>
      </c>
      <c r="EL92" s="549">
        <f>'raw data'!IJ92</f>
        <v>0</v>
      </c>
      <c r="EM92" s="550">
        <f>'raw data'!IK92</f>
        <v>0</v>
      </c>
      <c r="EN92" s="551">
        <f>IF(ISERROR('raw data'!IJ92/'raw data'!IK92),0,'raw data'!IJ92/'raw data'!IK92)</f>
        <v>0</v>
      </c>
      <c r="EO92" s="549">
        <f>'raw data'!IL92</f>
        <v>0</v>
      </c>
      <c r="EP92" s="550">
        <f>'raw data'!IM92</f>
        <v>0</v>
      </c>
      <c r="EQ92" s="551">
        <f>IF(ISERROR('raw data'!IL92/'raw data'!IM92),0,'raw data'!IL92/'raw data'!IM92)</f>
        <v>0</v>
      </c>
      <c r="ER92" s="549">
        <f>'raw data'!IN92</f>
        <v>0</v>
      </c>
      <c r="ES92" s="550">
        <f>'raw data'!IO92</f>
        <v>0</v>
      </c>
      <c r="ET92" s="551">
        <f>IF(ISERROR('raw data'!IN92/'raw data'!IO92),0,'raw data'!IN92/'raw data'!IO92)</f>
        <v>0</v>
      </c>
      <c r="EU92" s="549">
        <f>'raw data'!IP92</f>
        <v>0</v>
      </c>
      <c r="EV92" s="550">
        <f>'raw data'!IQ92</f>
        <v>1</v>
      </c>
      <c r="EW92" s="551">
        <f>IF(ISERROR('raw data'!IP92/'raw data'!IQ92),0,'raw data'!IP92/'raw data'!IQ92)</f>
        <v>0</v>
      </c>
      <c r="EX92" s="549">
        <f>'raw data'!IR92</f>
        <v>0</v>
      </c>
      <c r="EY92" s="550">
        <f>'raw data'!IS92</f>
        <v>1</v>
      </c>
      <c r="EZ92" s="551">
        <f>IF(ISERROR('raw data'!IR92/'raw data'!IS92),0,'raw data'!IR92/'raw data'!IS92)</f>
        <v>0</v>
      </c>
      <c r="FA92" s="549">
        <f>'raw data'!IT92</f>
        <v>0</v>
      </c>
      <c r="FB92" s="550">
        <f>'raw data'!IU92</f>
        <v>0</v>
      </c>
      <c r="FC92" s="551">
        <f>IF(ISERROR('raw data'!IT92/'raw data'!IU92),0,'raw data'!IT92/'raw data'!IU92)</f>
        <v>0</v>
      </c>
      <c r="FD92" s="549">
        <f>'raw data'!IV92</f>
        <v>0</v>
      </c>
      <c r="FE92" s="550">
        <f>'raw data'!IW92</f>
        <v>0</v>
      </c>
      <c r="FF92" s="551">
        <f>IF(ISERROR('raw data'!IV92/'raw data'!IW92),0,'raw data'!IV92/'raw data'!IW92)</f>
        <v>0</v>
      </c>
      <c r="FG92" s="549">
        <f>'raw data'!IX92</f>
        <v>0</v>
      </c>
      <c r="FH92" s="550">
        <f>'raw data'!IY92</f>
        <v>1</v>
      </c>
      <c r="FI92" s="551">
        <f>IF(ISERROR('raw data'!IX92/'raw data'!IY92),0,'raw data'!IX92/'raw data'!IY92)</f>
        <v>0</v>
      </c>
      <c r="FJ92" s="549">
        <f>'raw data'!IZ92</f>
        <v>0</v>
      </c>
      <c r="FK92" s="550">
        <f>'raw data'!JA92</f>
        <v>0</v>
      </c>
      <c r="FL92" s="551">
        <f>IF(ISERROR('raw data'!IZ92/'raw data'!JA92),0,'raw data'!IZ92/'raw data'!JA92)</f>
        <v>0</v>
      </c>
      <c r="FM92" s="549">
        <f>'raw data'!JB92</f>
        <v>0</v>
      </c>
      <c r="FN92" s="550">
        <f>'raw data'!JC92</f>
        <v>0</v>
      </c>
      <c r="FO92" s="551">
        <f>IF(ISERROR('raw data'!JB92/'raw data'!JC92),0,'raw data'!JB92/'raw data'!JC92)</f>
        <v>0</v>
      </c>
      <c r="FP92" s="549">
        <f>'raw data'!JD92</f>
        <v>0</v>
      </c>
      <c r="FQ92" s="550">
        <f>'raw data'!JE92</f>
        <v>0</v>
      </c>
      <c r="FR92" s="551">
        <f>IF(ISERROR('raw data'!JD92/'raw data'!JE92),0,'raw data'!JD92/'raw data'!JE92)</f>
        <v>0</v>
      </c>
      <c r="FS92" s="469"/>
      <c r="FT92" s="552">
        <v>0</v>
      </c>
      <c r="FU92" s="553">
        <v>3</v>
      </c>
      <c r="FV92" s="554">
        <f t="shared" si="4"/>
        <v>0</v>
      </c>
    </row>
    <row r="93" spans="1:178" ht="25.5" customHeight="1" x14ac:dyDescent="0.15">
      <c r="A93" s="546" t="s">
        <v>155</v>
      </c>
      <c r="B93" s="547" t="str">
        <f>'raw data'!B93</f>
        <v>£30K Credit - Debit 200+ transactions</v>
      </c>
      <c r="C93" s="548"/>
      <c r="D93" s="536"/>
      <c r="E93" s="485"/>
      <c r="F93" s="483"/>
      <c r="G93" s="484"/>
      <c r="H93" s="485"/>
      <c r="I93" s="483"/>
      <c r="J93" s="484"/>
      <c r="K93" s="485"/>
      <c r="L93" s="483"/>
      <c r="M93" s="484"/>
      <c r="N93" s="485"/>
      <c r="O93" s="483"/>
      <c r="P93" s="484"/>
      <c r="Q93" s="485"/>
      <c r="R93" s="483"/>
      <c r="S93" s="484"/>
      <c r="T93" s="485"/>
      <c r="U93" s="404"/>
      <c r="V93" s="484"/>
      <c r="W93" s="485"/>
      <c r="X93" s="404"/>
      <c r="Y93" s="484"/>
      <c r="Z93" s="485"/>
      <c r="AA93" s="404"/>
      <c r="AB93" s="484"/>
      <c r="AC93" s="485"/>
      <c r="AD93" s="404"/>
      <c r="AE93" s="484"/>
      <c r="AF93" s="485"/>
      <c r="AG93" s="404"/>
      <c r="AH93" s="484"/>
      <c r="AI93" s="485"/>
      <c r="AJ93" s="404"/>
      <c r="AK93" s="484"/>
      <c r="AL93" s="485"/>
      <c r="AM93" s="404"/>
      <c r="AN93" s="484"/>
      <c r="AO93" s="485"/>
      <c r="AP93" s="404"/>
      <c r="AQ93" s="484"/>
      <c r="AR93" s="485"/>
      <c r="AS93" s="404"/>
      <c r="AT93" s="484"/>
      <c r="AU93" s="485"/>
      <c r="AV93" s="404"/>
      <c r="AW93" s="484"/>
      <c r="AX93" s="485"/>
      <c r="AY93" s="404"/>
      <c r="AZ93" s="484"/>
      <c r="BA93" s="485"/>
      <c r="BB93" s="404"/>
      <c r="BC93" s="484"/>
      <c r="BD93" s="485"/>
      <c r="BE93" s="404"/>
      <c r="BF93" s="484"/>
      <c r="BG93" s="485"/>
      <c r="BH93" s="404"/>
      <c r="BI93" s="484"/>
      <c r="BJ93" s="485"/>
      <c r="BK93" s="404"/>
      <c r="BL93" s="484"/>
      <c r="BM93" s="485"/>
      <c r="BN93" s="404"/>
      <c r="BO93" s="484"/>
      <c r="BP93" s="485"/>
      <c r="BQ93" s="404"/>
      <c r="BR93" s="484"/>
      <c r="BS93" s="485"/>
      <c r="BT93" s="404"/>
      <c r="BU93" s="484"/>
      <c r="BV93" s="485"/>
      <c r="BW93" s="404"/>
      <c r="BX93" s="484"/>
      <c r="BY93" s="485"/>
      <c r="BZ93" s="404"/>
      <c r="CA93" s="484"/>
      <c r="CB93" s="485"/>
      <c r="CC93" s="404"/>
      <c r="CD93" s="484"/>
      <c r="CE93" s="485"/>
      <c r="CF93" s="404"/>
      <c r="CG93" s="484"/>
      <c r="CH93" s="485"/>
      <c r="CI93" s="404"/>
      <c r="CJ93" s="484"/>
      <c r="CK93" s="485"/>
      <c r="CL93" s="404"/>
      <c r="CM93" s="549">
        <f>'raw data'!HB93</f>
        <v>0</v>
      </c>
      <c r="CN93" s="550">
        <f>'raw data'!HC93</f>
        <v>52</v>
      </c>
      <c r="CO93" s="551">
        <f>IF(ISERROR('raw data'!HB93/'raw data'!HC93),0,'raw data'!HB93/'raw data'!HC93)</f>
        <v>0</v>
      </c>
      <c r="CP93" s="549">
        <f>'raw data'!HD93</f>
        <v>2</v>
      </c>
      <c r="CQ93" s="550">
        <f>'raw data'!HE93</f>
        <v>13</v>
      </c>
      <c r="CR93" s="551">
        <f>IF(ISERROR('raw data'!HD93/'raw data'!HE93),0,'raw data'!HD93/'raw data'!HE93)</f>
        <v>0.15384615384615385</v>
      </c>
      <c r="CS93" s="549">
        <f>'raw data'!HF93</f>
        <v>4</v>
      </c>
      <c r="CT93" s="550">
        <f>'raw data'!HG93</f>
        <v>54</v>
      </c>
      <c r="CU93" s="551">
        <f>IF(ISERROR('raw data'!HF93/'raw data'!HG93),0,'raw data'!HF93/'raw data'!HG93)</f>
        <v>7.407407407407407E-2</v>
      </c>
      <c r="CV93" s="549">
        <f>'raw data'!HH93</f>
        <v>3</v>
      </c>
      <c r="CW93" s="550">
        <f>'raw data'!HI93</f>
        <v>41</v>
      </c>
      <c r="CX93" s="551">
        <f>IF(ISERROR('raw data'!HH93/'raw data'!HI93),0,'raw data'!HH93/'raw data'!HI93)</f>
        <v>7.3170731707317069E-2</v>
      </c>
      <c r="CY93" s="549">
        <f>'raw data'!HJ93</f>
        <v>1</v>
      </c>
      <c r="CZ93" s="550">
        <f>'raw data'!HK93</f>
        <v>28</v>
      </c>
      <c r="DA93" s="551">
        <f>IF(ISERROR('raw data'!HJ93/'raw data'!HK93),0,'raw data'!HJ93/'raw data'!HK93)</f>
        <v>3.5714285714285712E-2</v>
      </c>
      <c r="DB93" s="549">
        <f>'raw data'!HL93</f>
        <v>0</v>
      </c>
      <c r="DC93" s="550">
        <f>'raw data'!HM93</f>
        <v>73</v>
      </c>
      <c r="DD93" s="551">
        <f>IF(ISERROR('raw data'!HL93/'raw data'!HM93),0,'raw data'!HL93/'raw data'!HM93)</f>
        <v>0</v>
      </c>
      <c r="DE93" s="549">
        <f>'raw data'!HN93</f>
        <v>2</v>
      </c>
      <c r="DF93" s="550">
        <f>'raw data'!HO93</f>
        <v>43</v>
      </c>
      <c r="DG93" s="551">
        <f>IF(ISERROR('raw data'!HN93/'raw data'!HO93),0,'raw data'!HN93/'raw data'!HO93)</f>
        <v>4.6511627906976744E-2</v>
      </c>
      <c r="DH93" s="549">
        <f>'raw data'!HP93</f>
        <v>0</v>
      </c>
      <c r="DI93" s="550">
        <f>'raw data'!HQ93</f>
        <v>45</v>
      </c>
      <c r="DJ93" s="551">
        <f>IF(ISERROR('raw data'!HP93/'raw data'!HQ93),0,'raw data'!HP93/'raw data'!HQ93)</f>
        <v>0</v>
      </c>
      <c r="DK93" s="549">
        <f>'raw data'!HR93</f>
        <v>0</v>
      </c>
      <c r="DL93" s="550">
        <f>'raw data'!HS93</f>
        <v>53</v>
      </c>
      <c r="DM93" s="551">
        <f>IF(ISERROR('raw data'!HR93/'raw data'!HS93),0,'raw data'!HR93/'raw data'!HS93)</f>
        <v>0</v>
      </c>
      <c r="DN93" s="549">
        <f>'raw data'!HT93</f>
        <v>1</v>
      </c>
      <c r="DO93" s="550">
        <f>'raw data'!HU93</f>
        <v>37</v>
      </c>
      <c r="DP93" s="551">
        <f>IF(ISERROR('raw data'!HT93/'raw data'!HU93),0,'raw data'!HT93/'raw data'!HU93)</f>
        <v>2.7027027027027029E-2</v>
      </c>
      <c r="DQ93" s="549">
        <f>'raw data'!HV93</f>
        <v>2</v>
      </c>
      <c r="DR93" s="550">
        <f>'raw data'!HW93</f>
        <v>45</v>
      </c>
      <c r="DS93" s="551">
        <f>IF(ISERROR('raw data'!HV93/'raw data'!HW93),0,'raw data'!HV93/'raw data'!HW93)</f>
        <v>4.4444444444444446E-2</v>
      </c>
      <c r="DT93" s="549">
        <f>'raw data'!HX93</f>
        <v>4</v>
      </c>
      <c r="DU93" s="550">
        <f>'raw data'!HY93</f>
        <v>50</v>
      </c>
      <c r="DV93" s="551">
        <f>IF(ISERROR('raw data'!HX93/'raw data'!HY93),0,'raw data'!HX93/'raw data'!HY93)</f>
        <v>0.08</v>
      </c>
      <c r="DW93" s="549">
        <f>'raw data'!HZ93</f>
        <v>0</v>
      </c>
      <c r="DX93" s="550">
        <f>'raw data'!IA93</f>
        <v>53</v>
      </c>
      <c r="DY93" s="551">
        <f>IF(ISERROR('raw data'!HZ93/'raw data'!IA93),0,'raw data'!HZ93/'raw data'!IA93)</f>
        <v>0</v>
      </c>
      <c r="DZ93" s="549">
        <f>'raw data'!IB93</f>
        <v>0</v>
      </c>
      <c r="EA93" s="550">
        <f>'raw data'!IC93</f>
        <v>45</v>
      </c>
      <c r="EB93" s="551">
        <f>IF(ISERROR('raw data'!IB93/'raw data'!IC93),0,'raw data'!IB93/'raw data'!IC93)</f>
        <v>0</v>
      </c>
      <c r="EC93" s="549">
        <f>'raw data'!ID93</f>
        <v>0</v>
      </c>
      <c r="ED93" s="550">
        <f>'raw data'!IE93</f>
        <v>63</v>
      </c>
      <c r="EE93" s="551">
        <f>IF(ISERROR('raw data'!ID93/'raw data'!IE93),0,'raw data'!ID93/'raw data'!IE93)</f>
        <v>0</v>
      </c>
      <c r="EF93" s="549">
        <f>'raw data'!IF93</f>
        <v>0</v>
      </c>
      <c r="EG93" s="550">
        <f>'raw data'!IG93</f>
        <v>65</v>
      </c>
      <c r="EH93" s="551">
        <f>IF(ISERROR('raw data'!IF93/'raw data'!IG93),0,'raw data'!IF93/'raw data'!IG93)</f>
        <v>0</v>
      </c>
      <c r="EI93" s="549">
        <f>'raw data'!IH93</f>
        <v>0</v>
      </c>
      <c r="EJ93" s="550">
        <f>'raw data'!II93</f>
        <v>42</v>
      </c>
      <c r="EK93" s="551">
        <f>IF(ISERROR('raw data'!IH93/'raw data'!II93),0,'raw data'!IH93/'raw data'!II93)</f>
        <v>0</v>
      </c>
      <c r="EL93" s="549">
        <f>'raw data'!IJ93</f>
        <v>0</v>
      </c>
      <c r="EM93" s="550">
        <f>'raw data'!IK93</f>
        <v>46</v>
      </c>
      <c r="EN93" s="551">
        <f>IF(ISERROR('raw data'!IJ93/'raw data'!IK93),0,'raw data'!IJ93/'raw data'!IK93)</f>
        <v>0</v>
      </c>
      <c r="EO93" s="549">
        <f>'raw data'!IL93</f>
        <v>0</v>
      </c>
      <c r="EP93" s="550">
        <f>'raw data'!IM93</f>
        <v>71</v>
      </c>
      <c r="EQ93" s="551">
        <f>IF(ISERROR('raw data'!IL93/'raw data'!IM93),0,'raw data'!IL93/'raw data'!IM93)</f>
        <v>0</v>
      </c>
      <c r="ER93" s="549">
        <f>'raw data'!IN93</f>
        <v>0</v>
      </c>
      <c r="ES93" s="550">
        <f>'raw data'!IO93</f>
        <v>60</v>
      </c>
      <c r="ET93" s="551">
        <f>IF(ISERROR('raw data'!IN93/'raw data'!IO93),0,'raw data'!IN93/'raw data'!IO93)</f>
        <v>0</v>
      </c>
      <c r="EU93" s="549">
        <f>'raw data'!IP93</f>
        <v>0</v>
      </c>
      <c r="EV93" s="550">
        <f>'raw data'!IQ93</f>
        <v>74</v>
      </c>
      <c r="EW93" s="551">
        <f>IF(ISERROR('raw data'!IP93/'raw data'!IQ93),0,'raw data'!IP93/'raw data'!IQ93)</f>
        <v>0</v>
      </c>
      <c r="EX93" s="549">
        <f>'raw data'!IR93</f>
        <v>0</v>
      </c>
      <c r="EY93" s="550">
        <f>'raw data'!IS93</f>
        <v>63</v>
      </c>
      <c r="EZ93" s="551">
        <f>IF(ISERROR('raw data'!IR93/'raw data'!IS93),0,'raw data'!IR93/'raw data'!IS93)</f>
        <v>0</v>
      </c>
      <c r="FA93" s="549">
        <f>'raw data'!IT93</f>
        <v>0</v>
      </c>
      <c r="FB93" s="550">
        <f>'raw data'!IU93</f>
        <v>13</v>
      </c>
      <c r="FC93" s="551">
        <f>IF(ISERROR('raw data'!IT93/'raw data'!IU93),0,'raw data'!IT93/'raw data'!IU93)</f>
        <v>0</v>
      </c>
      <c r="FD93" s="549">
        <f>'raw data'!IV93</f>
        <v>0</v>
      </c>
      <c r="FE93" s="550">
        <f>'raw data'!IW93</f>
        <v>0</v>
      </c>
      <c r="FF93" s="551">
        <f>IF(ISERROR('raw data'!IV93/'raw data'!IW93),0,'raw data'!IV93/'raw data'!IW93)</f>
        <v>0</v>
      </c>
      <c r="FG93" s="549">
        <f>'raw data'!IX93</f>
        <v>3</v>
      </c>
      <c r="FH93" s="550">
        <f>'raw data'!IY93</f>
        <v>406</v>
      </c>
      <c r="FI93" s="551">
        <f>IF(ISERROR('raw data'!IX93/'raw data'!IY93),0,'raw data'!IX93/'raw data'!IY93)</f>
        <v>7.3891625615763543E-3</v>
      </c>
      <c r="FJ93" s="549">
        <f>'raw data'!IZ93</f>
        <v>3</v>
      </c>
      <c r="FK93" s="550">
        <f>'raw data'!JA93</f>
        <v>202</v>
      </c>
      <c r="FL93" s="551">
        <f>IF(ISERROR('raw data'!IZ93/'raw data'!JA93),0,'raw data'!IZ93/'raw data'!JA93)</f>
        <v>1.4851485148514851E-2</v>
      </c>
      <c r="FM93" s="549">
        <f>'raw data'!JB93</f>
        <v>0</v>
      </c>
      <c r="FN93" s="550">
        <f>'raw data'!JC93</f>
        <v>134</v>
      </c>
      <c r="FO93" s="551">
        <f>IF(ISERROR('raw data'!JB93/'raw data'!JC93),0,'raw data'!JB93/'raw data'!JC93)</f>
        <v>0</v>
      </c>
      <c r="FP93" s="549">
        <f>'raw data'!JD93</f>
        <v>8</v>
      </c>
      <c r="FQ93" s="550">
        <f>'raw data'!JE93</f>
        <v>249</v>
      </c>
      <c r="FR93" s="551">
        <f>IF(ISERROR('raw data'!JD93/'raw data'!JE93),0,'raw data'!JD93/'raw data'!JE93)</f>
        <v>3.2128514056224897E-2</v>
      </c>
      <c r="FS93" s="469"/>
      <c r="FT93" s="552">
        <v>14</v>
      </c>
      <c r="FU93" s="553">
        <v>1360</v>
      </c>
      <c r="FV93" s="554">
        <f t="shared" si="4"/>
        <v>1.0294117647058823E-2</v>
      </c>
    </row>
    <row r="94" spans="1:178" ht="25.5" customHeight="1" x14ac:dyDescent="0.15">
      <c r="A94" s="546" t="s">
        <v>156</v>
      </c>
      <c r="B94" s="547" t="str">
        <f>'raw data'!B94</f>
        <v>High Value Transactions - Credits &gt;= £100K</v>
      </c>
      <c r="C94" s="548"/>
      <c r="D94" s="536"/>
      <c r="E94" s="485"/>
      <c r="F94" s="483"/>
      <c r="G94" s="484"/>
      <c r="H94" s="485"/>
      <c r="I94" s="483"/>
      <c r="J94" s="484"/>
      <c r="K94" s="485"/>
      <c r="L94" s="483"/>
      <c r="M94" s="484"/>
      <c r="N94" s="485"/>
      <c r="O94" s="483"/>
      <c r="P94" s="484"/>
      <c r="Q94" s="485"/>
      <c r="R94" s="483"/>
      <c r="S94" s="484"/>
      <c r="T94" s="485"/>
      <c r="U94" s="404"/>
      <c r="V94" s="484"/>
      <c r="W94" s="485"/>
      <c r="X94" s="404"/>
      <c r="Y94" s="484"/>
      <c r="Z94" s="485"/>
      <c r="AA94" s="404"/>
      <c r="AB94" s="484"/>
      <c r="AC94" s="485"/>
      <c r="AD94" s="404"/>
      <c r="AE94" s="484"/>
      <c r="AF94" s="485"/>
      <c r="AG94" s="404"/>
      <c r="AH94" s="484"/>
      <c r="AI94" s="485"/>
      <c r="AJ94" s="404"/>
      <c r="AK94" s="484"/>
      <c r="AL94" s="485"/>
      <c r="AM94" s="404"/>
      <c r="AN94" s="484"/>
      <c r="AO94" s="485"/>
      <c r="AP94" s="404"/>
      <c r="AQ94" s="484"/>
      <c r="AR94" s="485"/>
      <c r="AS94" s="404"/>
      <c r="AT94" s="484"/>
      <c r="AU94" s="485"/>
      <c r="AV94" s="404"/>
      <c r="AW94" s="484"/>
      <c r="AX94" s="485"/>
      <c r="AY94" s="404"/>
      <c r="AZ94" s="484"/>
      <c r="BA94" s="485"/>
      <c r="BB94" s="404"/>
      <c r="BC94" s="484"/>
      <c r="BD94" s="485"/>
      <c r="BE94" s="404"/>
      <c r="BF94" s="484"/>
      <c r="BG94" s="485"/>
      <c r="BH94" s="404"/>
      <c r="BI94" s="484"/>
      <c r="BJ94" s="485"/>
      <c r="BK94" s="404"/>
      <c r="BL94" s="484"/>
      <c r="BM94" s="485"/>
      <c r="BN94" s="404"/>
      <c r="BO94" s="484"/>
      <c r="BP94" s="485"/>
      <c r="BQ94" s="404"/>
      <c r="BR94" s="484"/>
      <c r="BS94" s="485"/>
      <c r="BT94" s="404"/>
      <c r="BU94" s="484"/>
      <c r="BV94" s="485"/>
      <c r="BW94" s="404"/>
      <c r="BX94" s="484"/>
      <c r="BY94" s="485"/>
      <c r="BZ94" s="404"/>
      <c r="CA94" s="484"/>
      <c r="CB94" s="485"/>
      <c r="CC94" s="404"/>
      <c r="CD94" s="484"/>
      <c r="CE94" s="485"/>
      <c r="CF94" s="404"/>
      <c r="CG94" s="484"/>
      <c r="CH94" s="485"/>
      <c r="CI94" s="404"/>
      <c r="CJ94" s="484"/>
      <c r="CK94" s="485"/>
      <c r="CL94" s="404"/>
      <c r="CM94" s="549">
        <f>'raw data'!HB94</f>
        <v>0</v>
      </c>
      <c r="CN94" s="550">
        <f>'raw data'!HC94</f>
        <v>8</v>
      </c>
      <c r="CO94" s="551">
        <f>IF(ISERROR('raw data'!HB94/'raw data'!HC94),0,'raw data'!HB94/'raw data'!HC94)</f>
        <v>0</v>
      </c>
      <c r="CP94" s="549">
        <f>'raw data'!HD94</f>
        <v>0</v>
      </c>
      <c r="CQ94" s="550">
        <f>'raw data'!HE94</f>
        <v>2</v>
      </c>
      <c r="CR94" s="551">
        <f>IF(ISERROR('raw data'!HD94/'raw data'!HE94),0,'raw data'!HD94/'raw data'!HE94)</f>
        <v>0</v>
      </c>
      <c r="CS94" s="549">
        <f>'raw data'!HF94</f>
        <v>0</v>
      </c>
      <c r="CT94" s="550">
        <f>'raw data'!HG94</f>
        <v>5</v>
      </c>
      <c r="CU94" s="551">
        <f>IF(ISERROR('raw data'!HF94/'raw data'!HG94),0,'raw data'!HF94/'raw data'!HG94)</f>
        <v>0</v>
      </c>
      <c r="CV94" s="549">
        <f>'raw data'!HH94</f>
        <v>0</v>
      </c>
      <c r="CW94" s="550">
        <f>'raw data'!HI94</f>
        <v>1</v>
      </c>
      <c r="CX94" s="551">
        <f>IF(ISERROR('raw data'!HH94/'raw data'!HI94),0,'raw data'!HH94/'raw data'!HI94)</f>
        <v>0</v>
      </c>
      <c r="CY94" s="549">
        <f>'raw data'!HJ94</f>
        <v>0</v>
      </c>
      <c r="CZ94" s="550">
        <f>'raw data'!HK94</f>
        <v>3</v>
      </c>
      <c r="DA94" s="551">
        <f>IF(ISERROR('raw data'!HJ94/'raw data'!HK94),0,'raw data'!HJ94/'raw data'!HK94)</f>
        <v>0</v>
      </c>
      <c r="DB94" s="549">
        <f>'raw data'!HL94</f>
        <v>0</v>
      </c>
      <c r="DC94" s="550">
        <f>'raw data'!HM94</f>
        <v>1</v>
      </c>
      <c r="DD94" s="551">
        <f>IF(ISERROR('raw data'!HL94/'raw data'!HM94),0,'raw data'!HL94/'raw data'!HM94)</f>
        <v>0</v>
      </c>
      <c r="DE94" s="549">
        <f>'raw data'!HN94</f>
        <v>0</v>
      </c>
      <c r="DF94" s="550">
        <f>'raw data'!HO94</f>
        <v>3</v>
      </c>
      <c r="DG94" s="551">
        <f>IF(ISERROR('raw data'!HN94/'raw data'!HO94),0,'raw data'!HN94/'raw data'!HO94)</f>
        <v>0</v>
      </c>
      <c r="DH94" s="549">
        <f>'raw data'!HP94</f>
        <v>0</v>
      </c>
      <c r="DI94" s="550">
        <f>'raw data'!HQ94</f>
        <v>2</v>
      </c>
      <c r="DJ94" s="551">
        <f>IF(ISERROR('raw data'!HP94/'raw data'!HQ94),0,'raw data'!HP94/'raw data'!HQ94)</f>
        <v>0</v>
      </c>
      <c r="DK94" s="549">
        <f>'raw data'!HR94</f>
        <v>0</v>
      </c>
      <c r="DL94" s="550">
        <f>'raw data'!HS94</f>
        <v>1</v>
      </c>
      <c r="DM94" s="551">
        <f>IF(ISERROR('raw data'!HR94/'raw data'!HS94),0,'raw data'!HR94/'raw data'!HS94)</f>
        <v>0</v>
      </c>
      <c r="DN94" s="549">
        <f>'raw data'!HT94</f>
        <v>0</v>
      </c>
      <c r="DO94" s="550">
        <f>'raw data'!HU94</f>
        <v>0</v>
      </c>
      <c r="DP94" s="551">
        <f>IF(ISERROR('raw data'!HT94/'raw data'!HU94),0,'raw data'!HT94/'raw data'!HU94)</f>
        <v>0</v>
      </c>
      <c r="DQ94" s="549">
        <f>'raw data'!HV94</f>
        <v>0</v>
      </c>
      <c r="DR94" s="550">
        <f>'raw data'!HW94</f>
        <v>1</v>
      </c>
      <c r="DS94" s="551">
        <f>IF(ISERROR('raw data'!HV94/'raw data'!HW94),0,'raw data'!HV94/'raw data'!HW94)</f>
        <v>0</v>
      </c>
      <c r="DT94" s="549">
        <f>'raw data'!HX94</f>
        <v>0</v>
      </c>
      <c r="DU94" s="550">
        <f>'raw data'!HY94</f>
        <v>1</v>
      </c>
      <c r="DV94" s="551">
        <f>IF(ISERROR('raw data'!HX94/'raw data'!HY94),0,'raw data'!HX94/'raw data'!HY94)</f>
        <v>0</v>
      </c>
      <c r="DW94" s="549">
        <f>'raw data'!HZ94</f>
        <v>0</v>
      </c>
      <c r="DX94" s="550">
        <f>'raw data'!IA94</f>
        <v>5</v>
      </c>
      <c r="DY94" s="551">
        <f>IF(ISERROR('raw data'!HZ94/'raw data'!IA94),0,'raw data'!HZ94/'raw data'!IA94)</f>
        <v>0</v>
      </c>
      <c r="DZ94" s="549">
        <f>'raw data'!IB94</f>
        <v>0</v>
      </c>
      <c r="EA94" s="550">
        <f>'raw data'!IC94</f>
        <v>2</v>
      </c>
      <c r="EB94" s="551">
        <f>IF(ISERROR('raw data'!IB94/'raw data'!IC94),0,'raw data'!IB94/'raw data'!IC94)</f>
        <v>0</v>
      </c>
      <c r="EC94" s="549">
        <f>'raw data'!ID94</f>
        <v>0</v>
      </c>
      <c r="ED94" s="550">
        <f>'raw data'!IE94</f>
        <v>0</v>
      </c>
      <c r="EE94" s="551">
        <f>IF(ISERROR('raw data'!ID94/'raw data'!IE94),0,'raw data'!ID94/'raw data'!IE94)</f>
        <v>0</v>
      </c>
      <c r="EF94" s="549">
        <f>'raw data'!IF94</f>
        <v>0</v>
      </c>
      <c r="EG94" s="550">
        <f>'raw data'!IG94</f>
        <v>4</v>
      </c>
      <c r="EH94" s="551">
        <f>IF(ISERROR('raw data'!IF94/'raw data'!IG94),0,'raw data'!IF94/'raw data'!IG94)</f>
        <v>0</v>
      </c>
      <c r="EI94" s="549">
        <f>'raw data'!IH94</f>
        <v>0</v>
      </c>
      <c r="EJ94" s="550">
        <f>'raw data'!II94</f>
        <v>2</v>
      </c>
      <c r="EK94" s="551">
        <f>IF(ISERROR('raw data'!IH94/'raw data'!II94),0,'raw data'!IH94/'raw data'!II94)</f>
        <v>0</v>
      </c>
      <c r="EL94" s="549">
        <f>'raw data'!IJ94</f>
        <v>0</v>
      </c>
      <c r="EM94" s="550">
        <f>'raw data'!IK94</f>
        <v>2</v>
      </c>
      <c r="EN94" s="551">
        <f>IF(ISERROR('raw data'!IJ94/'raw data'!IK94),0,'raw data'!IJ94/'raw data'!IK94)</f>
        <v>0</v>
      </c>
      <c r="EO94" s="549">
        <f>'raw data'!IL94</f>
        <v>0</v>
      </c>
      <c r="EP94" s="550">
        <f>'raw data'!IM94</f>
        <v>1</v>
      </c>
      <c r="EQ94" s="551">
        <f>IF(ISERROR('raw data'!IL94/'raw data'!IM94),0,'raw data'!IL94/'raw data'!IM94)</f>
        <v>0</v>
      </c>
      <c r="ER94" s="549">
        <f>'raw data'!IN94</f>
        <v>0</v>
      </c>
      <c r="ES94" s="550">
        <f>'raw data'!IO94</f>
        <v>1</v>
      </c>
      <c r="ET94" s="551">
        <f>IF(ISERROR('raw data'!IN94/'raw data'!IO94),0,'raw data'!IN94/'raw data'!IO94)</f>
        <v>0</v>
      </c>
      <c r="EU94" s="549">
        <f>'raw data'!IP94</f>
        <v>0</v>
      </c>
      <c r="EV94" s="550">
        <f>'raw data'!IQ94</f>
        <v>1</v>
      </c>
      <c r="EW94" s="551">
        <f>IF(ISERROR('raw data'!IP94/'raw data'!IQ94),0,'raw data'!IP94/'raw data'!IQ94)</f>
        <v>0</v>
      </c>
      <c r="EX94" s="549">
        <f>'raw data'!IR94</f>
        <v>0</v>
      </c>
      <c r="EY94" s="550">
        <f>'raw data'!IS94</f>
        <v>3</v>
      </c>
      <c r="EZ94" s="551">
        <f>IF(ISERROR('raw data'!IR94/'raw data'!IS94),0,'raw data'!IR94/'raw data'!IS94)</f>
        <v>0</v>
      </c>
      <c r="FA94" s="549">
        <f>'raw data'!IT94</f>
        <v>0</v>
      </c>
      <c r="FB94" s="550">
        <f>'raw data'!IU94</f>
        <v>4</v>
      </c>
      <c r="FC94" s="551">
        <f>IF(ISERROR('raw data'!IT94/'raw data'!IU94),0,'raw data'!IT94/'raw data'!IU94)</f>
        <v>0</v>
      </c>
      <c r="FD94" s="549">
        <f>'raw data'!IV94</f>
        <v>0</v>
      </c>
      <c r="FE94" s="550">
        <f>'raw data'!IW94</f>
        <v>0</v>
      </c>
      <c r="FF94" s="551">
        <f>IF(ISERROR('raw data'!IV94/'raw data'!IW94),0,'raw data'!IV94/'raw data'!IW94)</f>
        <v>0</v>
      </c>
      <c r="FG94" s="549">
        <f>'raw data'!IX94</f>
        <v>0</v>
      </c>
      <c r="FH94" s="550">
        <f>'raw data'!IY94</f>
        <v>75</v>
      </c>
      <c r="FI94" s="551">
        <f>IF(ISERROR('raw data'!IX94/'raw data'!IY94),0,'raw data'!IX94/'raw data'!IY94)</f>
        <v>0</v>
      </c>
      <c r="FJ94" s="549">
        <f>'raw data'!IZ94</f>
        <v>0</v>
      </c>
      <c r="FK94" s="550">
        <f>'raw data'!JA94</f>
        <v>16</v>
      </c>
      <c r="FL94" s="551">
        <f>IF(ISERROR('raw data'!IZ94/'raw data'!JA94),0,'raw data'!IZ94/'raw data'!JA94)</f>
        <v>0</v>
      </c>
      <c r="FM94" s="549">
        <f>'raw data'!JB94</f>
        <v>0</v>
      </c>
      <c r="FN94" s="550">
        <f>'raw data'!JC94</f>
        <v>8</v>
      </c>
      <c r="FO94" s="551">
        <f>IF(ISERROR('raw data'!JB94/'raw data'!JC94),0,'raw data'!JB94/'raw data'!JC94)</f>
        <v>0</v>
      </c>
      <c r="FP94" s="549">
        <f>'raw data'!JD94</f>
        <v>0</v>
      </c>
      <c r="FQ94" s="550">
        <f>'raw data'!JE94</f>
        <v>27</v>
      </c>
      <c r="FR94" s="551">
        <f>IF(ISERROR('raw data'!JD94/'raw data'!JE94),0,'raw data'!JD94/'raw data'!JE94)</f>
        <v>0</v>
      </c>
      <c r="FS94" s="469"/>
      <c r="FT94" s="552">
        <v>0</v>
      </c>
      <c r="FU94" s="553">
        <v>140</v>
      </c>
      <c r="FV94" s="554">
        <f t="shared" si="4"/>
        <v>0</v>
      </c>
    </row>
    <row r="95" spans="1:178" ht="14" x14ac:dyDescent="0.15">
      <c r="A95" s="555"/>
      <c r="B95" s="556" t="s">
        <v>157</v>
      </c>
      <c r="C95" s="557"/>
      <c r="D95" s="501"/>
      <c r="E95" s="416"/>
      <c r="F95" s="420"/>
      <c r="G95" s="423"/>
      <c r="H95" s="422"/>
      <c r="I95" s="420"/>
      <c r="J95" s="423"/>
      <c r="K95" s="422"/>
      <c r="L95" s="420"/>
      <c r="M95" s="423"/>
      <c r="N95" s="422"/>
      <c r="O95" s="420"/>
      <c r="P95" s="423"/>
      <c r="Q95" s="422"/>
      <c r="R95" s="420"/>
      <c r="S95" s="423"/>
      <c r="T95" s="422"/>
      <c r="U95" s="420"/>
      <c r="V95" s="423"/>
      <c r="W95" s="422"/>
      <c r="X95" s="420"/>
      <c r="Y95" s="423"/>
      <c r="Z95" s="422"/>
      <c r="AA95" s="420"/>
      <c r="AB95" s="423"/>
      <c r="AC95" s="422"/>
      <c r="AD95" s="420"/>
      <c r="AE95" s="423"/>
      <c r="AF95" s="422"/>
      <c r="AG95" s="420"/>
      <c r="AH95" s="423"/>
      <c r="AI95" s="422"/>
      <c r="AJ95" s="420"/>
      <c r="AK95" s="423"/>
      <c r="AL95" s="422"/>
      <c r="AM95" s="420"/>
      <c r="AN95" s="423"/>
      <c r="AO95" s="422"/>
      <c r="AP95" s="420"/>
      <c r="AQ95" s="423"/>
      <c r="AR95" s="422"/>
      <c r="AS95" s="424"/>
      <c r="AT95" s="423"/>
      <c r="AU95" s="422"/>
      <c r="AV95" s="426"/>
      <c r="AW95" s="423"/>
      <c r="AX95" s="422"/>
      <c r="AY95" s="426"/>
      <c r="AZ95" s="423"/>
      <c r="BA95" s="422"/>
      <c r="BB95" s="426"/>
      <c r="BC95" s="423"/>
      <c r="BD95" s="422"/>
      <c r="BE95" s="426"/>
      <c r="BF95" s="423"/>
      <c r="BG95" s="422"/>
      <c r="BH95" s="426"/>
      <c r="BI95" s="423"/>
      <c r="BJ95" s="422"/>
      <c r="BK95" s="426"/>
      <c r="BL95" s="423"/>
      <c r="BM95" s="422"/>
      <c r="BN95" s="426"/>
      <c r="BO95" s="423"/>
      <c r="BP95" s="422"/>
      <c r="BQ95" s="426"/>
      <c r="BR95" s="421"/>
      <c r="BS95" s="425"/>
      <c r="BT95" s="426"/>
      <c r="BU95" s="421"/>
      <c r="BV95" s="425"/>
      <c r="BW95" s="426"/>
      <c r="BX95" s="421"/>
      <c r="BY95" s="425"/>
      <c r="BZ95" s="426"/>
      <c r="CA95" s="421"/>
      <c r="CB95" s="425"/>
      <c r="CC95" s="426"/>
      <c r="CD95" s="421"/>
      <c r="CE95" s="425"/>
      <c r="CF95" s="426"/>
      <c r="CG95" s="421"/>
      <c r="CH95" s="425"/>
      <c r="CI95" s="426"/>
      <c r="CJ95" s="421"/>
      <c r="CK95" s="425"/>
      <c r="CL95" s="426"/>
      <c r="CM95" s="421">
        <f>SUM(CM90:CM94)</f>
        <v>3</v>
      </c>
      <c r="CN95" s="425">
        <f>SUM(CN90:CN94)</f>
        <v>150</v>
      </c>
      <c r="CO95" s="426">
        <f>IF(ISERROR('raw data'!HB95/'raw data'!HC95),0,'raw data'!HB95/'raw data'!HC95)</f>
        <v>0.02</v>
      </c>
      <c r="CP95" s="421">
        <f>SUM(CP90:CP94)</f>
        <v>2</v>
      </c>
      <c r="CQ95" s="425">
        <f>SUM(CQ90:CQ94)</f>
        <v>44</v>
      </c>
      <c r="CR95" s="426">
        <f>IF(ISERROR('raw data'!HD95/'raw data'!HE95),0,'raw data'!HD95/'raw data'!HE95)</f>
        <v>4.5454545454545456E-2</v>
      </c>
      <c r="CS95" s="421">
        <f>SUM(CS90:CS94)</f>
        <v>8</v>
      </c>
      <c r="CT95" s="425">
        <f>SUM(CT90:CT94)</f>
        <v>100</v>
      </c>
      <c r="CU95" s="426">
        <f>IF(ISERROR('raw data'!HF95/'raw data'!HG95),0,'raw data'!HF95/'raw data'!HG95)</f>
        <v>0.08</v>
      </c>
      <c r="CV95" s="421">
        <f>SUM(CV90:CV94)</f>
        <v>4</v>
      </c>
      <c r="CW95" s="425">
        <f>SUM(CW90:CW94)</f>
        <v>63</v>
      </c>
      <c r="CX95" s="426">
        <f>IF(ISERROR('raw data'!HH95/'raw data'!HI95),0,'raw data'!HH95/'raw data'!HI95)</f>
        <v>6.3492063492063489E-2</v>
      </c>
      <c r="CY95" s="421">
        <f>SUM(CY90:CY94)</f>
        <v>1</v>
      </c>
      <c r="CZ95" s="425">
        <f>SUM(CZ90:CZ94)</f>
        <v>47</v>
      </c>
      <c r="DA95" s="426">
        <f>IF(ISERROR('raw data'!HJ95/'raw data'!HK95),0,'raw data'!HJ95/'raw data'!HK95)</f>
        <v>2.1276595744680851E-2</v>
      </c>
      <c r="DB95" s="421">
        <f>SUM(DB90:DB94)</f>
        <v>1</v>
      </c>
      <c r="DC95" s="425">
        <f>SUM(DC90:DC94)</f>
        <v>83</v>
      </c>
      <c r="DD95" s="426">
        <f>IF(ISERROR('raw data'!HL95/'raw data'!HM95),0,'raw data'!HL95/'raw data'!HM95)</f>
        <v>1.2048192771084338E-2</v>
      </c>
      <c r="DE95" s="421">
        <f>SUM(DE90:DE94)</f>
        <v>3</v>
      </c>
      <c r="DF95" s="425">
        <f>SUM(DF90:DF94)</f>
        <v>57</v>
      </c>
      <c r="DG95" s="426">
        <f>IF(ISERROR('raw data'!HN95/'raw data'!HO95),0,'raw data'!HN95/'raw data'!HO95)</f>
        <v>5.2631578947368418E-2</v>
      </c>
      <c r="DH95" s="421">
        <f>SUM(DH90:DH94)</f>
        <v>0</v>
      </c>
      <c r="DI95" s="425">
        <f>SUM(DI90:DI94)</f>
        <v>59</v>
      </c>
      <c r="DJ95" s="426">
        <f>IF(ISERROR('raw data'!HP95/'raw data'!HQ95),0,'raw data'!HP95/'raw data'!HQ95)</f>
        <v>0</v>
      </c>
      <c r="DK95" s="421">
        <f>SUM(DK90:DK94)</f>
        <v>0</v>
      </c>
      <c r="DL95" s="425">
        <f>SUM(DL90:DL94)</f>
        <v>61</v>
      </c>
      <c r="DM95" s="426">
        <f>IF(ISERROR('raw data'!HR95/'raw data'!HS95),0,'raw data'!HR95/'raw data'!HS95)</f>
        <v>0</v>
      </c>
      <c r="DN95" s="421">
        <f>SUM(DN90:DN94)</f>
        <v>1</v>
      </c>
      <c r="DO95" s="425">
        <f>SUM(DO90:DO94)</f>
        <v>41</v>
      </c>
      <c r="DP95" s="426">
        <f>IF(ISERROR('raw data'!HT95/'raw data'!HU95),0,'raw data'!HT95/'raw data'!HU95)</f>
        <v>2.4390243902439025E-2</v>
      </c>
      <c r="DQ95" s="421">
        <f>SUM(DQ90:DQ94)</f>
        <v>2</v>
      </c>
      <c r="DR95" s="425">
        <f>SUM(DR90:DR94)</f>
        <v>50</v>
      </c>
      <c r="DS95" s="426">
        <f>IF(ISERROR('raw data'!HV95/'raw data'!HW95),0,'raw data'!HV95/'raw data'!HW95)</f>
        <v>0.04</v>
      </c>
      <c r="DT95" s="421">
        <f>SUM(DT90:DT94)</f>
        <v>4</v>
      </c>
      <c r="DU95" s="425">
        <f>SUM(DU90:DU94)</f>
        <v>54</v>
      </c>
      <c r="DV95" s="426">
        <f>IF(ISERROR('raw data'!HX95/'raw data'!HY95),0,'raw data'!HX95/'raw data'!HY95)</f>
        <v>7.407407407407407E-2</v>
      </c>
      <c r="DW95" s="421">
        <f>SUM(DW90:DW94)</f>
        <v>0</v>
      </c>
      <c r="DX95" s="425">
        <f>SUM(DX90:DX94)</f>
        <v>64</v>
      </c>
      <c r="DY95" s="426">
        <f>IF(ISERROR('raw data'!HZ95/'raw data'!IA95),0,'raw data'!HZ95/'raw data'!IA95)</f>
        <v>0</v>
      </c>
      <c r="DZ95" s="421">
        <f>SUM(DZ90:DZ94)</f>
        <v>0</v>
      </c>
      <c r="EA95" s="425">
        <f>SUM(EA90:EA94)</f>
        <v>52</v>
      </c>
      <c r="EB95" s="426">
        <f>IF(ISERROR('raw data'!IB95/'raw data'!IC95),0,'raw data'!IB95/'raw data'!IC95)</f>
        <v>0</v>
      </c>
      <c r="EC95" s="421">
        <f>SUM(EC90:EC94)</f>
        <v>0</v>
      </c>
      <c r="ED95" s="425">
        <f>SUM(ED90:ED94)</f>
        <v>69</v>
      </c>
      <c r="EE95" s="426">
        <f>IF(ISERROR('raw data'!ID95/'raw data'!IE95),0,'raw data'!ID95/'raw data'!IE95)</f>
        <v>0</v>
      </c>
      <c r="EF95" s="421">
        <f>SUM(EF90:EF94)</f>
        <v>0</v>
      </c>
      <c r="EG95" s="425">
        <f>SUM(EG90:EG94)</f>
        <v>80</v>
      </c>
      <c r="EH95" s="426">
        <f>IF(ISERROR('raw data'!IF95/'raw data'!IG95),0,'raw data'!IF95/'raw data'!IG95)</f>
        <v>0</v>
      </c>
      <c r="EI95" s="421">
        <f>SUM(EI90:EI94)</f>
        <v>0</v>
      </c>
      <c r="EJ95" s="425">
        <f>SUM(EJ90:EJ94)</f>
        <v>47</v>
      </c>
      <c r="EK95" s="426">
        <f>IF(ISERROR('raw data'!IH95/'raw data'!II95),0,'raw data'!IH95/'raw data'!II95)</f>
        <v>0</v>
      </c>
      <c r="EL95" s="421">
        <f>SUM(EL90:EL94)</f>
        <v>0</v>
      </c>
      <c r="EM95" s="425">
        <f>SUM(EM90:EM94)</f>
        <v>56</v>
      </c>
      <c r="EN95" s="426">
        <f>IF(ISERROR('raw data'!IJ95/'raw data'!IK95),0,'raw data'!IJ95/'raw data'!IK95)</f>
        <v>0</v>
      </c>
      <c r="EO95" s="421">
        <f>SUM(EO90:EO94)</f>
        <v>0</v>
      </c>
      <c r="EP95" s="425">
        <f>SUM(EP90:EP94)</f>
        <v>81</v>
      </c>
      <c r="EQ95" s="426">
        <f>IF(ISERROR('raw data'!IL95/'raw data'!IM95),0,'raw data'!IL95/'raw data'!IM95)</f>
        <v>0</v>
      </c>
      <c r="ER95" s="421">
        <f>SUM(ER90:ER94)</f>
        <v>0</v>
      </c>
      <c r="ES95" s="425">
        <f>SUM(ES90:ES94)</f>
        <v>67</v>
      </c>
      <c r="ET95" s="426">
        <f>IF(ISERROR('raw data'!IN95/'raw data'!IO95),0,'raw data'!IN95/'raw data'!IO95)</f>
        <v>0</v>
      </c>
      <c r="EU95" s="421">
        <f>SUM(EU90:EU94)</f>
        <v>0</v>
      </c>
      <c r="EV95" s="425">
        <f>SUM(EV90:EV94)</f>
        <v>84</v>
      </c>
      <c r="EW95" s="426">
        <f>IF(ISERROR('raw data'!IP95/'raw data'!IQ95),0,'raw data'!IP95/'raw data'!IQ95)</f>
        <v>0</v>
      </c>
      <c r="EX95" s="421">
        <f>SUM(EX90:EX94)</f>
        <v>0</v>
      </c>
      <c r="EY95" s="425">
        <f>SUM(EY90:EY94)</f>
        <v>72</v>
      </c>
      <c r="EZ95" s="426">
        <f>IF(ISERROR('raw data'!IR95/'raw data'!IS95),0,'raw data'!IR95/'raw data'!IS95)</f>
        <v>0</v>
      </c>
      <c r="FA95" s="421">
        <f>SUM(FA90:FA94)</f>
        <v>0</v>
      </c>
      <c r="FB95" s="425">
        <f>SUM(FB90:FB94)</f>
        <v>19</v>
      </c>
      <c r="FC95" s="426">
        <f>IF(ISERROR('raw data'!IT95/'raw data'!IU95),0,'raw data'!IT95/'raw data'!IU95)</f>
        <v>0</v>
      </c>
      <c r="FD95" s="421">
        <f>SUM(FD90:FD94)</f>
        <v>0</v>
      </c>
      <c r="FE95" s="425">
        <f>SUM(FE90:FE94)</f>
        <v>0</v>
      </c>
      <c r="FF95" s="426">
        <f>IF(ISERROR('raw data'!IV95/'raw data'!IW95),0,'raw data'!IV95/'raw data'!IW95)</f>
        <v>0</v>
      </c>
      <c r="FG95" s="421">
        <f>SUM(FG90:FG94)</f>
        <v>3</v>
      </c>
      <c r="FH95" s="425">
        <f>SUM(FH90:FH94)</f>
        <v>519</v>
      </c>
      <c r="FI95" s="426">
        <f>IF(ISERROR('raw data'!IX95/'raw data'!IY95),0,'raw data'!IX95/'raw data'!IY95)</f>
        <v>5.7803468208092483E-3</v>
      </c>
      <c r="FJ95" s="421">
        <f>SUM(FJ90:FJ94)</f>
        <v>5</v>
      </c>
      <c r="FK95" s="425">
        <f>SUM(FK90:FK94)</f>
        <v>231</v>
      </c>
      <c r="FL95" s="426">
        <f>IF(ISERROR('raw data'!IZ95/'raw data'!JA95),0,'raw data'!IZ95/'raw data'!JA95)</f>
        <v>2.1645021645021644E-2</v>
      </c>
      <c r="FM95" s="421">
        <f>SUM(FM90:FM94)</f>
        <v>0</v>
      </c>
      <c r="FN95" s="425">
        <f>SUM(FN90:FN94)</f>
        <v>166</v>
      </c>
      <c r="FO95" s="426">
        <f>IF(ISERROR('raw data'!JB95/'raw data'!JC95),0,'raw data'!JB95/'raw data'!JC95)</f>
        <v>0</v>
      </c>
      <c r="FP95" s="421">
        <f>SUM(FP90:FP94)</f>
        <v>10</v>
      </c>
      <c r="FQ95" s="425">
        <f>SUM(FQ90:FQ94)</f>
        <v>296</v>
      </c>
      <c r="FR95" s="426">
        <f>IF(ISERROR('raw data'!JD95/'raw data'!JE95),0,'raw data'!JD95/'raw data'!JE95)</f>
        <v>3.3783783783783786E-2</v>
      </c>
      <c r="FS95" s="469"/>
      <c r="FT95" s="428">
        <f>SUM(FT90:FT94)</f>
        <v>18</v>
      </c>
      <c r="FU95" s="429">
        <f>SUM(FU90:FU94)</f>
        <v>1638</v>
      </c>
      <c r="FV95" s="430">
        <f>IF(ISERROR(FT95/FU95),0,FT95/FU95)</f>
        <v>1.098901098901099E-2</v>
      </c>
    </row>
    <row r="96" spans="1:178" ht="25.5" customHeight="1" x14ac:dyDescent="0.15">
      <c r="A96" s="558" t="s">
        <v>158</v>
      </c>
      <c r="B96" s="559" t="s">
        <v>159</v>
      </c>
      <c r="C96" s="560"/>
      <c r="D96" s="536"/>
      <c r="E96" s="485"/>
      <c r="F96" s="483"/>
      <c r="G96" s="484"/>
      <c r="H96" s="485"/>
      <c r="I96" s="483"/>
      <c r="J96" s="484"/>
      <c r="K96" s="485"/>
      <c r="L96" s="483"/>
      <c r="M96" s="484"/>
      <c r="N96" s="485"/>
      <c r="O96" s="483"/>
      <c r="P96" s="484"/>
      <c r="Q96" s="485"/>
      <c r="R96" s="483"/>
      <c r="S96" s="484"/>
      <c r="T96" s="485"/>
      <c r="U96" s="404"/>
      <c r="V96" s="484"/>
      <c r="W96" s="485"/>
      <c r="X96" s="404"/>
      <c r="Y96" s="484"/>
      <c r="Z96" s="485"/>
      <c r="AA96" s="404"/>
      <c r="AB96" s="484"/>
      <c r="AC96" s="485"/>
      <c r="AD96" s="404"/>
      <c r="AE96" s="484"/>
      <c r="AF96" s="485"/>
      <c r="AG96" s="404"/>
      <c r="AH96" s="484"/>
      <c r="AI96" s="485"/>
      <c r="AJ96" s="404"/>
      <c r="AK96" s="484"/>
      <c r="AL96" s="485"/>
      <c r="AM96" s="404"/>
      <c r="AN96" s="484"/>
      <c r="AO96" s="485"/>
      <c r="AP96" s="404"/>
      <c r="AQ96" s="484"/>
      <c r="AR96" s="485"/>
      <c r="AS96" s="404"/>
      <c r="AT96" s="484"/>
      <c r="AU96" s="485"/>
      <c r="AV96" s="404"/>
      <c r="AW96" s="484"/>
      <c r="AX96" s="485"/>
      <c r="AY96" s="404"/>
      <c r="AZ96" s="484"/>
      <c r="BA96" s="485"/>
      <c r="BB96" s="404"/>
      <c r="BC96" s="484"/>
      <c r="BD96" s="485"/>
      <c r="BE96" s="404"/>
      <c r="BF96" s="484"/>
      <c r="BG96" s="485"/>
      <c r="BH96" s="404"/>
      <c r="BI96" s="484"/>
      <c r="BJ96" s="485"/>
      <c r="BK96" s="404"/>
      <c r="BL96" s="484"/>
      <c r="BM96" s="485"/>
      <c r="BN96" s="404"/>
      <c r="BO96" s="484"/>
      <c r="BP96" s="485"/>
      <c r="BQ96" s="404"/>
      <c r="BR96" s="484"/>
      <c r="BS96" s="485"/>
      <c r="BT96" s="404"/>
      <c r="BU96" s="484"/>
      <c r="BV96" s="485"/>
      <c r="BW96" s="404"/>
      <c r="BX96" s="484"/>
      <c r="BY96" s="485"/>
      <c r="BZ96" s="404"/>
      <c r="CA96" s="484"/>
      <c r="CB96" s="485"/>
      <c r="CC96" s="404"/>
      <c r="CD96" s="484"/>
      <c r="CE96" s="485"/>
      <c r="CF96" s="404"/>
      <c r="CG96" s="484"/>
      <c r="CH96" s="485"/>
      <c r="CI96" s="404"/>
      <c r="CJ96" s="484"/>
      <c r="CK96" s="485"/>
      <c r="CL96" s="404"/>
      <c r="CM96" s="484"/>
      <c r="CN96" s="485"/>
      <c r="CO96" s="404"/>
      <c r="CP96" s="484"/>
      <c r="CQ96" s="485"/>
      <c r="CR96" s="404"/>
      <c r="CS96" s="484"/>
      <c r="CT96" s="485"/>
      <c r="CU96" s="404"/>
      <c r="CV96" s="561">
        <f>'raw data'!HH96</f>
        <v>11</v>
      </c>
      <c r="CW96" s="562">
        <f>'raw data'!HI96</f>
        <v>58</v>
      </c>
      <c r="CX96" s="563">
        <f>IF(ISERROR('raw data'!HH96/'raw data'!HI96),0,'raw data'!HH96/'raw data'!HI96)</f>
        <v>0.18965517241379309</v>
      </c>
      <c r="CY96" s="561">
        <f>'raw data'!HJ96</f>
        <v>15</v>
      </c>
      <c r="CZ96" s="562">
        <f>'raw data'!HK96</f>
        <v>33</v>
      </c>
      <c r="DA96" s="563">
        <f>IF(ISERROR('raw data'!HJ96/'raw data'!HK96),0,'raw data'!HJ96/'raw data'!HK96)</f>
        <v>0.45454545454545453</v>
      </c>
      <c r="DB96" s="561">
        <f>'raw data'!HL96</f>
        <v>3</v>
      </c>
      <c r="DC96" s="562">
        <f>'raw data'!HM96</f>
        <v>10</v>
      </c>
      <c r="DD96" s="563">
        <f>IF(ISERROR('raw data'!HL96/'raw data'!HM96),0,'raw data'!HL96/'raw data'!HM96)</f>
        <v>0.3</v>
      </c>
      <c r="DE96" s="561">
        <f>'raw data'!HN96</f>
        <v>7</v>
      </c>
      <c r="DF96" s="562">
        <f>'raw data'!HO96</f>
        <v>18</v>
      </c>
      <c r="DG96" s="563">
        <f>IF(ISERROR('raw data'!HN96/'raw data'!HO96),0,'raw data'!HN96/'raw data'!HO96)</f>
        <v>0.3888888888888889</v>
      </c>
      <c r="DH96" s="561">
        <f>'raw data'!HP96</f>
        <v>23</v>
      </c>
      <c r="DI96" s="562">
        <f>'raw data'!HQ96</f>
        <v>56</v>
      </c>
      <c r="DJ96" s="563">
        <f>IF(ISERROR('raw data'!HP96/'raw data'!HQ96),0,'raw data'!HP96/'raw data'!HQ96)</f>
        <v>0.4107142857142857</v>
      </c>
      <c r="DK96" s="561">
        <f>'raw data'!HR96</f>
        <v>8</v>
      </c>
      <c r="DL96" s="562">
        <f>'raw data'!HS96</f>
        <v>17</v>
      </c>
      <c r="DM96" s="563">
        <f>IF(ISERROR('raw data'!HR96/'raw data'!HS96),0,'raw data'!HR96/'raw data'!HS96)</f>
        <v>0.47058823529411764</v>
      </c>
      <c r="DN96" s="561">
        <f>'raw data'!HT96</f>
        <v>16</v>
      </c>
      <c r="DO96" s="562">
        <f>'raw data'!HU96</f>
        <v>31</v>
      </c>
      <c r="DP96" s="563">
        <f>IF(ISERROR('raw data'!HT96/'raw data'!HU96),0,'raw data'!HT96/'raw data'!HU96)</f>
        <v>0.5161290322580645</v>
      </c>
      <c r="DQ96" s="561">
        <f>'raw data'!HV96</f>
        <v>22</v>
      </c>
      <c r="DR96" s="562">
        <f>'raw data'!HW96</f>
        <v>48</v>
      </c>
      <c r="DS96" s="563">
        <f>IF(ISERROR('raw data'!HV96/'raw data'!HW96),0,'raw data'!HV96/'raw data'!HW96)</f>
        <v>0.45833333333333331</v>
      </c>
      <c r="DT96" s="561">
        <f>'raw data'!HX96</f>
        <v>2</v>
      </c>
      <c r="DU96" s="562">
        <f>'raw data'!HY96</f>
        <v>31</v>
      </c>
      <c r="DV96" s="563">
        <f>IF(ISERROR('raw data'!HX96/'raw data'!HY96),0,'raw data'!HX96/'raw data'!HY96)</f>
        <v>6.4516129032258063E-2</v>
      </c>
      <c r="DW96" s="561">
        <f>'raw data'!HZ96</f>
        <v>12</v>
      </c>
      <c r="DX96" s="562">
        <f>'raw data'!IA96</f>
        <v>19</v>
      </c>
      <c r="DY96" s="563">
        <f>IF(ISERROR('raw data'!HZ96/'raw data'!IA96),0,'raw data'!HZ96/'raw data'!IA96)</f>
        <v>0.63157894736842102</v>
      </c>
      <c r="DZ96" s="561">
        <f>'raw data'!IB96</f>
        <v>5</v>
      </c>
      <c r="EA96" s="562">
        <f>'raw data'!IC96</f>
        <v>13</v>
      </c>
      <c r="EB96" s="563">
        <f>IF(ISERROR('raw data'!IB96/'raw data'!IC96),0,'raw data'!IB96/'raw data'!IC96)</f>
        <v>0.38461538461538464</v>
      </c>
      <c r="EC96" s="561">
        <f>'raw data'!ID96</f>
        <v>20</v>
      </c>
      <c r="ED96" s="562">
        <f>'raw data'!IE96</f>
        <v>33</v>
      </c>
      <c r="EE96" s="563">
        <f>IF(ISERROR('raw data'!ID96/'raw data'!IE96),0,'raw data'!ID96/'raw data'!IE96)</f>
        <v>0.60606060606060608</v>
      </c>
      <c r="EF96" s="561">
        <f>'raw data'!IF96</f>
        <v>10</v>
      </c>
      <c r="EG96" s="562">
        <f>'raw data'!IG96</f>
        <v>27</v>
      </c>
      <c r="EH96" s="563">
        <f>IF(ISERROR('raw data'!IF96/'raw data'!IG96),0,'raw data'!IF96/'raw data'!IG96)</f>
        <v>0.37037037037037035</v>
      </c>
      <c r="EI96" s="561">
        <f>'raw data'!IH96</f>
        <v>10</v>
      </c>
      <c r="EJ96" s="562">
        <f>'raw data'!II96</f>
        <v>24</v>
      </c>
      <c r="EK96" s="563">
        <f>IF(ISERROR('raw data'!IH96/'raw data'!II96),0,'raw data'!IH96/'raw data'!II96)</f>
        <v>0.41666666666666669</v>
      </c>
      <c r="EL96" s="561">
        <f>'raw data'!IJ96</f>
        <v>13</v>
      </c>
      <c r="EM96" s="562">
        <f>'raw data'!IK96</f>
        <v>26</v>
      </c>
      <c r="EN96" s="563">
        <f>IF(ISERROR('raw data'!IJ96/'raw data'!IK96),0,'raw data'!IJ96/'raw data'!IK96)</f>
        <v>0.5</v>
      </c>
      <c r="EO96" s="561">
        <f>'raw data'!IL96</f>
        <v>3</v>
      </c>
      <c r="EP96" s="562">
        <f>'raw data'!IM96</f>
        <v>7</v>
      </c>
      <c r="EQ96" s="563">
        <f>IF(ISERROR('raw data'!IL96/'raw data'!IM96),0,'raw data'!IL96/'raw data'!IM96)</f>
        <v>0.42857142857142855</v>
      </c>
      <c r="ER96" s="561">
        <f>'raw data'!IN96</f>
        <v>3</v>
      </c>
      <c r="ES96" s="562">
        <f>'raw data'!IO96</f>
        <v>29</v>
      </c>
      <c r="ET96" s="563">
        <f>IF(ISERROR('raw data'!IN96/'raw data'!IO96),0,'raw data'!IN96/'raw data'!IO96)</f>
        <v>0.10344827586206896</v>
      </c>
      <c r="EU96" s="561">
        <f>'raw data'!IP96</f>
        <v>9</v>
      </c>
      <c r="EV96" s="562">
        <f>'raw data'!IQ96</f>
        <v>18</v>
      </c>
      <c r="EW96" s="563">
        <f>IF(ISERROR('raw data'!IP96/'raw data'!IQ96),0,'raw data'!IP96/'raw data'!IQ96)</f>
        <v>0.5</v>
      </c>
      <c r="EX96" s="561">
        <f>'raw data'!IR96</f>
        <v>9</v>
      </c>
      <c r="EY96" s="562">
        <f>'raw data'!IS96</f>
        <v>13</v>
      </c>
      <c r="EZ96" s="563">
        <f>IF(ISERROR('raw data'!IR96/'raw data'!IS96),0,'raw data'!IR96/'raw data'!IS96)</f>
        <v>0.69230769230769229</v>
      </c>
      <c r="FA96" s="561">
        <f>'raw data'!IT96</f>
        <v>21</v>
      </c>
      <c r="FB96" s="562">
        <f>'raw data'!IU96</f>
        <v>28</v>
      </c>
      <c r="FC96" s="563">
        <f>IF(ISERROR('raw data'!IT96/'raw data'!IU96),0,'raw data'!IT96/'raw data'!IU96)</f>
        <v>0.75</v>
      </c>
      <c r="FD96" s="561">
        <f>'raw data'!IV96</f>
        <v>10</v>
      </c>
      <c r="FE96" s="562">
        <f>'raw data'!IW96</f>
        <v>23</v>
      </c>
      <c r="FF96" s="563">
        <f>IF(ISERROR('raw data'!IV96/'raw data'!IW96),0,'raw data'!IV96/'raw data'!IW96)</f>
        <v>0.43478260869565216</v>
      </c>
      <c r="FG96" s="561">
        <f>'raw data'!IX96</f>
        <v>12</v>
      </c>
      <c r="FH96" s="562">
        <f>'raw data'!IY96</f>
        <v>22</v>
      </c>
      <c r="FI96" s="563">
        <f>IF(ISERROR('raw data'!IX96/'raw data'!IY96),0,'raw data'!IX96/'raw data'!IY96)</f>
        <v>0.54545454545454541</v>
      </c>
      <c r="FJ96" s="561">
        <f>'raw data'!IZ96</f>
        <v>5</v>
      </c>
      <c r="FK96" s="562">
        <f>'raw data'!JA96</f>
        <v>10</v>
      </c>
      <c r="FL96" s="563">
        <f>IF(ISERROR('raw data'!IZ96/'raw data'!JA96),0,'raw data'!IZ96/'raw data'!JA96)</f>
        <v>0.5</v>
      </c>
      <c r="FM96" s="561">
        <f>'raw data'!JB96</f>
        <v>22</v>
      </c>
      <c r="FN96" s="562">
        <f>'raw data'!JC96</f>
        <v>31</v>
      </c>
      <c r="FO96" s="563">
        <f>IF(ISERROR('raw data'!JB96/'raw data'!JC96),0,'raw data'!JB96/'raw data'!JC96)</f>
        <v>0.70967741935483875</v>
      </c>
      <c r="FP96" s="561">
        <f>'raw data'!JD96</f>
        <v>3</v>
      </c>
      <c r="FQ96" s="562">
        <f>'raw data'!JE96</f>
        <v>10</v>
      </c>
      <c r="FR96" s="563">
        <f>IF(ISERROR('raw data'!JD96/'raw data'!JE96),0,'raw data'!JD96/'raw data'!JE96)</f>
        <v>0.3</v>
      </c>
      <c r="FS96" s="469"/>
      <c r="FT96" s="564">
        <v>120</v>
      </c>
      <c r="FU96" s="565">
        <v>241</v>
      </c>
      <c r="FV96" s="566">
        <f>IF(ISERROR(FT96/FU96),0,FT96/FU96)</f>
        <v>0.49792531120331951</v>
      </c>
    </row>
    <row r="97" spans="1:178" ht="25.5" customHeight="1" x14ac:dyDescent="0.15">
      <c r="A97" s="558" t="s">
        <v>160</v>
      </c>
      <c r="B97" s="559" t="s">
        <v>161</v>
      </c>
      <c r="C97" s="560"/>
      <c r="D97" s="536"/>
      <c r="E97" s="485"/>
      <c r="F97" s="483"/>
      <c r="G97" s="484"/>
      <c r="H97" s="485"/>
      <c r="I97" s="483"/>
      <c r="J97" s="484"/>
      <c r="K97" s="485"/>
      <c r="L97" s="483"/>
      <c r="M97" s="484"/>
      <c r="N97" s="485"/>
      <c r="O97" s="483"/>
      <c r="P97" s="484"/>
      <c r="Q97" s="485"/>
      <c r="R97" s="483"/>
      <c r="S97" s="484"/>
      <c r="T97" s="485"/>
      <c r="U97" s="404"/>
      <c r="V97" s="484"/>
      <c r="W97" s="485"/>
      <c r="X97" s="404"/>
      <c r="Y97" s="484"/>
      <c r="Z97" s="485"/>
      <c r="AA97" s="404"/>
      <c r="AB97" s="484"/>
      <c r="AC97" s="485"/>
      <c r="AD97" s="404"/>
      <c r="AE97" s="484"/>
      <c r="AF97" s="485"/>
      <c r="AG97" s="404"/>
      <c r="AH97" s="484"/>
      <c r="AI97" s="485"/>
      <c r="AJ97" s="404"/>
      <c r="AK97" s="484"/>
      <c r="AL97" s="485"/>
      <c r="AM97" s="404"/>
      <c r="AN97" s="484"/>
      <c r="AO97" s="485"/>
      <c r="AP97" s="404"/>
      <c r="AQ97" s="484"/>
      <c r="AR97" s="485"/>
      <c r="AS97" s="404"/>
      <c r="AT97" s="484"/>
      <c r="AU97" s="485"/>
      <c r="AV97" s="404"/>
      <c r="AW97" s="484"/>
      <c r="AX97" s="485"/>
      <c r="AY97" s="404"/>
      <c r="AZ97" s="484"/>
      <c r="BA97" s="485"/>
      <c r="BB97" s="404"/>
      <c r="BC97" s="484"/>
      <c r="BD97" s="485"/>
      <c r="BE97" s="404"/>
      <c r="BF97" s="484"/>
      <c r="BG97" s="485"/>
      <c r="BH97" s="404"/>
      <c r="BI97" s="484"/>
      <c r="BJ97" s="485"/>
      <c r="BK97" s="404"/>
      <c r="BL97" s="484"/>
      <c r="BM97" s="485"/>
      <c r="BN97" s="404"/>
      <c r="BO97" s="484"/>
      <c r="BP97" s="485"/>
      <c r="BQ97" s="404"/>
      <c r="BR97" s="484"/>
      <c r="BS97" s="485"/>
      <c r="BT97" s="404"/>
      <c r="BU97" s="484"/>
      <c r="BV97" s="485"/>
      <c r="BW97" s="404"/>
      <c r="BX97" s="484"/>
      <c r="BY97" s="485"/>
      <c r="BZ97" s="404"/>
      <c r="CA97" s="484"/>
      <c r="CB97" s="485"/>
      <c r="CC97" s="404"/>
      <c r="CD97" s="484"/>
      <c r="CE97" s="485"/>
      <c r="CF97" s="404"/>
      <c r="CG97" s="484"/>
      <c r="CH97" s="485"/>
      <c r="CI97" s="404"/>
      <c r="CJ97" s="484"/>
      <c r="CK97" s="485"/>
      <c r="CL97" s="404"/>
      <c r="CM97" s="484"/>
      <c r="CN97" s="485"/>
      <c r="CO97" s="404"/>
      <c r="CP97" s="484"/>
      <c r="CQ97" s="485"/>
      <c r="CR97" s="404"/>
      <c r="CS97" s="484"/>
      <c r="CT97" s="485"/>
      <c r="CU97" s="404"/>
      <c r="CV97" s="561">
        <f>'raw data'!HH97</f>
        <v>0</v>
      </c>
      <c r="CW97" s="562">
        <f>'raw data'!HI97</f>
        <v>1</v>
      </c>
      <c r="CX97" s="563">
        <f>IF(ISERROR('raw data'!HH97/'raw data'!HI97),0,'raw data'!HH97/'raw data'!HI97)</f>
        <v>0</v>
      </c>
      <c r="CY97" s="561">
        <f>'raw data'!HJ97</f>
        <v>2</v>
      </c>
      <c r="CZ97" s="562">
        <f>'raw data'!HK97</f>
        <v>6</v>
      </c>
      <c r="DA97" s="563">
        <f>IF(ISERROR('raw data'!HJ97/'raw data'!HK97),0,'raw data'!HJ97/'raw data'!HK97)</f>
        <v>0.33333333333333331</v>
      </c>
      <c r="DB97" s="561">
        <f>'raw data'!HL97</f>
        <v>1</v>
      </c>
      <c r="DC97" s="562">
        <f>'raw data'!HM97</f>
        <v>4</v>
      </c>
      <c r="DD97" s="563">
        <f>IF(ISERROR('raw data'!HL97/'raw data'!HM97),0,'raw data'!HL97/'raw data'!HM97)</f>
        <v>0.25</v>
      </c>
      <c r="DE97" s="561">
        <f>'raw data'!HN97</f>
        <v>4</v>
      </c>
      <c r="DF97" s="562">
        <f>'raw data'!HO97</f>
        <v>4</v>
      </c>
      <c r="DG97" s="563">
        <f>IF(ISERROR('raw data'!HN97/'raw data'!HO97),0,'raw data'!HN97/'raw data'!HO97)</f>
        <v>1</v>
      </c>
      <c r="DH97" s="561">
        <f>'raw data'!HP97</f>
        <v>1</v>
      </c>
      <c r="DI97" s="562">
        <f>'raw data'!HQ97</f>
        <v>1</v>
      </c>
      <c r="DJ97" s="563">
        <f>IF(ISERROR('raw data'!HP97/'raw data'!HQ97),0,'raw data'!HP97/'raw data'!HQ97)</f>
        <v>1</v>
      </c>
      <c r="DK97" s="561">
        <f>'raw data'!HR97</f>
        <v>2</v>
      </c>
      <c r="DL97" s="562">
        <f>'raw data'!HS97</f>
        <v>12</v>
      </c>
      <c r="DM97" s="563">
        <f>IF(ISERROR('raw data'!HR97/'raw data'!HS97),0,'raw data'!HR97/'raw data'!HS97)</f>
        <v>0.16666666666666666</v>
      </c>
      <c r="DN97" s="561">
        <f>'raw data'!HT97</f>
        <v>2</v>
      </c>
      <c r="DO97" s="562">
        <f>'raw data'!HU97</f>
        <v>2</v>
      </c>
      <c r="DP97" s="563">
        <f>IF(ISERROR('raw data'!HT97/'raw data'!HU97),0,'raw data'!HT97/'raw data'!HU97)</f>
        <v>1</v>
      </c>
      <c r="DQ97" s="561">
        <f>'raw data'!HV97</f>
        <v>1</v>
      </c>
      <c r="DR97" s="562">
        <f>'raw data'!HW97</f>
        <v>1</v>
      </c>
      <c r="DS97" s="563">
        <f>IF(ISERROR('raw data'!HV97/'raw data'!HW97),0,'raw data'!HV97/'raw data'!HW97)</f>
        <v>1</v>
      </c>
      <c r="DT97" s="561">
        <f>'raw data'!HX97</f>
        <v>1</v>
      </c>
      <c r="DU97" s="562">
        <f>'raw data'!HY97</f>
        <v>1</v>
      </c>
      <c r="DV97" s="563">
        <f>IF(ISERROR('raw data'!HX97/'raw data'!HY97),0,'raw data'!HX97/'raw data'!HY97)</f>
        <v>1</v>
      </c>
      <c r="DW97" s="561">
        <f>'raw data'!HZ97</f>
        <v>5</v>
      </c>
      <c r="DX97" s="562">
        <f>'raw data'!IA97</f>
        <v>7</v>
      </c>
      <c r="DY97" s="563">
        <f>IF(ISERROR('raw data'!HZ97/'raw data'!IA97),0,'raw data'!HZ97/'raw data'!IA97)</f>
        <v>0.7142857142857143</v>
      </c>
      <c r="DZ97" s="561">
        <f>'raw data'!IB97</f>
        <v>8</v>
      </c>
      <c r="EA97" s="562">
        <f>'raw data'!IC97</f>
        <v>8</v>
      </c>
      <c r="EB97" s="563">
        <f>IF(ISERROR('raw data'!IB97/'raw data'!IC97),0,'raw data'!IB97/'raw data'!IC97)</f>
        <v>1</v>
      </c>
      <c r="EC97" s="561">
        <f>'raw data'!ID97</f>
        <v>1</v>
      </c>
      <c r="ED97" s="562">
        <f>'raw data'!IE97</f>
        <v>3</v>
      </c>
      <c r="EE97" s="563">
        <f>IF(ISERROR('raw data'!ID97/'raw data'!IE97),0,'raw data'!ID97/'raw data'!IE97)</f>
        <v>0.33333333333333331</v>
      </c>
      <c r="EF97" s="561">
        <f>'raw data'!IF97</f>
        <v>5</v>
      </c>
      <c r="EG97" s="562">
        <f>'raw data'!IG97</f>
        <v>13</v>
      </c>
      <c r="EH97" s="563">
        <f>IF(ISERROR('raw data'!IF97/'raw data'!IG97),0,'raw data'!IF97/'raw data'!IG97)</f>
        <v>0.38461538461538464</v>
      </c>
      <c r="EI97" s="561">
        <f>'raw data'!IH97</f>
        <v>10</v>
      </c>
      <c r="EJ97" s="562">
        <f>'raw data'!II97</f>
        <v>14</v>
      </c>
      <c r="EK97" s="563">
        <f>IF(ISERROR('raw data'!IH97/'raw data'!II97),0,'raw data'!IH97/'raw data'!II97)</f>
        <v>0.7142857142857143</v>
      </c>
      <c r="EL97" s="561">
        <f>'raw data'!IJ97</f>
        <v>10</v>
      </c>
      <c r="EM97" s="562">
        <f>'raw data'!IK97</f>
        <v>17</v>
      </c>
      <c r="EN97" s="563">
        <f>IF(ISERROR('raw data'!IJ97/'raw data'!IK97),0,'raw data'!IJ97/'raw data'!IK97)</f>
        <v>0.58823529411764708</v>
      </c>
      <c r="EO97" s="561">
        <f>'raw data'!IL97</f>
        <v>0</v>
      </c>
      <c r="EP97" s="562">
        <f>'raw data'!IM97</f>
        <v>0</v>
      </c>
      <c r="EQ97" s="563">
        <f>IF(ISERROR('raw data'!IL97/'raw data'!IM97),0,'raw data'!IL97/'raw data'!IM97)</f>
        <v>0</v>
      </c>
      <c r="ER97" s="561">
        <f>'raw data'!IN97</f>
        <v>1</v>
      </c>
      <c r="ES97" s="562">
        <f>'raw data'!IO97</f>
        <v>8</v>
      </c>
      <c r="ET97" s="563">
        <f>IF(ISERROR('raw data'!IN97/'raw data'!IO97),0,'raw data'!IN97/'raw data'!IO97)</f>
        <v>0.125</v>
      </c>
      <c r="EU97" s="561">
        <f>'raw data'!IP97</f>
        <v>4</v>
      </c>
      <c r="EV97" s="562">
        <f>'raw data'!IQ97</f>
        <v>8</v>
      </c>
      <c r="EW97" s="563">
        <f>IF(ISERROR('raw data'!IP97/'raw data'!IQ97),0,'raw data'!IP97/'raw data'!IQ97)</f>
        <v>0.5</v>
      </c>
      <c r="EX97" s="561">
        <f>'raw data'!IR97</f>
        <v>2</v>
      </c>
      <c r="EY97" s="562">
        <f>'raw data'!IS97</f>
        <v>7</v>
      </c>
      <c r="EZ97" s="563">
        <f>IF(ISERROR('raw data'!IR97/'raw data'!IS97),0,'raw data'!IR97/'raw data'!IS97)</f>
        <v>0.2857142857142857</v>
      </c>
      <c r="FA97" s="561">
        <f>'raw data'!IT97</f>
        <v>1</v>
      </c>
      <c r="FB97" s="562">
        <f>'raw data'!IU97</f>
        <v>4</v>
      </c>
      <c r="FC97" s="563">
        <f>IF(ISERROR('raw data'!IT97/'raw data'!IU97),0,'raw data'!IT97/'raw data'!IU97)</f>
        <v>0.25</v>
      </c>
      <c r="FD97" s="561">
        <f>'raw data'!IV97</f>
        <v>2</v>
      </c>
      <c r="FE97" s="562">
        <f>'raw data'!IW97</f>
        <v>6</v>
      </c>
      <c r="FF97" s="563">
        <f>IF(ISERROR('raw data'!IV97/'raw data'!IW97),0,'raw data'!IV97/'raw data'!IW97)</f>
        <v>0.33333333333333331</v>
      </c>
      <c r="FG97" s="561">
        <f>'raw data'!IX97</f>
        <v>1</v>
      </c>
      <c r="FH97" s="562">
        <f>'raw data'!IY97</f>
        <v>1</v>
      </c>
      <c r="FI97" s="563">
        <f>IF(ISERROR('raw data'!IX97/'raw data'!IY97),0,'raw data'!IX97/'raw data'!IY97)</f>
        <v>1</v>
      </c>
      <c r="FJ97" s="561">
        <f>'raw data'!IZ97</f>
        <v>1</v>
      </c>
      <c r="FK97" s="562">
        <f>'raw data'!JA97</f>
        <v>1</v>
      </c>
      <c r="FL97" s="563">
        <f>IF(ISERROR('raw data'!IZ97/'raw data'!JA97),0,'raw data'!IZ97/'raw data'!JA97)</f>
        <v>1</v>
      </c>
      <c r="FM97" s="561">
        <f>'raw data'!JB97</f>
        <v>1</v>
      </c>
      <c r="FN97" s="562">
        <f>'raw data'!JC97</f>
        <v>2</v>
      </c>
      <c r="FO97" s="563">
        <f>IF(ISERROR('raw data'!JB97/'raw data'!JC97),0,'raw data'!JB97/'raw data'!JC97)</f>
        <v>0.5</v>
      </c>
      <c r="FP97" s="561">
        <f>'raw data'!JD97</f>
        <v>2</v>
      </c>
      <c r="FQ97" s="562">
        <f>'raw data'!JE97</f>
        <v>2</v>
      </c>
      <c r="FR97" s="563">
        <f>IF(ISERROR('raw data'!JD97/'raw data'!JE97),0,'raw data'!JD97/'raw data'!JE97)</f>
        <v>1</v>
      </c>
      <c r="FS97" s="469"/>
      <c r="FT97" s="564">
        <v>35</v>
      </c>
      <c r="FU97" s="565">
        <v>70</v>
      </c>
      <c r="FV97" s="566">
        <f t="shared" ref="FV97:FV99" si="5">IF(ISERROR(FT97/FU97),0,FT97/FU97)</f>
        <v>0.5</v>
      </c>
    </row>
    <row r="98" spans="1:178" ht="25.5" customHeight="1" x14ac:dyDescent="0.15">
      <c r="A98" s="558" t="s">
        <v>162</v>
      </c>
      <c r="B98" s="559" t="s">
        <v>163</v>
      </c>
      <c r="C98" s="560"/>
      <c r="D98" s="536"/>
      <c r="E98" s="485"/>
      <c r="F98" s="483"/>
      <c r="G98" s="484"/>
      <c r="H98" s="485"/>
      <c r="I98" s="483"/>
      <c r="J98" s="484"/>
      <c r="K98" s="485"/>
      <c r="L98" s="483"/>
      <c r="M98" s="484"/>
      <c r="N98" s="485"/>
      <c r="O98" s="483"/>
      <c r="P98" s="484"/>
      <c r="Q98" s="485"/>
      <c r="R98" s="483"/>
      <c r="S98" s="484"/>
      <c r="T98" s="485"/>
      <c r="U98" s="404"/>
      <c r="V98" s="484"/>
      <c r="W98" s="485"/>
      <c r="X98" s="404"/>
      <c r="Y98" s="484"/>
      <c r="Z98" s="485"/>
      <c r="AA98" s="404"/>
      <c r="AB98" s="484"/>
      <c r="AC98" s="485"/>
      <c r="AD98" s="404"/>
      <c r="AE98" s="484"/>
      <c r="AF98" s="485"/>
      <c r="AG98" s="404"/>
      <c r="AH98" s="484"/>
      <c r="AI98" s="485"/>
      <c r="AJ98" s="404"/>
      <c r="AK98" s="484"/>
      <c r="AL98" s="485"/>
      <c r="AM98" s="404"/>
      <c r="AN98" s="484"/>
      <c r="AO98" s="485"/>
      <c r="AP98" s="404"/>
      <c r="AQ98" s="484"/>
      <c r="AR98" s="485"/>
      <c r="AS98" s="404"/>
      <c r="AT98" s="484"/>
      <c r="AU98" s="485"/>
      <c r="AV98" s="404"/>
      <c r="AW98" s="484"/>
      <c r="AX98" s="485"/>
      <c r="AY98" s="404"/>
      <c r="AZ98" s="484"/>
      <c r="BA98" s="485"/>
      <c r="BB98" s="404"/>
      <c r="BC98" s="484"/>
      <c r="BD98" s="485"/>
      <c r="BE98" s="404"/>
      <c r="BF98" s="484"/>
      <c r="BG98" s="485"/>
      <c r="BH98" s="404"/>
      <c r="BI98" s="484"/>
      <c r="BJ98" s="485"/>
      <c r="BK98" s="404"/>
      <c r="BL98" s="484"/>
      <c r="BM98" s="485"/>
      <c r="BN98" s="404"/>
      <c r="BO98" s="484"/>
      <c r="BP98" s="485"/>
      <c r="BQ98" s="404"/>
      <c r="BR98" s="484"/>
      <c r="BS98" s="485"/>
      <c r="BT98" s="404"/>
      <c r="BU98" s="484"/>
      <c r="BV98" s="485"/>
      <c r="BW98" s="404"/>
      <c r="BX98" s="484"/>
      <c r="BY98" s="485"/>
      <c r="BZ98" s="404"/>
      <c r="CA98" s="484"/>
      <c r="CB98" s="485"/>
      <c r="CC98" s="404"/>
      <c r="CD98" s="484"/>
      <c r="CE98" s="485"/>
      <c r="CF98" s="404"/>
      <c r="CG98" s="484"/>
      <c r="CH98" s="485"/>
      <c r="CI98" s="404"/>
      <c r="CJ98" s="484"/>
      <c r="CK98" s="485"/>
      <c r="CL98" s="404"/>
      <c r="CM98" s="484"/>
      <c r="CN98" s="485"/>
      <c r="CO98" s="404"/>
      <c r="CP98" s="484"/>
      <c r="CQ98" s="485"/>
      <c r="CR98" s="404"/>
      <c r="CS98" s="484"/>
      <c r="CT98" s="485"/>
      <c r="CU98" s="404"/>
      <c r="CV98" s="561">
        <f>'raw data'!HH98</f>
        <v>1</v>
      </c>
      <c r="CW98" s="562">
        <f>'raw data'!HI98</f>
        <v>1</v>
      </c>
      <c r="CX98" s="563">
        <f>IF(ISERROR('raw data'!HH98/'raw data'!HI98),0,'raw data'!HH98/'raw data'!HI98)</f>
        <v>1</v>
      </c>
      <c r="CY98" s="561">
        <f>'raw data'!HJ98</f>
        <v>0</v>
      </c>
      <c r="CZ98" s="562">
        <f>'raw data'!HK98</f>
        <v>1</v>
      </c>
      <c r="DA98" s="563">
        <f>IF(ISERROR('raw data'!HJ98/'raw data'!HK98),0,'raw data'!HJ98/'raw data'!HK98)</f>
        <v>0</v>
      </c>
      <c r="DB98" s="561">
        <f>'raw data'!HL98</f>
        <v>0</v>
      </c>
      <c r="DC98" s="562">
        <f>'raw data'!HM98</f>
        <v>1</v>
      </c>
      <c r="DD98" s="563">
        <f>IF(ISERROR('raw data'!HL98/'raw data'!HM98),0,'raw data'!HL98/'raw data'!HM98)</f>
        <v>0</v>
      </c>
      <c r="DE98" s="561">
        <f>'raw data'!HN98</f>
        <v>0</v>
      </c>
      <c r="DF98" s="562">
        <f>'raw data'!HO98</f>
        <v>0</v>
      </c>
      <c r="DG98" s="563">
        <f>IF(ISERROR('raw data'!HN98/'raw data'!HO98),0,'raw data'!HN98/'raw data'!HO98)</f>
        <v>0</v>
      </c>
      <c r="DH98" s="561">
        <f>'raw data'!HP98</f>
        <v>7</v>
      </c>
      <c r="DI98" s="562">
        <f>'raw data'!HQ98</f>
        <v>46</v>
      </c>
      <c r="DJ98" s="563">
        <f>IF(ISERROR('raw data'!HP98/'raw data'!HQ98),0,'raw data'!HP98/'raw data'!HQ98)</f>
        <v>0.15217391304347827</v>
      </c>
      <c r="DK98" s="561">
        <f>'raw data'!HR98</f>
        <v>0</v>
      </c>
      <c r="DL98" s="562">
        <f>'raw data'!HS98</f>
        <v>2</v>
      </c>
      <c r="DM98" s="563">
        <f>IF(ISERROR('raw data'!HR98/'raw data'!HS98),0,'raw data'!HR98/'raw data'!HS98)</f>
        <v>0</v>
      </c>
      <c r="DN98" s="561">
        <f>'raw data'!HT98</f>
        <v>5</v>
      </c>
      <c r="DO98" s="562">
        <f>'raw data'!HU98</f>
        <v>15</v>
      </c>
      <c r="DP98" s="563">
        <f>IF(ISERROR('raw data'!HT98/'raw data'!HU98),0,'raw data'!HT98/'raw data'!HU98)</f>
        <v>0.33333333333333331</v>
      </c>
      <c r="DQ98" s="561">
        <f>'raw data'!HV98</f>
        <v>2</v>
      </c>
      <c r="DR98" s="562">
        <f>'raw data'!HW98</f>
        <v>8</v>
      </c>
      <c r="DS98" s="563">
        <f>IF(ISERROR('raw data'!HV98/'raw data'!HW98),0,'raw data'!HV98/'raw data'!HW98)</f>
        <v>0.25</v>
      </c>
      <c r="DT98" s="561">
        <f>'raw data'!HX98</f>
        <v>0</v>
      </c>
      <c r="DU98" s="562">
        <f>'raw data'!HY98</f>
        <v>0</v>
      </c>
      <c r="DV98" s="563">
        <f>IF(ISERROR('raw data'!HX98/'raw data'!HY98),0,'raw data'!HX98/'raw data'!HY98)</f>
        <v>0</v>
      </c>
      <c r="DW98" s="561">
        <f>'raw data'!HZ98</f>
        <v>1</v>
      </c>
      <c r="DX98" s="562">
        <f>'raw data'!IA98</f>
        <v>2</v>
      </c>
      <c r="DY98" s="563">
        <f>IF(ISERROR('raw data'!HZ98/'raw data'!IA98),0,'raw data'!HZ98/'raw data'!IA98)</f>
        <v>0.5</v>
      </c>
      <c r="DZ98" s="561">
        <f>'raw data'!IB98</f>
        <v>2</v>
      </c>
      <c r="EA98" s="562">
        <f>'raw data'!IC98</f>
        <v>3</v>
      </c>
      <c r="EB98" s="563">
        <f>IF(ISERROR('raw data'!IB98/'raw data'!IC98),0,'raw data'!IB98/'raw data'!IC98)</f>
        <v>0.66666666666666663</v>
      </c>
      <c r="EC98" s="561">
        <f>'raw data'!ID98</f>
        <v>6</v>
      </c>
      <c r="ED98" s="562">
        <f>'raw data'!IE98</f>
        <v>37</v>
      </c>
      <c r="EE98" s="563">
        <f>IF(ISERROR('raw data'!ID98/'raw data'!IE98),0,'raw data'!ID98/'raw data'!IE98)</f>
        <v>0.16216216216216217</v>
      </c>
      <c r="EF98" s="561">
        <f>'raw data'!IF98</f>
        <v>0</v>
      </c>
      <c r="EG98" s="562">
        <f>'raw data'!IG98</f>
        <v>10</v>
      </c>
      <c r="EH98" s="563">
        <f>IF(ISERROR('raw data'!IF98/'raw data'!IG98),0,'raw data'!IF98/'raw data'!IG98)</f>
        <v>0</v>
      </c>
      <c r="EI98" s="561">
        <f>'raw data'!IH98</f>
        <v>2</v>
      </c>
      <c r="EJ98" s="562">
        <f>'raw data'!II98</f>
        <v>10</v>
      </c>
      <c r="EK98" s="563">
        <f>IF(ISERROR('raw data'!IH98/'raw data'!II98),0,'raw data'!IH98/'raw data'!II98)</f>
        <v>0.2</v>
      </c>
      <c r="EL98" s="561">
        <f>'raw data'!IJ98</f>
        <v>5</v>
      </c>
      <c r="EM98" s="562">
        <f>'raw data'!IK98</f>
        <v>10</v>
      </c>
      <c r="EN98" s="563">
        <f>IF(ISERROR('raw data'!IJ98/'raw data'!IK98),0,'raw data'!IJ98/'raw data'!IK98)</f>
        <v>0.5</v>
      </c>
      <c r="EO98" s="561">
        <f>'raw data'!IL98</f>
        <v>1</v>
      </c>
      <c r="EP98" s="562">
        <f>'raw data'!IM98</f>
        <v>6</v>
      </c>
      <c r="EQ98" s="563">
        <f>IF(ISERROR('raw data'!IL98/'raw data'!IM98),0,'raw data'!IL98/'raw data'!IM98)</f>
        <v>0.16666666666666666</v>
      </c>
      <c r="ER98" s="561">
        <f>'raw data'!IN98</f>
        <v>0</v>
      </c>
      <c r="ES98" s="562">
        <f>'raw data'!IO98</f>
        <v>5</v>
      </c>
      <c r="ET98" s="563">
        <f>IF(ISERROR('raw data'!IN98/'raw data'!IO98),0,'raw data'!IN98/'raw data'!IO98)</f>
        <v>0</v>
      </c>
      <c r="EU98" s="561">
        <f>'raw data'!IP98</f>
        <v>2</v>
      </c>
      <c r="EV98" s="562">
        <f>'raw data'!IQ98</f>
        <v>5</v>
      </c>
      <c r="EW98" s="563">
        <f>IF(ISERROR('raw data'!IP98/'raw data'!IQ98),0,'raw data'!IP98/'raw data'!IQ98)</f>
        <v>0.4</v>
      </c>
      <c r="EX98" s="561">
        <f>'raw data'!IR98</f>
        <v>2</v>
      </c>
      <c r="EY98" s="562">
        <f>'raw data'!IS98</f>
        <v>22</v>
      </c>
      <c r="EZ98" s="563">
        <f>IF(ISERROR('raw data'!IR98/'raw data'!IS98),0,'raw data'!IR98/'raw data'!IS98)</f>
        <v>9.0909090909090912E-2</v>
      </c>
      <c r="FA98" s="561">
        <f>'raw data'!IT98</f>
        <v>2</v>
      </c>
      <c r="FB98" s="562">
        <f>'raw data'!IU98</f>
        <v>10</v>
      </c>
      <c r="FC98" s="563">
        <f>IF(ISERROR('raw data'!IT98/'raw data'!IU98),0,'raw data'!IT98/'raw data'!IU98)</f>
        <v>0.2</v>
      </c>
      <c r="FD98" s="561">
        <f>'raw data'!IV98</f>
        <v>2</v>
      </c>
      <c r="FE98" s="562">
        <f>'raw data'!IW98</f>
        <v>7</v>
      </c>
      <c r="FF98" s="563">
        <f>IF(ISERROR('raw data'!IV98/'raw data'!IW98),0,'raw data'!IV98/'raw data'!IW98)</f>
        <v>0.2857142857142857</v>
      </c>
      <c r="FG98" s="561">
        <f>'raw data'!IX98</f>
        <v>4</v>
      </c>
      <c r="FH98" s="562">
        <f>'raw data'!IY98</f>
        <v>6</v>
      </c>
      <c r="FI98" s="563">
        <f>IF(ISERROR('raw data'!IX98/'raw data'!IY98),0,'raw data'!IX98/'raw data'!IY98)</f>
        <v>0.66666666666666663</v>
      </c>
      <c r="FJ98" s="561">
        <f>'raw data'!IZ98</f>
        <v>2</v>
      </c>
      <c r="FK98" s="562">
        <f>'raw data'!JA98</f>
        <v>5</v>
      </c>
      <c r="FL98" s="563">
        <f>IF(ISERROR('raw data'!IZ98/'raw data'!JA98),0,'raw data'!IZ98/'raw data'!JA98)</f>
        <v>0.4</v>
      </c>
      <c r="FM98" s="561">
        <f>'raw data'!JB98</f>
        <v>1</v>
      </c>
      <c r="FN98" s="562">
        <f>'raw data'!JC98</f>
        <v>8</v>
      </c>
      <c r="FO98" s="563">
        <f>IF(ISERROR('raw data'!JB98/'raw data'!JC98),0,'raw data'!JB98/'raw data'!JC98)</f>
        <v>0.125</v>
      </c>
      <c r="FP98" s="561">
        <f>'raw data'!JD98</f>
        <v>0</v>
      </c>
      <c r="FQ98" s="562">
        <f>'raw data'!JE98</f>
        <v>10</v>
      </c>
      <c r="FR98" s="563">
        <f>IF(ISERROR('raw data'!JD98/'raw data'!JE98),0,'raw data'!JD98/'raw data'!JE98)</f>
        <v>0</v>
      </c>
      <c r="FS98" s="469"/>
      <c r="FT98" s="564">
        <v>23</v>
      </c>
      <c r="FU98" s="565">
        <v>104</v>
      </c>
      <c r="FV98" s="566">
        <f t="shared" si="5"/>
        <v>0.22115384615384615</v>
      </c>
    </row>
    <row r="99" spans="1:178" ht="25.5" hidden="1" customHeight="1" x14ac:dyDescent="0.15">
      <c r="A99" s="558" t="s">
        <v>164</v>
      </c>
      <c r="B99" s="559"/>
      <c r="C99" s="560"/>
      <c r="D99" s="536"/>
      <c r="E99" s="485"/>
      <c r="F99" s="483"/>
      <c r="G99" s="484"/>
      <c r="H99" s="485"/>
      <c r="I99" s="483"/>
      <c r="J99" s="484"/>
      <c r="K99" s="485"/>
      <c r="L99" s="483"/>
      <c r="M99" s="484"/>
      <c r="N99" s="485"/>
      <c r="O99" s="483"/>
      <c r="P99" s="484"/>
      <c r="Q99" s="485"/>
      <c r="R99" s="483"/>
      <c r="S99" s="484"/>
      <c r="T99" s="485"/>
      <c r="U99" s="404"/>
      <c r="V99" s="484"/>
      <c r="W99" s="485"/>
      <c r="X99" s="404"/>
      <c r="Y99" s="484"/>
      <c r="Z99" s="485"/>
      <c r="AA99" s="404"/>
      <c r="AB99" s="484"/>
      <c r="AC99" s="485"/>
      <c r="AD99" s="404"/>
      <c r="AE99" s="484"/>
      <c r="AF99" s="485"/>
      <c r="AG99" s="404"/>
      <c r="AH99" s="484"/>
      <c r="AI99" s="485"/>
      <c r="AJ99" s="404"/>
      <c r="AK99" s="484"/>
      <c r="AL99" s="485"/>
      <c r="AM99" s="404"/>
      <c r="AN99" s="484"/>
      <c r="AO99" s="485"/>
      <c r="AP99" s="404"/>
      <c r="AQ99" s="484"/>
      <c r="AR99" s="485"/>
      <c r="AS99" s="404"/>
      <c r="AT99" s="484"/>
      <c r="AU99" s="485"/>
      <c r="AV99" s="404"/>
      <c r="AW99" s="484"/>
      <c r="AX99" s="485"/>
      <c r="AY99" s="404"/>
      <c r="AZ99" s="484"/>
      <c r="BA99" s="485"/>
      <c r="BB99" s="404"/>
      <c r="BC99" s="484"/>
      <c r="BD99" s="485"/>
      <c r="BE99" s="404"/>
      <c r="BF99" s="484"/>
      <c r="BG99" s="485"/>
      <c r="BH99" s="404"/>
      <c r="BI99" s="484"/>
      <c r="BJ99" s="485"/>
      <c r="BK99" s="404"/>
      <c r="BL99" s="484"/>
      <c r="BM99" s="485"/>
      <c r="BN99" s="404"/>
      <c r="BO99" s="484"/>
      <c r="BP99" s="485"/>
      <c r="BQ99" s="404"/>
      <c r="BR99" s="484"/>
      <c r="BS99" s="485"/>
      <c r="BT99" s="404"/>
      <c r="BU99" s="484"/>
      <c r="BV99" s="485"/>
      <c r="BW99" s="404"/>
      <c r="BX99" s="484"/>
      <c r="BY99" s="485"/>
      <c r="BZ99" s="404"/>
      <c r="CA99" s="484"/>
      <c r="CB99" s="485"/>
      <c r="CC99" s="404"/>
      <c r="CD99" s="484"/>
      <c r="CE99" s="485"/>
      <c r="CF99" s="404"/>
      <c r="CG99" s="484"/>
      <c r="CH99" s="485"/>
      <c r="CI99" s="404"/>
      <c r="CJ99" s="484"/>
      <c r="CK99" s="485"/>
      <c r="CL99" s="404"/>
      <c r="CM99" s="484"/>
      <c r="CN99" s="485"/>
      <c r="CO99" s="404"/>
      <c r="CP99" s="484"/>
      <c r="CQ99" s="485"/>
      <c r="CR99" s="404"/>
      <c r="CS99" s="484"/>
      <c r="CT99" s="485"/>
      <c r="CU99" s="404"/>
      <c r="CV99" s="484"/>
      <c r="CW99" s="485"/>
      <c r="CX99" s="404"/>
      <c r="CY99" s="484"/>
      <c r="CZ99" s="485"/>
      <c r="DA99" s="404"/>
      <c r="DB99" s="484"/>
      <c r="DC99" s="485"/>
      <c r="DD99" s="404"/>
      <c r="DE99" s="484"/>
      <c r="DF99" s="485"/>
      <c r="DG99" s="404"/>
      <c r="DH99" s="484"/>
      <c r="DI99" s="485"/>
      <c r="DJ99" s="404"/>
      <c r="DK99" s="484"/>
      <c r="DL99" s="485"/>
      <c r="DM99" s="404"/>
      <c r="DN99" s="484"/>
      <c r="DO99" s="485"/>
      <c r="DP99" s="404"/>
      <c r="DQ99" s="484"/>
      <c r="DR99" s="485"/>
      <c r="DS99" s="404"/>
      <c r="DT99" s="484"/>
      <c r="DU99" s="485"/>
      <c r="DV99" s="404"/>
      <c r="DW99" s="484"/>
      <c r="DX99" s="485"/>
      <c r="DY99" s="404"/>
      <c r="DZ99" s="484"/>
      <c r="EA99" s="485"/>
      <c r="EB99" s="404"/>
      <c r="EC99" s="484"/>
      <c r="ED99" s="485"/>
      <c r="EE99" s="404"/>
      <c r="EF99" s="484"/>
      <c r="EG99" s="485"/>
      <c r="EH99" s="404"/>
      <c r="EI99" s="484"/>
      <c r="EJ99" s="485"/>
      <c r="EK99" s="404"/>
      <c r="EL99" s="484"/>
      <c r="EM99" s="485"/>
      <c r="EN99" s="404"/>
      <c r="EO99" s="484"/>
      <c r="EP99" s="485"/>
      <c r="EQ99" s="404"/>
      <c r="ER99" s="484"/>
      <c r="ES99" s="485"/>
      <c r="ET99" s="404"/>
      <c r="EU99" s="484"/>
      <c r="EV99" s="485"/>
      <c r="EW99" s="404"/>
      <c r="EX99" s="484"/>
      <c r="EY99" s="485"/>
      <c r="EZ99" s="404"/>
      <c r="FA99" s="484"/>
      <c r="FB99" s="485"/>
      <c r="FC99" s="404"/>
      <c r="FD99" s="484"/>
      <c r="FE99" s="485"/>
      <c r="FF99" s="404"/>
      <c r="FG99" s="484"/>
      <c r="FH99" s="485"/>
      <c r="FI99" s="404"/>
      <c r="FJ99" s="484"/>
      <c r="FK99" s="485"/>
      <c r="FL99" s="404"/>
      <c r="FM99" s="484"/>
      <c r="FN99" s="485"/>
      <c r="FO99" s="404"/>
      <c r="FP99" s="484"/>
      <c r="FQ99" s="485"/>
      <c r="FR99" s="404"/>
      <c r="FS99" s="469"/>
      <c r="FT99" s="564">
        <v>0</v>
      </c>
      <c r="FU99" s="565">
        <v>0</v>
      </c>
      <c r="FV99" s="566">
        <f t="shared" si="5"/>
        <v>0</v>
      </c>
    </row>
    <row r="100" spans="1:178" ht="14" x14ac:dyDescent="0.15">
      <c r="A100" s="555"/>
      <c r="B100" s="129" t="s">
        <v>165</v>
      </c>
      <c r="C100" s="557"/>
      <c r="D100" s="501"/>
      <c r="E100" s="416"/>
      <c r="F100" s="420"/>
      <c r="G100" s="423"/>
      <c r="H100" s="422"/>
      <c r="I100" s="420"/>
      <c r="J100" s="423"/>
      <c r="K100" s="422"/>
      <c r="L100" s="420"/>
      <c r="M100" s="423"/>
      <c r="N100" s="422"/>
      <c r="O100" s="420"/>
      <c r="P100" s="423"/>
      <c r="Q100" s="422"/>
      <c r="R100" s="420"/>
      <c r="S100" s="423"/>
      <c r="T100" s="422"/>
      <c r="U100" s="420"/>
      <c r="V100" s="423"/>
      <c r="W100" s="422"/>
      <c r="X100" s="420"/>
      <c r="Y100" s="423"/>
      <c r="Z100" s="422"/>
      <c r="AA100" s="420"/>
      <c r="AB100" s="423"/>
      <c r="AC100" s="422"/>
      <c r="AD100" s="420"/>
      <c r="AE100" s="423"/>
      <c r="AF100" s="422"/>
      <c r="AG100" s="420"/>
      <c r="AH100" s="423"/>
      <c r="AI100" s="422"/>
      <c r="AJ100" s="420"/>
      <c r="AK100" s="423"/>
      <c r="AL100" s="422"/>
      <c r="AM100" s="420"/>
      <c r="AN100" s="423"/>
      <c r="AO100" s="422"/>
      <c r="AP100" s="420"/>
      <c r="AQ100" s="423"/>
      <c r="AR100" s="422"/>
      <c r="AS100" s="424"/>
      <c r="AT100" s="423"/>
      <c r="AU100" s="422"/>
      <c r="AV100" s="426"/>
      <c r="AW100" s="423"/>
      <c r="AX100" s="422"/>
      <c r="AY100" s="426"/>
      <c r="AZ100" s="423"/>
      <c r="BA100" s="422"/>
      <c r="BB100" s="426"/>
      <c r="BC100" s="423"/>
      <c r="BD100" s="422"/>
      <c r="BE100" s="426"/>
      <c r="BF100" s="423"/>
      <c r="BG100" s="422"/>
      <c r="BH100" s="426"/>
      <c r="BI100" s="423"/>
      <c r="BJ100" s="422"/>
      <c r="BK100" s="426"/>
      <c r="BL100" s="423"/>
      <c r="BM100" s="422"/>
      <c r="BN100" s="426"/>
      <c r="BO100" s="423"/>
      <c r="BP100" s="422"/>
      <c r="BQ100" s="426"/>
      <c r="BR100" s="421"/>
      <c r="BS100" s="425"/>
      <c r="BT100" s="426"/>
      <c r="BU100" s="421"/>
      <c r="BV100" s="425"/>
      <c r="BW100" s="426"/>
      <c r="BX100" s="421"/>
      <c r="BY100" s="425"/>
      <c r="BZ100" s="426"/>
      <c r="CA100" s="421"/>
      <c r="CB100" s="425"/>
      <c r="CC100" s="426"/>
      <c r="CD100" s="421"/>
      <c r="CE100" s="425"/>
      <c r="CF100" s="426"/>
      <c r="CG100" s="421"/>
      <c r="CH100" s="425"/>
      <c r="CI100" s="426"/>
      <c r="CJ100" s="421"/>
      <c r="CK100" s="425"/>
      <c r="CL100" s="426"/>
      <c r="CM100" s="421"/>
      <c r="CN100" s="425"/>
      <c r="CO100" s="426"/>
      <c r="CP100" s="421"/>
      <c r="CQ100" s="425"/>
      <c r="CR100" s="426"/>
      <c r="CS100" s="421"/>
      <c r="CT100" s="425"/>
      <c r="CU100" s="426"/>
      <c r="CV100" s="421">
        <f>SUM(CV96:CV99)</f>
        <v>12</v>
      </c>
      <c r="CW100" s="425">
        <f>SUM(CW96:CW99)</f>
        <v>60</v>
      </c>
      <c r="CX100" s="426">
        <f>IF(ISERROR('raw data'!HH100/'raw data'!HI100),0,'raw data'!HH100/'raw data'!HI100)</f>
        <v>0.2</v>
      </c>
      <c r="CY100" s="421">
        <f>SUM(CY96:CY99)</f>
        <v>17</v>
      </c>
      <c r="CZ100" s="425">
        <f>SUM(CZ96:CZ99)</f>
        <v>40</v>
      </c>
      <c r="DA100" s="426">
        <f>IF(ISERROR('raw data'!HJ100/'raw data'!HK100),0,'raw data'!HJ100/'raw data'!HK100)</f>
        <v>0.42499999999999999</v>
      </c>
      <c r="DB100" s="421">
        <f>SUM(DB96:DB99)</f>
        <v>4</v>
      </c>
      <c r="DC100" s="425">
        <f>SUM(DC96:DC99)</f>
        <v>15</v>
      </c>
      <c r="DD100" s="426">
        <f>IF(ISERROR('raw data'!HL100/'raw data'!HM100),0,'raw data'!HL100/'raw data'!HM100)</f>
        <v>0.26666666666666666</v>
      </c>
      <c r="DE100" s="421">
        <f>SUM(DE96:DE99)</f>
        <v>11</v>
      </c>
      <c r="DF100" s="425">
        <f>SUM(DF96:DF99)</f>
        <v>22</v>
      </c>
      <c r="DG100" s="426">
        <f>IF(ISERROR('raw data'!HN100/'raw data'!HO100),0,'raw data'!HN100/'raw data'!HO100)</f>
        <v>0.5</v>
      </c>
      <c r="DH100" s="421">
        <f>SUM(DH96:DH99)</f>
        <v>31</v>
      </c>
      <c r="DI100" s="425">
        <f>SUM(DI96:DI99)</f>
        <v>103</v>
      </c>
      <c r="DJ100" s="426">
        <f>IF(ISERROR('raw data'!HP100/'raw data'!HQ100),0,'raw data'!HP100/'raw data'!HQ100)</f>
        <v>0.30097087378640774</v>
      </c>
      <c r="DK100" s="421">
        <f>SUM(DK96:DK99)</f>
        <v>10</v>
      </c>
      <c r="DL100" s="425">
        <f>SUM(DL96:DL99)</f>
        <v>31</v>
      </c>
      <c r="DM100" s="426">
        <f>IF(ISERROR('raw data'!HR100/'raw data'!HS100),0,'raw data'!HR100/'raw data'!HS100)</f>
        <v>0.32258064516129031</v>
      </c>
      <c r="DN100" s="421">
        <f>SUM(DN96:DN99)</f>
        <v>23</v>
      </c>
      <c r="DO100" s="425">
        <f>SUM(DO96:DO99)</f>
        <v>48</v>
      </c>
      <c r="DP100" s="426">
        <f>IF(ISERROR('raw data'!HT100/'raw data'!HU100),0,'raw data'!HT100/'raw data'!HU100)</f>
        <v>0.47916666666666669</v>
      </c>
      <c r="DQ100" s="421">
        <f>SUM(DQ96:DQ99)</f>
        <v>25</v>
      </c>
      <c r="DR100" s="425">
        <f>SUM(DR96:DR99)</f>
        <v>57</v>
      </c>
      <c r="DS100" s="426">
        <f>IF(ISERROR('raw data'!HV100/'raw data'!HW100),0,'raw data'!HV100/'raw data'!HW100)</f>
        <v>0.43859649122807015</v>
      </c>
      <c r="DT100" s="421">
        <f>SUM(DT96:DT99)</f>
        <v>3</v>
      </c>
      <c r="DU100" s="425">
        <f>SUM(DU96:DU99)</f>
        <v>32</v>
      </c>
      <c r="DV100" s="426">
        <f>IF(ISERROR('raw data'!HX100/'raw data'!HY100),0,'raw data'!HX100/'raw data'!HY100)</f>
        <v>9.375E-2</v>
      </c>
      <c r="DW100" s="421">
        <f>SUM(DW96:DW99)</f>
        <v>18</v>
      </c>
      <c r="DX100" s="425">
        <f>SUM(DX96:DX99)</f>
        <v>28</v>
      </c>
      <c r="DY100" s="426">
        <f>IF(ISERROR('raw data'!HZ100/'raw data'!IA100),0,'raw data'!HZ100/'raw data'!IA100)</f>
        <v>0.6428571428571429</v>
      </c>
      <c r="DZ100" s="421">
        <f>SUM(DZ96:DZ99)</f>
        <v>15</v>
      </c>
      <c r="EA100" s="425">
        <f>SUM(EA96:EA99)</f>
        <v>24</v>
      </c>
      <c r="EB100" s="426">
        <f>IF(ISERROR('raw data'!IB100/'raw data'!IC100),0,'raw data'!IB100/'raw data'!IC100)</f>
        <v>0.625</v>
      </c>
      <c r="EC100" s="421">
        <f>SUM(EC96:EC99)</f>
        <v>27</v>
      </c>
      <c r="ED100" s="425">
        <f>SUM(ED96:ED99)</f>
        <v>73</v>
      </c>
      <c r="EE100" s="426">
        <f>IF(ISERROR('raw data'!ID100/'raw data'!IE100),0,'raw data'!ID100/'raw data'!IE100)</f>
        <v>0.36986301369863012</v>
      </c>
      <c r="EF100" s="421">
        <f>SUM(EF96:EF99)</f>
        <v>15</v>
      </c>
      <c r="EG100" s="425">
        <f>SUM(EG96:EG99)</f>
        <v>50</v>
      </c>
      <c r="EH100" s="426">
        <f>IF(ISERROR('raw data'!IF100/'raw data'!IG100),0,'raw data'!IF100/'raw data'!IG100)</f>
        <v>0.3</v>
      </c>
      <c r="EI100" s="421">
        <f>SUM(EI96:EI99)</f>
        <v>22</v>
      </c>
      <c r="EJ100" s="425">
        <f>SUM(EJ96:EJ99)</f>
        <v>48</v>
      </c>
      <c r="EK100" s="426">
        <f>IF(ISERROR('raw data'!IH100/'raw data'!II100),0,'raw data'!IH100/'raw data'!II100)</f>
        <v>0.45833333333333331</v>
      </c>
      <c r="EL100" s="421">
        <f>SUM(EL96:EL99)</f>
        <v>28</v>
      </c>
      <c r="EM100" s="425">
        <f>SUM(EM96:EM99)</f>
        <v>53</v>
      </c>
      <c r="EN100" s="426">
        <f>IF(ISERROR('raw data'!IJ100/'raw data'!IK100),0,'raw data'!IJ100/'raw data'!IK100)</f>
        <v>0.52830188679245282</v>
      </c>
      <c r="EO100" s="421">
        <f>SUM(EO96:EO99)</f>
        <v>4</v>
      </c>
      <c r="EP100" s="425">
        <f>SUM(EP96:EP99)</f>
        <v>13</v>
      </c>
      <c r="EQ100" s="426">
        <f>IF(ISERROR('raw data'!IL100/'raw data'!IM100),0,'raw data'!IL100/'raw data'!IM100)</f>
        <v>0.30769230769230771</v>
      </c>
      <c r="ER100" s="421">
        <f>SUM(ER96:ER99)</f>
        <v>4</v>
      </c>
      <c r="ES100" s="425">
        <f>SUM(ES96:ES99)</f>
        <v>42</v>
      </c>
      <c r="ET100" s="426">
        <f>IF(ISERROR('raw data'!IN100/'raw data'!IO100),0,'raw data'!IN100/'raw data'!IO100)</f>
        <v>9.5238095238095233E-2</v>
      </c>
      <c r="EU100" s="421">
        <f>SUM(EU96:EU99)</f>
        <v>15</v>
      </c>
      <c r="EV100" s="425">
        <f>SUM(EV96:EV99)</f>
        <v>31</v>
      </c>
      <c r="EW100" s="426">
        <f>IF(ISERROR('raw data'!IP100/'raw data'!IQ100),0,'raw data'!IP100/'raw data'!IQ100)</f>
        <v>0.4838709677419355</v>
      </c>
      <c r="EX100" s="421">
        <f>SUM(EX96:EX99)</f>
        <v>13</v>
      </c>
      <c r="EY100" s="425">
        <f>SUM(EY96:EY99)</f>
        <v>42</v>
      </c>
      <c r="EZ100" s="426">
        <f>IF(ISERROR('raw data'!IR100/'raw data'!IS100),0,'raw data'!IR100/'raw data'!IS100)</f>
        <v>0.30952380952380953</v>
      </c>
      <c r="FA100" s="421">
        <f>SUM(FA96:FA99)</f>
        <v>24</v>
      </c>
      <c r="FB100" s="425">
        <f>SUM(FB96:FB99)</f>
        <v>42</v>
      </c>
      <c r="FC100" s="426">
        <f>IF(ISERROR('raw data'!IT100/'raw data'!IU100),0,'raw data'!IT100/'raw data'!IU100)</f>
        <v>0.5714285714285714</v>
      </c>
      <c r="FD100" s="421">
        <f>SUM(FD96:FD99)</f>
        <v>14</v>
      </c>
      <c r="FE100" s="425">
        <f>SUM(FE96:FE99)</f>
        <v>36</v>
      </c>
      <c r="FF100" s="426">
        <f>IF(ISERROR('raw data'!IV100/'raw data'!IW100),0,'raw data'!IV100/'raw data'!IW100)</f>
        <v>0.3888888888888889</v>
      </c>
      <c r="FG100" s="421">
        <f>SUM(FG96:FG99)</f>
        <v>17</v>
      </c>
      <c r="FH100" s="425">
        <f>SUM(FH96:FH99)</f>
        <v>29</v>
      </c>
      <c r="FI100" s="426">
        <f>IF(ISERROR('raw data'!IX100/'raw data'!IY100),0,'raw data'!IX100/'raw data'!IY100)</f>
        <v>0.58620689655172409</v>
      </c>
      <c r="FJ100" s="421">
        <f>SUM(FJ96:FJ99)</f>
        <v>8</v>
      </c>
      <c r="FK100" s="425">
        <f>SUM(FK96:FK99)</f>
        <v>16</v>
      </c>
      <c r="FL100" s="426">
        <f>IF(ISERROR('raw data'!IZ100/'raw data'!JA100),0,'raw data'!IZ100/'raw data'!JA100)</f>
        <v>0.5</v>
      </c>
      <c r="FM100" s="421">
        <f>SUM(FM96:FM99)</f>
        <v>24</v>
      </c>
      <c r="FN100" s="425">
        <f>SUM(FN96:FN99)</f>
        <v>41</v>
      </c>
      <c r="FO100" s="426">
        <f>IF(ISERROR('raw data'!JB100/'raw data'!JC100),0,'raw data'!JB100/'raw data'!JC100)</f>
        <v>0.58536585365853655</v>
      </c>
      <c r="FP100" s="421">
        <f>SUM(FP96:FP99)</f>
        <v>5</v>
      </c>
      <c r="FQ100" s="425">
        <f>SUM(FQ96:FQ99)</f>
        <v>22</v>
      </c>
      <c r="FR100" s="426">
        <f>IF(ISERROR('raw data'!JD100/'raw data'!JE100),0,'raw data'!JD100/'raw data'!JE100)</f>
        <v>0.22727272727272727</v>
      </c>
      <c r="FS100" s="469"/>
      <c r="FT100" s="428">
        <f>SUM(FT96:FT99)</f>
        <v>178</v>
      </c>
      <c r="FU100" s="429">
        <f>SUM(FU96:FU99)</f>
        <v>415</v>
      </c>
      <c r="FV100" s="430">
        <f>IF(ISERROR(FT100/FU100),0,FT100/FU100)</f>
        <v>0.42891566265060244</v>
      </c>
    </row>
    <row r="101" spans="1:178" ht="25.5" customHeight="1" x14ac:dyDescent="0.15">
      <c r="A101" s="567">
        <v>5.0999999999999996</v>
      </c>
      <c r="B101" s="567" t="str">
        <f>'raw data'!B101</f>
        <v xml:space="preserve">Customer residing in OFAC sanctioned country performing a £100+ transaction on a B&amp;S account last month (excludes standing orders, direct debits and interest transactions). </v>
      </c>
      <c r="C101" s="568" t="s">
        <v>167</v>
      </c>
      <c r="D101" s="402" t="s">
        <v>243</v>
      </c>
      <c r="E101" s="403" t="s">
        <v>243</v>
      </c>
      <c r="F101" s="404" t="s">
        <v>243</v>
      </c>
      <c r="G101" s="402" t="s">
        <v>243</v>
      </c>
      <c r="H101" s="403" t="s">
        <v>243</v>
      </c>
      <c r="I101" s="404" t="s">
        <v>243</v>
      </c>
      <c r="J101" s="402" t="s">
        <v>243</v>
      </c>
      <c r="K101" s="403" t="s">
        <v>243</v>
      </c>
      <c r="L101" s="404" t="s">
        <v>243</v>
      </c>
      <c r="M101" s="402" t="s">
        <v>243</v>
      </c>
      <c r="N101" s="403" t="s">
        <v>243</v>
      </c>
      <c r="O101" s="404" t="s">
        <v>243</v>
      </c>
      <c r="P101" s="402" t="s">
        <v>243</v>
      </c>
      <c r="Q101" s="403" t="s">
        <v>243</v>
      </c>
      <c r="R101" s="404" t="s">
        <v>243</v>
      </c>
      <c r="S101" s="402" t="s">
        <v>243</v>
      </c>
      <c r="T101" s="403" t="s">
        <v>243</v>
      </c>
      <c r="U101" s="404" t="s">
        <v>243</v>
      </c>
      <c r="V101" s="402" t="s">
        <v>243</v>
      </c>
      <c r="W101" s="403" t="s">
        <v>243</v>
      </c>
      <c r="X101" s="404" t="s">
        <v>243</v>
      </c>
      <c r="Y101" s="402" t="s">
        <v>243</v>
      </c>
      <c r="Z101" s="403" t="s">
        <v>243</v>
      </c>
      <c r="AA101" s="404" t="s">
        <v>243</v>
      </c>
      <c r="AB101" s="402" t="s">
        <v>243</v>
      </c>
      <c r="AC101" s="403" t="s">
        <v>243</v>
      </c>
      <c r="AD101" s="404" t="s">
        <v>243</v>
      </c>
      <c r="AE101" s="402" t="s">
        <v>243</v>
      </c>
      <c r="AF101" s="403" t="s">
        <v>243</v>
      </c>
      <c r="AG101" s="404" t="s">
        <v>243</v>
      </c>
      <c r="AH101" s="402" t="s">
        <v>243</v>
      </c>
      <c r="AI101" s="403" t="s">
        <v>243</v>
      </c>
      <c r="AJ101" s="404" t="s">
        <v>243</v>
      </c>
      <c r="AK101" s="402" t="s">
        <v>243</v>
      </c>
      <c r="AL101" s="403" t="s">
        <v>243</v>
      </c>
      <c r="AM101" s="404" t="s">
        <v>243</v>
      </c>
      <c r="AN101" s="402" t="s">
        <v>243</v>
      </c>
      <c r="AO101" s="403" t="s">
        <v>243</v>
      </c>
      <c r="AP101" s="404" t="s">
        <v>243</v>
      </c>
      <c r="AQ101" s="402" t="s">
        <v>243</v>
      </c>
      <c r="AR101" s="403" t="s">
        <v>243</v>
      </c>
      <c r="AS101" s="405" t="s">
        <v>243</v>
      </c>
      <c r="AT101" s="402" t="s">
        <v>243</v>
      </c>
      <c r="AU101" s="403" t="s">
        <v>243</v>
      </c>
      <c r="AV101" s="405" t="s">
        <v>243</v>
      </c>
      <c r="AW101" s="402" t="s">
        <v>243</v>
      </c>
      <c r="AX101" s="403" t="s">
        <v>243</v>
      </c>
      <c r="AY101" s="405" t="s">
        <v>243</v>
      </c>
      <c r="AZ101" s="402" t="s">
        <v>243</v>
      </c>
      <c r="BA101" s="403" t="s">
        <v>243</v>
      </c>
      <c r="BB101" s="405" t="s">
        <v>243</v>
      </c>
      <c r="BC101" s="402" t="s">
        <v>243</v>
      </c>
      <c r="BD101" s="403" t="s">
        <v>243</v>
      </c>
      <c r="BE101" s="405" t="s">
        <v>243</v>
      </c>
      <c r="BF101" s="402" t="s">
        <v>243</v>
      </c>
      <c r="BG101" s="403" t="s">
        <v>243</v>
      </c>
      <c r="BH101" s="405" t="s">
        <v>243</v>
      </c>
      <c r="BI101" s="402" t="s">
        <v>243</v>
      </c>
      <c r="BJ101" s="403" t="s">
        <v>243</v>
      </c>
      <c r="BK101" s="405" t="s">
        <v>243</v>
      </c>
      <c r="BL101" s="402" t="s">
        <v>243</v>
      </c>
      <c r="BM101" s="403" t="s">
        <v>243</v>
      </c>
      <c r="BN101" s="405" t="s">
        <v>243</v>
      </c>
      <c r="BO101" s="402" t="s">
        <v>243</v>
      </c>
      <c r="BP101" s="403" t="s">
        <v>243</v>
      </c>
      <c r="BQ101" s="405" t="s">
        <v>243</v>
      </c>
      <c r="BR101" s="402" t="s">
        <v>243</v>
      </c>
      <c r="BS101" s="403" t="s">
        <v>243</v>
      </c>
      <c r="BT101" s="405" t="s">
        <v>243</v>
      </c>
      <c r="BU101" s="402" t="s">
        <v>243</v>
      </c>
      <c r="BV101" s="403" t="s">
        <v>243</v>
      </c>
      <c r="BW101" s="405" t="s">
        <v>243</v>
      </c>
      <c r="BX101" s="402" t="s">
        <v>243</v>
      </c>
      <c r="BY101" s="403" t="s">
        <v>243</v>
      </c>
      <c r="BZ101" s="405" t="s">
        <v>243</v>
      </c>
      <c r="CA101" s="402" t="s">
        <v>243</v>
      </c>
      <c r="CB101" s="403" t="s">
        <v>243</v>
      </c>
      <c r="CC101" s="405" t="s">
        <v>243</v>
      </c>
      <c r="CD101" s="402" t="s">
        <v>243</v>
      </c>
      <c r="CE101" s="403" t="s">
        <v>243</v>
      </c>
      <c r="CF101" s="405" t="s">
        <v>243</v>
      </c>
      <c r="CG101" s="402" t="s">
        <v>243</v>
      </c>
      <c r="CH101" s="403" t="s">
        <v>243</v>
      </c>
      <c r="CI101" s="405" t="s">
        <v>243</v>
      </c>
      <c r="CJ101" s="402" t="s">
        <v>243</v>
      </c>
      <c r="CK101" s="403" t="s">
        <v>243</v>
      </c>
      <c r="CL101" s="405" t="s">
        <v>243</v>
      </c>
      <c r="CM101" s="402" t="s">
        <v>243</v>
      </c>
      <c r="CN101" s="403" t="s">
        <v>243</v>
      </c>
      <c r="CO101" s="405" t="s">
        <v>243</v>
      </c>
      <c r="CP101" s="402" t="s">
        <v>243</v>
      </c>
      <c r="CQ101" s="403" t="s">
        <v>243</v>
      </c>
      <c r="CR101" s="405" t="s">
        <v>243</v>
      </c>
      <c r="CS101" s="402" t="s">
        <v>243</v>
      </c>
      <c r="CT101" s="403" t="s">
        <v>243</v>
      </c>
      <c r="CU101" s="405" t="s">
        <v>243</v>
      </c>
      <c r="CV101" s="402" t="s">
        <v>243</v>
      </c>
      <c r="CW101" s="403" t="s">
        <v>243</v>
      </c>
      <c r="CX101" s="405" t="s">
        <v>243</v>
      </c>
      <c r="CY101" s="402" t="s">
        <v>243</v>
      </c>
      <c r="CZ101" s="403" t="s">
        <v>243</v>
      </c>
      <c r="DA101" s="405" t="s">
        <v>243</v>
      </c>
      <c r="DB101" s="402" t="s">
        <v>243</v>
      </c>
      <c r="DC101" s="403" t="s">
        <v>243</v>
      </c>
      <c r="DD101" s="405" t="s">
        <v>243</v>
      </c>
      <c r="DE101" s="402" t="s">
        <v>243</v>
      </c>
      <c r="DF101" s="403" t="s">
        <v>243</v>
      </c>
      <c r="DG101" s="405" t="s">
        <v>243</v>
      </c>
      <c r="DH101" s="402" t="s">
        <v>243</v>
      </c>
      <c r="DI101" s="403" t="s">
        <v>243</v>
      </c>
      <c r="DJ101" s="405" t="s">
        <v>243</v>
      </c>
      <c r="DK101" s="402" t="s">
        <v>243</v>
      </c>
      <c r="DL101" s="403" t="s">
        <v>243</v>
      </c>
      <c r="DM101" s="405" t="s">
        <v>243</v>
      </c>
      <c r="DN101" s="402" t="s">
        <v>243</v>
      </c>
      <c r="DO101" s="403" t="s">
        <v>243</v>
      </c>
      <c r="DP101" s="405" t="s">
        <v>243</v>
      </c>
      <c r="DQ101" s="402" t="s">
        <v>243</v>
      </c>
      <c r="DR101" s="403" t="s">
        <v>243</v>
      </c>
      <c r="DS101" s="405" t="s">
        <v>243</v>
      </c>
      <c r="DT101" s="402" t="s">
        <v>243</v>
      </c>
      <c r="DU101" s="403" t="s">
        <v>243</v>
      </c>
      <c r="DV101" s="405" t="s">
        <v>243</v>
      </c>
      <c r="DW101" s="402" t="s">
        <v>243</v>
      </c>
      <c r="DX101" s="403" t="s">
        <v>243</v>
      </c>
      <c r="DY101" s="405" t="s">
        <v>243</v>
      </c>
      <c r="DZ101" s="402" t="s">
        <v>243</v>
      </c>
      <c r="EA101" s="403" t="s">
        <v>243</v>
      </c>
      <c r="EB101" s="405" t="s">
        <v>243</v>
      </c>
      <c r="EC101" s="402" t="s">
        <v>243</v>
      </c>
      <c r="ED101" s="403" t="s">
        <v>243</v>
      </c>
      <c r="EE101" s="405" t="s">
        <v>243</v>
      </c>
      <c r="EF101" s="402" t="s">
        <v>243</v>
      </c>
      <c r="EG101" s="403" t="s">
        <v>243</v>
      </c>
      <c r="EH101" s="405" t="s">
        <v>243</v>
      </c>
      <c r="EI101" s="402" t="s">
        <v>243</v>
      </c>
      <c r="EJ101" s="403" t="s">
        <v>243</v>
      </c>
      <c r="EK101" s="405" t="s">
        <v>243</v>
      </c>
      <c r="EL101" s="402" t="s">
        <v>243</v>
      </c>
      <c r="EM101" s="403" t="s">
        <v>243</v>
      </c>
      <c r="EN101" s="405" t="s">
        <v>243</v>
      </c>
      <c r="EO101" s="402" t="s">
        <v>243</v>
      </c>
      <c r="EP101" s="403" t="s">
        <v>243</v>
      </c>
      <c r="EQ101" s="405" t="s">
        <v>243</v>
      </c>
      <c r="ER101" s="402" t="s">
        <v>243</v>
      </c>
      <c r="ES101" s="403" t="s">
        <v>243</v>
      </c>
      <c r="ET101" s="405" t="s">
        <v>243</v>
      </c>
      <c r="EU101" s="402" t="s">
        <v>243</v>
      </c>
      <c r="EV101" s="403" t="s">
        <v>243</v>
      </c>
      <c r="EW101" s="405" t="s">
        <v>243</v>
      </c>
      <c r="EX101" s="402" t="s">
        <v>243</v>
      </c>
      <c r="EY101" s="403" t="s">
        <v>243</v>
      </c>
      <c r="EZ101" s="405" t="s">
        <v>243</v>
      </c>
      <c r="FA101" s="402" t="s">
        <v>243</v>
      </c>
      <c r="FB101" s="403" t="s">
        <v>243</v>
      </c>
      <c r="FC101" s="405" t="s">
        <v>243</v>
      </c>
      <c r="FD101" s="402" t="s">
        <v>243</v>
      </c>
      <c r="FE101" s="403" t="s">
        <v>243</v>
      </c>
      <c r="FF101" s="405" t="s">
        <v>243</v>
      </c>
      <c r="FG101" s="402" t="s">
        <v>243</v>
      </c>
      <c r="FH101" s="403" t="s">
        <v>243</v>
      </c>
      <c r="FI101" s="405" t="s">
        <v>243</v>
      </c>
      <c r="FJ101" s="402" t="s">
        <v>243</v>
      </c>
      <c r="FK101" s="403" t="s">
        <v>243</v>
      </c>
      <c r="FL101" s="405" t="s">
        <v>243</v>
      </c>
      <c r="FM101" s="402" t="s">
        <v>243</v>
      </c>
      <c r="FN101" s="403" t="s">
        <v>243</v>
      </c>
      <c r="FO101" s="405" t="s">
        <v>243</v>
      </c>
      <c r="FP101" s="402" t="s">
        <v>243</v>
      </c>
      <c r="FQ101" s="403" t="s">
        <v>243</v>
      </c>
      <c r="FR101" s="405" t="s">
        <v>243</v>
      </c>
      <c r="FS101" s="469"/>
      <c r="FT101" s="569">
        <v>0</v>
      </c>
      <c r="FU101" s="570">
        <v>0</v>
      </c>
      <c r="FV101" s="571">
        <f t="shared" si="0"/>
        <v>0</v>
      </c>
    </row>
    <row r="102" spans="1:178" ht="25.5" customHeight="1" x14ac:dyDescent="0.15">
      <c r="A102" s="567">
        <v>5.2</v>
      </c>
      <c r="B102" s="567" t="str">
        <f>'raw data'!B102</f>
        <v>Customer residing in OFAC sanctioned country, transacting last month on B&amp;S account and not reviewed for 6 months.</v>
      </c>
      <c r="C102" s="568" t="s">
        <v>169</v>
      </c>
      <c r="D102" s="402" t="s">
        <v>243</v>
      </c>
      <c r="E102" s="403" t="s">
        <v>243</v>
      </c>
      <c r="F102" s="404" t="s">
        <v>243</v>
      </c>
      <c r="G102" s="402" t="s">
        <v>243</v>
      </c>
      <c r="H102" s="403" t="s">
        <v>243</v>
      </c>
      <c r="I102" s="404" t="s">
        <v>243</v>
      </c>
      <c r="J102" s="402" t="s">
        <v>243</v>
      </c>
      <c r="K102" s="403" t="s">
        <v>243</v>
      </c>
      <c r="L102" s="404" t="s">
        <v>243</v>
      </c>
      <c r="M102" s="402" t="s">
        <v>243</v>
      </c>
      <c r="N102" s="403" t="s">
        <v>243</v>
      </c>
      <c r="O102" s="404" t="s">
        <v>243</v>
      </c>
      <c r="P102" s="402" t="s">
        <v>243</v>
      </c>
      <c r="Q102" s="403" t="s">
        <v>243</v>
      </c>
      <c r="R102" s="404" t="s">
        <v>243</v>
      </c>
      <c r="S102" s="402" t="s">
        <v>243</v>
      </c>
      <c r="T102" s="403" t="s">
        <v>243</v>
      </c>
      <c r="U102" s="404" t="s">
        <v>243</v>
      </c>
      <c r="V102" s="402" t="s">
        <v>243</v>
      </c>
      <c r="W102" s="403" t="s">
        <v>243</v>
      </c>
      <c r="X102" s="404" t="s">
        <v>243</v>
      </c>
      <c r="Y102" s="402" t="s">
        <v>243</v>
      </c>
      <c r="Z102" s="403" t="s">
        <v>243</v>
      </c>
      <c r="AA102" s="404" t="s">
        <v>243</v>
      </c>
      <c r="AB102" s="402" t="s">
        <v>243</v>
      </c>
      <c r="AC102" s="403" t="s">
        <v>243</v>
      </c>
      <c r="AD102" s="404" t="s">
        <v>243</v>
      </c>
      <c r="AE102" s="402" t="s">
        <v>243</v>
      </c>
      <c r="AF102" s="403" t="s">
        <v>243</v>
      </c>
      <c r="AG102" s="404" t="s">
        <v>243</v>
      </c>
      <c r="AH102" s="402" t="s">
        <v>243</v>
      </c>
      <c r="AI102" s="403" t="s">
        <v>243</v>
      </c>
      <c r="AJ102" s="404" t="s">
        <v>243</v>
      </c>
      <c r="AK102" s="402" t="s">
        <v>243</v>
      </c>
      <c r="AL102" s="403" t="s">
        <v>243</v>
      </c>
      <c r="AM102" s="404" t="s">
        <v>243</v>
      </c>
      <c r="AN102" s="402" t="s">
        <v>243</v>
      </c>
      <c r="AO102" s="403" t="s">
        <v>243</v>
      </c>
      <c r="AP102" s="404" t="s">
        <v>243</v>
      </c>
      <c r="AQ102" s="402" t="s">
        <v>243</v>
      </c>
      <c r="AR102" s="403" t="s">
        <v>243</v>
      </c>
      <c r="AS102" s="405" t="s">
        <v>243</v>
      </c>
      <c r="AT102" s="402" t="s">
        <v>243</v>
      </c>
      <c r="AU102" s="403" t="s">
        <v>243</v>
      </c>
      <c r="AV102" s="405" t="s">
        <v>243</v>
      </c>
      <c r="AW102" s="402" t="s">
        <v>243</v>
      </c>
      <c r="AX102" s="403" t="s">
        <v>243</v>
      </c>
      <c r="AY102" s="405" t="s">
        <v>243</v>
      </c>
      <c r="AZ102" s="402" t="s">
        <v>243</v>
      </c>
      <c r="BA102" s="403" t="s">
        <v>243</v>
      </c>
      <c r="BB102" s="405" t="s">
        <v>243</v>
      </c>
      <c r="BC102" s="402" t="s">
        <v>243</v>
      </c>
      <c r="BD102" s="403" t="s">
        <v>243</v>
      </c>
      <c r="BE102" s="405" t="s">
        <v>243</v>
      </c>
      <c r="BF102" s="402" t="s">
        <v>243</v>
      </c>
      <c r="BG102" s="403" t="s">
        <v>243</v>
      </c>
      <c r="BH102" s="405" t="s">
        <v>243</v>
      </c>
      <c r="BI102" s="402" t="s">
        <v>243</v>
      </c>
      <c r="BJ102" s="403" t="s">
        <v>243</v>
      </c>
      <c r="BK102" s="405" t="s">
        <v>243</v>
      </c>
      <c r="BL102" s="402" t="s">
        <v>243</v>
      </c>
      <c r="BM102" s="403" t="s">
        <v>243</v>
      </c>
      <c r="BN102" s="405" t="s">
        <v>243</v>
      </c>
      <c r="BO102" s="402" t="s">
        <v>243</v>
      </c>
      <c r="BP102" s="403" t="s">
        <v>243</v>
      </c>
      <c r="BQ102" s="405" t="s">
        <v>243</v>
      </c>
      <c r="BR102" s="402" t="s">
        <v>243</v>
      </c>
      <c r="BS102" s="403" t="s">
        <v>243</v>
      </c>
      <c r="BT102" s="405" t="s">
        <v>243</v>
      </c>
      <c r="BU102" s="402" t="s">
        <v>243</v>
      </c>
      <c r="BV102" s="403" t="s">
        <v>243</v>
      </c>
      <c r="BW102" s="405" t="s">
        <v>243</v>
      </c>
      <c r="BX102" s="402" t="s">
        <v>243</v>
      </c>
      <c r="BY102" s="403" t="s">
        <v>243</v>
      </c>
      <c r="BZ102" s="405" t="s">
        <v>243</v>
      </c>
      <c r="CA102" s="402" t="s">
        <v>243</v>
      </c>
      <c r="CB102" s="403" t="s">
        <v>243</v>
      </c>
      <c r="CC102" s="405" t="s">
        <v>243</v>
      </c>
      <c r="CD102" s="402" t="s">
        <v>243</v>
      </c>
      <c r="CE102" s="403" t="s">
        <v>243</v>
      </c>
      <c r="CF102" s="405" t="s">
        <v>243</v>
      </c>
      <c r="CG102" s="402" t="s">
        <v>243</v>
      </c>
      <c r="CH102" s="403" t="s">
        <v>243</v>
      </c>
      <c r="CI102" s="405" t="s">
        <v>243</v>
      </c>
      <c r="CJ102" s="402" t="s">
        <v>243</v>
      </c>
      <c r="CK102" s="403" t="s">
        <v>243</v>
      </c>
      <c r="CL102" s="405" t="s">
        <v>243</v>
      </c>
      <c r="CM102" s="402" t="s">
        <v>243</v>
      </c>
      <c r="CN102" s="403" t="s">
        <v>243</v>
      </c>
      <c r="CO102" s="405" t="s">
        <v>243</v>
      </c>
      <c r="CP102" s="402" t="s">
        <v>243</v>
      </c>
      <c r="CQ102" s="403" t="s">
        <v>243</v>
      </c>
      <c r="CR102" s="405" t="s">
        <v>243</v>
      </c>
      <c r="CS102" s="402" t="s">
        <v>243</v>
      </c>
      <c r="CT102" s="403" t="s">
        <v>243</v>
      </c>
      <c r="CU102" s="405" t="s">
        <v>243</v>
      </c>
      <c r="CV102" s="402" t="s">
        <v>243</v>
      </c>
      <c r="CW102" s="403" t="s">
        <v>243</v>
      </c>
      <c r="CX102" s="405" t="s">
        <v>243</v>
      </c>
      <c r="CY102" s="402" t="s">
        <v>243</v>
      </c>
      <c r="CZ102" s="403" t="s">
        <v>243</v>
      </c>
      <c r="DA102" s="405" t="s">
        <v>243</v>
      </c>
      <c r="DB102" s="402" t="s">
        <v>243</v>
      </c>
      <c r="DC102" s="403" t="s">
        <v>243</v>
      </c>
      <c r="DD102" s="405" t="s">
        <v>243</v>
      </c>
      <c r="DE102" s="402" t="s">
        <v>243</v>
      </c>
      <c r="DF102" s="403" t="s">
        <v>243</v>
      </c>
      <c r="DG102" s="405" t="s">
        <v>243</v>
      </c>
      <c r="DH102" s="402" t="s">
        <v>243</v>
      </c>
      <c r="DI102" s="403" t="s">
        <v>243</v>
      </c>
      <c r="DJ102" s="405" t="s">
        <v>243</v>
      </c>
      <c r="DK102" s="402" t="s">
        <v>243</v>
      </c>
      <c r="DL102" s="403" t="s">
        <v>243</v>
      </c>
      <c r="DM102" s="405" t="s">
        <v>243</v>
      </c>
      <c r="DN102" s="402" t="s">
        <v>243</v>
      </c>
      <c r="DO102" s="403" t="s">
        <v>243</v>
      </c>
      <c r="DP102" s="405" t="s">
        <v>243</v>
      </c>
      <c r="DQ102" s="402" t="s">
        <v>243</v>
      </c>
      <c r="DR102" s="403" t="s">
        <v>243</v>
      </c>
      <c r="DS102" s="405" t="s">
        <v>243</v>
      </c>
      <c r="DT102" s="402" t="s">
        <v>243</v>
      </c>
      <c r="DU102" s="403" t="s">
        <v>243</v>
      </c>
      <c r="DV102" s="405" t="s">
        <v>243</v>
      </c>
      <c r="DW102" s="402" t="s">
        <v>243</v>
      </c>
      <c r="DX102" s="403" t="s">
        <v>243</v>
      </c>
      <c r="DY102" s="405" t="s">
        <v>243</v>
      </c>
      <c r="DZ102" s="402" t="s">
        <v>243</v>
      </c>
      <c r="EA102" s="403" t="s">
        <v>243</v>
      </c>
      <c r="EB102" s="405" t="s">
        <v>243</v>
      </c>
      <c r="EC102" s="402" t="s">
        <v>243</v>
      </c>
      <c r="ED102" s="403" t="s">
        <v>243</v>
      </c>
      <c r="EE102" s="405" t="s">
        <v>243</v>
      </c>
      <c r="EF102" s="402" t="s">
        <v>243</v>
      </c>
      <c r="EG102" s="403" t="s">
        <v>243</v>
      </c>
      <c r="EH102" s="405" t="s">
        <v>243</v>
      </c>
      <c r="EI102" s="402" t="s">
        <v>243</v>
      </c>
      <c r="EJ102" s="403" t="s">
        <v>243</v>
      </c>
      <c r="EK102" s="405" t="s">
        <v>243</v>
      </c>
      <c r="EL102" s="402" t="s">
        <v>243</v>
      </c>
      <c r="EM102" s="403" t="s">
        <v>243</v>
      </c>
      <c r="EN102" s="405" t="s">
        <v>243</v>
      </c>
      <c r="EO102" s="402" t="s">
        <v>243</v>
      </c>
      <c r="EP102" s="403" t="s">
        <v>243</v>
      </c>
      <c r="EQ102" s="405" t="s">
        <v>243</v>
      </c>
      <c r="ER102" s="402" t="s">
        <v>243</v>
      </c>
      <c r="ES102" s="403" t="s">
        <v>243</v>
      </c>
      <c r="ET102" s="405" t="s">
        <v>243</v>
      </c>
      <c r="EU102" s="402" t="s">
        <v>243</v>
      </c>
      <c r="EV102" s="403" t="s">
        <v>243</v>
      </c>
      <c r="EW102" s="405" t="s">
        <v>243</v>
      </c>
      <c r="EX102" s="402" t="s">
        <v>243</v>
      </c>
      <c r="EY102" s="403" t="s">
        <v>243</v>
      </c>
      <c r="EZ102" s="405" t="s">
        <v>243</v>
      </c>
      <c r="FA102" s="402" t="s">
        <v>243</v>
      </c>
      <c r="FB102" s="403" t="s">
        <v>243</v>
      </c>
      <c r="FC102" s="405" t="s">
        <v>243</v>
      </c>
      <c r="FD102" s="402" t="s">
        <v>243</v>
      </c>
      <c r="FE102" s="403" t="s">
        <v>243</v>
      </c>
      <c r="FF102" s="405" t="s">
        <v>243</v>
      </c>
      <c r="FG102" s="402" t="s">
        <v>243</v>
      </c>
      <c r="FH102" s="403" t="s">
        <v>243</v>
      </c>
      <c r="FI102" s="405" t="s">
        <v>243</v>
      </c>
      <c r="FJ102" s="402" t="s">
        <v>243</v>
      </c>
      <c r="FK102" s="403" t="s">
        <v>243</v>
      </c>
      <c r="FL102" s="405" t="s">
        <v>243</v>
      </c>
      <c r="FM102" s="402" t="s">
        <v>243</v>
      </c>
      <c r="FN102" s="403" t="s">
        <v>243</v>
      </c>
      <c r="FO102" s="405" t="s">
        <v>243</v>
      </c>
      <c r="FP102" s="402" t="s">
        <v>243</v>
      </c>
      <c r="FQ102" s="403" t="s">
        <v>243</v>
      </c>
      <c r="FR102" s="405" t="s">
        <v>243</v>
      </c>
      <c r="FS102" s="469"/>
      <c r="FT102" s="569">
        <v>0</v>
      </c>
      <c r="FU102" s="570">
        <v>0</v>
      </c>
      <c r="FV102" s="571">
        <f t="shared" si="0"/>
        <v>0</v>
      </c>
    </row>
    <row r="103" spans="1:178" ht="25.5" customHeight="1" x14ac:dyDescent="0.15">
      <c r="A103" s="567">
        <v>5.3</v>
      </c>
      <c r="B103" s="567" t="str">
        <f>'raw data'!B103</f>
        <v xml:space="preserve">Customer has changed their country of residence to one of the OFAC sanctioned countries. </v>
      </c>
      <c r="C103" s="568" t="s">
        <v>171</v>
      </c>
      <c r="D103" s="402" t="s">
        <v>243</v>
      </c>
      <c r="E103" s="403" t="s">
        <v>243</v>
      </c>
      <c r="F103" s="404" t="s">
        <v>243</v>
      </c>
      <c r="G103" s="402" t="s">
        <v>243</v>
      </c>
      <c r="H103" s="403" t="s">
        <v>243</v>
      </c>
      <c r="I103" s="404" t="s">
        <v>243</v>
      </c>
      <c r="J103" s="402" t="s">
        <v>243</v>
      </c>
      <c r="K103" s="403" t="s">
        <v>243</v>
      </c>
      <c r="L103" s="404" t="s">
        <v>243</v>
      </c>
      <c r="M103" s="402" t="s">
        <v>243</v>
      </c>
      <c r="N103" s="403" t="s">
        <v>243</v>
      </c>
      <c r="O103" s="404" t="s">
        <v>243</v>
      </c>
      <c r="P103" s="402" t="s">
        <v>243</v>
      </c>
      <c r="Q103" s="403" t="s">
        <v>243</v>
      </c>
      <c r="R103" s="404" t="s">
        <v>243</v>
      </c>
      <c r="S103" s="402" t="s">
        <v>243</v>
      </c>
      <c r="T103" s="403" t="s">
        <v>243</v>
      </c>
      <c r="U103" s="404" t="s">
        <v>243</v>
      </c>
      <c r="V103" s="402" t="s">
        <v>243</v>
      </c>
      <c r="W103" s="403" t="s">
        <v>243</v>
      </c>
      <c r="X103" s="404" t="s">
        <v>243</v>
      </c>
      <c r="Y103" s="402" t="s">
        <v>243</v>
      </c>
      <c r="Z103" s="403" t="s">
        <v>243</v>
      </c>
      <c r="AA103" s="404" t="s">
        <v>243</v>
      </c>
      <c r="AB103" s="402" t="s">
        <v>243</v>
      </c>
      <c r="AC103" s="403" t="s">
        <v>243</v>
      </c>
      <c r="AD103" s="404" t="s">
        <v>243</v>
      </c>
      <c r="AE103" s="402" t="s">
        <v>243</v>
      </c>
      <c r="AF103" s="403" t="s">
        <v>243</v>
      </c>
      <c r="AG103" s="404" t="s">
        <v>243</v>
      </c>
      <c r="AH103" s="402" t="s">
        <v>243</v>
      </c>
      <c r="AI103" s="403" t="s">
        <v>243</v>
      </c>
      <c r="AJ103" s="404" t="s">
        <v>243</v>
      </c>
      <c r="AK103" s="402" t="s">
        <v>243</v>
      </c>
      <c r="AL103" s="403" t="s">
        <v>243</v>
      </c>
      <c r="AM103" s="404" t="s">
        <v>243</v>
      </c>
      <c r="AN103" s="402" t="s">
        <v>243</v>
      </c>
      <c r="AO103" s="403" t="s">
        <v>243</v>
      </c>
      <c r="AP103" s="404" t="s">
        <v>243</v>
      </c>
      <c r="AQ103" s="402" t="s">
        <v>243</v>
      </c>
      <c r="AR103" s="403" t="s">
        <v>243</v>
      </c>
      <c r="AS103" s="405" t="s">
        <v>243</v>
      </c>
      <c r="AT103" s="402" t="s">
        <v>243</v>
      </c>
      <c r="AU103" s="403" t="s">
        <v>243</v>
      </c>
      <c r="AV103" s="405" t="s">
        <v>243</v>
      </c>
      <c r="AW103" s="402" t="s">
        <v>243</v>
      </c>
      <c r="AX103" s="403" t="s">
        <v>243</v>
      </c>
      <c r="AY103" s="405" t="s">
        <v>243</v>
      </c>
      <c r="AZ103" s="402" t="s">
        <v>243</v>
      </c>
      <c r="BA103" s="403" t="s">
        <v>243</v>
      </c>
      <c r="BB103" s="405" t="s">
        <v>243</v>
      </c>
      <c r="BC103" s="402" t="s">
        <v>243</v>
      </c>
      <c r="BD103" s="403" t="s">
        <v>243</v>
      </c>
      <c r="BE103" s="405" t="s">
        <v>243</v>
      </c>
      <c r="BF103" s="402" t="s">
        <v>243</v>
      </c>
      <c r="BG103" s="403" t="s">
        <v>243</v>
      </c>
      <c r="BH103" s="405" t="s">
        <v>243</v>
      </c>
      <c r="BI103" s="402" t="s">
        <v>243</v>
      </c>
      <c r="BJ103" s="403" t="s">
        <v>243</v>
      </c>
      <c r="BK103" s="405" t="s">
        <v>243</v>
      </c>
      <c r="BL103" s="402" t="s">
        <v>243</v>
      </c>
      <c r="BM103" s="403" t="s">
        <v>243</v>
      </c>
      <c r="BN103" s="405" t="s">
        <v>243</v>
      </c>
      <c r="BO103" s="402" t="s">
        <v>243</v>
      </c>
      <c r="BP103" s="403" t="s">
        <v>243</v>
      </c>
      <c r="BQ103" s="405" t="s">
        <v>243</v>
      </c>
      <c r="BR103" s="402" t="s">
        <v>243</v>
      </c>
      <c r="BS103" s="403" t="s">
        <v>243</v>
      </c>
      <c r="BT103" s="405" t="s">
        <v>243</v>
      </c>
      <c r="BU103" s="402" t="s">
        <v>243</v>
      </c>
      <c r="BV103" s="403" t="s">
        <v>243</v>
      </c>
      <c r="BW103" s="405" t="s">
        <v>243</v>
      </c>
      <c r="BX103" s="402" t="s">
        <v>243</v>
      </c>
      <c r="BY103" s="403" t="s">
        <v>243</v>
      </c>
      <c r="BZ103" s="405" t="s">
        <v>243</v>
      </c>
      <c r="CA103" s="402" t="s">
        <v>243</v>
      </c>
      <c r="CB103" s="403" t="s">
        <v>243</v>
      </c>
      <c r="CC103" s="405" t="s">
        <v>243</v>
      </c>
      <c r="CD103" s="402" t="s">
        <v>243</v>
      </c>
      <c r="CE103" s="403" t="s">
        <v>243</v>
      </c>
      <c r="CF103" s="405" t="s">
        <v>243</v>
      </c>
      <c r="CG103" s="402" t="s">
        <v>243</v>
      </c>
      <c r="CH103" s="403" t="s">
        <v>243</v>
      </c>
      <c r="CI103" s="405" t="s">
        <v>243</v>
      </c>
      <c r="CJ103" s="402" t="s">
        <v>243</v>
      </c>
      <c r="CK103" s="403" t="s">
        <v>243</v>
      </c>
      <c r="CL103" s="405" t="s">
        <v>243</v>
      </c>
      <c r="CM103" s="402" t="s">
        <v>243</v>
      </c>
      <c r="CN103" s="403" t="s">
        <v>243</v>
      </c>
      <c r="CO103" s="405" t="s">
        <v>243</v>
      </c>
      <c r="CP103" s="402" t="s">
        <v>243</v>
      </c>
      <c r="CQ103" s="403" t="s">
        <v>243</v>
      </c>
      <c r="CR103" s="405" t="s">
        <v>243</v>
      </c>
      <c r="CS103" s="402" t="s">
        <v>243</v>
      </c>
      <c r="CT103" s="403" t="s">
        <v>243</v>
      </c>
      <c r="CU103" s="405" t="s">
        <v>243</v>
      </c>
      <c r="CV103" s="402" t="s">
        <v>243</v>
      </c>
      <c r="CW103" s="403" t="s">
        <v>243</v>
      </c>
      <c r="CX103" s="405" t="s">
        <v>243</v>
      </c>
      <c r="CY103" s="402" t="s">
        <v>243</v>
      </c>
      <c r="CZ103" s="403" t="s">
        <v>243</v>
      </c>
      <c r="DA103" s="405" t="s">
        <v>243</v>
      </c>
      <c r="DB103" s="402" t="s">
        <v>243</v>
      </c>
      <c r="DC103" s="403" t="s">
        <v>243</v>
      </c>
      <c r="DD103" s="405" t="s">
        <v>243</v>
      </c>
      <c r="DE103" s="402" t="s">
        <v>243</v>
      </c>
      <c r="DF103" s="403" t="s">
        <v>243</v>
      </c>
      <c r="DG103" s="405" t="s">
        <v>243</v>
      </c>
      <c r="DH103" s="402" t="s">
        <v>243</v>
      </c>
      <c r="DI103" s="403" t="s">
        <v>243</v>
      </c>
      <c r="DJ103" s="405" t="s">
        <v>243</v>
      </c>
      <c r="DK103" s="402" t="s">
        <v>243</v>
      </c>
      <c r="DL103" s="403" t="s">
        <v>243</v>
      </c>
      <c r="DM103" s="405" t="s">
        <v>243</v>
      </c>
      <c r="DN103" s="402" t="s">
        <v>243</v>
      </c>
      <c r="DO103" s="403" t="s">
        <v>243</v>
      </c>
      <c r="DP103" s="405" t="s">
        <v>243</v>
      </c>
      <c r="DQ103" s="402" t="s">
        <v>243</v>
      </c>
      <c r="DR103" s="403" t="s">
        <v>243</v>
      </c>
      <c r="DS103" s="405" t="s">
        <v>243</v>
      </c>
      <c r="DT103" s="402" t="s">
        <v>243</v>
      </c>
      <c r="DU103" s="403" t="s">
        <v>243</v>
      </c>
      <c r="DV103" s="405" t="s">
        <v>243</v>
      </c>
      <c r="DW103" s="402" t="s">
        <v>243</v>
      </c>
      <c r="DX103" s="403" t="s">
        <v>243</v>
      </c>
      <c r="DY103" s="405" t="s">
        <v>243</v>
      </c>
      <c r="DZ103" s="402" t="s">
        <v>243</v>
      </c>
      <c r="EA103" s="403" t="s">
        <v>243</v>
      </c>
      <c r="EB103" s="405" t="s">
        <v>243</v>
      </c>
      <c r="EC103" s="402" t="s">
        <v>243</v>
      </c>
      <c r="ED103" s="403" t="s">
        <v>243</v>
      </c>
      <c r="EE103" s="405" t="s">
        <v>243</v>
      </c>
      <c r="EF103" s="402" t="s">
        <v>243</v>
      </c>
      <c r="EG103" s="403" t="s">
        <v>243</v>
      </c>
      <c r="EH103" s="405" t="s">
        <v>243</v>
      </c>
      <c r="EI103" s="402" t="s">
        <v>243</v>
      </c>
      <c r="EJ103" s="403" t="s">
        <v>243</v>
      </c>
      <c r="EK103" s="405" t="s">
        <v>243</v>
      </c>
      <c r="EL103" s="402" t="s">
        <v>243</v>
      </c>
      <c r="EM103" s="403" t="s">
        <v>243</v>
      </c>
      <c r="EN103" s="405" t="s">
        <v>243</v>
      </c>
      <c r="EO103" s="402" t="s">
        <v>243</v>
      </c>
      <c r="EP103" s="403" t="s">
        <v>243</v>
      </c>
      <c r="EQ103" s="405" t="s">
        <v>243</v>
      </c>
      <c r="ER103" s="402" t="s">
        <v>243</v>
      </c>
      <c r="ES103" s="403" t="s">
        <v>243</v>
      </c>
      <c r="ET103" s="405" t="s">
        <v>243</v>
      </c>
      <c r="EU103" s="402" t="s">
        <v>243</v>
      </c>
      <c r="EV103" s="403" t="s">
        <v>243</v>
      </c>
      <c r="EW103" s="405" t="s">
        <v>243</v>
      </c>
      <c r="EX103" s="402" t="s">
        <v>243</v>
      </c>
      <c r="EY103" s="403" t="s">
        <v>243</v>
      </c>
      <c r="EZ103" s="405" t="s">
        <v>243</v>
      </c>
      <c r="FA103" s="402" t="s">
        <v>243</v>
      </c>
      <c r="FB103" s="403" t="s">
        <v>243</v>
      </c>
      <c r="FC103" s="405" t="s">
        <v>243</v>
      </c>
      <c r="FD103" s="402" t="s">
        <v>243</v>
      </c>
      <c r="FE103" s="403" t="s">
        <v>243</v>
      </c>
      <c r="FF103" s="405" t="s">
        <v>243</v>
      </c>
      <c r="FG103" s="402" t="s">
        <v>243</v>
      </c>
      <c r="FH103" s="403" t="s">
        <v>243</v>
      </c>
      <c r="FI103" s="405" t="s">
        <v>243</v>
      </c>
      <c r="FJ103" s="402" t="s">
        <v>243</v>
      </c>
      <c r="FK103" s="403" t="s">
        <v>243</v>
      </c>
      <c r="FL103" s="405" t="s">
        <v>243</v>
      </c>
      <c r="FM103" s="402" t="s">
        <v>243</v>
      </c>
      <c r="FN103" s="403" t="s">
        <v>243</v>
      </c>
      <c r="FO103" s="405" t="s">
        <v>243</v>
      </c>
      <c r="FP103" s="402" t="s">
        <v>243</v>
      </c>
      <c r="FQ103" s="403" t="s">
        <v>243</v>
      </c>
      <c r="FR103" s="405" t="s">
        <v>243</v>
      </c>
      <c r="FS103" s="469"/>
      <c r="FT103" s="569">
        <v>0</v>
      </c>
      <c r="FU103" s="570">
        <v>0</v>
      </c>
      <c r="FV103" s="571">
        <f t="shared" si="0"/>
        <v>0</v>
      </c>
    </row>
    <row r="104" spans="1:178" ht="25.5" customHeight="1" x14ac:dyDescent="0.15">
      <c r="A104" s="567">
        <v>5.4</v>
      </c>
      <c r="B104" s="567" t="str">
        <f>'raw data'!B104</f>
        <v>Customer with open accounts that resides in an OFAC sanctioned country and has not been reviewed for 12 months.</v>
      </c>
      <c r="C104" s="568" t="s">
        <v>173</v>
      </c>
      <c r="D104" s="402" t="s">
        <v>243</v>
      </c>
      <c r="E104" s="403" t="s">
        <v>243</v>
      </c>
      <c r="F104" s="404" t="s">
        <v>243</v>
      </c>
      <c r="G104" s="402" t="s">
        <v>243</v>
      </c>
      <c r="H104" s="403" t="s">
        <v>243</v>
      </c>
      <c r="I104" s="404" t="s">
        <v>243</v>
      </c>
      <c r="J104" s="402" t="s">
        <v>243</v>
      </c>
      <c r="K104" s="403" t="s">
        <v>243</v>
      </c>
      <c r="L104" s="404" t="s">
        <v>243</v>
      </c>
      <c r="M104" s="402" t="s">
        <v>243</v>
      </c>
      <c r="N104" s="403" t="s">
        <v>243</v>
      </c>
      <c r="O104" s="404" t="s">
        <v>243</v>
      </c>
      <c r="P104" s="402" t="s">
        <v>243</v>
      </c>
      <c r="Q104" s="403" t="s">
        <v>243</v>
      </c>
      <c r="R104" s="404" t="s">
        <v>243</v>
      </c>
      <c r="S104" s="402" t="s">
        <v>243</v>
      </c>
      <c r="T104" s="403" t="s">
        <v>243</v>
      </c>
      <c r="U104" s="404" t="s">
        <v>243</v>
      </c>
      <c r="V104" s="402" t="s">
        <v>243</v>
      </c>
      <c r="W104" s="403" t="s">
        <v>243</v>
      </c>
      <c r="X104" s="404" t="s">
        <v>243</v>
      </c>
      <c r="Y104" s="402" t="s">
        <v>243</v>
      </c>
      <c r="Z104" s="403" t="s">
        <v>243</v>
      </c>
      <c r="AA104" s="404" t="s">
        <v>243</v>
      </c>
      <c r="AB104" s="402" t="s">
        <v>243</v>
      </c>
      <c r="AC104" s="403" t="s">
        <v>243</v>
      </c>
      <c r="AD104" s="404" t="s">
        <v>243</v>
      </c>
      <c r="AE104" s="402" t="s">
        <v>243</v>
      </c>
      <c r="AF104" s="403" t="s">
        <v>243</v>
      </c>
      <c r="AG104" s="404" t="s">
        <v>243</v>
      </c>
      <c r="AH104" s="402" t="s">
        <v>243</v>
      </c>
      <c r="AI104" s="403" t="s">
        <v>243</v>
      </c>
      <c r="AJ104" s="404" t="s">
        <v>243</v>
      </c>
      <c r="AK104" s="402" t="s">
        <v>243</v>
      </c>
      <c r="AL104" s="403" t="s">
        <v>243</v>
      </c>
      <c r="AM104" s="404" t="s">
        <v>243</v>
      </c>
      <c r="AN104" s="402" t="s">
        <v>243</v>
      </c>
      <c r="AO104" s="403" t="s">
        <v>243</v>
      </c>
      <c r="AP104" s="404" t="s">
        <v>243</v>
      </c>
      <c r="AQ104" s="402" t="s">
        <v>243</v>
      </c>
      <c r="AR104" s="403" t="s">
        <v>243</v>
      </c>
      <c r="AS104" s="405" t="s">
        <v>243</v>
      </c>
      <c r="AT104" s="402" t="s">
        <v>243</v>
      </c>
      <c r="AU104" s="403" t="s">
        <v>243</v>
      </c>
      <c r="AV104" s="405" t="s">
        <v>243</v>
      </c>
      <c r="AW104" s="402" t="s">
        <v>243</v>
      </c>
      <c r="AX104" s="403" t="s">
        <v>243</v>
      </c>
      <c r="AY104" s="405" t="s">
        <v>243</v>
      </c>
      <c r="AZ104" s="402" t="s">
        <v>243</v>
      </c>
      <c r="BA104" s="403" t="s">
        <v>243</v>
      </c>
      <c r="BB104" s="405" t="s">
        <v>243</v>
      </c>
      <c r="BC104" s="402" t="s">
        <v>243</v>
      </c>
      <c r="BD104" s="403" t="s">
        <v>243</v>
      </c>
      <c r="BE104" s="405" t="s">
        <v>243</v>
      </c>
      <c r="BF104" s="402" t="s">
        <v>243</v>
      </c>
      <c r="BG104" s="403" t="s">
        <v>243</v>
      </c>
      <c r="BH104" s="405" t="s">
        <v>243</v>
      </c>
      <c r="BI104" s="402" t="s">
        <v>243</v>
      </c>
      <c r="BJ104" s="403" t="s">
        <v>243</v>
      </c>
      <c r="BK104" s="405" t="s">
        <v>243</v>
      </c>
      <c r="BL104" s="402" t="s">
        <v>243</v>
      </c>
      <c r="BM104" s="403" t="s">
        <v>243</v>
      </c>
      <c r="BN104" s="405" t="s">
        <v>243</v>
      </c>
      <c r="BO104" s="402" t="s">
        <v>243</v>
      </c>
      <c r="BP104" s="403" t="s">
        <v>243</v>
      </c>
      <c r="BQ104" s="405" t="s">
        <v>243</v>
      </c>
      <c r="BR104" s="402" t="s">
        <v>243</v>
      </c>
      <c r="BS104" s="403" t="s">
        <v>243</v>
      </c>
      <c r="BT104" s="405" t="s">
        <v>243</v>
      </c>
      <c r="BU104" s="402" t="s">
        <v>243</v>
      </c>
      <c r="BV104" s="403" t="s">
        <v>243</v>
      </c>
      <c r="BW104" s="405" t="s">
        <v>243</v>
      </c>
      <c r="BX104" s="402" t="s">
        <v>243</v>
      </c>
      <c r="BY104" s="403" t="s">
        <v>243</v>
      </c>
      <c r="BZ104" s="405" t="s">
        <v>243</v>
      </c>
      <c r="CA104" s="402" t="s">
        <v>243</v>
      </c>
      <c r="CB104" s="403" t="s">
        <v>243</v>
      </c>
      <c r="CC104" s="405" t="s">
        <v>243</v>
      </c>
      <c r="CD104" s="402" t="s">
        <v>243</v>
      </c>
      <c r="CE104" s="403" t="s">
        <v>243</v>
      </c>
      <c r="CF104" s="405" t="s">
        <v>243</v>
      </c>
      <c r="CG104" s="402" t="s">
        <v>243</v>
      </c>
      <c r="CH104" s="403" t="s">
        <v>243</v>
      </c>
      <c r="CI104" s="405" t="s">
        <v>243</v>
      </c>
      <c r="CJ104" s="402" t="s">
        <v>243</v>
      </c>
      <c r="CK104" s="403" t="s">
        <v>243</v>
      </c>
      <c r="CL104" s="405" t="s">
        <v>243</v>
      </c>
      <c r="CM104" s="402" t="s">
        <v>243</v>
      </c>
      <c r="CN104" s="403" t="s">
        <v>243</v>
      </c>
      <c r="CO104" s="405" t="s">
        <v>243</v>
      </c>
      <c r="CP104" s="402" t="s">
        <v>243</v>
      </c>
      <c r="CQ104" s="403" t="s">
        <v>243</v>
      </c>
      <c r="CR104" s="405" t="s">
        <v>243</v>
      </c>
      <c r="CS104" s="402" t="s">
        <v>243</v>
      </c>
      <c r="CT104" s="403" t="s">
        <v>243</v>
      </c>
      <c r="CU104" s="405" t="s">
        <v>243</v>
      </c>
      <c r="CV104" s="402" t="s">
        <v>243</v>
      </c>
      <c r="CW104" s="403" t="s">
        <v>243</v>
      </c>
      <c r="CX104" s="405" t="s">
        <v>243</v>
      </c>
      <c r="CY104" s="402" t="s">
        <v>243</v>
      </c>
      <c r="CZ104" s="403" t="s">
        <v>243</v>
      </c>
      <c r="DA104" s="405" t="s">
        <v>243</v>
      </c>
      <c r="DB104" s="402" t="s">
        <v>243</v>
      </c>
      <c r="DC104" s="403" t="s">
        <v>243</v>
      </c>
      <c r="DD104" s="405" t="s">
        <v>243</v>
      </c>
      <c r="DE104" s="402" t="s">
        <v>243</v>
      </c>
      <c r="DF104" s="403" t="s">
        <v>243</v>
      </c>
      <c r="DG104" s="405" t="s">
        <v>243</v>
      </c>
      <c r="DH104" s="402" t="s">
        <v>243</v>
      </c>
      <c r="DI104" s="403" t="s">
        <v>243</v>
      </c>
      <c r="DJ104" s="405" t="s">
        <v>243</v>
      </c>
      <c r="DK104" s="402" t="s">
        <v>243</v>
      </c>
      <c r="DL104" s="403" t="s">
        <v>243</v>
      </c>
      <c r="DM104" s="405" t="s">
        <v>243</v>
      </c>
      <c r="DN104" s="402" t="s">
        <v>243</v>
      </c>
      <c r="DO104" s="403" t="s">
        <v>243</v>
      </c>
      <c r="DP104" s="405" t="s">
        <v>243</v>
      </c>
      <c r="DQ104" s="402" t="s">
        <v>243</v>
      </c>
      <c r="DR104" s="403" t="s">
        <v>243</v>
      </c>
      <c r="DS104" s="405" t="s">
        <v>243</v>
      </c>
      <c r="DT104" s="402" t="s">
        <v>243</v>
      </c>
      <c r="DU104" s="403" t="s">
        <v>243</v>
      </c>
      <c r="DV104" s="405" t="s">
        <v>243</v>
      </c>
      <c r="DW104" s="402" t="s">
        <v>243</v>
      </c>
      <c r="DX104" s="403" t="s">
        <v>243</v>
      </c>
      <c r="DY104" s="405" t="s">
        <v>243</v>
      </c>
      <c r="DZ104" s="402" t="s">
        <v>243</v>
      </c>
      <c r="EA104" s="403" t="s">
        <v>243</v>
      </c>
      <c r="EB104" s="405" t="s">
        <v>243</v>
      </c>
      <c r="EC104" s="402" t="s">
        <v>243</v>
      </c>
      <c r="ED104" s="403" t="s">
        <v>243</v>
      </c>
      <c r="EE104" s="405" t="s">
        <v>243</v>
      </c>
      <c r="EF104" s="402" t="s">
        <v>243</v>
      </c>
      <c r="EG104" s="403" t="s">
        <v>243</v>
      </c>
      <c r="EH104" s="405" t="s">
        <v>243</v>
      </c>
      <c r="EI104" s="402" t="s">
        <v>243</v>
      </c>
      <c r="EJ104" s="403" t="s">
        <v>243</v>
      </c>
      <c r="EK104" s="405" t="s">
        <v>243</v>
      </c>
      <c r="EL104" s="402" t="s">
        <v>243</v>
      </c>
      <c r="EM104" s="403" t="s">
        <v>243</v>
      </c>
      <c r="EN104" s="405" t="s">
        <v>243</v>
      </c>
      <c r="EO104" s="402" t="s">
        <v>243</v>
      </c>
      <c r="EP104" s="403" t="s">
        <v>243</v>
      </c>
      <c r="EQ104" s="405" t="s">
        <v>243</v>
      </c>
      <c r="ER104" s="402" t="s">
        <v>243</v>
      </c>
      <c r="ES104" s="403" t="s">
        <v>243</v>
      </c>
      <c r="ET104" s="405" t="s">
        <v>243</v>
      </c>
      <c r="EU104" s="402" t="s">
        <v>243</v>
      </c>
      <c r="EV104" s="403" t="s">
        <v>243</v>
      </c>
      <c r="EW104" s="405" t="s">
        <v>243</v>
      </c>
      <c r="EX104" s="402" t="s">
        <v>243</v>
      </c>
      <c r="EY104" s="403" t="s">
        <v>243</v>
      </c>
      <c r="EZ104" s="405" t="s">
        <v>243</v>
      </c>
      <c r="FA104" s="402" t="s">
        <v>243</v>
      </c>
      <c r="FB104" s="403" t="s">
        <v>243</v>
      </c>
      <c r="FC104" s="405" t="s">
        <v>243</v>
      </c>
      <c r="FD104" s="402" t="s">
        <v>243</v>
      </c>
      <c r="FE104" s="403" t="s">
        <v>243</v>
      </c>
      <c r="FF104" s="405" t="s">
        <v>243</v>
      </c>
      <c r="FG104" s="402" t="s">
        <v>243</v>
      </c>
      <c r="FH104" s="403" t="s">
        <v>243</v>
      </c>
      <c r="FI104" s="405" t="s">
        <v>243</v>
      </c>
      <c r="FJ104" s="402" t="s">
        <v>243</v>
      </c>
      <c r="FK104" s="403" t="s">
        <v>243</v>
      </c>
      <c r="FL104" s="405" t="s">
        <v>243</v>
      </c>
      <c r="FM104" s="402" t="s">
        <v>243</v>
      </c>
      <c r="FN104" s="403" t="s">
        <v>243</v>
      </c>
      <c r="FO104" s="405" t="s">
        <v>243</v>
      </c>
      <c r="FP104" s="402" t="s">
        <v>243</v>
      </c>
      <c r="FQ104" s="403" t="s">
        <v>243</v>
      </c>
      <c r="FR104" s="405" t="s">
        <v>243</v>
      </c>
      <c r="FS104" s="469"/>
      <c r="FT104" s="569">
        <v>0</v>
      </c>
      <c r="FU104" s="570">
        <v>0</v>
      </c>
      <c r="FV104" s="571">
        <f t="shared" si="0"/>
        <v>0</v>
      </c>
    </row>
    <row r="105" spans="1:178" ht="14" x14ac:dyDescent="0.15">
      <c r="A105" s="415"/>
      <c r="B105" s="416" t="s">
        <v>174</v>
      </c>
      <c r="C105" s="417" t="s">
        <v>174</v>
      </c>
      <c r="D105" s="499">
        <f>SUM(D101:D104)</f>
        <v>0</v>
      </c>
      <c r="E105" s="500">
        <f>SUM(E101:E104)</f>
        <v>0</v>
      </c>
      <c r="F105" s="420">
        <f>IF(ISERROR('raw data'!ET105/'raw data'!EU105),0,'raw data'!ET105/'raw data'!EU105)</f>
        <v>0</v>
      </c>
      <c r="G105" s="423">
        <f>SUM(G101:G104)</f>
        <v>0</v>
      </c>
      <c r="H105" s="422">
        <f>SUM(H101:H104)</f>
        <v>0</v>
      </c>
      <c r="I105" s="420">
        <f>IF(ISERROR('raw data'!EV105/'raw data'!EW105),0,'raw data'!EV105/'raw data'!EW105)</f>
        <v>0</v>
      </c>
      <c r="J105" s="423">
        <f>SUM(J101:J104)</f>
        <v>0</v>
      </c>
      <c r="K105" s="422">
        <f>SUM(K101:K104)</f>
        <v>0</v>
      </c>
      <c r="L105" s="420">
        <f>IF(ISERROR('raw data'!EX105/'raw data'!EY105),0,'raw data'!EX105/'raw data'!EY105)</f>
        <v>0</v>
      </c>
      <c r="M105" s="423">
        <f>SUM(M101:M104)</f>
        <v>0</v>
      </c>
      <c r="N105" s="422">
        <f>SUM(N101:N104)</f>
        <v>0</v>
      </c>
      <c r="O105" s="420">
        <f>IF(ISERROR('raw data'!EZ105/'raw data'!FA105),0,'raw data'!EZ105/'raw data'!FA105)</f>
        <v>0</v>
      </c>
      <c r="P105" s="423">
        <f>SUM(P101:P104)</f>
        <v>0</v>
      </c>
      <c r="Q105" s="422">
        <f>SUM(Q101:Q104)</f>
        <v>0</v>
      </c>
      <c r="R105" s="420">
        <f>IF(ISERROR('raw data'!FB105/'raw data'!FC105),0,'raw data'!FB105/'raw data'!FC105)</f>
        <v>0</v>
      </c>
      <c r="S105" s="423">
        <f>SUM(S101:S104)</f>
        <v>0</v>
      </c>
      <c r="T105" s="422">
        <f>SUM(T101:T104)</f>
        <v>0</v>
      </c>
      <c r="U105" s="420">
        <f>IF(ISERROR('raw data'!FD105/'raw data'!FE105),0,'raw data'!FD105/'raw data'!FE105)</f>
        <v>0</v>
      </c>
      <c r="V105" s="423">
        <f>SUM(V101:V104)</f>
        <v>0</v>
      </c>
      <c r="W105" s="422">
        <f>SUM(W101:W104)</f>
        <v>0</v>
      </c>
      <c r="X105" s="420">
        <f>IF(ISERROR('raw data'!FF105/'raw data'!FG105),0,'raw data'!FF105/'raw data'!FG105)</f>
        <v>0</v>
      </c>
      <c r="Y105" s="423">
        <f>SUM(Y101:Y104)</f>
        <v>0</v>
      </c>
      <c r="Z105" s="422">
        <f>SUM(Z101:Z104)</f>
        <v>0</v>
      </c>
      <c r="AA105" s="420">
        <f>IF(ISERROR('raw data'!FH105/'raw data'!FI105),0,'raw data'!FH105/'raw data'!FI105)</f>
        <v>0</v>
      </c>
      <c r="AB105" s="423">
        <f>SUM(AB101:AB104)</f>
        <v>0</v>
      </c>
      <c r="AC105" s="422">
        <f>SUM(AC101:AC104)</f>
        <v>0</v>
      </c>
      <c r="AD105" s="420">
        <f>IF(ISERROR('raw data'!FJ105/'raw data'!FM105),0,'raw data'!FJ105/'raw data'!FM105)</f>
        <v>0</v>
      </c>
      <c r="AE105" s="423">
        <f>SUM(AE101:AE104)</f>
        <v>0</v>
      </c>
      <c r="AF105" s="422">
        <f>SUM(AF101:AF104)</f>
        <v>0</v>
      </c>
      <c r="AG105" s="420">
        <f>IF(ISERROR('raw data'!FN105/'raw data'!FO105),0,'raw data'!FN105/'raw data'!FO105)</f>
        <v>0</v>
      </c>
      <c r="AH105" s="423">
        <f>SUM(AH101:AH104)</f>
        <v>0</v>
      </c>
      <c r="AI105" s="422">
        <f>SUM(AI101:AI104)</f>
        <v>0</v>
      </c>
      <c r="AJ105" s="420">
        <f>IF(ISERROR('raw data'!FP105/'raw data'!FQ105),0,'raw data'!FP105/'raw data'!FQ105)</f>
        <v>0</v>
      </c>
      <c r="AK105" s="423">
        <f>SUM(AK101:AK104)</f>
        <v>0</v>
      </c>
      <c r="AL105" s="422">
        <f>SUM(AL101:AL104)</f>
        <v>0</v>
      </c>
      <c r="AM105" s="420">
        <f>IF(ISERROR('raw data'!FR105/'raw data'!FS105),0,'raw data'!FR105/'raw data'!FS105)</f>
        <v>0</v>
      </c>
      <c r="AN105" s="423">
        <f>SUM(AN101:AN104)</f>
        <v>0</v>
      </c>
      <c r="AO105" s="422">
        <f>SUM(AO101:AO104)</f>
        <v>0</v>
      </c>
      <c r="AP105" s="420">
        <f>IF(ISERROR('raw data'!FT105/'raw data'!FU105),0,'raw data'!FT105/'raw data'!FU105)</f>
        <v>0</v>
      </c>
      <c r="AQ105" s="423">
        <f>SUM(AQ101:AQ104)</f>
        <v>0</v>
      </c>
      <c r="AR105" s="422">
        <f>SUM(AR101:AR104)</f>
        <v>0</v>
      </c>
      <c r="AS105" s="424">
        <f>IF(ISERROR('raw data'!FV105/'raw data'!FW105),0,'raw data'!FV105/'raw data'!FW105)</f>
        <v>0</v>
      </c>
      <c r="AT105" s="423">
        <f>SUM(AT101:AT104)</f>
        <v>0</v>
      </c>
      <c r="AU105" s="422">
        <f>SUM(AU101:AU104)</f>
        <v>0</v>
      </c>
      <c r="AV105" s="426">
        <f>IF(ISERROR('raw data'!FX105/'raw data'!FY105),0,'raw data'!FX105/'raw data'!FY105)</f>
        <v>0</v>
      </c>
      <c r="AW105" s="423">
        <f>SUM(AW101:AW104)</f>
        <v>0</v>
      </c>
      <c r="AX105" s="422">
        <f>SUM(AX101:AX104)</f>
        <v>0</v>
      </c>
      <c r="AY105" s="426">
        <f>IF(ISERROR('raw data'!FZ105/'raw data'!GA105),0,'raw data'!FZ105/'raw data'!GA105)</f>
        <v>0</v>
      </c>
      <c r="AZ105" s="423">
        <f>SUM(AZ101:AZ104)</f>
        <v>0</v>
      </c>
      <c r="BA105" s="422">
        <f>SUM(BA101:BA104)</f>
        <v>0</v>
      </c>
      <c r="BB105" s="426">
        <f>IF(ISERROR('raw data'!GB105/'raw data'!GC105),0,'raw data'!GB105/'raw data'!GC105)</f>
        <v>0</v>
      </c>
      <c r="BC105" s="423">
        <f>SUM(BC101:BC104)</f>
        <v>0</v>
      </c>
      <c r="BD105" s="422">
        <f>SUM(BD101:BD104)</f>
        <v>0</v>
      </c>
      <c r="BE105" s="426">
        <f>IF(ISERROR('raw data'!GD105/'raw data'!GE105),0,'raw data'!GD105/'raw data'!GE105)</f>
        <v>0</v>
      </c>
      <c r="BF105" s="423">
        <f>SUM(BF101:BF104)</f>
        <v>0</v>
      </c>
      <c r="BG105" s="422">
        <f>SUM(BG101:BG104)</f>
        <v>0</v>
      </c>
      <c r="BH105" s="426">
        <f>IF(ISERROR('raw data'!GF105/'raw data'!GG105),0,'raw data'!GF105/'raw data'!GG105)</f>
        <v>0</v>
      </c>
      <c r="BI105" s="423">
        <f>SUM(BI101:BI104)</f>
        <v>0</v>
      </c>
      <c r="BJ105" s="422">
        <f>SUM(BJ101:BJ104)</f>
        <v>0</v>
      </c>
      <c r="BK105" s="426">
        <f>IF(ISERROR('raw data'!GH105/'raw data'!GI105),0,'raw data'!GH105/'raw data'!GI105)</f>
        <v>0</v>
      </c>
      <c r="BL105" s="423">
        <f>SUM(BL101:BL104)</f>
        <v>0</v>
      </c>
      <c r="BM105" s="422">
        <f>SUM(BM101:BM104)</f>
        <v>0</v>
      </c>
      <c r="BN105" s="426">
        <f>IF(ISERROR('raw data'!GJ105/'raw data'!GK105),0,'raw data'!GJ105/'raw data'!GK105)</f>
        <v>0</v>
      </c>
      <c r="BO105" s="423">
        <f>SUM(BO101:BO104)</f>
        <v>0</v>
      </c>
      <c r="BP105" s="422">
        <f>SUM(BP101:BP104)</f>
        <v>0</v>
      </c>
      <c r="BQ105" s="426">
        <f>IF(ISERROR('raw data'!GL105/'raw data'!GM105),0,'raw data'!GL105/'raw data'!GM105)</f>
        <v>0</v>
      </c>
      <c r="BR105" s="572">
        <f>SUM(FT101:FT104)</f>
        <v>0</v>
      </c>
      <c r="BS105" s="422">
        <f>SUM(BS101:BS104)</f>
        <v>0</v>
      </c>
      <c r="BT105" s="426">
        <f>IF(ISERROR('raw data'!GN105/'raw data'!GO105),0,'raw data'!GN105/'raw data'!GO105)</f>
        <v>0</v>
      </c>
      <c r="BU105" s="572">
        <f>SUM(FW101:FW104)</f>
        <v>0</v>
      </c>
      <c r="BV105" s="422">
        <f>SUM(BV101:BV104)</f>
        <v>0</v>
      </c>
      <c r="BW105" s="426">
        <f>IF(ISERROR('raw data'!GP105/'raw data'!GQ105),0,'raw data'!GP105/'raw data'!GQ105)</f>
        <v>0</v>
      </c>
      <c r="BX105" s="572">
        <f>SUM(FZ101:FZ104)</f>
        <v>0</v>
      </c>
      <c r="BY105" s="422">
        <f>SUM(BY101:BY104)</f>
        <v>0</v>
      </c>
      <c r="BZ105" s="426">
        <f>IF(ISERROR('raw data'!GR105/'raw data'!GS105),0,'raw data'!GR105/'raw data'!GS105)</f>
        <v>0</v>
      </c>
      <c r="CA105" s="572">
        <f>SUM(GC101:GC104)</f>
        <v>0</v>
      </c>
      <c r="CB105" s="422">
        <f>SUM(CB101:CB104)</f>
        <v>0</v>
      </c>
      <c r="CC105" s="426">
        <f>IF(ISERROR('raw data'!GT105/'raw data'!GU105),0,'raw data'!GT105/'raw data'!GU105)</f>
        <v>0</v>
      </c>
      <c r="CD105" s="572">
        <f>SUM(GF101:GF104)</f>
        <v>0</v>
      </c>
      <c r="CE105" s="422">
        <f>SUM(CE101:CE104)</f>
        <v>0</v>
      </c>
      <c r="CF105" s="426">
        <f>IF(ISERROR('raw data'!GV105/'raw data'!GW105),0,'raw data'!GV105/'raw data'!GW105)</f>
        <v>0</v>
      </c>
      <c r="CG105" s="572">
        <f>SUM(GI101:GI104)</f>
        <v>0</v>
      </c>
      <c r="CH105" s="422">
        <f>SUM(CH101:CH104)</f>
        <v>0</v>
      </c>
      <c r="CI105" s="426">
        <f>IF(ISERROR('raw data'!GX105/'raw data'!GY105),0,'raw data'!GX105/'raw data'!GY105)</f>
        <v>0</v>
      </c>
      <c r="CJ105" s="572">
        <f>SUM(GL101:GL104)</f>
        <v>0</v>
      </c>
      <c r="CK105" s="422">
        <f>SUM(CK101:CK104)</f>
        <v>0</v>
      </c>
      <c r="CL105" s="426">
        <f>IF(ISERROR('raw data'!GZ105/'raw data'!HA105),0,'raw data'!GZ105/'raw data'!HA105)</f>
        <v>0</v>
      </c>
      <c r="CM105" s="572">
        <f>SUM(GO101:GO104)</f>
        <v>0</v>
      </c>
      <c r="CN105" s="422">
        <f>SUM(CN101:CN104)</f>
        <v>0</v>
      </c>
      <c r="CO105" s="426">
        <f>IF(ISERROR('raw data'!HB105/'raw data'!HC105),0,'raw data'!HB105/'raw data'!HC105)</f>
        <v>0</v>
      </c>
      <c r="CP105" s="572">
        <f>SUM(GR101:GR104)</f>
        <v>0</v>
      </c>
      <c r="CQ105" s="422">
        <f>SUM(CQ101:CQ104)</f>
        <v>0</v>
      </c>
      <c r="CR105" s="426">
        <f>IF(ISERROR('raw data'!HD105/'raw data'!HE105),0,'raw data'!HD105/'raw data'!HE105)</f>
        <v>0</v>
      </c>
      <c r="CS105" s="572">
        <f>SUM(GU101:GU104)</f>
        <v>0</v>
      </c>
      <c r="CT105" s="422">
        <f>SUM(CT101:CT104)</f>
        <v>0</v>
      </c>
      <c r="CU105" s="426">
        <f>IF(ISERROR('raw data'!HF105/'raw data'!HG105),0,'raw data'!HF105/'raw data'!HG105)</f>
        <v>0</v>
      </c>
      <c r="CV105" s="572">
        <f>SUM(GX101:GX104)</f>
        <v>0</v>
      </c>
      <c r="CW105" s="422">
        <f>SUM(CW101:CW104)</f>
        <v>0</v>
      </c>
      <c r="CX105" s="426">
        <f>IF(ISERROR('raw data'!HH105/'raw data'!HI105),0,'raw data'!HH105/'raw data'!HI105)</f>
        <v>0</v>
      </c>
      <c r="CY105" s="572">
        <f>SUM(HA101:HA104)</f>
        <v>0</v>
      </c>
      <c r="CZ105" s="422">
        <f>SUM(CZ101:CZ104)</f>
        <v>0</v>
      </c>
      <c r="DA105" s="426">
        <f>IF(ISERROR('raw data'!HJ105/'raw data'!HK105),0,'raw data'!HJ105/'raw data'!HK105)</f>
        <v>0</v>
      </c>
      <c r="DB105" s="572">
        <f>SUM(HD101:HD104)</f>
        <v>0</v>
      </c>
      <c r="DC105" s="422">
        <f>SUM(DC101:DC104)</f>
        <v>0</v>
      </c>
      <c r="DD105" s="426">
        <f>IF(ISERROR('raw data'!HL105/'raw data'!HM105),0,'raw data'!HL105/'raw data'!HM105)</f>
        <v>0</v>
      </c>
      <c r="DE105" s="572">
        <f>SUM(HG101:HG104)</f>
        <v>0</v>
      </c>
      <c r="DF105" s="422">
        <f>SUM(DF101:DF104)</f>
        <v>0</v>
      </c>
      <c r="DG105" s="426">
        <f>IF(ISERROR('raw data'!HN105/'raw data'!HO105),0,'raw data'!HN105/'raw data'!HO105)</f>
        <v>0</v>
      </c>
      <c r="DH105" s="572">
        <f>SUM(HJ101:HJ104)</f>
        <v>0</v>
      </c>
      <c r="DI105" s="422">
        <f>SUM(DI101:DI104)</f>
        <v>0</v>
      </c>
      <c r="DJ105" s="426">
        <f>IF(ISERROR('raw data'!HP105/'raw data'!HQ105),0,'raw data'!HP105/'raw data'!HQ105)</f>
        <v>0</v>
      </c>
      <c r="DK105" s="572">
        <f>SUM(HM101:HM104)</f>
        <v>0</v>
      </c>
      <c r="DL105" s="422">
        <f>SUM(DL101:DL104)</f>
        <v>0</v>
      </c>
      <c r="DM105" s="426">
        <f>IF(ISERROR('raw data'!HR105/'raw data'!HS105),0,'raw data'!HR105/'raw data'!HS105)</f>
        <v>0</v>
      </c>
      <c r="DN105" s="572">
        <f>SUM(HP101:HP104)</f>
        <v>0</v>
      </c>
      <c r="DO105" s="422">
        <f>SUM(DO101:DO104)</f>
        <v>0</v>
      </c>
      <c r="DP105" s="426">
        <f>IF(ISERROR('raw data'!HT105/'raw data'!HU105),0,'raw data'!HT105/'raw data'!HU105)</f>
        <v>0</v>
      </c>
      <c r="DQ105" s="572">
        <f>SUM(HS101:HS104)</f>
        <v>0</v>
      </c>
      <c r="DR105" s="422">
        <f>SUM(DR101:DR104)</f>
        <v>0</v>
      </c>
      <c r="DS105" s="426">
        <f>IF(ISERROR('raw data'!HV105/'raw data'!HW105),0,'raw data'!HV105/'raw data'!HW105)</f>
        <v>0</v>
      </c>
      <c r="DT105" s="572">
        <f>SUM(HV101:HV104)</f>
        <v>0</v>
      </c>
      <c r="DU105" s="422">
        <f>SUM(DU101:DU104)</f>
        <v>0</v>
      </c>
      <c r="DV105" s="426">
        <f>IF(ISERROR('raw data'!HX105/'raw data'!HY105),0,'raw data'!HX105/'raw data'!HY105)</f>
        <v>0</v>
      </c>
      <c r="DW105" s="572">
        <f>SUM(HY101:HY104)</f>
        <v>0</v>
      </c>
      <c r="DX105" s="422">
        <f>SUM(DX101:DX104)</f>
        <v>0</v>
      </c>
      <c r="DY105" s="426">
        <f>IF(ISERROR('raw data'!HZ105/'raw data'!IA105),0,'raw data'!HZ105/'raw data'!IA105)</f>
        <v>0</v>
      </c>
      <c r="DZ105" s="572">
        <f>SUM(IB101:IB104)</f>
        <v>0</v>
      </c>
      <c r="EA105" s="573">
        <f>SUM(IC101:IC104)</f>
        <v>0</v>
      </c>
      <c r="EB105" s="426">
        <f>IF(ISERROR('raw data'!IB105/'raw data'!IC105),0,'raw data'!IB105/'raw data'!IC105)</f>
        <v>0</v>
      </c>
      <c r="EC105" s="572">
        <f>SUM(IE101:IE104)</f>
        <v>0</v>
      </c>
      <c r="ED105" s="573">
        <f>SUM(IF101:IF104)</f>
        <v>0</v>
      </c>
      <c r="EE105" s="426">
        <f>IF(ISERROR('raw data'!ID105/'raw data'!IE105),0,'raw data'!ID105/'raw data'!IE105)</f>
        <v>0</v>
      </c>
      <c r="EF105" s="572">
        <f>SUM(IH101:IH104)</f>
        <v>0</v>
      </c>
      <c r="EG105" s="573">
        <f>SUM(II101:II104)</f>
        <v>0</v>
      </c>
      <c r="EH105" s="426">
        <f>IF(ISERROR('raw data'!IF105/'raw data'!IG105),0,'raw data'!IF105/'raw data'!IG105)</f>
        <v>0</v>
      </c>
      <c r="EI105" s="572">
        <f>SUM(IK101:IK104)</f>
        <v>0</v>
      </c>
      <c r="EJ105" s="573">
        <f>SUM(IL101:IL104)</f>
        <v>0</v>
      </c>
      <c r="EK105" s="426">
        <f>IF(ISERROR('raw data'!IH105/'raw data'!II105),0,'raw data'!IH105/'raw data'!II105)</f>
        <v>0</v>
      </c>
      <c r="EL105" s="572">
        <f>SUM(IN101:IN104)</f>
        <v>0</v>
      </c>
      <c r="EM105" s="573">
        <f>SUM(IO101:IO104)</f>
        <v>0</v>
      </c>
      <c r="EN105" s="426">
        <f>IF(ISERROR('raw data'!IJ105/'raw data'!IK105),0,'raw data'!IJ105/'raw data'!IK105)</f>
        <v>0</v>
      </c>
      <c r="EO105" s="572">
        <f>SUM(IQ101:IQ104)</f>
        <v>0</v>
      </c>
      <c r="EP105" s="573">
        <f>SUM(IR101:IR104)</f>
        <v>0</v>
      </c>
      <c r="EQ105" s="426">
        <f>IF(ISERROR('raw data'!IL105/'raw data'!IM105),0,'raw data'!IL105/'raw data'!IM105)</f>
        <v>0</v>
      </c>
      <c r="ER105" s="572">
        <f>SUM(IT101:IT104)</f>
        <v>0</v>
      </c>
      <c r="ES105" s="573">
        <f>SUM(IU101:IU104)</f>
        <v>0</v>
      </c>
      <c r="ET105" s="426">
        <f>IF(ISERROR('raw data'!IN105/'raw data'!IO105),0,'raw data'!IN105/'raw data'!IO105)</f>
        <v>0</v>
      </c>
      <c r="EU105" s="572">
        <f>SUM(IW101:IW104)</f>
        <v>0</v>
      </c>
      <c r="EV105" s="573">
        <f>SUM(IX101:IX104)</f>
        <v>0</v>
      </c>
      <c r="EW105" s="426">
        <f>IF(ISERROR('raw data'!IP105/'raw data'!IQ105),0,'raw data'!IP105/'raw data'!IQ105)</f>
        <v>0</v>
      </c>
      <c r="EX105" s="572">
        <f>SUM(IZ101:IZ104)</f>
        <v>0</v>
      </c>
      <c r="EY105" s="573">
        <f>SUM(JA101:JA104)</f>
        <v>0</v>
      </c>
      <c r="EZ105" s="426">
        <f>IF(ISERROR('raw data'!IR105/'raw data'!IS105),0,'raw data'!IR105/'raw data'!IS105)</f>
        <v>0</v>
      </c>
      <c r="FA105" s="572">
        <f>SUM(JC101:JC104)</f>
        <v>0</v>
      </c>
      <c r="FB105" s="573">
        <f>SUM(JD101:JD104)</f>
        <v>0</v>
      </c>
      <c r="FC105" s="426">
        <f>IF(ISERROR('raw data'!IT105/'raw data'!IU105),0,'raw data'!IT105/'raw data'!IU105)</f>
        <v>0</v>
      </c>
      <c r="FD105" s="572">
        <f>SUM(JF101:JF104)</f>
        <v>0</v>
      </c>
      <c r="FE105" s="573">
        <f>SUM(JG101:JG104)</f>
        <v>0</v>
      </c>
      <c r="FF105" s="426">
        <f>IF(ISERROR('raw data'!IV105/'raw data'!IW105),0,'raw data'!IV105/'raw data'!IW105)</f>
        <v>0</v>
      </c>
      <c r="FG105" s="572">
        <f>SUM(JI101:JI104)</f>
        <v>0</v>
      </c>
      <c r="FH105" s="573">
        <f>SUM(JJ101:JJ104)</f>
        <v>0</v>
      </c>
      <c r="FI105" s="426">
        <f>IF(ISERROR('raw data'!IX105/'raw data'!IY105),0,'raw data'!IX105/'raw data'!IY105)</f>
        <v>0</v>
      </c>
      <c r="FJ105" s="572">
        <f>SUM(JL101:JL104)</f>
        <v>0</v>
      </c>
      <c r="FK105" s="573">
        <f>SUM(JM101:JM104)</f>
        <v>0</v>
      </c>
      <c r="FL105" s="426">
        <f>IF(ISERROR('raw data'!IZ105/'raw data'!JA105),0,'raw data'!IZ105/'raw data'!JA105)</f>
        <v>0</v>
      </c>
      <c r="FM105" s="572">
        <f>SUM(JO101:JO104)</f>
        <v>0</v>
      </c>
      <c r="FN105" s="573">
        <f>SUM(JP101:JP104)</f>
        <v>0</v>
      </c>
      <c r="FO105" s="426">
        <f>IF(ISERROR('raw data'!JB105/'raw data'!JC105),0,'raw data'!JB105/'raw data'!JC105)</f>
        <v>0</v>
      </c>
      <c r="FP105" s="572">
        <f>SUM(JR101:JR104)</f>
        <v>0</v>
      </c>
      <c r="FQ105" s="573">
        <f>SUM(JS101:JS104)</f>
        <v>0</v>
      </c>
      <c r="FR105" s="426">
        <f>IF(ISERROR('raw data'!JD105/'raw data'!JE105),0,'raw data'!JD105/'raw data'!JE105)</f>
        <v>0</v>
      </c>
      <c r="FS105" s="469"/>
      <c r="FT105" s="428">
        <f>SUM(FT101:FT104)</f>
        <v>0</v>
      </c>
      <c r="FU105" s="429">
        <f>SUM(FU101:FU104)</f>
        <v>0</v>
      </c>
      <c r="FV105" s="430">
        <f t="shared" si="0"/>
        <v>0</v>
      </c>
    </row>
    <row r="106" spans="1:178" ht="25.5" customHeight="1" x14ac:dyDescent="0.15">
      <c r="A106" s="574">
        <v>6.1</v>
      </c>
      <c r="B106" s="575" t="str">
        <f>'raw data'!B106</f>
        <v>TMW accounts redeemed when in arrears for 3+ months.</v>
      </c>
      <c r="C106" s="576" t="s">
        <v>176</v>
      </c>
      <c r="D106" s="402" t="s">
        <v>243</v>
      </c>
      <c r="E106" s="403" t="s">
        <v>243</v>
      </c>
      <c r="F106" s="404" t="s">
        <v>243</v>
      </c>
      <c r="G106" s="402" t="s">
        <v>243</v>
      </c>
      <c r="H106" s="403" t="s">
        <v>243</v>
      </c>
      <c r="I106" s="404" t="s">
        <v>243</v>
      </c>
      <c r="J106" s="402" t="s">
        <v>243</v>
      </c>
      <c r="K106" s="403" t="s">
        <v>243</v>
      </c>
      <c r="L106" s="404" t="s">
        <v>243</v>
      </c>
      <c r="M106" s="402" t="s">
        <v>243</v>
      </c>
      <c r="N106" s="403" t="s">
        <v>243</v>
      </c>
      <c r="O106" s="404" t="s">
        <v>243</v>
      </c>
      <c r="P106" s="402" t="s">
        <v>243</v>
      </c>
      <c r="Q106" s="403" t="s">
        <v>243</v>
      </c>
      <c r="R106" s="404" t="s">
        <v>243</v>
      </c>
      <c r="S106" s="402" t="s">
        <v>243</v>
      </c>
      <c r="T106" s="403" t="s">
        <v>243</v>
      </c>
      <c r="U106" s="404" t="s">
        <v>243</v>
      </c>
      <c r="V106" s="402" t="s">
        <v>243</v>
      </c>
      <c r="W106" s="403" t="s">
        <v>243</v>
      </c>
      <c r="X106" s="404" t="s">
        <v>243</v>
      </c>
      <c r="Y106" s="402" t="s">
        <v>243</v>
      </c>
      <c r="Z106" s="403" t="s">
        <v>243</v>
      </c>
      <c r="AA106" s="404" t="s">
        <v>243</v>
      </c>
      <c r="AB106" s="402" t="s">
        <v>243</v>
      </c>
      <c r="AC106" s="403" t="s">
        <v>243</v>
      </c>
      <c r="AD106" s="404" t="s">
        <v>243</v>
      </c>
      <c r="AE106" s="402" t="s">
        <v>243</v>
      </c>
      <c r="AF106" s="403" t="s">
        <v>243</v>
      </c>
      <c r="AG106" s="404" t="s">
        <v>243</v>
      </c>
      <c r="AH106" s="402" t="s">
        <v>243</v>
      </c>
      <c r="AI106" s="403" t="s">
        <v>243</v>
      </c>
      <c r="AJ106" s="404" t="s">
        <v>243</v>
      </c>
      <c r="AK106" s="402" t="s">
        <v>243</v>
      </c>
      <c r="AL106" s="403" t="s">
        <v>243</v>
      </c>
      <c r="AM106" s="404" t="s">
        <v>243</v>
      </c>
      <c r="AN106" s="402" t="s">
        <v>243</v>
      </c>
      <c r="AO106" s="403" t="s">
        <v>243</v>
      </c>
      <c r="AP106" s="404" t="s">
        <v>243</v>
      </c>
      <c r="AQ106" s="402" t="s">
        <v>243</v>
      </c>
      <c r="AR106" s="403" t="s">
        <v>243</v>
      </c>
      <c r="AS106" s="405" t="s">
        <v>243</v>
      </c>
      <c r="AT106" s="402" t="s">
        <v>243</v>
      </c>
      <c r="AU106" s="403" t="s">
        <v>243</v>
      </c>
      <c r="AV106" s="405" t="s">
        <v>243</v>
      </c>
      <c r="AW106" s="402" t="s">
        <v>243</v>
      </c>
      <c r="AX106" s="403" t="s">
        <v>243</v>
      </c>
      <c r="AY106" s="405" t="s">
        <v>243</v>
      </c>
      <c r="AZ106" s="402" t="s">
        <v>243</v>
      </c>
      <c r="BA106" s="403" t="s">
        <v>243</v>
      </c>
      <c r="BB106" s="405" t="s">
        <v>243</v>
      </c>
      <c r="BC106" s="402" t="s">
        <v>243</v>
      </c>
      <c r="BD106" s="403" t="s">
        <v>243</v>
      </c>
      <c r="BE106" s="405" t="s">
        <v>243</v>
      </c>
      <c r="BF106" s="402" t="s">
        <v>243</v>
      </c>
      <c r="BG106" s="403" t="s">
        <v>243</v>
      </c>
      <c r="BH106" s="405" t="s">
        <v>243</v>
      </c>
      <c r="BI106" s="402" t="s">
        <v>243</v>
      </c>
      <c r="BJ106" s="403" t="s">
        <v>243</v>
      </c>
      <c r="BK106" s="405" t="s">
        <v>243</v>
      </c>
      <c r="BL106" s="402" t="s">
        <v>243</v>
      </c>
      <c r="BM106" s="403" t="s">
        <v>243</v>
      </c>
      <c r="BN106" s="405" t="s">
        <v>243</v>
      </c>
      <c r="BO106" s="402" t="s">
        <v>243</v>
      </c>
      <c r="BP106" s="403" t="s">
        <v>243</v>
      </c>
      <c r="BQ106" s="405" t="s">
        <v>243</v>
      </c>
      <c r="BR106" s="402" t="s">
        <v>243</v>
      </c>
      <c r="BS106" s="403" t="s">
        <v>243</v>
      </c>
      <c r="BT106" s="405" t="s">
        <v>243</v>
      </c>
      <c r="BU106" s="402" t="s">
        <v>243</v>
      </c>
      <c r="BV106" s="403" t="s">
        <v>243</v>
      </c>
      <c r="BW106" s="405" t="s">
        <v>243</v>
      </c>
      <c r="BX106" s="402" t="s">
        <v>243</v>
      </c>
      <c r="BY106" s="403" t="s">
        <v>243</v>
      </c>
      <c r="BZ106" s="405" t="s">
        <v>243</v>
      </c>
      <c r="CA106" s="402" t="s">
        <v>243</v>
      </c>
      <c r="CB106" s="403" t="s">
        <v>243</v>
      </c>
      <c r="CC106" s="405" t="s">
        <v>243</v>
      </c>
      <c r="CD106" s="402" t="s">
        <v>243</v>
      </c>
      <c r="CE106" s="403" t="s">
        <v>243</v>
      </c>
      <c r="CF106" s="405" t="s">
        <v>243</v>
      </c>
      <c r="CG106" s="402" t="s">
        <v>243</v>
      </c>
      <c r="CH106" s="403" t="s">
        <v>243</v>
      </c>
      <c r="CI106" s="405" t="s">
        <v>243</v>
      </c>
      <c r="CJ106" s="402" t="s">
        <v>243</v>
      </c>
      <c r="CK106" s="403" t="s">
        <v>243</v>
      </c>
      <c r="CL106" s="405" t="s">
        <v>243</v>
      </c>
      <c r="CM106" s="402" t="s">
        <v>243</v>
      </c>
      <c r="CN106" s="403" t="s">
        <v>243</v>
      </c>
      <c r="CO106" s="405" t="s">
        <v>243</v>
      </c>
      <c r="CP106" s="402" t="s">
        <v>243</v>
      </c>
      <c r="CQ106" s="403" t="s">
        <v>243</v>
      </c>
      <c r="CR106" s="405" t="s">
        <v>243</v>
      </c>
      <c r="CS106" s="402" t="s">
        <v>243</v>
      </c>
      <c r="CT106" s="403" t="s">
        <v>243</v>
      </c>
      <c r="CU106" s="405" t="s">
        <v>243</v>
      </c>
      <c r="CV106" s="402" t="s">
        <v>243</v>
      </c>
      <c r="CW106" s="403" t="s">
        <v>243</v>
      </c>
      <c r="CX106" s="405" t="s">
        <v>243</v>
      </c>
      <c r="CY106" s="402" t="s">
        <v>243</v>
      </c>
      <c r="CZ106" s="403" t="s">
        <v>243</v>
      </c>
      <c r="DA106" s="405" t="s">
        <v>243</v>
      </c>
      <c r="DB106" s="402" t="s">
        <v>243</v>
      </c>
      <c r="DC106" s="403" t="s">
        <v>243</v>
      </c>
      <c r="DD106" s="405" t="s">
        <v>243</v>
      </c>
      <c r="DE106" s="402" t="s">
        <v>243</v>
      </c>
      <c r="DF106" s="403" t="s">
        <v>243</v>
      </c>
      <c r="DG106" s="405" t="s">
        <v>243</v>
      </c>
      <c r="DH106" s="402" t="s">
        <v>243</v>
      </c>
      <c r="DI106" s="403" t="s">
        <v>243</v>
      </c>
      <c r="DJ106" s="405" t="s">
        <v>243</v>
      </c>
      <c r="DK106" s="402" t="s">
        <v>243</v>
      </c>
      <c r="DL106" s="403" t="s">
        <v>243</v>
      </c>
      <c r="DM106" s="405" t="s">
        <v>243</v>
      </c>
      <c r="DN106" s="402" t="s">
        <v>243</v>
      </c>
      <c r="DO106" s="403" t="s">
        <v>243</v>
      </c>
      <c r="DP106" s="405" t="s">
        <v>243</v>
      </c>
      <c r="DQ106" s="402" t="s">
        <v>243</v>
      </c>
      <c r="DR106" s="403" t="s">
        <v>243</v>
      </c>
      <c r="DS106" s="405" t="s">
        <v>243</v>
      </c>
      <c r="DT106" s="402" t="s">
        <v>243</v>
      </c>
      <c r="DU106" s="403" t="s">
        <v>243</v>
      </c>
      <c r="DV106" s="405" t="s">
        <v>243</v>
      </c>
      <c r="DW106" s="402" t="s">
        <v>243</v>
      </c>
      <c r="DX106" s="403" t="s">
        <v>243</v>
      </c>
      <c r="DY106" s="405" t="s">
        <v>243</v>
      </c>
      <c r="DZ106" s="402" t="s">
        <v>243</v>
      </c>
      <c r="EA106" s="403" t="s">
        <v>243</v>
      </c>
      <c r="EB106" s="405" t="s">
        <v>243</v>
      </c>
      <c r="EC106" s="402" t="s">
        <v>243</v>
      </c>
      <c r="ED106" s="403" t="s">
        <v>243</v>
      </c>
      <c r="EE106" s="405" t="s">
        <v>243</v>
      </c>
      <c r="EF106" s="402" t="s">
        <v>243</v>
      </c>
      <c r="EG106" s="403" t="s">
        <v>243</v>
      </c>
      <c r="EH106" s="405" t="s">
        <v>243</v>
      </c>
      <c r="EI106" s="402" t="s">
        <v>243</v>
      </c>
      <c r="EJ106" s="403" t="s">
        <v>243</v>
      </c>
      <c r="EK106" s="405" t="s">
        <v>243</v>
      </c>
      <c r="EL106" s="402" t="s">
        <v>243</v>
      </c>
      <c r="EM106" s="403" t="s">
        <v>243</v>
      </c>
      <c r="EN106" s="405" t="s">
        <v>243</v>
      </c>
      <c r="EO106" s="402" t="s">
        <v>243</v>
      </c>
      <c r="EP106" s="403" t="s">
        <v>243</v>
      </c>
      <c r="EQ106" s="405" t="s">
        <v>243</v>
      </c>
      <c r="ER106" s="402" t="s">
        <v>243</v>
      </c>
      <c r="ES106" s="403" t="s">
        <v>243</v>
      </c>
      <c r="ET106" s="405" t="s">
        <v>243</v>
      </c>
      <c r="EU106" s="402" t="s">
        <v>243</v>
      </c>
      <c r="EV106" s="403" t="s">
        <v>243</v>
      </c>
      <c r="EW106" s="405" t="s">
        <v>243</v>
      </c>
      <c r="EX106" s="402" t="s">
        <v>243</v>
      </c>
      <c r="EY106" s="403" t="s">
        <v>243</v>
      </c>
      <c r="EZ106" s="405" t="s">
        <v>243</v>
      </c>
      <c r="FA106" s="402" t="s">
        <v>243</v>
      </c>
      <c r="FB106" s="403" t="s">
        <v>243</v>
      </c>
      <c r="FC106" s="405" t="s">
        <v>243</v>
      </c>
      <c r="FD106" s="402" t="s">
        <v>243</v>
      </c>
      <c r="FE106" s="403" t="s">
        <v>243</v>
      </c>
      <c r="FF106" s="405" t="s">
        <v>243</v>
      </c>
      <c r="FG106" s="402" t="s">
        <v>243</v>
      </c>
      <c r="FH106" s="403" t="s">
        <v>243</v>
      </c>
      <c r="FI106" s="405" t="s">
        <v>243</v>
      </c>
      <c r="FJ106" s="402" t="s">
        <v>243</v>
      </c>
      <c r="FK106" s="403" t="s">
        <v>243</v>
      </c>
      <c r="FL106" s="405" t="s">
        <v>243</v>
      </c>
      <c r="FM106" s="402" t="s">
        <v>243</v>
      </c>
      <c r="FN106" s="403" t="s">
        <v>243</v>
      </c>
      <c r="FO106" s="405" t="s">
        <v>243</v>
      </c>
      <c r="FP106" s="402" t="s">
        <v>243</v>
      </c>
      <c r="FQ106" s="403" t="s">
        <v>243</v>
      </c>
      <c r="FR106" s="405" t="s">
        <v>243</v>
      </c>
      <c r="FS106" s="577"/>
      <c r="FT106" s="578">
        <v>0</v>
      </c>
      <c r="FU106" s="579">
        <v>0</v>
      </c>
      <c r="FV106" s="580">
        <f t="shared" si="0"/>
        <v>0</v>
      </c>
    </row>
    <row r="107" spans="1:178" ht="25.5" customHeight="1" x14ac:dyDescent="0.15">
      <c r="A107" s="574">
        <v>6.2</v>
      </c>
      <c r="B107" s="575" t="str">
        <f>'raw data'!B107</f>
        <v>TMW accounts redeemed within 12 months of inception.</v>
      </c>
      <c r="C107" s="576" t="s">
        <v>178</v>
      </c>
      <c r="D107" s="581">
        <f>'raw data'!ET107</f>
        <v>0</v>
      </c>
      <c r="E107" s="582">
        <f>'raw data'!EU107</f>
        <v>7</v>
      </c>
      <c r="F107" s="583">
        <f>IF(ISERROR('raw data'!ET107/'raw data'!EU107),0,'raw data'!ET107/'raw data'!EU107)</f>
        <v>0</v>
      </c>
      <c r="G107" s="581">
        <f>'raw data'!EV107</f>
        <v>0</v>
      </c>
      <c r="H107" s="582">
        <f>'raw data'!EW107</f>
        <v>4</v>
      </c>
      <c r="I107" s="583">
        <f>IF(ISERROR('raw data'!EV107/'raw data'!EW107),0,'raw data'!EV107/'raw data'!EW107)</f>
        <v>0</v>
      </c>
      <c r="J107" s="581">
        <f>'raw data'!EX107</f>
        <v>0</v>
      </c>
      <c r="K107" s="582">
        <f>'raw data'!EY107</f>
        <v>7</v>
      </c>
      <c r="L107" s="584">
        <f>IF(ISERROR('raw data'!EX107/'raw data'!EY107),0,'raw data'!EX107/'raw data'!EY107)</f>
        <v>0</v>
      </c>
      <c r="M107" s="581">
        <f>'raw data'!EZ107</f>
        <v>0</v>
      </c>
      <c r="N107" s="582">
        <f>'raw data'!FA107</f>
        <v>4</v>
      </c>
      <c r="O107" s="583">
        <f>IF(ISERROR('raw data'!EZ107/'raw data'!FA107),0,'raw data'!EZ107/'raw data'!FA107)</f>
        <v>0</v>
      </c>
      <c r="P107" s="402" t="s">
        <v>243</v>
      </c>
      <c r="Q107" s="403" t="s">
        <v>243</v>
      </c>
      <c r="R107" s="404" t="s">
        <v>243</v>
      </c>
      <c r="S107" s="402" t="s">
        <v>243</v>
      </c>
      <c r="T107" s="403" t="s">
        <v>243</v>
      </c>
      <c r="U107" s="404" t="s">
        <v>243</v>
      </c>
      <c r="V107" s="402" t="s">
        <v>243</v>
      </c>
      <c r="W107" s="403" t="s">
        <v>243</v>
      </c>
      <c r="X107" s="404" t="s">
        <v>243</v>
      </c>
      <c r="Y107" s="402" t="s">
        <v>243</v>
      </c>
      <c r="Z107" s="403" t="s">
        <v>243</v>
      </c>
      <c r="AA107" s="404" t="s">
        <v>243</v>
      </c>
      <c r="AB107" s="402" t="s">
        <v>243</v>
      </c>
      <c r="AC107" s="403" t="s">
        <v>243</v>
      </c>
      <c r="AD107" s="404" t="s">
        <v>243</v>
      </c>
      <c r="AE107" s="402" t="s">
        <v>243</v>
      </c>
      <c r="AF107" s="403" t="s">
        <v>243</v>
      </c>
      <c r="AG107" s="404" t="s">
        <v>243</v>
      </c>
      <c r="AH107" s="402" t="s">
        <v>243</v>
      </c>
      <c r="AI107" s="403" t="s">
        <v>243</v>
      </c>
      <c r="AJ107" s="404" t="s">
        <v>243</v>
      </c>
      <c r="AK107" s="402" t="s">
        <v>243</v>
      </c>
      <c r="AL107" s="403" t="s">
        <v>243</v>
      </c>
      <c r="AM107" s="404" t="s">
        <v>243</v>
      </c>
      <c r="AN107" s="402" t="s">
        <v>243</v>
      </c>
      <c r="AO107" s="403" t="s">
        <v>243</v>
      </c>
      <c r="AP107" s="404" t="s">
        <v>243</v>
      </c>
      <c r="AQ107" s="402" t="s">
        <v>243</v>
      </c>
      <c r="AR107" s="403" t="s">
        <v>243</v>
      </c>
      <c r="AS107" s="405" t="s">
        <v>243</v>
      </c>
      <c r="AT107" s="402" t="s">
        <v>243</v>
      </c>
      <c r="AU107" s="403" t="s">
        <v>243</v>
      </c>
      <c r="AV107" s="405" t="s">
        <v>243</v>
      </c>
      <c r="AW107" s="402" t="s">
        <v>243</v>
      </c>
      <c r="AX107" s="403" t="s">
        <v>243</v>
      </c>
      <c r="AY107" s="405" t="s">
        <v>243</v>
      </c>
      <c r="AZ107" s="402" t="s">
        <v>243</v>
      </c>
      <c r="BA107" s="403" t="s">
        <v>243</v>
      </c>
      <c r="BB107" s="405" t="s">
        <v>243</v>
      </c>
      <c r="BC107" s="402" t="s">
        <v>243</v>
      </c>
      <c r="BD107" s="403" t="s">
        <v>243</v>
      </c>
      <c r="BE107" s="405" t="s">
        <v>243</v>
      </c>
      <c r="BF107" s="402" t="s">
        <v>243</v>
      </c>
      <c r="BG107" s="403" t="s">
        <v>243</v>
      </c>
      <c r="BH107" s="405" t="s">
        <v>243</v>
      </c>
      <c r="BI107" s="402" t="s">
        <v>243</v>
      </c>
      <c r="BJ107" s="403" t="s">
        <v>243</v>
      </c>
      <c r="BK107" s="405" t="s">
        <v>243</v>
      </c>
      <c r="BL107" s="402" t="s">
        <v>243</v>
      </c>
      <c r="BM107" s="403" t="s">
        <v>243</v>
      </c>
      <c r="BN107" s="405" t="s">
        <v>243</v>
      </c>
      <c r="BO107" s="402" t="s">
        <v>243</v>
      </c>
      <c r="BP107" s="403" t="s">
        <v>243</v>
      </c>
      <c r="BQ107" s="405" t="s">
        <v>243</v>
      </c>
      <c r="BR107" s="402" t="s">
        <v>243</v>
      </c>
      <c r="BS107" s="403" t="s">
        <v>243</v>
      </c>
      <c r="BT107" s="405" t="s">
        <v>243</v>
      </c>
      <c r="BU107" s="402" t="s">
        <v>243</v>
      </c>
      <c r="BV107" s="403" t="s">
        <v>243</v>
      </c>
      <c r="BW107" s="405" t="s">
        <v>243</v>
      </c>
      <c r="BX107" s="402" t="s">
        <v>243</v>
      </c>
      <c r="BY107" s="403" t="s">
        <v>243</v>
      </c>
      <c r="BZ107" s="405" t="s">
        <v>243</v>
      </c>
      <c r="CA107" s="402" t="s">
        <v>243</v>
      </c>
      <c r="CB107" s="403" t="s">
        <v>243</v>
      </c>
      <c r="CC107" s="405" t="s">
        <v>243</v>
      </c>
      <c r="CD107" s="402" t="s">
        <v>243</v>
      </c>
      <c r="CE107" s="403" t="s">
        <v>243</v>
      </c>
      <c r="CF107" s="405" t="s">
        <v>243</v>
      </c>
      <c r="CG107" s="402" t="s">
        <v>243</v>
      </c>
      <c r="CH107" s="403" t="s">
        <v>243</v>
      </c>
      <c r="CI107" s="405" t="s">
        <v>243</v>
      </c>
      <c r="CJ107" s="402" t="s">
        <v>243</v>
      </c>
      <c r="CK107" s="403" t="s">
        <v>243</v>
      </c>
      <c r="CL107" s="405" t="s">
        <v>243</v>
      </c>
      <c r="CM107" s="402" t="s">
        <v>243</v>
      </c>
      <c r="CN107" s="403" t="s">
        <v>243</v>
      </c>
      <c r="CO107" s="405" t="s">
        <v>243</v>
      </c>
      <c r="CP107" s="402" t="s">
        <v>243</v>
      </c>
      <c r="CQ107" s="403" t="s">
        <v>243</v>
      </c>
      <c r="CR107" s="405" t="s">
        <v>243</v>
      </c>
      <c r="CS107" s="402" t="s">
        <v>243</v>
      </c>
      <c r="CT107" s="403" t="s">
        <v>243</v>
      </c>
      <c r="CU107" s="405" t="s">
        <v>243</v>
      </c>
      <c r="CV107" s="402" t="s">
        <v>243</v>
      </c>
      <c r="CW107" s="403" t="s">
        <v>243</v>
      </c>
      <c r="CX107" s="405" t="s">
        <v>243</v>
      </c>
      <c r="CY107" s="402" t="s">
        <v>243</v>
      </c>
      <c r="CZ107" s="403" t="s">
        <v>243</v>
      </c>
      <c r="DA107" s="405" t="s">
        <v>243</v>
      </c>
      <c r="DB107" s="402" t="s">
        <v>243</v>
      </c>
      <c r="DC107" s="403" t="s">
        <v>243</v>
      </c>
      <c r="DD107" s="405" t="s">
        <v>243</v>
      </c>
      <c r="DE107" s="402" t="s">
        <v>243</v>
      </c>
      <c r="DF107" s="403" t="s">
        <v>243</v>
      </c>
      <c r="DG107" s="405" t="s">
        <v>243</v>
      </c>
      <c r="DH107" s="402" t="s">
        <v>243</v>
      </c>
      <c r="DI107" s="403" t="s">
        <v>243</v>
      </c>
      <c r="DJ107" s="405" t="s">
        <v>243</v>
      </c>
      <c r="DK107" s="402" t="s">
        <v>243</v>
      </c>
      <c r="DL107" s="403" t="s">
        <v>243</v>
      </c>
      <c r="DM107" s="405" t="s">
        <v>243</v>
      </c>
      <c r="DN107" s="402" t="s">
        <v>243</v>
      </c>
      <c r="DO107" s="403" t="s">
        <v>243</v>
      </c>
      <c r="DP107" s="405" t="s">
        <v>243</v>
      </c>
      <c r="DQ107" s="402" t="s">
        <v>243</v>
      </c>
      <c r="DR107" s="403" t="s">
        <v>243</v>
      </c>
      <c r="DS107" s="405" t="s">
        <v>243</v>
      </c>
      <c r="DT107" s="402" t="s">
        <v>243</v>
      </c>
      <c r="DU107" s="403" t="s">
        <v>243</v>
      </c>
      <c r="DV107" s="405" t="s">
        <v>243</v>
      </c>
      <c r="DW107" s="402" t="s">
        <v>243</v>
      </c>
      <c r="DX107" s="403" t="s">
        <v>243</v>
      </c>
      <c r="DY107" s="405" t="s">
        <v>243</v>
      </c>
      <c r="DZ107" s="402" t="s">
        <v>243</v>
      </c>
      <c r="EA107" s="403" t="s">
        <v>243</v>
      </c>
      <c r="EB107" s="405" t="s">
        <v>243</v>
      </c>
      <c r="EC107" s="402" t="s">
        <v>243</v>
      </c>
      <c r="ED107" s="403" t="s">
        <v>243</v>
      </c>
      <c r="EE107" s="405" t="s">
        <v>243</v>
      </c>
      <c r="EF107" s="402" t="s">
        <v>243</v>
      </c>
      <c r="EG107" s="403" t="s">
        <v>243</v>
      </c>
      <c r="EH107" s="405" t="s">
        <v>243</v>
      </c>
      <c r="EI107" s="402" t="s">
        <v>243</v>
      </c>
      <c r="EJ107" s="403" t="s">
        <v>243</v>
      </c>
      <c r="EK107" s="405" t="s">
        <v>243</v>
      </c>
      <c r="EL107" s="402" t="s">
        <v>243</v>
      </c>
      <c r="EM107" s="403" t="s">
        <v>243</v>
      </c>
      <c r="EN107" s="405" t="s">
        <v>243</v>
      </c>
      <c r="EO107" s="402" t="s">
        <v>243</v>
      </c>
      <c r="EP107" s="403" t="s">
        <v>243</v>
      </c>
      <c r="EQ107" s="405" t="s">
        <v>243</v>
      </c>
      <c r="ER107" s="402" t="s">
        <v>243</v>
      </c>
      <c r="ES107" s="403" t="s">
        <v>243</v>
      </c>
      <c r="ET107" s="405" t="s">
        <v>243</v>
      </c>
      <c r="EU107" s="402" t="s">
        <v>243</v>
      </c>
      <c r="EV107" s="403" t="s">
        <v>243</v>
      </c>
      <c r="EW107" s="405" t="s">
        <v>243</v>
      </c>
      <c r="EX107" s="402" t="s">
        <v>243</v>
      </c>
      <c r="EY107" s="403" t="s">
        <v>243</v>
      </c>
      <c r="EZ107" s="405" t="s">
        <v>243</v>
      </c>
      <c r="FA107" s="402" t="s">
        <v>243</v>
      </c>
      <c r="FB107" s="403" t="s">
        <v>243</v>
      </c>
      <c r="FC107" s="405" t="s">
        <v>243</v>
      </c>
      <c r="FD107" s="402" t="s">
        <v>243</v>
      </c>
      <c r="FE107" s="403" t="s">
        <v>243</v>
      </c>
      <c r="FF107" s="405" t="s">
        <v>243</v>
      </c>
      <c r="FG107" s="402" t="s">
        <v>243</v>
      </c>
      <c r="FH107" s="403" t="s">
        <v>243</v>
      </c>
      <c r="FI107" s="405" t="s">
        <v>243</v>
      </c>
      <c r="FJ107" s="402" t="s">
        <v>243</v>
      </c>
      <c r="FK107" s="403" t="s">
        <v>243</v>
      </c>
      <c r="FL107" s="405" t="s">
        <v>243</v>
      </c>
      <c r="FM107" s="402" t="s">
        <v>243</v>
      </c>
      <c r="FN107" s="403" t="s">
        <v>243</v>
      </c>
      <c r="FO107" s="405" t="s">
        <v>243</v>
      </c>
      <c r="FP107" s="402" t="s">
        <v>243</v>
      </c>
      <c r="FQ107" s="403" t="s">
        <v>243</v>
      </c>
      <c r="FR107" s="405" t="s">
        <v>243</v>
      </c>
      <c r="FS107" s="577"/>
      <c r="FT107" s="578">
        <v>0</v>
      </c>
      <c r="FU107" s="579">
        <v>0</v>
      </c>
      <c r="FV107" s="580">
        <f t="shared" si="0"/>
        <v>0</v>
      </c>
    </row>
    <row r="108" spans="1:178" ht="25.5" customHeight="1" x14ac:dyDescent="0.15">
      <c r="A108" s="574">
        <v>6.3</v>
      </c>
      <c r="B108" s="575" t="str">
        <f>'raw data'!B108</f>
        <v>TMW accounts with £15k+ capital repayment within 3 months of inception.</v>
      </c>
      <c r="C108" s="576" t="s">
        <v>180</v>
      </c>
      <c r="D108" s="408" t="s">
        <v>30</v>
      </c>
      <c r="E108" s="409" t="s">
        <v>30</v>
      </c>
      <c r="F108" s="414" t="s">
        <v>30</v>
      </c>
      <c r="G108" s="408" t="s">
        <v>30</v>
      </c>
      <c r="H108" s="409" t="s">
        <v>30</v>
      </c>
      <c r="I108" s="414" t="s">
        <v>30</v>
      </c>
      <c r="J108" s="408" t="s">
        <v>30</v>
      </c>
      <c r="K108" s="409" t="s">
        <v>30</v>
      </c>
      <c r="L108" s="414" t="s">
        <v>30</v>
      </c>
      <c r="M108" s="408" t="s">
        <v>30</v>
      </c>
      <c r="N108" s="409" t="s">
        <v>30</v>
      </c>
      <c r="O108" s="414" t="s">
        <v>30</v>
      </c>
      <c r="P108" s="408" t="s">
        <v>243</v>
      </c>
      <c r="Q108" s="409" t="s">
        <v>243</v>
      </c>
      <c r="R108" s="409" t="s">
        <v>243</v>
      </c>
      <c r="S108" s="408" t="s">
        <v>243</v>
      </c>
      <c r="T108" s="409" t="s">
        <v>243</v>
      </c>
      <c r="U108" s="409" t="s">
        <v>243</v>
      </c>
      <c r="V108" s="408" t="s">
        <v>243</v>
      </c>
      <c r="W108" s="409" t="s">
        <v>243</v>
      </c>
      <c r="X108" s="409" t="s">
        <v>243</v>
      </c>
      <c r="Y108" s="408" t="s">
        <v>243</v>
      </c>
      <c r="Z108" s="409" t="s">
        <v>243</v>
      </c>
      <c r="AA108" s="409" t="s">
        <v>243</v>
      </c>
      <c r="AB108" s="408" t="s">
        <v>243</v>
      </c>
      <c r="AC108" s="409" t="s">
        <v>243</v>
      </c>
      <c r="AD108" s="409" t="s">
        <v>243</v>
      </c>
      <c r="AE108" s="408" t="s">
        <v>243</v>
      </c>
      <c r="AF108" s="409" t="s">
        <v>243</v>
      </c>
      <c r="AG108" s="414" t="s">
        <v>243</v>
      </c>
      <c r="AH108" s="408" t="s">
        <v>243</v>
      </c>
      <c r="AI108" s="409" t="s">
        <v>243</v>
      </c>
      <c r="AJ108" s="404" t="s">
        <v>243</v>
      </c>
      <c r="AK108" s="408" t="s">
        <v>243</v>
      </c>
      <c r="AL108" s="409" t="s">
        <v>243</v>
      </c>
      <c r="AM108" s="404" t="s">
        <v>243</v>
      </c>
      <c r="AN108" s="408" t="s">
        <v>243</v>
      </c>
      <c r="AO108" s="409" t="s">
        <v>243</v>
      </c>
      <c r="AP108" s="404" t="s">
        <v>243</v>
      </c>
      <c r="AQ108" s="408" t="s">
        <v>243</v>
      </c>
      <c r="AR108" s="409" t="s">
        <v>243</v>
      </c>
      <c r="AS108" s="405" t="s">
        <v>243</v>
      </c>
      <c r="AT108" s="408" t="s">
        <v>243</v>
      </c>
      <c r="AU108" s="409" t="s">
        <v>243</v>
      </c>
      <c r="AV108" s="405" t="s">
        <v>243</v>
      </c>
      <c r="AW108" s="408" t="s">
        <v>243</v>
      </c>
      <c r="AX108" s="409" t="s">
        <v>243</v>
      </c>
      <c r="AY108" s="405" t="s">
        <v>243</v>
      </c>
      <c r="AZ108" s="408" t="s">
        <v>243</v>
      </c>
      <c r="BA108" s="409" t="s">
        <v>243</v>
      </c>
      <c r="BB108" s="405" t="s">
        <v>243</v>
      </c>
      <c r="BC108" s="408" t="s">
        <v>243</v>
      </c>
      <c r="BD108" s="409" t="s">
        <v>243</v>
      </c>
      <c r="BE108" s="405" t="s">
        <v>243</v>
      </c>
      <c r="BF108" s="408" t="s">
        <v>243</v>
      </c>
      <c r="BG108" s="409" t="s">
        <v>243</v>
      </c>
      <c r="BH108" s="405" t="s">
        <v>243</v>
      </c>
      <c r="BI108" s="408" t="s">
        <v>243</v>
      </c>
      <c r="BJ108" s="409" t="s">
        <v>243</v>
      </c>
      <c r="BK108" s="405" t="s">
        <v>243</v>
      </c>
      <c r="BL108" s="408" t="s">
        <v>243</v>
      </c>
      <c r="BM108" s="409" t="s">
        <v>243</v>
      </c>
      <c r="BN108" s="405" t="s">
        <v>243</v>
      </c>
      <c r="BO108" s="408" t="s">
        <v>243</v>
      </c>
      <c r="BP108" s="409" t="s">
        <v>243</v>
      </c>
      <c r="BQ108" s="405" t="s">
        <v>243</v>
      </c>
      <c r="BR108" s="408" t="s">
        <v>243</v>
      </c>
      <c r="BS108" s="409" t="s">
        <v>243</v>
      </c>
      <c r="BT108" s="405" t="s">
        <v>243</v>
      </c>
      <c r="BU108" s="408" t="s">
        <v>243</v>
      </c>
      <c r="BV108" s="409" t="s">
        <v>243</v>
      </c>
      <c r="BW108" s="405" t="s">
        <v>243</v>
      </c>
      <c r="BX108" s="408" t="s">
        <v>243</v>
      </c>
      <c r="BY108" s="409" t="s">
        <v>243</v>
      </c>
      <c r="BZ108" s="405" t="s">
        <v>243</v>
      </c>
      <c r="CA108" s="408" t="s">
        <v>243</v>
      </c>
      <c r="CB108" s="409" t="s">
        <v>243</v>
      </c>
      <c r="CC108" s="405" t="s">
        <v>243</v>
      </c>
      <c r="CD108" s="408" t="s">
        <v>243</v>
      </c>
      <c r="CE108" s="409" t="s">
        <v>243</v>
      </c>
      <c r="CF108" s="405" t="s">
        <v>243</v>
      </c>
      <c r="CG108" s="408" t="s">
        <v>243</v>
      </c>
      <c r="CH108" s="409" t="s">
        <v>243</v>
      </c>
      <c r="CI108" s="405" t="s">
        <v>243</v>
      </c>
      <c r="CJ108" s="408" t="s">
        <v>243</v>
      </c>
      <c r="CK108" s="409" t="s">
        <v>243</v>
      </c>
      <c r="CL108" s="405" t="s">
        <v>243</v>
      </c>
      <c r="CM108" s="408" t="s">
        <v>243</v>
      </c>
      <c r="CN108" s="409" t="s">
        <v>243</v>
      </c>
      <c r="CO108" s="405" t="s">
        <v>243</v>
      </c>
      <c r="CP108" s="408" t="s">
        <v>243</v>
      </c>
      <c r="CQ108" s="409" t="s">
        <v>243</v>
      </c>
      <c r="CR108" s="405" t="s">
        <v>243</v>
      </c>
      <c r="CS108" s="408" t="s">
        <v>243</v>
      </c>
      <c r="CT108" s="409" t="s">
        <v>243</v>
      </c>
      <c r="CU108" s="405" t="s">
        <v>243</v>
      </c>
      <c r="CV108" s="408" t="s">
        <v>243</v>
      </c>
      <c r="CW108" s="409" t="s">
        <v>243</v>
      </c>
      <c r="CX108" s="405" t="s">
        <v>243</v>
      </c>
      <c r="CY108" s="408" t="s">
        <v>243</v>
      </c>
      <c r="CZ108" s="409" t="s">
        <v>243</v>
      </c>
      <c r="DA108" s="405" t="s">
        <v>243</v>
      </c>
      <c r="DB108" s="408" t="s">
        <v>243</v>
      </c>
      <c r="DC108" s="409" t="s">
        <v>243</v>
      </c>
      <c r="DD108" s="405" t="s">
        <v>243</v>
      </c>
      <c r="DE108" s="408" t="s">
        <v>243</v>
      </c>
      <c r="DF108" s="409" t="s">
        <v>243</v>
      </c>
      <c r="DG108" s="405" t="s">
        <v>243</v>
      </c>
      <c r="DH108" s="408" t="s">
        <v>243</v>
      </c>
      <c r="DI108" s="409" t="s">
        <v>243</v>
      </c>
      <c r="DJ108" s="405" t="s">
        <v>243</v>
      </c>
      <c r="DK108" s="408" t="s">
        <v>243</v>
      </c>
      <c r="DL108" s="409" t="s">
        <v>243</v>
      </c>
      <c r="DM108" s="405" t="s">
        <v>243</v>
      </c>
      <c r="DN108" s="408" t="s">
        <v>243</v>
      </c>
      <c r="DO108" s="409" t="s">
        <v>243</v>
      </c>
      <c r="DP108" s="405" t="s">
        <v>243</v>
      </c>
      <c r="DQ108" s="408" t="s">
        <v>243</v>
      </c>
      <c r="DR108" s="409" t="s">
        <v>243</v>
      </c>
      <c r="DS108" s="405" t="s">
        <v>243</v>
      </c>
      <c r="DT108" s="408" t="s">
        <v>243</v>
      </c>
      <c r="DU108" s="409" t="s">
        <v>243</v>
      </c>
      <c r="DV108" s="405" t="s">
        <v>243</v>
      </c>
      <c r="DW108" s="408" t="s">
        <v>243</v>
      </c>
      <c r="DX108" s="409" t="s">
        <v>243</v>
      </c>
      <c r="DY108" s="405" t="s">
        <v>243</v>
      </c>
      <c r="DZ108" s="408" t="s">
        <v>243</v>
      </c>
      <c r="EA108" s="409" t="s">
        <v>243</v>
      </c>
      <c r="EB108" s="405" t="s">
        <v>243</v>
      </c>
      <c r="EC108" s="408" t="s">
        <v>243</v>
      </c>
      <c r="ED108" s="409" t="s">
        <v>243</v>
      </c>
      <c r="EE108" s="405" t="s">
        <v>243</v>
      </c>
      <c r="EF108" s="408" t="s">
        <v>243</v>
      </c>
      <c r="EG108" s="409" t="s">
        <v>243</v>
      </c>
      <c r="EH108" s="405" t="s">
        <v>243</v>
      </c>
      <c r="EI108" s="408" t="s">
        <v>243</v>
      </c>
      <c r="EJ108" s="409" t="s">
        <v>243</v>
      </c>
      <c r="EK108" s="405" t="s">
        <v>243</v>
      </c>
      <c r="EL108" s="408" t="s">
        <v>243</v>
      </c>
      <c r="EM108" s="409" t="s">
        <v>243</v>
      </c>
      <c r="EN108" s="405" t="s">
        <v>243</v>
      </c>
      <c r="EO108" s="408" t="s">
        <v>243</v>
      </c>
      <c r="EP108" s="409" t="s">
        <v>243</v>
      </c>
      <c r="EQ108" s="405" t="s">
        <v>243</v>
      </c>
      <c r="ER108" s="408" t="s">
        <v>243</v>
      </c>
      <c r="ES108" s="409" t="s">
        <v>243</v>
      </c>
      <c r="ET108" s="405" t="s">
        <v>243</v>
      </c>
      <c r="EU108" s="408" t="s">
        <v>243</v>
      </c>
      <c r="EV108" s="409" t="s">
        <v>243</v>
      </c>
      <c r="EW108" s="405" t="s">
        <v>243</v>
      </c>
      <c r="EX108" s="408" t="s">
        <v>243</v>
      </c>
      <c r="EY108" s="409" t="s">
        <v>243</v>
      </c>
      <c r="EZ108" s="405" t="s">
        <v>243</v>
      </c>
      <c r="FA108" s="408" t="s">
        <v>243</v>
      </c>
      <c r="FB108" s="409" t="s">
        <v>243</v>
      </c>
      <c r="FC108" s="405" t="s">
        <v>243</v>
      </c>
      <c r="FD108" s="408" t="s">
        <v>243</v>
      </c>
      <c r="FE108" s="409" t="s">
        <v>243</v>
      </c>
      <c r="FF108" s="405" t="s">
        <v>243</v>
      </c>
      <c r="FG108" s="408" t="s">
        <v>243</v>
      </c>
      <c r="FH108" s="409" t="s">
        <v>243</v>
      </c>
      <c r="FI108" s="405" t="s">
        <v>243</v>
      </c>
      <c r="FJ108" s="408" t="s">
        <v>243</v>
      </c>
      <c r="FK108" s="409" t="s">
        <v>243</v>
      </c>
      <c r="FL108" s="405" t="s">
        <v>243</v>
      </c>
      <c r="FM108" s="408" t="s">
        <v>243</v>
      </c>
      <c r="FN108" s="409" t="s">
        <v>243</v>
      </c>
      <c r="FO108" s="405" t="s">
        <v>243</v>
      </c>
      <c r="FP108" s="408" t="s">
        <v>243</v>
      </c>
      <c r="FQ108" s="409" t="s">
        <v>243</v>
      </c>
      <c r="FR108" s="405" t="s">
        <v>243</v>
      </c>
      <c r="FS108" s="577"/>
      <c r="FT108" s="578">
        <v>0</v>
      </c>
      <c r="FU108" s="579">
        <v>0</v>
      </c>
      <c r="FV108" s="580">
        <f t="shared" si="0"/>
        <v>0</v>
      </c>
    </row>
    <row r="109" spans="1:178" ht="25.5" customHeight="1" x14ac:dyDescent="0.15">
      <c r="A109" s="574">
        <v>6.4</v>
      </c>
      <c r="B109" s="575" t="str">
        <f>'raw data'!B109</f>
        <v>TMW accounts with at least one £5k+ overpayment in each of the past 3 months.</v>
      </c>
      <c r="C109" s="576" t="s">
        <v>182</v>
      </c>
      <c r="D109" s="402" t="s">
        <v>243</v>
      </c>
      <c r="E109" s="403" t="s">
        <v>243</v>
      </c>
      <c r="F109" s="404" t="s">
        <v>243</v>
      </c>
      <c r="G109" s="402" t="s">
        <v>243</v>
      </c>
      <c r="H109" s="403" t="s">
        <v>243</v>
      </c>
      <c r="I109" s="404" t="s">
        <v>243</v>
      </c>
      <c r="J109" s="402" t="s">
        <v>243</v>
      </c>
      <c r="K109" s="403" t="s">
        <v>243</v>
      </c>
      <c r="L109" s="404" t="s">
        <v>243</v>
      </c>
      <c r="M109" s="402" t="s">
        <v>243</v>
      </c>
      <c r="N109" s="403" t="s">
        <v>243</v>
      </c>
      <c r="O109" s="404" t="s">
        <v>243</v>
      </c>
      <c r="P109" s="402" t="s">
        <v>243</v>
      </c>
      <c r="Q109" s="403" t="s">
        <v>243</v>
      </c>
      <c r="R109" s="404" t="s">
        <v>243</v>
      </c>
      <c r="S109" s="402" t="s">
        <v>243</v>
      </c>
      <c r="T109" s="403" t="s">
        <v>243</v>
      </c>
      <c r="U109" s="404" t="s">
        <v>243</v>
      </c>
      <c r="V109" s="402" t="s">
        <v>243</v>
      </c>
      <c r="W109" s="403" t="s">
        <v>243</v>
      </c>
      <c r="X109" s="404" t="s">
        <v>243</v>
      </c>
      <c r="Y109" s="402" t="s">
        <v>243</v>
      </c>
      <c r="Z109" s="403" t="s">
        <v>243</v>
      </c>
      <c r="AA109" s="404" t="s">
        <v>243</v>
      </c>
      <c r="AB109" s="402" t="s">
        <v>243</v>
      </c>
      <c r="AC109" s="403" t="s">
        <v>243</v>
      </c>
      <c r="AD109" s="404" t="s">
        <v>243</v>
      </c>
      <c r="AE109" s="402" t="s">
        <v>243</v>
      </c>
      <c r="AF109" s="403" t="s">
        <v>243</v>
      </c>
      <c r="AG109" s="404" t="s">
        <v>243</v>
      </c>
      <c r="AH109" s="402" t="s">
        <v>243</v>
      </c>
      <c r="AI109" s="403" t="s">
        <v>243</v>
      </c>
      <c r="AJ109" s="404" t="s">
        <v>243</v>
      </c>
      <c r="AK109" s="402" t="s">
        <v>243</v>
      </c>
      <c r="AL109" s="403" t="s">
        <v>243</v>
      </c>
      <c r="AM109" s="404" t="s">
        <v>243</v>
      </c>
      <c r="AN109" s="402" t="s">
        <v>243</v>
      </c>
      <c r="AO109" s="403" t="s">
        <v>243</v>
      </c>
      <c r="AP109" s="404" t="s">
        <v>243</v>
      </c>
      <c r="AQ109" s="402" t="s">
        <v>243</v>
      </c>
      <c r="AR109" s="403" t="s">
        <v>243</v>
      </c>
      <c r="AS109" s="405" t="s">
        <v>243</v>
      </c>
      <c r="AT109" s="402" t="s">
        <v>243</v>
      </c>
      <c r="AU109" s="403" t="s">
        <v>243</v>
      </c>
      <c r="AV109" s="405" t="s">
        <v>243</v>
      </c>
      <c r="AW109" s="402" t="s">
        <v>243</v>
      </c>
      <c r="AX109" s="403" t="s">
        <v>243</v>
      </c>
      <c r="AY109" s="405" t="s">
        <v>243</v>
      </c>
      <c r="AZ109" s="402" t="s">
        <v>243</v>
      </c>
      <c r="BA109" s="403" t="s">
        <v>243</v>
      </c>
      <c r="BB109" s="405" t="s">
        <v>243</v>
      </c>
      <c r="BC109" s="402" t="s">
        <v>243</v>
      </c>
      <c r="BD109" s="403" t="s">
        <v>243</v>
      </c>
      <c r="BE109" s="405" t="s">
        <v>243</v>
      </c>
      <c r="BF109" s="402" t="s">
        <v>243</v>
      </c>
      <c r="BG109" s="403" t="s">
        <v>243</v>
      </c>
      <c r="BH109" s="405" t="s">
        <v>243</v>
      </c>
      <c r="BI109" s="402" t="s">
        <v>243</v>
      </c>
      <c r="BJ109" s="403" t="s">
        <v>243</v>
      </c>
      <c r="BK109" s="405" t="s">
        <v>243</v>
      </c>
      <c r="BL109" s="402" t="s">
        <v>243</v>
      </c>
      <c r="BM109" s="403" t="s">
        <v>243</v>
      </c>
      <c r="BN109" s="405" t="s">
        <v>243</v>
      </c>
      <c r="BO109" s="402" t="s">
        <v>243</v>
      </c>
      <c r="BP109" s="403" t="s">
        <v>243</v>
      </c>
      <c r="BQ109" s="405" t="s">
        <v>243</v>
      </c>
      <c r="BR109" s="402" t="s">
        <v>243</v>
      </c>
      <c r="BS109" s="403" t="s">
        <v>243</v>
      </c>
      <c r="BT109" s="405" t="s">
        <v>243</v>
      </c>
      <c r="BU109" s="402" t="s">
        <v>243</v>
      </c>
      <c r="BV109" s="403" t="s">
        <v>243</v>
      </c>
      <c r="BW109" s="405" t="s">
        <v>243</v>
      </c>
      <c r="BX109" s="402" t="s">
        <v>243</v>
      </c>
      <c r="BY109" s="403" t="s">
        <v>243</v>
      </c>
      <c r="BZ109" s="405" t="s">
        <v>243</v>
      </c>
      <c r="CA109" s="402" t="s">
        <v>243</v>
      </c>
      <c r="CB109" s="403" t="s">
        <v>243</v>
      </c>
      <c r="CC109" s="405" t="s">
        <v>243</v>
      </c>
      <c r="CD109" s="402" t="s">
        <v>243</v>
      </c>
      <c r="CE109" s="403" t="s">
        <v>243</v>
      </c>
      <c r="CF109" s="405" t="s">
        <v>243</v>
      </c>
      <c r="CG109" s="402" t="s">
        <v>243</v>
      </c>
      <c r="CH109" s="403" t="s">
        <v>243</v>
      </c>
      <c r="CI109" s="405" t="s">
        <v>243</v>
      </c>
      <c r="CJ109" s="402" t="s">
        <v>243</v>
      </c>
      <c r="CK109" s="403" t="s">
        <v>243</v>
      </c>
      <c r="CL109" s="405" t="s">
        <v>243</v>
      </c>
      <c r="CM109" s="402" t="s">
        <v>243</v>
      </c>
      <c r="CN109" s="403" t="s">
        <v>243</v>
      </c>
      <c r="CO109" s="405" t="s">
        <v>243</v>
      </c>
      <c r="CP109" s="402" t="s">
        <v>243</v>
      </c>
      <c r="CQ109" s="403" t="s">
        <v>243</v>
      </c>
      <c r="CR109" s="405" t="s">
        <v>243</v>
      </c>
      <c r="CS109" s="402" t="s">
        <v>243</v>
      </c>
      <c r="CT109" s="403" t="s">
        <v>243</v>
      </c>
      <c r="CU109" s="405" t="s">
        <v>243</v>
      </c>
      <c r="CV109" s="402" t="s">
        <v>243</v>
      </c>
      <c r="CW109" s="403" t="s">
        <v>243</v>
      </c>
      <c r="CX109" s="405" t="s">
        <v>243</v>
      </c>
      <c r="CY109" s="402" t="s">
        <v>243</v>
      </c>
      <c r="CZ109" s="403" t="s">
        <v>243</v>
      </c>
      <c r="DA109" s="405" t="s">
        <v>243</v>
      </c>
      <c r="DB109" s="402" t="s">
        <v>243</v>
      </c>
      <c r="DC109" s="403" t="s">
        <v>243</v>
      </c>
      <c r="DD109" s="405" t="s">
        <v>243</v>
      </c>
      <c r="DE109" s="402" t="s">
        <v>243</v>
      </c>
      <c r="DF109" s="403" t="s">
        <v>243</v>
      </c>
      <c r="DG109" s="405" t="s">
        <v>243</v>
      </c>
      <c r="DH109" s="402" t="s">
        <v>243</v>
      </c>
      <c r="DI109" s="403" t="s">
        <v>243</v>
      </c>
      <c r="DJ109" s="405" t="s">
        <v>243</v>
      </c>
      <c r="DK109" s="402" t="s">
        <v>243</v>
      </c>
      <c r="DL109" s="403" t="s">
        <v>243</v>
      </c>
      <c r="DM109" s="405" t="s">
        <v>243</v>
      </c>
      <c r="DN109" s="402" t="s">
        <v>243</v>
      </c>
      <c r="DO109" s="403" t="s">
        <v>243</v>
      </c>
      <c r="DP109" s="405" t="s">
        <v>243</v>
      </c>
      <c r="DQ109" s="402" t="s">
        <v>243</v>
      </c>
      <c r="DR109" s="403" t="s">
        <v>243</v>
      </c>
      <c r="DS109" s="405" t="s">
        <v>243</v>
      </c>
      <c r="DT109" s="402" t="s">
        <v>243</v>
      </c>
      <c r="DU109" s="403" t="s">
        <v>243</v>
      </c>
      <c r="DV109" s="405" t="s">
        <v>243</v>
      </c>
      <c r="DW109" s="402" t="s">
        <v>243</v>
      </c>
      <c r="DX109" s="403" t="s">
        <v>243</v>
      </c>
      <c r="DY109" s="405" t="s">
        <v>243</v>
      </c>
      <c r="DZ109" s="402" t="s">
        <v>243</v>
      </c>
      <c r="EA109" s="403" t="s">
        <v>243</v>
      </c>
      <c r="EB109" s="405" t="s">
        <v>243</v>
      </c>
      <c r="EC109" s="402" t="s">
        <v>243</v>
      </c>
      <c r="ED109" s="403" t="s">
        <v>243</v>
      </c>
      <c r="EE109" s="405" t="s">
        <v>243</v>
      </c>
      <c r="EF109" s="402" t="s">
        <v>243</v>
      </c>
      <c r="EG109" s="403" t="s">
        <v>243</v>
      </c>
      <c r="EH109" s="405" t="s">
        <v>243</v>
      </c>
      <c r="EI109" s="402" t="s">
        <v>243</v>
      </c>
      <c r="EJ109" s="403" t="s">
        <v>243</v>
      </c>
      <c r="EK109" s="405" t="s">
        <v>243</v>
      </c>
      <c r="EL109" s="402" t="s">
        <v>243</v>
      </c>
      <c r="EM109" s="403" t="s">
        <v>243</v>
      </c>
      <c r="EN109" s="405" t="s">
        <v>243</v>
      </c>
      <c r="EO109" s="402" t="s">
        <v>243</v>
      </c>
      <c r="EP109" s="403" t="s">
        <v>243</v>
      </c>
      <c r="EQ109" s="405" t="s">
        <v>243</v>
      </c>
      <c r="ER109" s="402" t="s">
        <v>243</v>
      </c>
      <c r="ES109" s="403" t="s">
        <v>243</v>
      </c>
      <c r="ET109" s="405" t="s">
        <v>243</v>
      </c>
      <c r="EU109" s="402" t="s">
        <v>243</v>
      </c>
      <c r="EV109" s="403" t="s">
        <v>243</v>
      </c>
      <c r="EW109" s="405" t="s">
        <v>243</v>
      </c>
      <c r="EX109" s="402" t="s">
        <v>243</v>
      </c>
      <c r="EY109" s="403" t="s">
        <v>243</v>
      </c>
      <c r="EZ109" s="405" t="s">
        <v>243</v>
      </c>
      <c r="FA109" s="402" t="s">
        <v>243</v>
      </c>
      <c r="FB109" s="403" t="s">
        <v>243</v>
      </c>
      <c r="FC109" s="405" t="s">
        <v>243</v>
      </c>
      <c r="FD109" s="402" t="s">
        <v>243</v>
      </c>
      <c r="FE109" s="403" t="s">
        <v>243</v>
      </c>
      <c r="FF109" s="405" t="s">
        <v>243</v>
      </c>
      <c r="FG109" s="402" t="s">
        <v>243</v>
      </c>
      <c r="FH109" s="403" t="s">
        <v>243</v>
      </c>
      <c r="FI109" s="405" t="s">
        <v>243</v>
      </c>
      <c r="FJ109" s="402" t="s">
        <v>243</v>
      </c>
      <c r="FK109" s="403" t="s">
        <v>243</v>
      </c>
      <c r="FL109" s="405" t="s">
        <v>243</v>
      </c>
      <c r="FM109" s="402" t="s">
        <v>243</v>
      </c>
      <c r="FN109" s="403" t="s">
        <v>243</v>
      </c>
      <c r="FO109" s="405" t="s">
        <v>243</v>
      </c>
      <c r="FP109" s="402" t="s">
        <v>243</v>
      </c>
      <c r="FQ109" s="403" t="s">
        <v>243</v>
      </c>
      <c r="FR109" s="405" t="s">
        <v>243</v>
      </c>
      <c r="FS109" s="577"/>
      <c r="FT109" s="578">
        <v>0</v>
      </c>
      <c r="FU109" s="579">
        <v>0</v>
      </c>
      <c r="FV109" s="580">
        <f t="shared" si="0"/>
        <v>0</v>
      </c>
    </row>
    <row r="110" spans="1:178" ht="25.5" customHeight="1" x14ac:dyDescent="0.15">
      <c r="A110" s="574">
        <v>6.5</v>
      </c>
      <c r="B110" s="575" t="str">
        <f>'raw data'!B110</f>
        <v>Specialist Mortgages redeemed within 365 days of inception</v>
      </c>
      <c r="C110" s="576"/>
      <c r="D110" s="402"/>
      <c r="E110" s="403"/>
      <c r="F110" s="404"/>
      <c r="G110" s="402"/>
      <c r="H110" s="403"/>
      <c r="I110" s="404"/>
      <c r="J110" s="402"/>
      <c r="K110" s="403"/>
      <c r="L110" s="404"/>
      <c r="M110" s="402"/>
      <c r="N110" s="403"/>
      <c r="O110" s="404"/>
      <c r="P110" s="402"/>
      <c r="Q110" s="403"/>
      <c r="R110" s="404"/>
      <c r="S110" s="402"/>
      <c r="T110" s="403"/>
      <c r="U110" s="404"/>
      <c r="V110" s="402"/>
      <c r="W110" s="403"/>
      <c r="X110" s="404"/>
      <c r="Y110" s="402"/>
      <c r="Z110" s="403"/>
      <c r="AA110" s="404"/>
      <c r="AB110" s="402"/>
      <c r="AC110" s="403"/>
      <c r="AD110" s="404"/>
      <c r="AE110" s="402"/>
      <c r="AF110" s="403"/>
      <c r="AG110" s="404"/>
      <c r="AH110" s="581">
        <f>'raw data'!FP110</f>
        <v>1</v>
      </c>
      <c r="AI110" s="582">
        <f>'raw data'!FQ110</f>
        <v>5</v>
      </c>
      <c r="AJ110" s="585">
        <f>IF(ISERROR('raw data'!FP110/'raw data'!FQ110),0,'raw data'!FP110/'raw data'!FQ110)</f>
        <v>0.2</v>
      </c>
      <c r="AK110" s="581">
        <f>'raw data'!FR110</f>
        <v>0</v>
      </c>
      <c r="AL110" s="582">
        <f>'raw data'!FS110</f>
        <v>2</v>
      </c>
      <c r="AM110" s="585">
        <f>IF(ISERROR('raw data'!FR110/'raw data'!FS110),0,'raw data'!FR110/'raw data'!FS110)</f>
        <v>0</v>
      </c>
      <c r="AN110" s="581">
        <f>'raw data'!FT110</f>
        <v>0</v>
      </c>
      <c r="AO110" s="582">
        <f>'raw data'!FU110</f>
        <v>0</v>
      </c>
      <c r="AP110" s="585">
        <f>IF(ISERROR('raw data'!FT110/'raw data'!FU110),0,'raw data'!FT110/'raw data'!FU110)</f>
        <v>0</v>
      </c>
      <c r="AQ110" s="581">
        <f>'raw data'!FV110</f>
        <v>0</v>
      </c>
      <c r="AR110" s="582">
        <f>'raw data'!FW110</f>
        <v>0</v>
      </c>
      <c r="AS110" s="586">
        <f>IF(ISERROR('raw data'!FV110/'raw data'!FW110),0,'raw data'!FV110/'raw data'!FW110)</f>
        <v>0</v>
      </c>
      <c r="AT110" s="581">
        <f>'raw data'!FX110</f>
        <v>0</v>
      </c>
      <c r="AU110" s="582">
        <f>'raw data'!FY110</f>
        <v>0</v>
      </c>
      <c r="AV110" s="586">
        <f>IF(ISERROR('raw data'!FX110/'raw data'!FY110),0,'raw data'!FX110/'raw data'!FY110)</f>
        <v>0</v>
      </c>
      <c r="AW110" s="581">
        <f>'raw data'!FZ110</f>
        <v>0</v>
      </c>
      <c r="AX110" s="582">
        <f>'raw data'!GA110</f>
        <v>2</v>
      </c>
      <c r="AY110" s="586">
        <f>IF(ISERROR('raw data'!FZ110/'raw data'!GA110),0,'raw data'!FZ110/'raw data'!GA110)</f>
        <v>0</v>
      </c>
      <c r="AZ110" s="581">
        <f>'raw data'!GB110</f>
        <v>0</v>
      </c>
      <c r="BA110" s="582">
        <f>'raw data'!GC110</f>
        <v>0</v>
      </c>
      <c r="BB110" s="586">
        <f>IF(ISERROR('raw data'!GB110/'raw data'!GC110),0,'raw data'!GB110/'raw data'!GC110)</f>
        <v>0</v>
      </c>
      <c r="BC110" s="581">
        <f>'raw data'!GD110</f>
        <v>0</v>
      </c>
      <c r="BD110" s="582">
        <f>'raw data'!GE110</f>
        <v>2</v>
      </c>
      <c r="BE110" s="586">
        <f>IF(ISERROR('raw data'!GD110/'raw data'!GE110),0,'raw data'!GD110/'raw data'!GE110)</f>
        <v>0</v>
      </c>
      <c r="BF110" s="581">
        <f>'raw data'!GF110</f>
        <v>0</v>
      </c>
      <c r="BG110" s="582">
        <f>'raw data'!GG110</f>
        <v>0</v>
      </c>
      <c r="BH110" s="586">
        <f>IF(ISERROR('raw data'!GF110/'raw data'!GG110),0,'raw data'!GF110/'raw data'!GG110)</f>
        <v>0</v>
      </c>
      <c r="BI110" s="581">
        <f>'raw data'!GH110</f>
        <v>0</v>
      </c>
      <c r="BJ110" s="582">
        <f>'raw data'!GI110</f>
        <v>0</v>
      </c>
      <c r="BK110" s="586">
        <f>IF(ISERROR('raw data'!GH110/'raw data'!GI110),0,'raw data'!GH110/'raw data'!GI110)</f>
        <v>0</v>
      </c>
      <c r="BL110" s="581">
        <f>'raw data'!GJ110</f>
        <v>0</v>
      </c>
      <c r="BM110" s="582">
        <f>'raw data'!GK110</f>
        <v>1</v>
      </c>
      <c r="BN110" s="586">
        <f>IF(ISERROR('raw data'!GJ110/'raw data'!GK110),0,'raw data'!GJ110/'raw data'!GK110)</f>
        <v>0</v>
      </c>
      <c r="BO110" s="581">
        <f>'raw data'!GL110</f>
        <v>0</v>
      </c>
      <c r="BP110" s="582">
        <f>'raw data'!GM110</f>
        <v>0</v>
      </c>
      <c r="BQ110" s="586">
        <f>IF(ISERROR('raw data'!GL110/'raw data'!GM110),0,'raw data'!GL110/'raw data'!GM110)</f>
        <v>0</v>
      </c>
      <c r="BR110" s="581">
        <f>'raw data'!GN110</f>
        <v>0</v>
      </c>
      <c r="BS110" s="582">
        <f>'raw data'!GO110</f>
        <v>0</v>
      </c>
      <c r="BT110" s="586">
        <f>IF(ISERROR('raw data'!GN110/'raw data'!GO110),0,'raw data'!GN110/'raw data'!GO110)</f>
        <v>0</v>
      </c>
      <c r="BU110" s="581">
        <f>'raw data'!GP110</f>
        <v>0</v>
      </c>
      <c r="BV110" s="582">
        <f>'raw data'!GQ110</f>
        <v>0</v>
      </c>
      <c r="BW110" s="586">
        <f>IF(ISERROR('raw data'!GP110/'raw data'!GQ110),0,'raw data'!GP110/'raw data'!GQ110)</f>
        <v>0</v>
      </c>
      <c r="BX110" s="581">
        <f>'raw data'!GR110</f>
        <v>0</v>
      </c>
      <c r="BY110" s="582">
        <f>'raw data'!GS110</f>
        <v>1</v>
      </c>
      <c r="BZ110" s="586">
        <f>IF(ISERROR('raw data'!GR110/'raw data'!GS110),0,'raw data'!GR110/'raw data'!GS110)</f>
        <v>0</v>
      </c>
      <c r="CA110" s="581">
        <f>'raw data'!GT110</f>
        <v>0</v>
      </c>
      <c r="CB110" s="582">
        <f>'raw data'!GU110</f>
        <v>1</v>
      </c>
      <c r="CC110" s="586">
        <f>IF(ISERROR('raw data'!GT110/'raw data'!GU110),0,'raw data'!GT110/'raw data'!GU110)</f>
        <v>0</v>
      </c>
      <c r="CD110" s="581">
        <f>'raw data'!GV110</f>
        <v>0</v>
      </c>
      <c r="CE110" s="582">
        <f>'raw data'!GW110</f>
        <v>0</v>
      </c>
      <c r="CF110" s="586">
        <f>IF(ISERROR('raw data'!GV110/'raw data'!GW110),0,'raw data'!GV110/'raw data'!GW110)</f>
        <v>0</v>
      </c>
      <c r="CG110" s="581">
        <f>'raw data'!GX110</f>
        <v>0</v>
      </c>
      <c r="CH110" s="582">
        <f>'raw data'!GY110</f>
        <v>3</v>
      </c>
      <c r="CI110" s="586">
        <f>IF(ISERROR('raw data'!GX110/'raw data'!GY110),0,'raw data'!GX110/'raw data'!GY110)</f>
        <v>0</v>
      </c>
      <c r="CJ110" s="581">
        <f>'raw data'!GZ110</f>
        <v>0</v>
      </c>
      <c r="CK110" s="582">
        <f>'raw data'!HA110</f>
        <v>0</v>
      </c>
      <c r="CL110" s="586">
        <f>IF(ISERROR('raw data'!GZ110/'raw data'!HA110),0,'raw data'!GZ110/'raw data'!HA110)</f>
        <v>0</v>
      </c>
      <c r="CM110" s="581">
        <f>'raw data'!HB110</f>
        <v>0</v>
      </c>
      <c r="CN110" s="582">
        <f>'raw data'!HC110</f>
        <v>0</v>
      </c>
      <c r="CO110" s="586">
        <f>IF(ISERROR('raw data'!HB110/'raw data'!HC110),0,'raw data'!HB110/'raw data'!HC110)</f>
        <v>0</v>
      </c>
      <c r="CP110" s="581">
        <f>'raw data'!HD110</f>
        <v>0</v>
      </c>
      <c r="CQ110" s="582">
        <f>'raw data'!HE110</f>
        <v>2</v>
      </c>
      <c r="CR110" s="586">
        <f>IF(ISERROR('raw data'!HD110/'raw data'!HE110),0,'raw data'!HD110/'raw data'!HE110)</f>
        <v>0</v>
      </c>
      <c r="CS110" s="581">
        <f>'raw data'!HF110</f>
        <v>0</v>
      </c>
      <c r="CT110" s="582">
        <f>'raw data'!HG110</f>
        <v>0</v>
      </c>
      <c r="CU110" s="586">
        <f>IF(ISERROR('raw data'!HF110/'raw data'!HG110),0,'raw data'!HF110/'raw data'!HG110)</f>
        <v>0</v>
      </c>
      <c r="CV110" s="581">
        <f>'raw data'!HH110</f>
        <v>0</v>
      </c>
      <c r="CW110" s="582">
        <f>'raw data'!HI110</f>
        <v>1</v>
      </c>
      <c r="CX110" s="586">
        <f>IF(ISERROR('raw data'!HH110/'raw data'!HI110),0,'raw data'!HH110/'raw data'!HI110)</f>
        <v>0</v>
      </c>
      <c r="CY110" s="581">
        <f>'raw data'!HJ110</f>
        <v>0</v>
      </c>
      <c r="CZ110" s="582">
        <f>'raw data'!HK110</f>
        <v>1</v>
      </c>
      <c r="DA110" s="586">
        <f>IF(ISERROR('raw data'!HJ110/'raw data'!HK110),0,'raw data'!HJ110/'raw data'!HK110)</f>
        <v>0</v>
      </c>
      <c r="DB110" s="581">
        <f>'raw data'!HL110</f>
        <v>0</v>
      </c>
      <c r="DC110" s="582">
        <f>'raw data'!HM110</f>
        <v>1</v>
      </c>
      <c r="DD110" s="586">
        <f>IF(ISERROR('raw data'!HL110/'raw data'!HM110),0,'raw data'!HL110/'raw data'!HM110)</f>
        <v>0</v>
      </c>
      <c r="DE110" s="581">
        <f>'raw data'!HN110</f>
        <v>0</v>
      </c>
      <c r="DF110" s="582">
        <f>'raw data'!HO110</f>
        <v>1</v>
      </c>
      <c r="DG110" s="586">
        <f>IF(ISERROR('raw data'!HN110/'raw data'!HO110),0,'raw data'!HN110/'raw data'!HO110)</f>
        <v>0</v>
      </c>
      <c r="DH110" s="581">
        <f>'raw data'!HP110</f>
        <v>0</v>
      </c>
      <c r="DI110" s="582">
        <f>'raw data'!HQ110</f>
        <v>0</v>
      </c>
      <c r="DJ110" s="586">
        <f>IF(ISERROR('raw data'!HP110/'raw data'!HQ110),0,'raw data'!HP110/'raw data'!HQ110)</f>
        <v>0</v>
      </c>
      <c r="DK110" s="581">
        <f>'raw data'!HR110</f>
        <v>0</v>
      </c>
      <c r="DL110" s="582">
        <f>'raw data'!HS110</f>
        <v>1</v>
      </c>
      <c r="DM110" s="586">
        <f>IF(ISERROR('raw data'!HR110/'raw data'!HS110),0,'raw data'!HR110/'raw data'!HS110)</f>
        <v>0</v>
      </c>
      <c r="DN110" s="581">
        <f>'raw data'!HT110</f>
        <v>0</v>
      </c>
      <c r="DO110" s="582">
        <f>'raw data'!HU110</f>
        <v>1</v>
      </c>
      <c r="DP110" s="586">
        <f>IF(ISERROR('raw data'!HT110/'raw data'!HU110),0,'raw data'!HT110/'raw data'!HU110)</f>
        <v>0</v>
      </c>
      <c r="DQ110" s="581">
        <f>'raw data'!HV110</f>
        <v>0</v>
      </c>
      <c r="DR110" s="582">
        <f>'raw data'!HW110</f>
        <v>0</v>
      </c>
      <c r="DS110" s="586">
        <f>IF(ISERROR('raw data'!HV110/'raw data'!HW110),0,'raw data'!HV110/'raw data'!HW110)</f>
        <v>0</v>
      </c>
      <c r="DT110" s="581">
        <f>'raw data'!HX110</f>
        <v>0</v>
      </c>
      <c r="DU110" s="582">
        <f>'raw data'!HY110</f>
        <v>1</v>
      </c>
      <c r="DV110" s="586">
        <f>IF(ISERROR('raw data'!HX110/'raw data'!HY110),0,'raw data'!HX110/'raw data'!HY110)</f>
        <v>0</v>
      </c>
      <c r="DW110" s="581">
        <f>'raw data'!HZ110</f>
        <v>0</v>
      </c>
      <c r="DX110" s="582">
        <f>'raw data'!IA110</f>
        <v>1</v>
      </c>
      <c r="DY110" s="586">
        <f>IF(ISERROR('raw data'!HZ110/'raw data'!IA110),0,'raw data'!HZ110/'raw data'!IA110)</f>
        <v>0</v>
      </c>
      <c r="DZ110" s="581">
        <f>'raw data'!IB110</f>
        <v>0</v>
      </c>
      <c r="EA110" s="582">
        <f>'raw data'!IC110</f>
        <v>0</v>
      </c>
      <c r="EB110" s="586">
        <f>IF(ISERROR('raw data'!IB110/'raw data'!IC110),0,'raw data'!IB110/'raw data'!IC110)</f>
        <v>0</v>
      </c>
      <c r="EC110" s="581">
        <f>'raw data'!ID110</f>
        <v>0</v>
      </c>
      <c r="ED110" s="582">
        <f>'raw data'!IE110</f>
        <v>0</v>
      </c>
      <c r="EE110" s="586">
        <f>IF(ISERROR('raw data'!ID110/'raw data'!IE110),0,'raw data'!ID110/'raw data'!IE110)</f>
        <v>0</v>
      </c>
      <c r="EF110" s="581">
        <f>'raw data'!IF110</f>
        <v>0</v>
      </c>
      <c r="EG110" s="582">
        <f>'raw data'!IG110</f>
        <v>1</v>
      </c>
      <c r="EH110" s="586">
        <f>IF(ISERROR('raw data'!IF110/'raw data'!IG110),0,'raw data'!IF110/'raw data'!IG110)</f>
        <v>0</v>
      </c>
      <c r="EI110" s="581">
        <f>'raw data'!IH110</f>
        <v>0</v>
      </c>
      <c r="EJ110" s="582">
        <f>'raw data'!II110</f>
        <v>1</v>
      </c>
      <c r="EK110" s="586">
        <f>IF(ISERROR('raw data'!IH110/'raw data'!II110),0,'raw data'!IH110/'raw data'!II110)</f>
        <v>0</v>
      </c>
      <c r="EL110" s="581">
        <f>'raw data'!IJ110</f>
        <v>0</v>
      </c>
      <c r="EM110" s="582">
        <f>'raw data'!IK110</f>
        <v>0</v>
      </c>
      <c r="EN110" s="586">
        <f>IF(ISERROR('raw data'!IJ110/'raw data'!IK110),0,'raw data'!IJ110/'raw data'!IK110)</f>
        <v>0</v>
      </c>
      <c r="EO110" s="581">
        <f>'raw data'!IL110</f>
        <v>0</v>
      </c>
      <c r="EP110" s="582">
        <f>'raw data'!IM110</f>
        <v>2</v>
      </c>
      <c r="EQ110" s="586">
        <f>IF(ISERROR('raw data'!IL110/'raw data'!IM110),0,'raw data'!IL110/'raw data'!IM110)</f>
        <v>0</v>
      </c>
      <c r="ER110" s="581">
        <f>'raw data'!IN110</f>
        <v>0</v>
      </c>
      <c r="ES110" s="582">
        <f>'raw data'!IO110</f>
        <v>0</v>
      </c>
      <c r="ET110" s="586">
        <f>IF(ISERROR('raw data'!IN110/'raw data'!IO110),0,'raw data'!IN110/'raw data'!IO110)</f>
        <v>0</v>
      </c>
      <c r="EU110" s="581">
        <f>'raw data'!IP110</f>
        <v>0</v>
      </c>
      <c r="EV110" s="582">
        <f>'raw data'!IQ110</f>
        <v>0</v>
      </c>
      <c r="EW110" s="586">
        <f>IF(ISERROR('raw data'!IP110/'raw data'!IQ110),0,'raw data'!IP110/'raw data'!IQ110)</f>
        <v>0</v>
      </c>
      <c r="EX110" s="581">
        <f>'raw data'!IR110</f>
        <v>0</v>
      </c>
      <c r="EY110" s="582">
        <f>'raw data'!IS110</f>
        <v>0</v>
      </c>
      <c r="EZ110" s="586">
        <f>IF(ISERROR('raw data'!IR110/'raw data'!IS110),0,'raw data'!IR110/'raw data'!IS110)</f>
        <v>0</v>
      </c>
      <c r="FA110" s="581">
        <f>'raw data'!IT110</f>
        <v>0</v>
      </c>
      <c r="FB110" s="582">
        <f>'raw data'!IU110</f>
        <v>2</v>
      </c>
      <c r="FC110" s="586">
        <f>IF(ISERROR('raw data'!IT110/'raw data'!IU110),0,'raw data'!IT110/'raw data'!IU110)</f>
        <v>0</v>
      </c>
      <c r="FD110" s="581">
        <f>'raw data'!IV110</f>
        <v>0</v>
      </c>
      <c r="FE110" s="582">
        <f>'raw data'!IW110</f>
        <v>1</v>
      </c>
      <c r="FF110" s="586">
        <f>IF(ISERROR('raw data'!IV110/'raw data'!IW110),0,'raw data'!IV110/'raw data'!IW110)</f>
        <v>0</v>
      </c>
      <c r="FG110" s="581">
        <f>'raw data'!IX110</f>
        <v>0</v>
      </c>
      <c r="FH110" s="582">
        <f>'raw data'!IY110</f>
        <v>1</v>
      </c>
      <c r="FI110" s="586">
        <f>IF(ISERROR('raw data'!IX110/'raw data'!IY110),0,'raw data'!IX110/'raw data'!IY110)</f>
        <v>0</v>
      </c>
      <c r="FJ110" s="581">
        <f>'raw data'!IZ110</f>
        <v>0</v>
      </c>
      <c r="FK110" s="582">
        <f>'raw data'!JA110</f>
        <v>1</v>
      </c>
      <c r="FL110" s="586">
        <f>IF(ISERROR('raw data'!IZ110/'raw data'!JA110),0,'raw data'!IZ110/'raw data'!JA110)</f>
        <v>0</v>
      </c>
      <c r="FM110" s="581">
        <f>'raw data'!JB110</f>
        <v>0</v>
      </c>
      <c r="FN110" s="582">
        <f>'raw data'!JC110</f>
        <v>1</v>
      </c>
      <c r="FO110" s="586">
        <f>IF(ISERROR('raw data'!JB110/'raw data'!JC110),0,'raw data'!JB110/'raw data'!JC110)</f>
        <v>0</v>
      </c>
      <c r="FP110" s="581">
        <f>'raw data'!JD110</f>
        <v>0</v>
      </c>
      <c r="FQ110" s="582">
        <f>'raw data'!JE110</f>
        <v>1</v>
      </c>
      <c r="FR110" s="586">
        <f>IF(ISERROR('raw data'!JD110/'raw data'!JE110),0,'raw data'!JD110/'raw data'!JE110)</f>
        <v>0</v>
      </c>
      <c r="FS110" s="577"/>
      <c r="FT110" s="578">
        <v>0</v>
      </c>
      <c r="FU110" s="579">
        <v>10</v>
      </c>
      <c r="FV110" s="580">
        <f>IF(ISERROR(FT110/FU110),0,FT110/FU110)</f>
        <v>0</v>
      </c>
    </row>
    <row r="111" spans="1:178" ht="25.5" customHeight="1" x14ac:dyDescent="0.15">
      <c r="A111" s="574">
        <v>6.6</v>
      </c>
      <c r="B111" s="575" t="str">
        <f>'raw data'!B111</f>
        <v>Specialist Mortgages with a one off overpayment more than 10% (which is not then redeemed in the same month)</v>
      </c>
      <c r="C111" s="576"/>
      <c r="D111" s="402"/>
      <c r="E111" s="403"/>
      <c r="F111" s="404"/>
      <c r="G111" s="402"/>
      <c r="H111" s="403"/>
      <c r="I111" s="404"/>
      <c r="J111" s="402"/>
      <c r="K111" s="403"/>
      <c r="L111" s="404"/>
      <c r="M111" s="402"/>
      <c r="N111" s="403"/>
      <c r="O111" s="404"/>
      <c r="P111" s="402"/>
      <c r="Q111" s="403"/>
      <c r="R111" s="404"/>
      <c r="S111" s="402"/>
      <c r="T111" s="403"/>
      <c r="U111" s="404"/>
      <c r="V111" s="402"/>
      <c r="W111" s="403"/>
      <c r="X111" s="404"/>
      <c r="Y111" s="402"/>
      <c r="Z111" s="403"/>
      <c r="AA111" s="404"/>
      <c r="AB111" s="402"/>
      <c r="AC111" s="403"/>
      <c r="AD111" s="404"/>
      <c r="AE111" s="402"/>
      <c r="AF111" s="403"/>
      <c r="AG111" s="404"/>
      <c r="AH111" s="581">
        <f>'raw data'!FP111</f>
        <v>0</v>
      </c>
      <c r="AI111" s="582">
        <f>'raw data'!FQ111</f>
        <v>51</v>
      </c>
      <c r="AJ111" s="585">
        <f>IF(ISERROR('raw data'!FP111/'raw data'!FQ111),0,'raw data'!FP111/'raw data'!FQ111)</f>
        <v>0</v>
      </c>
      <c r="AK111" s="581">
        <f>'raw data'!FR111</f>
        <v>0</v>
      </c>
      <c r="AL111" s="582">
        <f>'raw data'!FS111</f>
        <v>7</v>
      </c>
      <c r="AM111" s="585">
        <f>IF(ISERROR('raw data'!FR111/'raw data'!FS111),0,'raw data'!FR111/'raw data'!FS111)</f>
        <v>0</v>
      </c>
      <c r="AN111" s="581">
        <f>'raw data'!FT111</f>
        <v>3</v>
      </c>
      <c r="AO111" s="582">
        <f>'raw data'!FU111</f>
        <v>12</v>
      </c>
      <c r="AP111" s="585">
        <f>IF(ISERROR('raw data'!FT111/'raw data'!FU111),0,'raw data'!FT111/'raw data'!FU111)</f>
        <v>0.25</v>
      </c>
      <c r="AQ111" s="581">
        <f>'raw data'!FV111</f>
        <v>5</v>
      </c>
      <c r="AR111" s="582">
        <f>'raw data'!FW111</f>
        <v>14</v>
      </c>
      <c r="AS111" s="586">
        <f>IF(ISERROR('raw data'!FV111/'raw data'!FW111),0,'raw data'!FV111/'raw data'!FW111)</f>
        <v>0.35714285714285715</v>
      </c>
      <c r="AT111" s="581">
        <f>'raw data'!FX111</f>
        <v>1</v>
      </c>
      <c r="AU111" s="582">
        <f>'raw data'!FY111</f>
        <v>4</v>
      </c>
      <c r="AV111" s="586">
        <f>IF(ISERROR('raw data'!FX111/'raw data'!FY111),0,'raw data'!FX111/'raw data'!FY111)</f>
        <v>0.25</v>
      </c>
      <c r="AW111" s="581">
        <f>'raw data'!FZ111</f>
        <v>0</v>
      </c>
      <c r="AX111" s="582">
        <f>'raw data'!GA111</f>
        <v>7</v>
      </c>
      <c r="AY111" s="586">
        <f>IF(ISERROR('raw data'!FZ111/'raw data'!GA111),0,'raw data'!FZ111/'raw data'!GA111)</f>
        <v>0</v>
      </c>
      <c r="AZ111" s="581">
        <f>'raw data'!GB111</f>
        <v>1</v>
      </c>
      <c r="BA111" s="582">
        <f>'raw data'!GC111</f>
        <v>5</v>
      </c>
      <c r="BB111" s="586">
        <f>IF(ISERROR('raw data'!GB111/'raw data'!GC111),0,'raw data'!GB111/'raw data'!GC111)</f>
        <v>0.2</v>
      </c>
      <c r="BC111" s="581">
        <f>'raw data'!GD111</f>
        <v>0</v>
      </c>
      <c r="BD111" s="582">
        <f>'raw data'!GE111</f>
        <v>6</v>
      </c>
      <c r="BE111" s="586">
        <f>IF(ISERROR('raw data'!GD111/'raw data'!GE111),0,'raw data'!GD111/'raw data'!GE111)</f>
        <v>0</v>
      </c>
      <c r="BF111" s="581">
        <f>'raw data'!GF111</f>
        <v>3</v>
      </c>
      <c r="BG111" s="582">
        <f>'raw data'!GG111</f>
        <v>8</v>
      </c>
      <c r="BH111" s="586">
        <f>IF(ISERROR('raw data'!GF111/'raw data'!GG111),0,'raw data'!GF111/'raw data'!GG111)</f>
        <v>0.375</v>
      </c>
      <c r="BI111" s="581">
        <f>'raw data'!GH111</f>
        <v>1</v>
      </c>
      <c r="BJ111" s="582">
        <f>'raw data'!GI111</f>
        <v>7</v>
      </c>
      <c r="BK111" s="586">
        <f>IF(ISERROR('raw data'!GH111/'raw data'!GI111),0,'raw data'!GH111/'raw data'!GI111)</f>
        <v>0.14285714285714285</v>
      </c>
      <c r="BL111" s="581">
        <f>'raw data'!GJ111</f>
        <v>0</v>
      </c>
      <c r="BM111" s="582">
        <f>'raw data'!GK111</f>
        <v>9</v>
      </c>
      <c r="BN111" s="586">
        <f>IF(ISERROR('raw data'!GJ111/'raw data'!GK111),0,'raw data'!GJ111/'raw data'!GK111)</f>
        <v>0</v>
      </c>
      <c r="BO111" s="581">
        <f>'raw data'!GL111</f>
        <v>0</v>
      </c>
      <c r="BP111" s="582">
        <f>'raw data'!GM111</f>
        <v>4</v>
      </c>
      <c r="BQ111" s="586">
        <f>IF(ISERROR('raw data'!GL111/'raw data'!GM111),0,'raw data'!GL111/'raw data'!GM111)</f>
        <v>0</v>
      </c>
      <c r="BR111" s="581">
        <f>'raw data'!GN111</f>
        <v>1</v>
      </c>
      <c r="BS111" s="582">
        <f>'raw data'!GO111</f>
        <v>3</v>
      </c>
      <c r="BT111" s="586">
        <f>IF(ISERROR('raw data'!GN111/'raw data'!GO111),0,'raw data'!GN111/'raw data'!GO111)</f>
        <v>0.33333333333333331</v>
      </c>
      <c r="BU111" s="581">
        <f>'raw data'!GP111</f>
        <v>0</v>
      </c>
      <c r="BV111" s="582">
        <f>'raw data'!GQ111</f>
        <v>20</v>
      </c>
      <c r="BW111" s="586">
        <f>IF(ISERROR('raw data'!GP111/'raw data'!GQ111),0,'raw data'!GP111/'raw data'!GQ111)</f>
        <v>0</v>
      </c>
      <c r="BX111" s="581">
        <f>'raw data'!GR111</f>
        <v>0</v>
      </c>
      <c r="BY111" s="582">
        <f>'raw data'!GS111</f>
        <v>4</v>
      </c>
      <c r="BZ111" s="586">
        <f>IF(ISERROR('raw data'!GR111/'raw data'!GS111),0,'raw data'!GR111/'raw data'!GS111)</f>
        <v>0</v>
      </c>
      <c r="CA111" s="581">
        <f>'raw data'!GT111</f>
        <v>0</v>
      </c>
      <c r="CB111" s="582">
        <f>'raw data'!GU111</f>
        <v>4</v>
      </c>
      <c r="CC111" s="586">
        <f>IF(ISERROR('raw data'!GT111/'raw data'!GU111),0,'raw data'!GT111/'raw data'!GU111)</f>
        <v>0</v>
      </c>
      <c r="CD111" s="581">
        <f>'raw data'!GV111</f>
        <v>0</v>
      </c>
      <c r="CE111" s="582">
        <f>'raw data'!GW111</f>
        <v>5</v>
      </c>
      <c r="CF111" s="586">
        <f>IF(ISERROR('raw data'!GV111/'raw data'!GW111),0,'raw data'!GV111/'raw data'!GW111)</f>
        <v>0</v>
      </c>
      <c r="CG111" s="581">
        <f>'raw data'!GX111</f>
        <v>1</v>
      </c>
      <c r="CH111" s="582">
        <f>'raw data'!GY111</f>
        <v>7</v>
      </c>
      <c r="CI111" s="586">
        <f>IF(ISERROR('raw data'!GX111/'raw data'!GY111),0,'raw data'!GX111/'raw data'!GY111)</f>
        <v>0.14285714285714285</v>
      </c>
      <c r="CJ111" s="581">
        <f>'raw data'!GZ111</f>
        <v>1</v>
      </c>
      <c r="CK111" s="582">
        <f>'raw data'!HA111</f>
        <v>9</v>
      </c>
      <c r="CL111" s="586">
        <f>IF(ISERROR('raw data'!GZ111/'raw data'!HA111),0,'raw data'!GZ111/'raw data'!HA111)</f>
        <v>0.1111111111111111</v>
      </c>
      <c r="CM111" s="581">
        <f>'raw data'!HB111</f>
        <v>0</v>
      </c>
      <c r="CN111" s="582">
        <f>'raw data'!HC111</f>
        <v>3</v>
      </c>
      <c r="CO111" s="586">
        <f>IF(ISERROR('raw data'!HB111/'raw data'!HC111),0,'raw data'!HB111/'raw data'!HC111)</f>
        <v>0</v>
      </c>
      <c r="CP111" s="581">
        <f>'raw data'!HD111</f>
        <v>1</v>
      </c>
      <c r="CQ111" s="582">
        <f>'raw data'!HE111</f>
        <v>10</v>
      </c>
      <c r="CR111" s="586">
        <f>IF(ISERROR('raw data'!HD111/'raw data'!HE111),0,'raw data'!HD111/'raw data'!HE111)</f>
        <v>0.1</v>
      </c>
      <c r="CS111" s="581">
        <f>'raw data'!HF111</f>
        <v>0</v>
      </c>
      <c r="CT111" s="582">
        <f>'raw data'!HG111</f>
        <v>2</v>
      </c>
      <c r="CU111" s="586">
        <f>IF(ISERROR('raw data'!HF111/'raw data'!HG111),0,'raw data'!HF111/'raw data'!HG111)</f>
        <v>0</v>
      </c>
      <c r="CV111" s="581">
        <f>'raw data'!HH111</f>
        <v>0</v>
      </c>
      <c r="CW111" s="582">
        <f>'raw data'!HI111</f>
        <v>9</v>
      </c>
      <c r="CX111" s="586">
        <f>IF(ISERROR('raw data'!HH111/'raw data'!HI111),0,'raw data'!HH111/'raw data'!HI111)</f>
        <v>0</v>
      </c>
      <c r="CY111" s="581">
        <f>'raw data'!HJ111</f>
        <v>0</v>
      </c>
      <c r="CZ111" s="582">
        <f>'raw data'!HK111</f>
        <v>6</v>
      </c>
      <c r="DA111" s="586">
        <f>IF(ISERROR('raw data'!HJ111/'raw data'!HK111),0,'raw data'!HJ111/'raw data'!HK111)</f>
        <v>0</v>
      </c>
      <c r="DB111" s="581">
        <f>'raw data'!HL111</f>
        <v>0</v>
      </c>
      <c r="DC111" s="582">
        <f>'raw data'!HM111</f>
        <v>3</v>
      </c>
      <c r="DD111" s="586">
        <f>IF(ISERROR('raw data'!HL111/'raw data'!HM111),0,'raw data'!HL111/'raw data'!HM111)</f>
        <v>0</v>
      </c>
      <c r="DE111" s="581">
        <f>'raw data'!HN111</f>
        <v>0</v>
      </c>
      <c r="DF111" s="582">
        <f>'raw data'!HO111</f>
        <v>7</v>
      </c>
      <c r="DG111" s="586">
        <f>IF(ISERROR('raw data'!HN111/'raw data'!HO111),0,'raw data'!HN111/'raw data'!HO111)</f>
        <v>0</v>
      </c>
      <c r="DH111" s="581">
        <f>'raw data'!HP111</f>
        <v>0</v>
      </c>
      <c r="DI111" s="582">
        <f>'raw data'!HQ111</f>
        <v>8</v>
      </c>
      <c r="DJ111" s="586">
        <f>IF(ISERROR('raw data'!HP111/'raw data'!HQ111),0,'raw data'!HP111/'raw data'!HQ111)</f>
        <v>0</v>
      </c>
      <c r="DK111" s="581">
        <f>'raw data'!HR111</f>
        <v>0</v>
      </c>
      <c r="DL111" s="582">
        <f>'raw data'!HS111</f>
        <v>7</v>
      </c>
      <c r="DM111" s="586">
        <f>IF(ISERROR('raw data'!HR111/'raw data'!HS111),0,'raw data'!HR111/'raw data'!HS111)</f>
        <v>0</v>
      </c>
      <c r="DN111" s="581">
        <f>'raw data'!HT111</f>
        <v>1</v>
      </c>
      <c r="DO111" s="582">
        <f>'raw data'!HU111</f>
        <v>7</v>
      </c>
      <c r="DP111" s="586">
        <f>IF(ISERROR('raw data'!HT111/'raw data'!HU111),0,'raw data'!HT111/'raw data'!HU111)</f>
        <v>0.14285714285714285</v>
      </c>
      <c r="DQ111" s="581">
        <f>'raw data'!HV111</f>
        <v>1</v>
      </c>
      <c r="DR111" s="582">
        <f>'raw data'!HW111</f>
        <v>5</v>
      </c>
      <c r="DS111" s="586">
        <f>IF(ISERROR('raw data'!HV111/'raw data'!HW111),0,'raw data'!HV111/'raw data'!HW111)</f>
        <v>0.2</v>
      </c>
      <c r="DT111" s="581">
        <f>'raw data'!HX111</f>
        <v>0</v>
      </c>
      <c r="DU111" s="582">
        <f>'raw data'!HY111</f>
        <v>8</v>
      </c>
      <c r="DV111" s="586">
        <f>IF(ISERROR('raw data'!HX111/'raw data'!HY111),0,'raw data'!HX111/'raw data'!HY111)</f>
        <v>0</v>
      </c>
      <c r="DW111" s="581">
        <f>'raw data'!HZ111</f>
        <v>0</v>
      </c>
      <c r="DX111" s="582">
        <f>'raw data'!IA111</f>
        <v>7</v>
      </c>
      <c r="DY111" s="586">
        <f>IF(ISERROR('raw data'!HZ111/'raw data'!IA111),0,'raw data'!HZ111/'raw data'!IA111)</f>
        <v>0</v>
      </c>
      <c r="DZ111" s="581">
        <f>'raw data'!IB111</f>
        <v>2</v>
      </c>
      <c r="EA111" s="582">
        <f>'raw data'!IC111</f>
        <v>15</v>
      </c>
      <c r="EB111" s="586">
        <f>IF(ISERROR('raw data'!IB111/'raw data'!IC111),0,'raw data'!IB111/'raw data'!IC111)</f>
        <v>0.13333333333333333</v>
      </c>
      <c r="EC111" s="581">
        <f>'raw data'!ID111</f>
        <v>0</v>
      </c>
      <c r="ED111" s="582">
        <f>'raw data'!IE111</f>
        <v>5</v>
      </c>
      <c r="EE111" s="586">
        <f>IF(ISERROR('raw data'!ID111/'raw data'!IE111),0,'raw data'!ID111/'raw data'!IE111)</f>
        <v>0</v>
      </c>
      <c r="EF111" s="581">
        <f>'raw data'!IF111</f>
        <v>0</v>
      </c>
      <c r="EG111" s="582">
        <f>'raw data'!IG111</f>
        <v>5</v>
      </c>
      <c r="EH111" s="586">
        <f>IF(ISERROR('raw data'!IF111/'raw data'!IG111),0,'raw data'!IF111/'raw data'!IG111)</f>
        <v>0</v>
      </c>
      <c r="EI111" s="581">
        <f>'raw data'!IH111</f>
        <v>0</v>
      </c>
      <c r="EJ111" s="582">
        <f>'raw data'!II111</f>
        <v>6</v>
      </c>
      <c r="EK111" s="586">
        <f>IF(ISERROR('raw data'!IH111/'raw data'!II111),0,'raw data'!IH111/'raw data'!II111)</f>
        <v>0</v>
      </c>
      <c r="EL111" s="581">
        <f>'raw data'!IJ111</f>
        <v>0</v>
      </c>
      <c r="EM111" s="582">
        <f>'raw data'!IK111</f>
        <v>9</v>
      </c>
      <c r="EN111" s="586">
        <f>IF(ISERROR('raw data'!IJ111/'raw data'!IK111),0,'raw data'!IJ111/'raw data'!IK111)</f>
        <v>0</v>
      </c>
      <c r="EO111" s="581">
        <f>'raw data'!IL111</f>
        <v>1</v>
      </c>
      <c r="EP111" s="582">
        <f>'raw data'!IM111</f>
        <v>7</v>
      </c>
      <c r="EQ111" s="586">
        <f>IF(ISERROR('raw data'!IL111/'raw data'!IM111),0,'raw data'!IL111/'raw data'!IM111)</f>
        <v>0.14285714285714285</v>
      </c>
      <c r="ER111" s="581">
        <f>'raw data'!IN111</f>
        <v>1</v>
      </c>
      <c r="ES111" s="582">
        <f>'raw data'!IO111</f>
        <v>7</v>
      </c>
      <c r="ET111" s="586">
        <f>IF(ISERROR('raw data'!IN111/'raw data'!IO111),0,'raw data'!IN111/'raw data'!IO111)</f>
        <v>0.14285714285714285</v>
      </c>
      <c r="EU111" s="581">
        <f>'raw data'!IP111</f>
        <v>1</v>
      </c>
      <c r="EV111" s="582">
        <f>'raw data'!IQ111</f>
        <v>15</v>
      </c>
      <c r="EW111" s="586">
        <f>IF(ISERROR('raw data'!IP111/'raw data'!IQ111),0,'raw data'!IP111/'raw data'!IQ111)</f>
        <v>6.6666666666666666E-2</v>
      </c>
      <c r="EX111" s="581">
        <f>'raw data'!IR111</f>
        <v>1</v>
      </c>
      <c r="EY111" s="582">
        <f>'raw data'!IS111</f>
        <v>10</v>
      </c>
      <c r="EZ111" s="586">
        <f>IF(ISERROR('raw data'!IR111/'raw data'!IS111),0,'raw data'!IR111/'raw data'!IS111)</f>
        <v>0.1</v>
      </c>
      <c r="FA111" s="581">
        <f>'raw data'!IT111</f>
        <v>2</v>
      </c>
      <c r="FB111" s="582">
        <f>'raw data'!IU111</f>
        <v>10</v>
      </c>
      <c r="FC111" s="586">
        <f>IF(ISERROR('raw data'!IT111/'raw data'!IU111),0,'raw data'!IT111/'raw data'!IU111)</f>
        <v>0.2</v>
      </c>
      <c r="FD111" s="581">
        <f>'raw data'!IV111</f>
        <v>0</v>
      </c>
      <c r="FE111" s="582">
        <f>'raw data'!IW111</f>
        <v>7</v>
      </c>
      <c r="FF111" s="586">
        <f>IF(ISERROR('raw data'!IV111/'raw data'!IW111),0,'raw data'!IV111/'raw data'!IW111)</f>
        <v>0</v>
      </c>
      <c r="FG111" s="581">
        <f>'raw data'!IX111</f>
        <v>1</v>
      </c>
      <c r="FH111" s="582">
        <f>'raw data'!IY111</f>
        <v>12</v>
      </c>
      <c r="FI111" s="586">
        <f>IF(ISERROR('raw data'!IX111/'raw data'!IY111),0,'raw data'!IX111/'raw data'!IY111)</f>
        <v>8.3333333333333329E-2</v>
      </c>
      <c r="FJ111" s="581">
        <f>'raw data'!IZ111</f>
        <v>0</v>
      </c>
      <c r="FK111" s="582">
        <f>'raw data'!JA111</f>
        <v>11</v>
      </c>
      <c r="FL111" s="586">
        <f>IF(ISERROR('raw data'!IZ111/'raw data'!JA111),0,'raw data'!IZ111/'raw data'!JA111)</f>
        <v>0</v>
      </c>
      <c r="FM111" s="581">
        <f>'raw data'!JB111</f>
        <v>0</v>
      </c>
      <c r="FN111" s="582">
        <f>'raw data'!JC111</f>
        <v>6</v>
      </c>
      <c r="FO111" s="586">
        <f>IF(ISERROR('raw data'!JB111/'raw data'!JC111),0,'raw data'!JB111/'raw data'!JC111)</f>
        <v>0</v>
      </c>
      <c r="FP111" s="581">
        <f>'raw data'!JD111</f>
        <v>1</v>
      </c>
      <c r="FQ111" s="582">
        <f>'raw data'!JE111</f>
        <v>10</v>
      </c>
      <c r="FR111" s="586">
        <f>IF(ISERROR('raw data'!JD111/'raw data'!JE111),0,'raw data'!JD111/'raw data'!JE111)</f>
        <v>0.1</v>
      </c>
      <c r="FS111" s="577"/>
      <c r="FT111" s="578">
        <v>8</v>
      </c>
      <c r="FU111" s="579">
        <v>110</v>
      </c>
      <c r="FV111" s="580">
        <f>IF(ISERROR(FT111/FU111),0,FT111/FU111)</f>
        <v>7.2727272727272724E-2</v>
      </c>
    </row>
    <row r="112" spans="1:178" ht="14" x14ac:dyDescent="0.15">
      <c r="A112" s="415"/>
      <c r="B112" s="587" t="s">
        <v>185</v>
      </c>
      <c r="C112" s="588" t="s">
        <v>185</v>
      </c>
      <c r="D112" s="589">
        <f>SUM(D106:D111)</f>
        <v>0</v>
      </c>
      <c r="E112" s="590">
        <f>SUM(E106:E111)</f>
        <v>7</v>
      </c>
      <c r="F112" s="420">
        <f>IF(ISERROR('raw data'!ET112/'raw data'!EU112),0,'raw data'!ET112/'raw data'!EU112)</f>
        <v>0</v>
      </c>
      <c r="G112" s="423">
        <f>SUM(G106:G111)</f>
        <v>0</v>
      </c>
      <c r="H112" s="422">
        <f>SUM(H106:H111)</f>
        <v>4</v>
      </c>
      <c r="I112" s="420">
        <f>IF(ISERROR('raw data'!EV112/'raw data'!EW112),0,'raw data'!EV112/'raw data'!EW112)</f>
        <v>0</v>
      </c>
      <c r="J112" s="423">
        <f>SUM(J106:J111)</f>
        <v>0</v>
      </c>
      <c r="K112" s="422">
        <f>SUM(K106:K111)</f>
        <v>7</v>
      </c>
      <c r="L112" s="420">
        <f>IF(ISERROR('raw data'!EX112/'raw data'!EY112),0,'raw data'!EX112/'raw data'!EY112)</f>
        <v>0</v>
      </c>
      <c r="M112" s="423">
        <f>SUM(M106:M111)</f>
        <v>0</v>
      </c>
      <c r="N112" s="422">
        <f>SUM(N106:N111)</f>
        <v>4</v>
      </c>
      <c r="O112" s="420">
        <f>IF(ISERROR('raw data'!EZ112/'raw data'!FA112),0,'raw data'!EZ112/'raw data'!FA112)</f>
        <v>0</v>
      </c>
      <c r="P112" s="423">
        <f>SUM(P106:P111)</f>
        <v>0</v>
      </c>
      <c r="Q112" s="422">
        <f>SUM(Q106:Q111)</f>
        <v>0</v>
      </c>
      <c r="R112" s="420">
        <f>IF(ISERROR('raw data'!FB112/'raw data'!FC112),0,'raw data'!FB112/'raw data'!FC112)</f>
        <v>0</v>
      </c>
      <c r="S112" s="423">
        <f>SUM(S106:S111)</f>
        <v>0</v>
      </c>
      <c r="T112" s="422">
        <f>SUM(T106:T111)</f>
        <v>0</v>
      </c>
      <c r="U112" s="420">
        <f>IF(ISERROR('raw data'!FD112/'raw data'!FE112),0,'raw data'!FD112/'raw data'!FE112)</f>
        <v>0</v>
      </c>
      <c r="V112" s="423">
        <f>SUM(V106:V111)</f>
        <v>0</v>
      </c>
      <c r="W112" s="422">
        <f>SUM(W106:W111)</f>
        <v>0</v>
      </c>
      <c r="X112" s="420">
        <f>IF(ISERROR('raw data'!FF112/'raw data'!FG112),0,'raw data'!FF112/'raw data'!FG112)</f>
        <v>0</v>
      </c>
      <c r="Y112" s="423">
        <f>SUM(Y106:Y111)</f>
        <v>0</v>
      </c>
      <c r="Z112" s="422">
        <f>SUM(Z106:Z111)</f>
        <v>0</v>
      </c>
      <c r="AA112" s="420">
        <f>IF(ISERROR('raw data'!FH112/'raw data'!FI112),0,'raw data'!FH112/'raw data'!FI112)</f>
        <v>0</v>
      </c>
      <c r="AB112" s="423">
        <f>SUM(AB106:AB111)</f>
        <v>0</v>
      </c>
      <c r="AC112" s="422">
        <f>SUM(AC106:AC111)</f>
        <v>0</v>
      </c>
      <c r="AD112" s="420">
        <f>IF(ISERROR('raw data'!FJ112/'raw data'!FM112),0,'raw data'!FJ112/'raw data'!FM112)</f>
        <v>0</v>
      </c>
      <c r="AE112" s="423">
        <f>SUM(AE106:AE111)</f>
        <v>0</v>
      </c>
      <c r="AF112" s="422">
        <f>SUM(AF106:AF111)</f>
        <v>0</v>
      </c>
      <c r="AG112" s="420">
        <f>IF(ISERROR('raw data'!FN112/'raw data'!FO112),0,'raw data'!FN112/'raw data'!FO112)</f>
        <v>0</v>
      </c>
      <c r="AH112" s="423">
        <f>SUM(AH106:AH111)</f>
        <v>1</v>
      </c>
      <c r="AI112" s="422">
        <f>SUM(AI106:AI111)</f>
        <v>56</v>
      </c>
      <c r="AJ112" s="420">
        <f>IF(ISERROR('raw data'!FP112/'raw data'!FQ112),0,'raw data'!FP112/'raw data'!FQ112)</f>
        <v>1.7857142857142856E-2</v>
      </c>
      <c r="AK112" s="423">
        <f>SUM(AK106:AK111)</f>
        <v>0</v>
      </c>
      <c r="AL112" s="422">
        <f>SUM(AL106:AL111)</f>
        <v>9</v>
      </c>
      <c r="AM112" s="420">
        <f>IF(ISERROR('raw data'!FR112/'raw data'!FS112),0,'raw data'!FR112/'raw data'!FS112)</f>
        <v>0</v>
      </c>
      <c r="AN112" s="423">
        <f>SUM(AN106:AN111)</f>
        <v>3</v>
      </c>
      <c r="AO112" s="422">
        <f>SUM(AO106:AO111)</f>
        <v>12</v>
      </c>
      <c r="AP112" s="420">
        <f>IF(ISERROR('raw data'!FT112/'raw data'!FU112),0,'raw data'!FT112/'raw data'!FU112)</f>
        <v>0.25</v>
      </c>
      <c r="AQ112" s="423">
        <f>SUM(AQ106:AQ111)</f>
        <v>5</v>
      </c>
      <c r="AR112" s="422">
        <f>SUM(AR106:AR111)</f>
        <v>14</v>
      </c>
      <c r="AS112" s="424">
        <f>IF(ISERROR('raw data'!FV112/'raw data'!FW112),0,'raw data'!FV112/'raw data'!FW112)</f>
        <v>0.35714285714285715</v>
      </c>
      <c r="AT112" s="423">
        <f>SUM(AT106:AT111)</f>
        <v>1</v>
      </c>
      <c r="AU112" s="422">
        <f>SUM(AU106:AU111)</f>
        <v>4</v>
      </c>
      <c r="AV112" s="426">
        <f>IF(ISERROR('raw data'!FX112/'raw data'!FY112),0,'raw data'!FX112/'raw data'!FY112)</f>
        <v>0.25</v>
      </c>
      <c r="AW112" s="423">
        <f>SUM(AW106:AW111)</f>
        <v>0</v>
      </c>
      <c r="AX112" s="422">
        <f>SUM(AX106:AX111)</f>
        <v>9</v>
      </c>
      <c r="AY112" s="426">
        <f>IF(ISERROR('raw data'!FZ112/'raw data'!GA112),0,'raw data'!FZ112/'raw data'!GA112)</f>
        <v>0</v>
      </c>
      <c r="AZ112" s="423">
        <f>SUM(AZ106:AZ111)</f>
        <v>1</v>
      </c>
      <c r="BA112" s="422">
        <f>SUM(BA106:BA111)</f>
        <v>5</v>
      </c>
      <c r="BB112" s="426">
        <f>IF(ISERROR('raw data'!GB112/'raw data'!GC112),0,'raw data'!GB112/'raw data'!GC112)</f>
        <v>0.2</v>
      </c>
      <c r="BC112" s="423">
        <f>SUM(BC106:BC111)</f>
        <v>0</v>
      </c>
      <c r="BD112" s="422">
        <f>SUM(BD106:BD111)</f>
        <v>8</v>
      </c>
      <c r="BE112" s="426">
        <f>IF(ISERROR('raw data'!GD112/'raw data'!GE112),0,'raw data'!GD112/'raw data'!GE112)</f>
        <v>0</v>
      </c>
      <c r="BF112" s="423">
        <f>SUM(BF106:BF111)</f>
        <v>3</v>
      </c>
      <c r="BG112" s="422">
        <f>SUM(BG106:BG111)</f>
        <v>8</v>
      </c>
      <c r="BH112" s="426">
        <f>IF(ISERROR('raw data'!GF112/'raw data'!GG112),0,'raw data'!GF112/'raw data'!GG112)</f>
        <v>0.375</v>
      </c>
      <c r="BI112" s="423">
        <f>SUM(BI106:BI111)</f>
        <v>1</v>
      </c>
      <c r="BJ112" s="422">
        <f>SUM(BJ106:BJ111)</f>
        <v>7</v>
      </c>
      <c r="BK112" s="426">
        <f>IF(ISERROR('raw data'!GH112/'raw data'!GI112),0,'raw data'!GH112/'raw data'!GI112)</f>
        <v>0.14285714285714285</v>
      </c>
      <c r="BL112" s="423">
        <f>SUM(BL106:BL111)</f>
        <v>0</v>
      </c>
      <c r="BM112" s="422">
        <f>SUM(BM106:BM111)</f>
        <v>10</v>
      </c>
      <c r="BN112" s="426">
        <f>IF(ISERROR('raw data'!GJ112/'raw data'!GK112),0,'raw data'!GJ112/'raw data'!GK112)</f>
        <v>0</v>
      </c>
      <c r="BO112" s="423">
        <f>SUM(BO106:BO111)</f>
        <v>0</v>
      </c>
      <c r="BP112" s="422">
        <f>SUM(BP106:BP111)</f>
        <v>4</v>
      </c>
      <c r="BQ112" s="426">
        <f>IF(ISERROR('raw data'!GL112/'raw data'!GM112),0,'raw data'!GL112/'raw data'!GM112)</f>
        <v>0</v>
      </c>
      <c r="BR112" s="423">
        <f>SUM(BR106:BR111)</f>
        <v>1</v>
      </c>
      <c r="BS112" s="422">
        <f>SUM(BS106:BS111)</f>
        <v>3</v>
      </c>
      <c r="BT112" s="426">
        <f>IF(ISERROR('raw data'!GN112/'raw data'!GO112),0,'raw data'!GN112/'raw data'!GO112)</f>
        <v>0.33333333333333331</v>
      </c>
      <c r="BU112" s="423">
        <f>SUM(BU106:BU111)</f>
        <v>0</v>
      </c>
      <c r="BV112" s="422">
        <f>SUM(BV106:BV111)</f>
        <v>20</v>
      </c>
      <c r="BW112" s="426">
        <f>IF(ISERROR('raw data'!GP112/'raw data'!GQ112),0,'raw data'!GP112/'raw data'!GQ112)</f>
        <v>0</v>
      </c>
      <c r="BX112" s="423">
        <f>SUM(BX106:BX111)</f>
        <v>0</v>
      </c>
      <c r="BY112" s="422">
        <f>SUM(BY106:BY111)</f>
        <v>5</v>
      </c>
      <c r="BZ112" s="426">
        <f>IF(ISERROR('raw data'!GR112/'raw data'!GS112),0,'raw data'!GR112/'raw data'!GS112)</f>
        <v>0</v>
      </c>
      <c r="CA112" s="423">
        <f>SUM(CA106:CA111)</f>
        <v>0</v>
      </c>
      <c r="CB112" s="422">
        <f>SUM(CB106:CB111)</f>
        <v>5</v>
      </c>
      <c r="CC112" s="426">
        <f>IF(ISERROR('raw data'!GT112/'raw data'!GU112),0,'raw data'!GT112/'raw data'!GU112)</f>
        <v>0</v>
      </c>
      <c r="CD112" s="423">
        <f>SUM(CD106:CD111)</f>
        <v>0</v>
      </c>
      <c r="CE112" s="422">
        <f>SUM(CE106:CE111)</f>
        <v>5</v>
      </c>
      <c r="CF112" s="426">
        <f>IF(ISERROR('raw data'!GV112/'raw data'!GW112),0,'raw data'!GV112/'raw data'!GW112)</f>
        <v>0</v>
      </c>
      <c r="CG112" s="423">
        <f>SUM(CG106:CG111)</f>
        <v>1</v>
      </c>
      <c r="CH112" s="422">
        <f>SUM(CH106:CH111)</f>
        <v>10</v>
      </c>
      <c r="CI112" s="426">
        <f>IF(ISERROR('raw data'!GX112/'raw data'!GY112),0,'raw data'!GX112/'raw data'!GY112)</f>
        <v>0.1</v>
      </c>
      <c r="CJ112" s="423">
        <f>SUM(CJ106:CJ111)</f>
        <v>1</v>
      </c>
      <c r="CK112" s="422">
        <f>SUM(CK106:CK111)</f>
        <v>9</v>
      </c>
      <c r="CL112" s="426">
        <f>IF(ISERROR('raw data'!GZ112/'raw data'!HA112),0,'raw data'!GZ112/'raw data'!HA112)</f>
        <v>0.1111111111111111</v>
      </c>
      <c r="CM112" s="423">
        <f>SUM(CM106:CM111)</f>
        <v>0</v>
      </c>
      <c r="CN112" s="422">
        <f>SUM(CN106:CN111)</f>
        <v>3</v>
      </c>
      <c r="CO112" s="426">
        <f>IF(ISERROR('raw data'!HB112/'raw data'!HC112),0,'raw data'!HB112/'raw data'!HC112)</f>
        <v>0</v>
      </c>
      <c r="CP112" s="423">
        <f>SUM(CP106:CP111)</f>
        <v>1</v>
      </c>
      <c r="CQ112" s="422">
        <f>SUM(CQ106:CQ111)</f>
        <v>12</v>
      </c>
      <c r="CR112" s="426">
        <f>IF(ISERROR('raw data'!HD112/'raw data'!HE112),0,'raw data'!HD112/'raw data'!HE112)</f>
        <v>8.3333333333333329E-2</v>
      </c>
      <c r="CS112" s="423">
        <f>SUM(CS106:CS111)</f>
        <v>0</v>
      </c>
      <c r="CT112" s="422">
        <f>SUM(CT106:CT111)</f>
        <v>2</v>
      </c>
      <c r="CU112" s="426">
        <f>IF(ISERROR('raw data'!HF112/'raw data'!HG112),0,'raw data'!HF112/'raw data'!HG112)</f>
        <v>0</v>
      </c>
      <c r="CV112" s="423">
        <f>SUM(CV106:CV111)</f>
        <v>0</v>
      </c>
      <c r="CW112" s="422">
        <f>SUM(CW106:CW111)</f>
        <v>10</v>
      </c>
      <c r="CX112" s="426">
        <f>IF(ISERROR('raw data'!HH112/'raw data'!HI112),0,'raw data'!HH112/'raw data'!HI112)</f>
        <v>0</v>
      </c>
      <c r="CY112" s="423">
        <f>SUM(CY106:CY111)</f>
        <v>0</v>
      </c>
      <c r="CZ112" s="422">
        <f>SUM(CZ106:CZ111)</f>
        <v>7</v>
      </c>
      <c r="DA112" s="426">
        <f>IF(ISERROR('raw data'!HJ112/'raw data'!HK112),0,'raw data'!HJ112/'raw data'!HK112)</f>
        <v>0</v>
      </c>
      <c r="DB112" s="423">
        <f>SUM(DB106:DB111)</f>
        <v>0</v>
      </c>
      <c r="DC112" s="422">
        <f>SUM(DC106:DC111)</f>
        <v>4</v>
      </c>
      <c r="DD112" s="426">
        <f>IF(ISERROR('raw data'!HL112/'raw data'!HM112),0,'raw data'!HL112/'raw data'!HM112)</f>
        <v>0</v>
      </c>
      <c r="DE112" s="423">
        <f>SUM(DE106:DE111)</f>
        <v>0</v>
      </c>
      <c r="DF112" s="422">
        <f>SUM(DF106:DF111)</f>
        <v>8</v>
      </c>
      <c r="DG112" s="426">
        <f>IF(ISERROR('raw data'!HN112/'raw data'!HO112),0,'raw data'!HN112/'raw data'!HO112)</f>
        <v>0</v>
      </c>
      <c r="DH112" s="423">
        <f>SUM(DH106:DH111)</f>
        <v>0</v>
      </c>
      <c r="DI112" s="422">
        <f>SUM(DI106:DI111)</f>
        <v>8</v>
      </c>
      <c r="DJ112" s="426">
        <f>IF(ISERROR('raw data'!HP112/'raw data'!HQ112),0,'raw data'!HP112/'raw data'!HQ112)</f>
        <v>0</v>
      </c>
      <c r="DK112" s="423">
        <f>SUM(DK106:DK111)</f>
        <v>0</v>
      </c>
      <c r="DL112" s="422">
        <f>SUM(DL106:DL111)</f>
        <v>8</v>
      </c>
      <c r="DM112" s="426">
        <f>IF(ISERROR('raw data'!HR112/'raw data'!HS112),0,'raw data'!HR112/'raw data'!HS112)</f>
        <v>0</v>
      </c>
      <c r="DN112" s="423">
        <f>SUM(DN106:DN111)</f>
        <v>1</v>
      </c>
      <c r="DO112" s="422">
        <f>SUM(DO106:DO111)</f>
        <v>8</v>
      </c>
      <c r="DP112" s="426">
        <f>IF(ISERROR('raw data'!HT112/'raw data'!HU112),0,'raw data'!HT112/'raw data'!HU112)</f>
        <v>0.125</v>
      </c>
      <c r="DQ112" s="423">
        <f>SUM(DQ106:DQ111)</f>
        <v>1</v>
      </c>
      <c r="DR112" s="422">
        <f>SUM(DR106:DR111)</f>
        <v>5</v>
      </c>
      <c r="DS112" s="426">
        <f>IF(ISERROR('raw data'!HV112/'raw data'!HW112),0,'raw data'!HV112/'raw data'!HW112)</f>
        <v>0.2</v>
      </c>
      <c r="DT112" s="423">
        <f>SUM(DT106:DT111)</f>
        <v>0</v>
      </c>
      <c r="DU112" s="422">
        <f>SUM(DU106:DU111)</f>
        <v>9</v>
      </c>
      <c r="DV112" s="426">
        <f>IF(ISERROR('raw data'!HX112/'raw data'!HY112),0,'raw data'!HX112/'raw data'!HY112)</f>
        <v>0</v>
      </c>
      <c r="DW112" s="423">
        <f>SUM(DW106:DW111)</f>
        <v>0</v>
      </c>
      <c r="DX112" s="422">
        <f>SUM(DX106:DX111)</f>
        <v>8</v>
      </c>
      <c r="DY112" s="426">
        <f>IF(ISERROR('raw data'!HZ112/'raw data'!IA112),0,'raw data'!HZ112/'raw data'!IA112)</f>
        <v>0</v>
      </c>
      <c r="DZ112" s="423">
        <f>SUM(DZ106:DZ111)</f>
        <v>2</v>
      </c>
      <c r="EA112" s="422">
        <f>SUM(EA106:EA111)</f>
        <v>15</v>
      </c>
      <c r="EB112" s="426">
        <f>IF(ISERROR('raw data'!IB112/'raw data'!IC112),0,'raw data'!IB112/'raw data'!IC112)</f>
        <v>0.13333333333333333</v>
      </c>
      <c r="EC112" s="423">
        <f>SUM(EC106:EC111)</f>
        <v>0</v>
      </c>
      <c r="ED112" s="422">
        <f>SUM(ED106:ED111)</f>
        <v>5</v>
      </c>
      <c r="EE112" s="426">
        <f>IF(ISERROR('raw data'!ID112/'raw data'!IE112),0,'raw data'!ID112/'raw data'!IE112)</f>
        <v>0</v>
      </c>
      <c r="EF112" s="423">
        <f>SUM(EF106:EF111)</f>
        <v>0</v>
      </c>
      <c r="EG112" s="422">
        <f>SUM(EG106:EG111)</f>
        <v>6</v>
      </c>
      <c r="EH112" s="426">
        <f>IF(ISERROR('raw data'!IF112/'raw data'!IG112),0,'raw data'!IF112/'raw data'!IG112)</f>
        <v>0</v>
      </c>
      <c r="EI112" s="423">
        <f>SUM(EI106:EI111)</f>
        <v>0</v>
      </c>
      <c r="EJ112" s="422">
        <f>SUM(EJ106:EJ111)</f>
        <v>7</v>
      </c>
      <c r="EK112" s="426">
        <f>IF(ISERROR('raw data'!IH112/'raw data'!II112),0,'raw data'!IH112/'raw data'!II112)</f>
        <v>0</v>
      </c>
      <c r="EL112" s="423">
        <f>SUM(EL106:EL111)</f>
        <v>0</v>
      </c>
      <c r="EM112" s="422">
        <f>SUM(EM106:EM111)</f>
        <v>9</v>
      </c>
      <c r="EN112" s="426">
        <f>IF(ISERROR('raw data'!IJ112/'raw data'!IK112),0,'raw data'!IJ112/'raw data'!IK112)</f>
        <v>0</v>
      </c>
      <c r="EO112" s="423">
        <f>SUM(EO106:EO111)</f>
        <v>1</v>
      </c>
      <c r="EP112" s="422">
        <f>SUM(EP106:EP111)</f>
        <v>9</v>
      </c>
      <c r="EQ112" s="426">
        <f>IF(ISERROR('raw data'!IL112/'raw data'!IM112),0,'raw data'!IL112/'raw data'!IM112)</f>
        <v>0.1111111111111111</v>
      </c>
      <c r="ER112" s="423">
        <f>SUM(ER106:ER111)</f>
        <v>1</v>
      </c>
      <c r="ES112" s="422">
        <f>SUM(ES106:ES111)</f>
        <v>7</v>
      </c>
      <c r="ET112" s="426">
        <f>IF(ISERROR('raw data'!IN112/'raw data'!IO112),0,'raw data'!IN112/'raw data'!IO112)</f>
        <v>0.14285714285714285</v>
      </c>
      <c r="EU112" s="423">
        <f>SUM(EU106:EU111)</f>
        <v>1</v>
      </c>
      <c r="EV112" s="422">
        <f>SUM(EV106:EV111)</f>
        <v>15</v>
      </c>
      <c r="EW112" s="426">
        <f>IF(ISERROR('raw data'!IP112/'raw data'!IQ112),0,'raw data'!IP112/'raw data'!IQ112)</f>
        <v>6.6666666666666666E-2</v>
      </c>
      <c r="EX112" s="423">
        <f>SUM(EX106:EX111)</f>
        <v>1</v>
      </c>
      <c r="EY112" s="422">
        <f>SUM(EY106:EY111)</f>
        <v>10</v>
      </c>
      <c r="EZ112" s="426">
        <f>IF(ISERROR('raw data'!IR112/'raw data'!IS112),0,'raw data'!IR112/'raw data'!IS112)</f>
        <v>0.1</v>
      </c>
      <c r="FA112" s="423">
        <f>SUM(FA106:FA111)</f>
        <v>2</v>
      </c>
      <c r="FB112" s="422">
        <f>SUM(FB106:FB111)</f>
        <v>12</v>
      </c>
      <c r="FC112" s="426">
        <f>IF(ISERROR('raw data'!IT112/'raw data'!IU112),0,'raw data'!IT112/'raw data'!IU112)</f>
        <v>0.16666666666666666</v>
      </c>
      <c r="FD112" s="423">
        <f>SUM(FD106:FD111)</f>
        <v>0</v>
      </c>
      <c r="FE112" s="422">
        <f>SUM(FE106:FE111)</f>
        <v>8</v>
      </c>
      <c r="FF112" s="426">
        <f>IF(ISERROR('raw data'!IV112/'raw data'!IW112),0,'raw data'!IV112/'raw data'!IW112)</f>
        <v>0</v>
      </c>
      <c r="FG112" s="423">
        <f>SUM(FG106:FG111)</f>
        <v>1</v>
      </c>
      <c r="FH112" s="422">
        <f>SUM(FH106:FH111)</f>
        <v>13</v>
      </c>
      <c r="FI112" s="426">
        <f>IF(ISERROR('raw data'!IX112/'raw data'!IY112),0,'raw data'!IX112/'raw data'!IY112)</f>
        <v>7.6923076923076927E-2</v>
      </c>
      <c r="FJ112" s="423">
        <f>SUM(FJ106:FJ111)</f>
        <v>0</v>
      </c>
      <c r="FK112" s="422">
        <f>SUM(FK106:FK111)</f>
        <v>12</v>
      </c>
      <c r="FL112" s="426">
        <f>IF(ISERROR('raw data'!IZ112/'raw data'!JA112),0,'raw data'!IZ112/'raw data'!JA112)</f>
        <v>0</v>
      </c>
      <c r="FM112" s="423">
        <f>SUM(FM106:FM111)</f>
        <v>0</v>
      </c>
      <c r="FN112" s="422">
        <f>SUM(FN106:FN111)</f>
        <v>7</v>
      </c>
      <c r="FO112" s="426">
        <f>IF(ISERROR('raw data'!JB112/'raw data'!JC112),0,'raw data'!JB112/'raw data'!JC112)</f>
        <v>0</v>
      </c>
      <c r="FP112" s="423">
        <f>SUM(FP106:FP111)</f>
        <v>1</v>
      </c>
      <c r="FQ112" s="422">
        <f>SUM(FQ106:FQ111)</f>
        <v>11</v>
      </c>
      <c r="FR112" s="426">
        <f>IF(ISERROR('raw data'!JD112/'raw data'!JE112),0,'raw data'!JD112/'raw data'!JE112)</f>
        <v>9.0909090909090912E-2</v>
      </c>
      <c r="FS112" s="469"/>
      <c r="FT112" s="428">
        <f>SUM(FT106:FT111)</f>
        <v>8</v>
      </c>
      <c r="FU112" s="429">
        <f>SUM(FU106:FU111)</f>
        <v>120</v>
      </c>
      <c r="FV112" s="430">
        <f>IF(ISERROR(FT112/FU112),0,FT112/FU112)</f>
        <v>6.6666666666666666E-2</v>
      </c>
    </row>
    <row r="113" spans="1:178" ht="28" x14ac:dyDescent="0.15">
      <c r="A113" s="591" t="s">
        <v>201</v>
      </c>
      <c r="B113" s="592" t="str">
        <f>'raw data'!B126</f>
        <v>Multiple JSA and DWP UC (&gt;=3 different NINOs) received over all customer's B&amp;S accounts.</v>
      </c>
      <c r="C113" s="593" t="s">
        <v>203</v>
      </c>
      <c r="D113" s="594">
        <f>'raw data'!ET126</f>
        <v>0</v>
      </c>
      <c r="E113" s="595">
        <f>'raw data'!EU126</f>
        <v>0</v>
      </c>
      <c r="F113" s="596">
        <f>IF(ISERROR('raw data'!ET126/'raw data'!EU126),0,'raw data'!ET126/'raw data'!EU126)</f>
        <v>0</v>
      </c>
      <c r="G113" s="594">
        <f>'raw data'!EV126</f>
        <v>0</v>
      </c>
      <c r="H113" s="595">
        <f>'raw data'!EW126</f>
        <v>0</v>
      </c>
      <c r="I113" s="596">
        <f>IF(ISERROR('raw data'!EV126/'raw data'!EW126),0,'raw data'!EV126/'raw data'!EW126)</f>
        <v>0</v>
      </c>
      <c r="J113" s="594">
        <f>'raw data'!EX126</f>
        <v>0</v>
      </c>
      <c r="K113" s="595">
        <f>'raw data'!EY126</f>
        <v>2</v>
      </c>
      <c r="L113" s="597">
        <f>IF(ISERROR('raw data'!EX126/'raw data'!EY126),0,'raw data'!EX126/'raw data'!EY126)</f>
        <v>0</v>
      </c>
      <c r="M113" s="594">
        <f>'raw data'!EZ126</f>
        <v>1</v>
      </c>
      <c r="N113" s="595">
        <f>'raw data'!FA126</f>
        <v>1</v>
      </c>
      <c r="O113" s="596">
        <f>IF(ISERROR('raw data'!EZ126/'raw data'!FA126),0,'raw data'!EZ126/'raw data'!FA126)</f>
        <v>1</v>
      </c>
      <c r="P113" s="594">
        <f>'raw data'!FB126</f>
        <v>0</v>
      </c>
      <c r="Q113" s="595">
        <f>'raw data'!FC126</f>
        <v>1</v>
      </c>
      <c r="R113" s="596">
        <f>IF(ISERROR('raw data'!FB126/'raw data'!FC126),0,'raw data'!FB126/'raw data'!FC126)</f>
        <v>0</v>
      </c>
      <c r="S113" s="594">
        <f>'raw data'!FD126</f>
        <v>0</v>
      </c>
      <c r="T113" s="595">
        <f>'raw data'!FE126</f>
        <v>1</v>
      </c>
      <c r="U113" s="596">
        <f>IF(ISERROR('raw data'!FD126/'raw data'!FE126),0,'raw data'!FD126/'raw data'!FE126)</f>
        <v>0</v>
      </c>
      <c r="V113" s="594">
        <f>'raw data'!FF126</f>
        <v>0</v>
      </c>
      <c r="W113" s="595">
        <f>'raw data'!FG126</f>
        <v>2</v>
      </c>
      <c r="X113" s="596">
        <f>IF(ISERROR('raw data'!FF126/'raw data'!FG126),0,'raw data'!FF126/'raw data'!FG126)</f>
        <v>0</v>
      </c>
      <c r="Y113" s="594">
        <f>'raw data'!FH126</f>
        <v>1</v>
      </c>
      <c r="Z113" s="595">
        <f>'raw data'!FI126</f>
        <v>2</v>
      </c>
      <c r="AA113" s="596">
        <f>IF(ISERROR('raw data'!FH126/'raw data'!FI126),0,'raw data'!FH126/'raw data'!FI126)</f>
        <v>0.5</v>
      </c>
      <c r="AB113" s="594">
        <f>'raw data'!FJ126</f>
        <v>0</v>
      </c>
      <c r="AC113" s="595">
        <f>'raw data'!FM126</f>
        <v>1</v>
      </c>
      <c r="AD113" s="596">
        <f>IF(ISERROR('raw data'!FJ126/'raw data'!FM126),0,'raw data'!FJ126/'raw data'!FM126)</f>
        <v>0</v>
      </c>
      <c r="AE113" s="594">
        <f>'raw data'!FN126</f>
        <v>1</v>
      </c>
      <c r="AF113" s="595">
        <f>'raw data'!FO126</f>
        <v>1</v>
      </c>
      <c r="AG113" s="596">
        <f>IF(ISERROR('raw data'!FN126/'raw data'!FO126),0,'raw data'!FN126/'raw data'!FO126)</f>
        <v>1</v>
      </c>
      <c r="AH113" s="594">
        <f>'raw data'!FP126</f>
        <v>2</v>
      </c>
      <c r="AI113" s="595">
        <f>'raw data'!FQ126</f>
        <v>26</v>
      </c>
      <c r="AJ113" s="596">
        <f>IF(ISERROR('raw data'!FP126/'raw data'!FQ126),0,'raw data'!FP126/'raw data'!FQ126)</f>
        <v>7.6923076923076927E-2</v>
      </c>
      <c r="AK113" s="594">
        <f>'raw data'!FR126</f>
        <v>0</v>
      </c>
      <c r="AL113" s="595">
        <f>'raw data'!FS126</f>
        <v>36</v>
      </c>
      <c r="AM113" s="596">
        <f>IF(ISERROR('raw data'!FR126/'raw data'!FS126),0,'raw data'!FR126/'raw data'!FS126)</f>
        <v>0</v>
      </c>
      <c r="AN113" s="594">
        <f>'raw data'!FT126</f>
        <v>0</v>
      </c>
      <c r="AO113" s="595">
        <f>'raw data'!FU126</f>
        <v>48</v>
      </c>
      <c r="AP113" s="596">
        <f>IF(ISERROR('raw data'!FT126/'raw data'!FU126),0,'raw data'!FT126/'raw data'!FU126)</f>
        <v>0</v>
      </c>
      <c r="AQ113" s="594">
        <f>'raw data'!FV126</f>
        <v>4</v>
      </c>
      <c r="AR113" s="595">
        <f>'raw data'!FW126</f>
        <v>45</v>
      </c>
      <c r="AS113" s="598">
        <f>IF(ISERROR('raw data'!FV126/'raw data'!FW126),0,'raw data'!FV126/'raw data'!FW126)</f>
        <v>8.8888888888888892E-2</v>
      </c>
      <c r="AT113" s="594">
        <f>'raw data'!FX126</f>
        <v>2</v>
      </c>
      <c r="AU113" s="595">
        <f>'raw data'!FY126</f>
        <v>10</v>
      </c>
      <c r="AV113" s="598">
        <f>IF(ISERROR('raw data'!FX126/'raw data'!FY126),0,'raw data'!FX126/'raw data'!FY126)</f>
        <v>0.2</v>
      </c>
      <c r="AW113" s="594">
        <f>'raw data'!FZ126</f>
        <v>1</v>
      </c>
      <c r="AX113" s="595">
        <f>'raw data'!GA126</f>
        <v>5</v>
      </c>
      <c r="AY113" s="598">
        <f>IF(ISERROR('raw data'!FZ126/'raw data'!GA126),0,'raw data'!FZ126/'raw data'!GA126)</f>
        <v>0.2</v>
      </c>
      <c r="AZ113" s="402" t="s">
        <v>243</v>
      </c>
      <c r="BA113" s="403" t="s">
        <v>243</v>
      </c>
      <c r="BB113" s="404" t="s">
        <v>243</v>
      </c>
      <c r="BC113" s="402" t="s">
        <v>243</v>
      </c>
      <c r="BD113" s="403" t="s">
        <v>243</v>
      </c>
      <c r="BE113" s="404" t="s">
        <v>243</v>
      </c>
      <c r="BF113" s="402" t="s">
        <v>243</v>
      </c>
      <c r="BG113" s="403" t="s">
        <v>243</v>
      </c>
      <c r="BH113" s="404" t="s">
        <v>243</v>
      </c>
      <c r="BI113" s="402" t="s">
        <v>243</v>
      </c>
      <c r="BJ113" s="403" t="s">
        <v>243</v>
      </c>
      <c r="BK113" s="404" t="s">
        <v>243</v>
      </c>
      <c r="BL113" s="402" t="s">
        <v>243</v>
      </c>
      <c r="BM113" s="403" t="s">
        <v>243</v>
      </c>
      <c r="BN113" s="404" t="s">
        <v>243</v>
      </c>
      <c r="BO113" s="402" t="s">
        <v>243</v>
      </c>
      <c r="BP113" s="403" t="s">
        <v>243</v>
      </c>
      <c r="BQ113" s="404" t="s">
        <v>243</v>
      </c>
      <c r="BR113" s="402" t="s">
        <v>243</v>
      </c>
      <c r="BS113" s="403" t="s">
        <v>243</v>
      </c>
      <c r="BT113" s="404" t="s">
        <v>243</v>
      </c>
      <c r="BU113" s="402" t="s">
        <v>243</v>
      </c>
      <c r="BV113" s="403" t="s">
        <v>243</v>
      </c>
      <c r="BW113" s="404" t="s">
        <v>243</v>
      </c>
      <c r="BX113" s="402" t="s">
        <v>243</v>
      </c>
      <c r="BY113" s="403" t="s">
        <v>243</v>
      </c>
      <c r="BZ113" s="404" t="s">
        <v>243</v>
      </c>
      <c r="CA113" s="402" t="s">
        <v>243</v>
      </c>
      <c r="CB113" s="403" t="s">
        <v>243</v>
      </c>
      <c r="CC113" s="404" t="s">
        <v>243</v>
      </c>
      <c r="CD113" s="402" t="s">
        <v>243</v>
      </c>
      <c r="CE113" s="403" t="s">
        <v>243</v>
      </c>
      <c r="CF113" s="404" t="s">
        <v>243</v>
      </c>
      <c r="CG113" s="402" t="s">
        <v>243</v>
      </c>
      <c r="CH113" s="403" t="s">
        <v>243</v>
      </c>
      <c r="CI113" s="404" t="s">
        <v>243</v>
      </c>
      <c r="CJ113" s="402" t="s">
        <v>243</v>
      </c>
      <c r="CK113" s="403" t="s">
        <v>243</v>
      </c>
      <c r="CL113" s="404" t="s">
        <v>243</v>
      </c>
      <c r="CM113" s="402" t="s">
        <v>243</v>
      </c>
      <c r="CN113" s="403" t="s">
        <v>243</v>
      </c>
      <c r="CO113" s="404" t="s">
        <v>243</v>
      </c>
      <c r="CP113" s="402" t="s">
        <v>243</v>
      </c>
      <c r="CQ113" s="403" t="s">
        <v>243</v>
      </c>
      <c r="CR113" s="404" t="s">
        <v>243</v>
      </c>
      <c r="CS113" s="402" t="s">
        <v>243</v>
      </c>
      <c r="CT113" s="403" t="s">
        <v>243</v>
      </c>
      <c r="CU113" s="404" t="s">
        <v>243</v>
      </c>
      <c r="CV113" s="402" t="s">
        <v>243</v>
      </c>
      <c r="CW113" s="403" t="s">
        <v>243</v>
      </c>
      <c r="CX113" s="404" t="s">
        <v>243</v>
      </c>
      <c r="CY113" s="402" t="s">
        <v>243</v>
      </c>
      <c r="CZ113" s="403" t="s">
        <v>243</v>
      </c>
      <c r="DA113" s="404" t="s">
        <v>243</v>
      </c>
      <c r="DB113" s="402" t="s">
        <v>243</v>
      </c>
      <c r="DC113" s="403" t="s">
        <v>243</v>
      </c>
      <c r="DD113" s="404" t="s">
        <v>243</v>
      </c>
      <c r="DE113" s="402" t="s">
        <v>243</v>
      </c>
      <c r="DF113" s="403" t="s">
        <v>243</v>
      </c>
      <c r="DG113" s="404" t="s">
        <v>243</v>
      </c>
      <c r="DH113" s="402" t="s">
        <v>243</v>
      </c>
      <c r="DI113" s="403" t="s">
        <v>243</v>
      </c>
      <c r="DJ113" s="404" t="s">
        <v>243</v>
      </c>
      <c r="DK113" s="402" t="s">
        <v>243</v>
      </c>
      <c r="DL113" s="403" t="s">
        <v>243</v>
      </c>
      <c r="DM113" s="404" t="s">
        <v>243</v>
      </c>
      <c r="DN113" s="402" t="s">
        <v>243</v>
      </c>
      <c r="DO113" s="403" t="s">
        <v>243</v>
      </c>
      <c r="DP113" s="404" t="s">
        <v>243</v>
      </c>
      <c r="DQ113" s="402" t="s">
        <v>243</v>
      </c>
      <c r="DR113" s="403" t="s">
        <v>243</v>
      </c>
      <c r="DS113" s="404" t="s">
        <v>243</v>
      </c>
      <c r="DT113" s="402" t="s">
        <v>243</v>
      </c>
      <c r="DU113" s="403" t="s">
        <v>243</v>
      </c>
      <c r="DV113" s="404" t="s">
        <v>243</v>
      </c>
      <c r="DW113" s="402" t="s">
        <v>243</v>
      </c>
      <c r="DX113" s="403" t="s">
        <v>243</v>
      </c>
      <c r="DY113" s="404" t="s">
        <v>243</v>
      </c>
      <c r="DZ113" s="402" t="s">
        <v>243</v>
      </c>
      <c r="EA113" s="403" t="s">
        <v>243</v>
      </c>
      <c r="EB113" s="404" t="s">
        <v>243</v>
      </c>
      <c r="EC113" s="402" t="s">
        <v>243</v>
      </c>
      <c r="ED113" s="403" t="s">
        <v>243</v>
      </c>
      <c r="EE113" s="404" t="s">
        <v>243</v>
      </c>
      <c r="EF113" s="402" t="s">
        <v>243</v>
      </c>
      <c r="EG113" s="403" t="s">
        <v>243</v>
      </c>
      <c r="EH113" s="404" t="s">
        <v>243</v>
      </c>
      <c r="EI113" s="402" t="s">
        <v>243</v>
      </c>
      <c r="EJ113" s="403" t="s">
        <v>243</v>
      </c>
      <c r="EK113" s="404" t="s">
        <v>243</v>
      </c>
      <c r="EL113" s="402" t="s">
        <v>243</v>
      </c>
      <c r="EM113" s="403" t="s">
        <v>243</v>
      </c>
      <c r="EN113" s="404" t="s">
        <v>243</v>
      </c>
      <c r="EO113" s="402" t="s">
        <v>243</v>
      </c>
      <c r="EP113" s="403" t="s">
        <v>243</v>
      </c>
      <c r="EQ113" s="404" t="s">
        <v>243</v>
      </c>
      <c r="ER113" s="402" t="s">
        <v>243</v>
      </c>
      <c r="ES113" s="403" t="s">
        <v>243</v>
      </c>
      <c r="ET113" s="404" t="s">
        <v>243</v>
      </c>
      <c r="EU113" s="402" t="s">
        <v>243</v>
      </c>
      <c r="EV113" s="403" t="s">
        <v>243</v>
      </c>
      <c r="EW113" s="404" t="s">
        <v>243</v>
      </c>
      <c r="EX113" s="402" t="s">
        <v>243</v>
      </c>
      <c r="EY113" s="403" t="s">
        <v>243</v>
      </c>
      <c r="EZ113" s="404" t="s">
        <v>243</v>
      </c>
      <c r="FA113" s="402" t="s">
        <v>243</v>
      </c>
      <c r="FB113" s="403" t="s">
        <v>243</v>
      </c>
      <c r="FC113" s="404" t="s">
        <v>243</v>
      </c>
      <c r="FD113" s="402" t="s">
        <v>243</v>
      </c>
      <c r="FE113" s="403" t="s">
        <v>243</v>
      </c>
      <c r="FF113" s="404" t="s">
        <v>243</v>
      </c>
      <c r="FG113" s="402" t="s">
        <v>243</v>
      </c>
      <c r="FH113" s="403" t="s">
        <v>243</v>
      </c>
      <c r="FI113" s="404" t="s">
        <v>243</v>
      </c>
      <c r="FJ113" s="402" t="s">
        <v>243</v>
      </c>
      <c r="FK113" s="403" t="s">
        <v>243</v>
      </c>
      <c r="FL113" s="404" t="s">
        <v>243</v>
      </c>
      <c r="FM113" s="402" t="s">
        <v>243</v>
      </c>
      <c r="FN113" s="403" t="s">
        <v>243</v>
      </c>
      <c r="FO113" s="404" t="s">
        <v>243</v>
      </c>
      <c r="FP113" s="402" t="s">
        <v>243</v>
      </c>
      <c r="FQ113" s="403" t="s">
        <v>243</v>
      </c>
      <c r="FR113" s="404" t="s">
        <v>243</v>
      </c>
      <c r="FS113" s="469"/>
      <c r="FT113" s="599">
        <v>0</v>
      </c>
      <c r="FU113" s="600">
        <v>0</v>
      </c>
      <c r="FV113" s="601">
        <f>IF(ISERROR(FT113/FU113),0,FT113/FU113)</f>
        <v>0</v>
      </c>
    </row>
    <row r="114" spans="1:178" ht="28" x14ac:dyDescent="0.15">
      <c r="A114" s="591" t="s">
        <v>204</v>
      </c>
      <c r="B114" s="592" t="str">
        <f>'raw data'!B127</f>
        <v xml:space="preserve">Multiple IS (&gt;=3 different NINOs) received over all customer's B&amp;S accounts. </v>
      </c>
      <c r="C114" s="593" t="s">
        <v>206</v>
      </c>
      <c r="D114" s="594">
        <f>'raw data'!ET127</f>
        <v>0</v>
      </c>
      <c r="E114" s="595">
        <f>'raw data'!EU127</f>
        <v>0</v>
      </c>
      <c r="F114" s="596">
        <f>IF(ISERROR('raw data'!ET127/'raw data'!EU127),0,'raw data'!ET127/'raw data'!EU127)</f>
        <v>0</v>
      </c>
      <c r="G114" s="594">
        <f>'raw data'!EV127</f>
        <v>0</v>
      </c>
      <c r="H114" s="595">
        <f>'raw data'!EW127</f>
        <v>0</v>
      </c>
      <c r="I114" s="596">
        <f>IF(ISERROR('raw data'!EV127/'raw data'!EW127),0,'raw data'!EV127/'raw data'!EW127)</f>
        <v>0</v>
      </c>
      <c r="J114" s="594">
        <f>'raw data'!EX127</f>
        <v>0</v>
      </c>
      <c r="K114" s="595">
        <f>'raw data'!EY127</f>
        <v>0</v>
      </c>
      <c r="L114" s="597">
        <f>IF(ISERROR('raw data'!EX127/'raw data'!EY127),0,'raw data'!EX127/'raw data'!EY127)</f>
        <v>0</v>
      </c>
      <c r="M114" s="594">
        <f>'raw data'!EZ127</f>
        <v>1</v>
      </c>
      <c r="N114" s="595">
        <f>'raw data'!FA127</f>
        <v>1</v>
      </c>
      <c r="O114" s="596">
        <f>IF(ISERROR('raw data'!EZ127/'raw data'!FA127),0,'raw data'!EZ127/'raw data'!FA127)</f>
        <v>1</v>
      </c>
      <c r="P114" s="594">
        <f>'raw data'!FB127</f>
        <v>0</v>
      </c>
      <c r="Q114" s="595">
        <f>'raw data'!FC127</f>
        <v>0</v>
      </c>
      <c r="R114" s="596">
        <f>IF(ISERROR('raw data'!FB127/'raw data'!FC127),0,'raw data'!FB127/'raw data'!FC127)</f>
        <v>0</v>
      </c>
      <c r="S114" s="594">
        <f>'raw data'!FD127</f>
        <v>0</v>
      </c>
      <c r="T114" s="595">
        <f>'raw data'!FE127</f>
        <v>0</v>
      </c>
      <c r="U114" s="596">
        <f>IF(ISERROR('raw data'!FD127/'raw data'!FE127),0,'raw data'!FD127/'raw data'!FE127)</f>
        <v>0</v>
      </c>
      <c r="V114" s="594">
        <f>'raw data'!FF127</f>
        <v>0</v>
      </c>
      <c r="W114" s="595">
        <f>'raw data'!FG127</f>
        <v>0</v>
      </c>
      <c r="X114" s="596">
        <f>IF(ISERROR('raw data'!FF127/'raw data'!FG127),0,'raw data'!FF127/'raw data'!FG127)</f>
        <v>0</v>
      </c>
      <c r="Y114" s="594">
        <f>'raw data'!FH127</f>
        <v>0</v>
      </c>
      <c r="Z114" s="595">
        <f>'raw data'!FI127</f>
        <v>0</v>
      </c>
      <c r="AA114" s="596">
        <f>IF(ISERROR('raw data'!FH127/'raw data'!FI127),0,'raw data'!FH127/'raw data'!FI127)</f>
        <v>0</v>
      </c>
      <c r="AB114" s="594">
        <f>'raw data'!FJ127</f>
        <v>0</v>
      </c>
      <c r="AC114" s="595">
        <f>'raw data'!FM127</f>
        <v>1</v>
      </c>
      <c r="AD114" s="596">
        <f>IF(ISERROR('raw data'!FJ127/'raw data'!FM127),0,'raw data'!FJ127/'raw data'!FM127)</f>
        <v>0</v>
      </c>
      <c r="AE114" s="594">
        <f>'raw data'!FN127</f>
        <v>0</v>
      </c>
      <c r="AF114" s="595">
        <f>'raw data'!FO127</f>
        <v>1</v>
      </c>
      <c r="AG114" s="596">
        <f>IF(ISERROR('raw data'!FN127/'raw data'!FO127),0,'raw data'!FN127/'raw data'!FO127)</f>
        <v>0</v>
      </c>
      <c r="AH114" s="594">
        <f>'raw data'!FP127</f>
        <v>0</v>
      </c>
      <c r="AI114" s="595">
        <f>'raw data'!FQ127</f>
        <v>0</v>
      </c>
      <c r="AJ114" s="596">
        <f>IF(ISERROR('raw data'!FP127/'raw data'!FQ127),0,'raw data'!FP127/'raw data'!FQ127)</f>
        <v>0</v>
      </c>
      <c r="AK114" s="594">
        <f>'raw data'!FR127</f>
        <v>0</v>
      </c>
      <c r="AL114" s="595">
        <f>'raw data'!FS127</f>
        <v>0</v>
      </c>
      <c r="AM114" s="596">
        <f>IF(ISERROR('raw data'!FR127/'raw data'!FS127),0,'raw data'!FR127/'raw data'!FS127)</f>
        <v>0</v>
      </c>
      <c r="AN114" s="594">
        <f>'raw data'!FT127</f>
        <v>0</v>
      </c>
      <c r="AO114" s="595">
        <f>'raw data'!FU127</f>
        <v>0</v>
      </c>
      <c r="AP114" s="596">
        <f>IF(ISERROR('raw data'!FT127/'raw data'!FU127),0,'raw data'!FT127/'raw data'!FU127)</f>
        <v>0</v>
      </c>
      <c r="AQ114" s="594">
        <f>'raw data'!FV127</f>
        <v>0</v>
      </c>
      <c r="AR114" s="595">
        <f>'raw data'!FW127</f>
        <v>1</v>
      </c>
      <c r="AS114" s="598">
        <f>IF(ISERROR('raw data'!FV127/'raw data'!FW127),0,'raw data'!FV127/'raw data'!FW127)</f>
        <v>0</v>
      </c>
      <c r="AT114" s="594">
        <f>'raw data'!FX127</f>
        <v>0</v>
      </c>
      <c r="AU114" s="595">
        <f>'raw data'!FY127</f>
        <v>0</v>
      </c>
      <c r="AV114" s="598">
        <f>IF(ISERROR('raw data'!FX127/'raw data'!FY127),0,'raw data'!FX127/'raw data'!FY127)</f>
        <v>0</v>
      </c>
      <c r="AW114" s="594">
        <f>'raw data'!FZ127</f>
        <v>0</v>
      </c>
      <c r="AX114" s="595">
        <f>'raw data'!GA127</f>
        <v>0</v>
      </c>
      <c r="AY114" s="598">
        <f>IF(ISERROR('raw data'!FZ127/'raw data'!GA127),0,'raw data'!FZ127/'raw data'!GA127)</f>
        <v>0</v>
      </c>
      <c r="AZ114" s="402" t="s">
        <v>243</v>
      </c>
      <c r="BA114" s="403" t="s">
        <v>243</v>
      </c>
      <c r="BB114" s="404" t="s">
        <v>243</v>
      </c>
      <c r="BC114" s="402" t="s">
        <v>243</v>
      </c>
      <c r="BD114" s="403" t="s">
        <v>243</v>
      </c>
      <c r="BE114" s="404" t="s">
        <v>243</v>
      </c>
      <c r="BF114" s="402" t="s">
        <v>243</v>
      </c>
      <c r="BG114" s="403" t="s">
        <v>243</v>
      </c>
      <c r="BH114" s="404" t="s">
        <v>243</v>
      </c>
      <c r="BI114" s="402" t="s">
        <v>243</v>
      </c>
      <c r="BJ114" s="403" t="s">
        <v>243</v>
      </c>
      <c r="BK114" s="404" t="s">
        <v>243</v>
      </c>
      <c r="BL114" s="402" t="s">
        <v>243</v>
      </c>
      <c r="BM114" s="403" t="s">
        <v>243</v>
      </c>
      <c r="BN114" s="404" t="s">
        <v>243</v>
      </c>
      <c r="BO114" s="402" t="s">
        <v>243</v>
      </c>
      <c r="BP114" s="403" t="s">
        <v>243</v>
      </c>
      <c r="BQ114" s="404" t="s">
        <v>243</v>
      </c>
      <c r="BR114" s="402" t="s">
        <v>243</v>
      </c>
      <c r="BS114" s="403" t="s">
        <v>243</v>
      </c>
      <c r="BT114" s="404" t="s">
        <v>243</v>
      </c>
      <c r="BU114" s="402" t="s">
        <v>243</v>
      </c>
      <c r="BV114" s="403" t="s">
        <v>243</v>
      </c>
      <c r="BW114" s="404" t="s">
        <v>243</v>
      </c>
      <c r="BX114" s="402" t="s">
        <v>243</v>
      </c>
      <c r="BY114" s="403" t="s">
        <v>243</v>
      </c>
      <c r="BZ114" s="404" t="s">
        <v>243</v>
      </c>
      <c r="CA114" s="402" t="s">
        <v>243</v>
      </c>
      <c r="CB114" s="403" t="s">
        <v>243</v>
      </c>
      <c r="CC114" s="404" t="s">
        <v>243</v>
      </c>
      <c r="CD114" s="402" t="s">
        <v>243</v>
      </c>
      <c r="CE114" s="403" t="s">
        <v>243</v>
      </c>
      <c r="CF114" s="404" t="s">
        <v>243</v>
      </c>
      <c r="CG114" s="402" t="s">
        <v>243</v>
      </c>
      <c r="CH114" s="403" t="s">
        <v>243</v>
      </c>
      <c r="CI114" s="404" t="s">
        <v>243</v>
      </c>
      <c r="CJ114" s="402" t="s">
        <v>243</v>
      </c>
      <c r="CK114" s="403" t="s">
        <v>243</v>
      </c>
      <c r="CL114" s="404" t="s">
        <v>243</v>
      </c>
      <c r="CM114" s="402" t="s">
        <v>243</v>
      </c>
      <c r="CN114" s="403" t="s">
        <v>243</v>
      </c>
      <c r="CO114" s="404" t="s">
        <v>243</v>
      </c>
      <c r="CP114" s="402" t="s">
        <v>243</v>
      </c>
      <c r="CQ114" s="403" t="s">
        <v>243</v>
      </c>
      <c r="CR114" s="404" t="s">
        <v>243</v>
      </c>
      <c r="CS114" s="402" t="s">
        <v>243</v>
      </c>
      <c r="CT114" s="403" t="s">
        <v>243</v>
      </c>
      <c r="CU114" s="404" t="s">
        <v>243</v>
      </c>
      <c r="CV114" s="402" t="s">
        <v>243</v>
      </c>
      <c r="CW114" s="403" t="s">
        <v>243</v>
      </c>
      <c r="CX114" s="404" t="s">
        <v>243</v>
      </c>
      <c r="CY114" s="402" t="s">
        <v>243</v>
      </c>
      <c r="CZ114" s="403" t="s">
        <v>243</v>
      </c>
      <c r="DA114" s="404" t="s">
        <v>243</v>
      </c>
      <c r="DB114" s="402" t="s">
        <v>243</v>
      </c>
      <c r="DC114" s="403" t="s">
        <v>243</v>
      </c>
      <c r="DD114" s="404" t="s">
        <v>243</v>
      </c>
      <c r="DE114" s="402" t="s">
        <v>243</v>
      </c>
      <c r="DF114" s="403" t="s">
        <v>243</v>
      </c>
      <c r="DG114" s="404" t="s">
        <v>243</v>
      </c>
      <c r="DH114" s="402" t="s">
        <v>243</v>
      </c>
      <c r="DI114" s="403" t="s">
        <v>243</v>
      </c>
      <c r="DJ114" s="404" t="s">
        <v>243</v>
      </c>
      <c r="DK114" s="402" t="s">
        <v>243</v>
      </c>
      <c r="DL114" s="403" t="s">
        <v>243</v>
      </c>
      <c r="DM114" s="404" t="s">
        <v>243</v>
      </c>
      <c r="DN114" s="402" t="s">
        <v>243</v>
      </c>
      <c r="DO114" s="403" t="s">
        <v>243</v>
      </c>
      <c r="DP114" s="404" t="s">
        <v>243</v>
      </c>
      <c r="DQ114" s="402" t="s">
        <v>243</v>
      </c>
      <c r="DR114" s="403" t="s">
        <v>243</v>
      </c>
      <c r="DS114" s="404" t="s">
        <v>243</v>
      </c>
      <c r="DT114" s="402" t="s">
        <v>243</v>
      </c>
      <c r="DU114" s="403" t="s">
        <v>243</v>
      </c>
      <c r="DV114" s="404" t="s">
        <v>243</v>
      </c>
      <c r="DW114" s="402" t="s">
        <v>243</v>
      </c>
      <c r="DX114" s="403" t="s">
        <v>243</v>
      </c>
      <c r="DY114" s="404" t="s">
        <v>243</v>
      </c>
      <c r="DZ114" s="402" t="s">
        <v>243</v>
      </c>
      <c r="EA114" s="403" t="s">
        <v>243</v>
      </c>
      <c r="EB114" s="404" t="s">
        <v>243</v>
      </c>
      <c r="EC114" s="402" t="s">
        <v>243</v>
      </c>
      <c r="ED114" s="403" t="s">
        <v>243</v>
      </c>
      <c r="EE114" s="404" t="s">
        <v>243</v>
      </c>
      <c r="EF114" s="402" t="s">
        <v>243</v>
      </c>
      <c r="EG114" s="403" t="s">
        <v>243</v>
      </c>
      <c r="EH114" s="404" t="s">
        <v>243</v>
      </c>
      <c r="EI114" s="402" t="s">
        <v>243</v>
      </c>
      <c r="EJ114" s="403" t="s">
        <v>243</v>
      </c>
      <c r="EK114" s="404" t="s">
        <v>243</v>
      </c>
      <c r="EL114" s="402" t="s">
        <v>243</v>
      </c>
      <c r="EM114" s="403" t="s">
        <v>243</v>
      </c>
      <c r="EN114" s="404" t="s">
        <v>243</v>
      </c>
      <c r="EO114" s="402" t="s">
        <v>243</v>
      </c>
      <c r="EP114" s="403" t="s">
        <v>243</v>
      </c>
      <c r="EQ114" s="404" t="s">
        <v>243</v>
      </c>
      <c r="ER114" s="402" t="s">
        <v>243</v>
      </c>
      <c r="ES114" s="403" t="s">
        <v>243</v>
      </c>
      <c r="ET114" s="404" t="s">
        <v>243</v>
      </c>
      <c r="EU114" s="402" t="s">
        <v>243</v>
      </c>
      <c r="EV114" s="403" t="s">
        <v>243</v>
      </c>
      <c r="EW114" s="404" t="s">
        <v>243</v>
      </c>
      <c r="EX114" s="402" t="s">
        <v>243</v>
      </c>
      <c r="EY114" s="403" t="s">
        <v>243</v>
      </c>
      <c r="EZ114" s="404" t="s">
        <v>243</v>
      </c>
      <c r="FA114" s="402" t="s">
        <v>243</v>
      </c>
      <c r="FB114" s="403" t="s">
        <v>243</v>
      </c>
      <c r="FC114" s="404" t="s">
        <v>243</v>
      </c>
      <c r="FD114" s="402" t="s">
        <v>243</v>
      </c>
      <c r="FE114" s="403" t="s">
        <v>243</v>
      </c>
      <c r="FF114" s="404" t="s">
        <v>243</v>
      </c>
      <c r="FG114" s="402" t="s">
        <v>243</v>
      </c>
      <c r="FH114" s="403" t="s">
        <v>243</v>
      </c>
      <c r="FI114" s="404" t="s">
        <v>243</v>
      </c>
      <c r="FJ114" s="402" t="s">
        <v>243</v>
      </c>
      <c r="FK114" s="403" t="s">
        <v>243</v>
      </c>
      <c r="FL114" s="404" t="s">
        <v>243</v>
      </c>
      <c r="FM114" s="402" t="s">
        <v>243</v>
      </c>
      <c r="FN114" s="403" t="s">
        <v>243</v>
      </c>
      <c r="FO114" s="404" t="s">
        <v>243</v>
      </c>
      <c r="FP114" s="402" t="s">
        <v>243</v>
      </c>
      <c r="FQ114" s="403" t="s">
        <v>243</v>
      </c>
      <c r="FR114" s="404" t="s">
        <v>243</v>
      </c>
      <c r="FS114" s="469"/>
      <c r="FT114" s="599">
        <v>0</v>
      </c>
      <c r="FU114" s="600">
        <v>0</v>
      </c>
      <c r="FV114" s="601">
        <f t="shared" ref="FV114:FV120" si="6">IF(ISERROR(FT114/FU114),0,FT114/FU114)</f>
        <v>0</v>
      </c>
    </row>
    <row r="115" spans="1:178" ht="25.5" customHeight="1" x14ac:dyDescent="0.15">
      <c r="A115" s="591" t="s">
        <v>207</v>
      </c>
      <c r="B115" s="592" t="str">
        <f>'raw data'!B128</f>
        <v>Receives IS and has B&amp;S account balances totalling £17k+.</v>
      </c>
      <c r="C115" s="593" t="s">
        <v>209</v>
      </c>
      <c r="D115" s="594">
        <f>'raw data'!ET128</f>
        <v>4</v>
      </c>
      <c r="E115" s="595">
        <f>'raw data'!EU128</f>
        <v>17</v>
      </c>
      <c r="F115" s="596">
        <f>IF(ISERROR('raw data'!ET128/'raw data'!EU128),0,'raw data'!ET128/'raw data'!EU128)</f>
        <v>0.23529411764705882</v>
      </c>
      <c r="G115" s="594">
        <f>'raw data'!EV128</f>
        <v>4</v>
      </c>
      <c r="H115" s="595">
        <f>'raw data'!EW128</f>
        <v>17</v>
      </c>
      <c r="I115" s="596">
        <f>IF(ISERROR('raw data'!EV128/'raw data'!EW128),0,'raw data'!EV128/'raw data'!EW128)</f>
        <v>0.23529411764705882</v>
      </c>
      <c r="J115" s="594">
        <f>'raw data'!EX128</f>
        <v>8</v>
      </c>
      <c r="K115" s="595">
        <f>'raw data'!EY128</f>
        <v>21</v>
      </c>
      <c r="L115" s="597">
        <f>IF(ISERROR('raw data'!EX128/'raw data'!EY128),0,'raw data'!EX128/'raw data'!EY128)</f>
        <v>0.38095238095238093</v>
      </c>
      <c r="M115" s="594">
        <f>'raw data'!EZ128</f>
        <v>10</v>
      </c>
      <c r="N115" s="595">
        <f>'raw data'!FA128</f>
        <v>23</v>
      </c>
      <c r="O115" s="596">
        <f>IF(ISERROR('raw data'!EZ128/'raw data'!FA128),0,'raw data'!EZ128/'raw data'!FA128)</f>
        <v>0.43478260869565216</v>
      </c>
      <c r="P115" s="594">
        <f>'raw data'!FB128</f>
        <v>6</v>
      </c>
      <c r="Q115" s="595">
        <f>'raw data'!FC128</f>
        <v>18</v>
      </c>
      <c r="R115" s="596">
        <f>IF(ISERROR('raw data'!FB128/'raw data'!FC128),0,'raw data'!FB128/'raw data'!FC128)</f>
        <v>0.33333333333333331</v>
      </c>
      <c r="S115" s="594">
        <f>'raw data'!FD128</f>
        <v>8</v>
      </c>
      <c r="T115" s="595">
        <f>'raw data'!FE128</f>
        <v>20</v>
      </c>
      <c r="U115" s="596">
        <f>IF(ISERROR('raw data'!FD128/'raw data'!FE128),0,'raw data'!FD128/'raw data'!FE128)</f>
        <v>0.4</v>
      </c>
      <c r="V115" s="594">
        <f>'raw data'!FF128</f>
        <v>8</v>
      </c>
      <c r="W115" s="595">
        <f>'raw data'!FG128</f>
        <v>17</v>
      </c>
      <c r="X115" s="596">
        <f>IF(ISERROR('raw data'!FF128/'raw data'!FG128),0,'raw data'!FF128/'raw data'!FG128)</f>
        <v>0.47058823529411764</v>
      </c>
      <c r="Y115" s="594">
        <f>'raw data'!FH128</f>
        <v>6</v>
      </c>
      <c r="Z115" s="595">
        <f>'raw data'!FI128</f>
        <v>18</v>
      </c>
      <c r="AA115" s="596">
        <f>IF(ISERROR('raw data'!FH128/'raw data'!FI128),0,'raw data'!FH128/'raw data'!FI128)</f>
        <v>0.33333333333333331</v>
      </c>
      <c r="AB115" s="594">
        <f>'raw data'!FJ128</f>
        <v>14</v>
      </c>
      <c r="AC115" s="595">
        <f>'raw data'!FM128</f>
        <v>32</v>
      </c>
      <c r="AD115" s="596">
        <f>IF(ISERROR('raw data'!FJ128/'raw data'!FM128),0,'raw data'!FJ128/'raw data'!FM128)</f>
        <v>0.4375</v>
      </c>
      <c r="AE115" s="594">
        <f>'raw data'!FN128</f>
        <v>35</v>
      </c>
      <c r="AF115" s="595">
        <f>'raw data'!FO128</f>
        <v>83</v>
      </c>
      <c r="AG115" s="596">
        <f>IF(ISERROR('raw data'!FN128/'raw data'!FO128),0,'raw data'!FN128/'raw data'!FO128)</f>
        <v>0.42168674698795183</v>
      </c>
      <c r="AH115" s="594">
        <f>'raw data'!FP128</f>
        <v>36</v>
      </c>
      <c r="AI115" s="595">
        <f>'raw data'!FQ128</f>
        <v>68</v>
      </c>
      <c r="AJ115" s="596">
        <f>IF(ISERROR('raw data'!FP128/'raw data'!FQ128),0,'raw data'!FP128/'raw data'!FQ128)</f>
        <v>0.52941176470588236</v>
      </c>
      <c r="AK115" s="594">
        <f>'raw data'!FR128</f>
        <v>15</v>
      </c>
      <c r="AL115" s="595">
        <f>'raw data'!FS128</f>
        <v>26</v>
      </c>
      <c r="AM115" s="596">
        <f>IF(ISERROR('raw data'!FR128/'raw data'!FS128),0,'raw data'!FR128/'raw data'!FS128)</f>
        <v>0.57692307692307687</v>
      </c>
      <c r="AN115" s="594">
        <f>'raw data'!FT128</f>
        <v>12</v>
      </c>
      <c r="AO115" s="595">
        <f>'raw data'!FU128</f>
        <v>26</v>
      </c>
      <c r="AP115" s="596">
        <f>IF(ISERROR('raw data'!FT128/'raw data'!FU128),0,'raw data'!FT128/'raw data'!FU128)</f>
        <v>0.46153846153846156</v>
      </c>
      <c r="AQ115" s="594">
        <f>'raw data'!FV128</f>
        <v>39</v>
      </c>
      <c r="AR115" s="595">
        <f>'raw data'!FW128</f>
        <v>77</v>
      </c>
      <c r="AS115" s="598">
        <f>IF(ISERROR('raw data'!FV128/'raw data'!FW128),0,'raw data'!FV128/'raw data'!FW128)</f>
        <v>0.50649350649350644</v>
      </c>
      <c r="AT115" s="594">
        <f>'raw data'!FX128</f>
        <v>52</v>
      </c>
      <c r="AU115" s="595">
        <f>'raw data'!FY128</f>
        <v>74</v>
      </c>
      <c r="AV115" s="598">
        <f>IF(ISERROR('raw data'!FX128/'raw data'!FY128),0,'raw data'!FX128/'raw data'!FY128)</f>
        <v>0.70270270270270274</v>
      </c>
      <c r="AW115" s="594">
        <f>'raw data'!FZ128</f>
        <v>13</v>
      </c>
      <c r="AX115" s="595">
        <f>'raw data'!GA128</f>
        <v>26</v>
      </c>
      <c r="AY115" s="598">
        <f>IF(ISERROR('raw data'!FZ128/'raw data'!GA128),0,'raw data'!FZ128/'raw data'!GA128)</f>
        <v>0.5</v>
      </c>
      <c r="AZ115" s="594">
        <f>'raw data'!GB128</f>
        <v>17</v>
      </c>
      <c r="BA115" s="595">
        <f>'raw data'!GC128</f>
        <v>23</v>
      </c>
      <c r="BB115" s="598">
        <f>IF(ISERROR('raw data'!GB128/'raw data'!GC128),0,'raw data'!GB128/'raw data'!GC128)</f>
        <v>0.73913043478260865</v>
      </c>
      <c r="BC115" s="594">
        <f>'raw data'!GD128</f>
        <v>6</v>
      </c>
      <c r="BD115" s="595">
        <f>'raw data'!GE128</f>
        <v>63</v>
      </c>
      <c r="BE115" s="598">
        <f>IF(ISERROR('raw data'!GD128/'raw data'!GE128),0,'raw data'!GD128/'raw data'!GE128)</f>
        <v>9.5238095238095233E-2</v>
      </c>
      <c r="BF115" s="594">
        <f>'raw data'!GF128</f>
        <v>11</v>
      </c>
      <c r="BG115" s="595">
        <f>'raw data'!GG128</f>
        <v>22</v>
      </c>
      <c r="BH115" s="598">
        <f>IF(ISERROR('raw data'!GF128/'raw data'!GG128),0,'raw data'!GF128/'raw data'!GG128)</f>
        <v>0.5</v>
      </c>
      <c r="BI115" s="594">
        <f>'raw data'!GH128</f>
        <v>14</v>
      </c>
      <c r="BJ115" s="595">
        <f>'raw data'!GI128</f>
        <v>28</v>
      </c>
      <c r="BK115" s="598">
        <f>IF(ISERROR('raw data'!GH128/'raw data'!GI128),0,'raw data'!GH128/'raw data'!GI128)</f>
        <v>0.5</v>
      </c>
      <c r="BL115" s="594">
        <f>'raw data'!GJ128</f>
        <v>6</v>
      </c>
      <c r="BM115" s="595">
        <f>'raw data'!GK128</f>
        <v>11</v>
      </c>
      <c r="BN115" s="598">
        <f>IF(ISERROR('raw data'!GJ128/'raw data'!GK128),0,'raw data'!GJ128/'raw data'!GK128)</f>
        <v>0.54545454545454541</v>
      </c>
      <c r="BO115" s="594">
        <f>'raw data'!GL128</f>
        <v>11</v>
      </c>
      <c r="BP115" s="595">
        <f>'raw data'!GM128</f>
        <v>26</v>
      </c>
      <c r="BQ115" s="598">
        <f>IF(ISERROR('raw data'!GL128/'raw data'!GM128),0,'raw data'!GL128/'raw data'!GM128)</f>
        <v>0.42307692307692307</v>
      </c>
      <c r="BR115" s="594">
        <f>'raw data'!GN128</f>
        <v>0</v>
      </c>
      <c r="BS115" s="595">
        <f>'raw data'!GO128</f>
        <v>10</v>
      </c>
      <c r="BT115" s="598">
        <f>IF(ISERROR('raw data'!GN128/'raw data'!GO128),0,'raw data'!GN128/'raw data'!GO128)</f>
        <v>0</v>
      </c>
      <c r="BU115" s="594">
        <f>'raw data'!GP128</f>
        <v>5</v>
      </c>
      <c r="BV115" s="595">
        <f>'raw data'!GQ128</f>
        <v>15</v>
      </c>
      <c r="BW115" s="598">
        <f>IF(ISERROR('raw data'!GP128/'raw data'!GQ128),0,'raw data'!GP128/'raw data'!GQ128)</f>
        <v>0.33333333333333331</v>
      </c>
      <c r="BX115" s="594">
        <f>'raw data'!GR128</f>
        <v>11</v>
      </c>
      <c r="BY115" s="595">
        <f>'raw data'!GS128</f>
        <v>17</v>
      </c>
      <c r="BZ115" s="598">
        <f>IF(ISERROR('raw data'!GR128/'raw data'!GS128),0,'raw data'!GR128/'raw data'!GS128)</f>
        <v>0.6470588235294118</v>
      </c>
      <c r="CA115" s="594">
        <f>'raw data'!GT128</f>
        <v>2</v>
      </c>
      <c r="CB115" s="595">
        <f>'raw data'!GU128</f>
        <v>13</v>
      </c>
      <c r="CC115" s="598">
        <f>IF(ISERROR('raw data'!GT128/'raw data'!GU128),0,'raw data'!GT128/'raw data'!GU128)</f>
        <v>0.15384615384615385</v>
      </c>
      <c r="CD115" s="594">
        <f>'raw data'!GV128</f>
        <v>6</v>
      </c>
      <c r="CE115" s="595">
        <f>'raw data'!GW128</f>
        <v>7</v>
      </c>
      <c r="CF115" s="598">
        <f>IF(ISERROR('raw data'!GV128/'raw data'!GW128),0,'raw data'!GV128/'raw data'!GW128)</f>
        <v>0.8571428571428571</v>
      </c>
      <c r="CG115" s="594">
        <f>'raw data'!GX128</f>
        <v>5</v>
      </c>
      <c r="CH115" s="595">
        <f>'raw data'!GY128</f>
        <v>13</v>
      </c>
      <c r="CI115" s="598">
        <f>IF(ISERROR('raw data'!GX128/'raw data'!GY128),0,'raw data'!GX128/'raw data'!GY128)</f>
        <v>0.38461538461538464</v>
      </c>
      <c r="CJ115" s="408" t="str">
        <f>'raw data'!GZ128</f>
        <v>Suspended</v>
      </c>
      <c r="CK115" s="409" t="str">
        <f>'raw data'!HA128</f>
        <v>Suspended</v>
      </c>
      <c r="CL115" s="414" t="s">
        <v>30</v>
      </c>
      <c r="CM115" s="594">
        <f>'raw data'!HB128</f>
        <v>42</v>
      </c>
      <c r="CN115" s="595">
        <f>'raw data'!HC128</f>
        <v>54</v>
      </c>
      <c r="CO115" s="598">
        <f>IF(ISERROR('raw data'!HB128/'raw data'!HC128),0,'raw data'!HB128/'raw data'!HC128)</f>
        <v>0.77777777777777779</v>
      </c>
      <c r="CP115" s="594">
        <f>'raw data'!HD128</f>
        <v>2</v>
      </c>
      <c r="CQ115" s="595">
        <f>'raw data'!HE128</f>
        <v>2</v>
      </c>
      <c r="CR115" s="596">
        <f>IF(ISERROR('raw data'!HD128/'raw data'!HE128),0,'raw data'!HD128/'raw data'!HE128)</f>
        <v>1</v>
      </c>
      <c r="CS115" s="594">
        <f>'raw data'!HF128</f>
        <v>13</v>
      </c>
      <c r="CT115" s="595">
        <f>'raw data'!HG128</f>
        <v>29</v>
      </c>
      <c r="CU115" s="596">
        <f>IF(ISERROR('raw data'!HF128/'raw data'!HG128),0,'raw data'!HF128/'raw data'!HG128)</f>
        <v>0.44827586206896552</v>
      </c>
      <c r="CV115" s="594">
        <f>'raw data'!HH128</f>
        <v>59</v>
      </c>
      <c r="CW115" s="595">
        <f>'raw data'!HI128</f>
        <v>107</v>
      </c>
      <c r="CX115" s="596">
        <f>IF(ISERROR('raw data'!HH128/'raw data'!HI128),0,'raw data'!HH128/'raw data'!HI128)</f>
        <v>0.55140186915887845</v>
      </c>
      <c r="CY115" s="594">
        <f>'raw data'!HJ128</f>
        <v>9</v>
      </c>
      <c r="CZ115" s="595">
        <f>'raw data'!HK128</f>
        <v>28</v>
      </c>
      <c r="DA115" s="596">
        <f>IF(ISERROR('raw data'!HJ128/'raw data'!HK128),0,'raw data'!HJ128/'raw data'!HK128)</f>
        <v>0.32142857142857145</v>
      </c>
      <c r="DB115" s="594">
        <f>'raw data'!HL128</f>
        <v>13</v>
      </c>
      <c r="DC115" s="595">
        <f>'raw data'!HM128</f>
        <v>20</v>
      </c>
      <c r="DD115" s="596">
        <f>IF(ISERROR('raw data'!HL128/'raw data'!HM128),0,'raw data'!HL128/'raw data'!HM128)</f>
        <v>0.65</v>
      </c>
      <c r="DE115" s="594">
        <f>'raw data'!HN128</f>
        <v>21</v>
      </c>
      <c r="DF115" s="595">
        <f>'raw data'!HO128</f>
        <v>32</v>
      </c>
      <c r="DG115" s="596">
        <f>IF(ISERROR('raw data'!HN128/'raw data'!HO128),0,'raw data'!HN128/'raw data'!HO128)</f>
        <v>0.65625</v>
      </c>
      <c r="DH115" s="594">
        <f>'raw data'!HP128</f>
        <v>20</v>
      </c>
      <c r="DI115" s="595">
        <f>'raw data'!HQ128</f>
        <v>57</v>
      </c>
      <c r="DJ115" s="596">
        <f>IF(ISERROR('raw data'!HP128/'raw data'!HQ128),0,'raw data'!HP128/'raw data'!HQ128)</f>
        <v>0.35087719298245612</v>
      </c>
      <c r="DK115" s="594">
        <f>'raw data'!HR128</f>
        <v>9</v>
      </c>
      <c r="DL115" s="595">
        <f>'raw data'!HS128</f>
        <v>24</v>
      </c>
      <c r="DM115" s="596">
        <f>IF(ISERROR('raw data'!HR128/'raw data'!HS128),0,'raw data'!HR128/'raw data'!HS128)</f>
        <v>0.375</v>
      </c>
      <c r="DN115" s="594">
        <f>'raw data'!HT128</f>
        <v>31</v>
      </c>
      <c r="DO115" s="595">
        <f>'raw data'!HU128</f>
        <v>39</v>
      </c>
      <c r="DP115" s="596">
        <f>IF(ISERROR('raw data'!HT128/'raw data'!HU128),0,'raw data'!HT128/'raw data'!HU128)</f>
        <v>0.79487179487179482</v>
      </c>
      <c r="DQ115" s="594">
        <f>'raw data'!HV128</f>
        <v>22</v>
      </c>
      <c r="DR115" s="595">
        <f>'raw data'!HW128</f>
        <v>35</v>
      </c>
      <c r="DS115" s="596">
        <f>IF(ISERROR('raw data'!HV128/'raw data'!HW128),0,'raw data'!HV128/'raw data'!HW128)</f>
        <v>0.62857142857142856</v>
      </c>
      <c r="DT115" s="594">
        <f>'raw data'!HX128</f>
        <v>15</v>
      </c>
      <c r="DU115" s="595">
        <f>'raw data'!HY128</f>
        <v>47</v>
      </c>
      <c r="DV115" s="596">
        <f>IF(ISERROR('raw data'!HX128/'raw data'!HY128),0,'raw data'!HX128/'raw data'!HY128)</f>
        <v>0.31914893617021278</v>
      </c>
      <c r="DW115" s="594">
        <f>'raw data'!HZ128</f>
        <v>19</v>
      </c>
      <c r="DX115" s="595">
        <f>'raw data'!IA128</f>
        <v>28</v>
      </c>
      <c r="DY115" s="596">
        <f>IF(ISERROR('raw data'!HZ128/'raw data'!IA128),0,'raw data'!HZ128/'raw data'!IA128)</f>
        <v>0.6785714285714286</v>
      </c>
      <c r="DZ115" s="594">
        <f>'raw data'!IB128</f>
        <v>7</v>
      </c>
      <c r="EA115" s="595">
        <f>'raw data'!IC128</f>
        <v>20</v>
      </c>
      <c r="EB115" s="596">
        <f>IF(ISERROR('raw data'!IB128/'raw data'!IC128),0,'raw data'!IB128/'raw data'!IC128)</f>
        <v>0.35</v>
      </c>
      <c r="EC115" s="594">
        <f>'raw data'!ID128</f>
        <v>20</v>
      </c>
      <c r="ED115" s="595">
        <f>'raw data'!IE128</f>
        <v>33</v>
      </c>
      <c r="EE115" s="596">
        <f>IF(ISERROR('raw data'!ID128/'raw data'!IE128),0,'raw data'!ID128/'raw data'!IE128)</f>
        <v>0.60606060606060608</v>
      </c>
      <c r="EF115" s="594">
        <f>'raw data'!IF128</f>
        <v>35</v>
      </c>
      <c r="EG115" s="595">
        <f>'raw data'!IG128</f>
        <v>64</v>
      </c>
      <c r="EH115" s="596">
        <f>IF(ISERROR('raw data'!IF128/'raw data'!IG128),0,'raw data'!IF128/'raw data'!IG128)</f>
        <v>0.546875</v>
      </c>
      <c r="EI115" s="594">
        <f>'raw data'!IH128</f>
        <v>11</v>
      </c>
      <c r="EJ115" s="595">
        <f>'raw data'!II128</f>
        <v>23</v>
      </c>
      <c r="EK115" s="596">
        <f>IF(ISERROR('raw data'!IH128/'raw data'!II128),0,'raw data'!IH128/'raw data'!II128)</f>
        <v>0.47826086956521741</v>
      </c>
      <c r="EL115" s="594">
        <f>'raw data'!IJ128</f>
        <v>23</v>
      </c>
      <c r="EM115" s="595">
        <f>'raw data'!IK128</f>
        <v>41</v>
      </c>
      <c r="EN115" s="596">
        <f>IF(ISERROR('raw data'!IJ128/'raw data'!IK128),0,'raw data'!IJ128/'raw data'!IK128)</f>
        <v>0.56097560975609762</v>
      </c>
      <c r="EO115" s="594">
        <f>'raw data'!IL128</f>
        <v>37</v>
      </c>
      <c r="EP115" s="595">
        <f>'raw data'!IM128</f>
        <v>68</v>
      </c>
      <c r="EQ115" s="596">
        <f>IF(ISERROR('raw data'!IL128/'raw data'!IM128),0,'raw data'!IL128/'raw data'!IM128)</f>
        <v>0.54411764705882348</v>
      </c>
      <c r="ER115" s="594">
        <f>'raw data'!IN128</f>
        <v>21</v>
      </c>
      <c r="ES115" s="595">
        <f>'raw data'!IO128</f>
        <v>48</v>
      </c>
      <c r="ET115" s="596">
        <f>IF(ISERROR('raw data'!IN128/'raw data'!IO128),0,'raw data'!IN128/'raw data'!IO128)</f>
        <v>0.4375</v>
      </c>
      <c r="EU115" s="594">
        <f>'raw data'!IP128</f>
        <v>24</v>
      </c>
      <c r="EV115" s="595">
        <f>'raw data'!IQ128</f>
        <v>36</v>
      </c>
      <c r="EW115" s="596">
        <f>IF(ISERROR('raw data'!IP128/'raw data'!IQ128),0,'raw data'!IP128/'raw data'!IQ128)</f>
        <v>0.66666666666666663</v>
      </c>
      <c r="EX115" s="594">
        <f>'raw data'!IR128</f>
        <v>22</v>
      </c>
      <c r="EY115" s="595">
        <f>'raw data'!IS128</f>
        <v>37</v>
      </c>
      <c r="EZ115" s="596">
        <f>IF(ISERROR('raw data'!IR128/'raw data'!IS128),0,'raw data'!IR128/'raw data'!IS128)</f>
        <v>0.59459459459459463</v>
      </c>
      <c r="FA115" s="594">
        <f>'raw data'!IT128</f>
        <v>41</v>
      </c>
      <c r="FB115" s="595">
        <f>'raw data'!IU128</f>
        <v>65</v>
      </c>
      <c r="FC115" s="596">
        <f>IF(ISERROR('raw data'!IT128/'raw data'!IU128),0,'raw data'!IT128/'raw data'!IU128)</f>
        <v>0.63076923076923075</v>
      </c>
      <c r="FD115" s="594">
        <f>'raw data'!IV128</f>
        <v>14</v>
      </c>
      <c r="FE115" s="595">
        <f>'raw data'!IW128</f>
        <v>39</v>
      </c>
      <c r="FF115" s="596">
        <f>IF(ISERROR('raw data'!IV128/'raw data'!IW128),0,'raw data'!IV128/'raw data'!IW128)</f>
        <v>0.35897435897435898</v>
      </c>
      <c r="FG115" s="594">
        <f>'raw data'!IX128</f>
        <v>17</v>
      </c>
      <c r="FH115" s="595">
        <f>'raw data'!IY128</f>
        <v>33</v>
      </c>
      <c r="FI115" s="596">
        <f>IF(ISERROR('raw data'!IX128/'raw data'!IY128),0,'raw data'!IX128/'raw data'!IY128)</f>
        <v>0.51515151515151514</v>
      </c>
      <c r="FJ115" s="594">
        <f>'raw data'!IZ128</f>
        <v>13</v>
      </c>
      <c r="FK115" s="595">
        <f>'raw data'!JA128</f>
        <v>26</v>
      </c>
      <c r="FL115" s="596">
        <f>IF(ISERROR('raw data'!IZ128/'raw data'!JA128),0,'raw data'!IZ128/'raw data'!JA128)</f>
        <v>0.5</v>
      </c>
      <c r="FM115" s="594">
        <f>'raw data'!JB128</f>
        <v>18</v>
      </c>
      <c r="FN115" s="595">
        <f>'raw data'!JC128</f>
        <v>37</v>
      </c>
      <c r="FO115" s="596">
        <f>IF(ISERROR('raw data'!JB128/'raw data'!JC128),0,'raw data'!JB128/'raw data'!JC128)</f>
        <v>0.48648648648648651</v>
      </c>
      <c r="FP115" s="594">
        <f>'raw data'!JD128</f>
        <v>18</v>
      </c>
      <c r="FQ115" s="595">
        <f>'raw data'!JE128</f>
        <v>43</v>
      </c>
      <c r="FR115" s="596">
        <f>IF(ISERROR('raw data'!JD128/'raw data'!JE128),0,'raw data'!JD128/'raw data'!JE128)</f>
        <v>0.41860465116279072</v>
      </c>
      <c r="FS115" s="469"/>
      <c r="FT115" s="599">
        <v>259</v>
      </c>
      <c r="FU115" s="600">
        <v>496</v>
      </c>
      <c r="FV115" s="601">
        <f t="shared" si="6"/>
        <v>0.52217741935483875</v>
      </c>
    </row>
    <row r="116" spans="1:178" ht="28" x14ac:dyDescent="0.15">
      <c r="A116" s="591" t="s">
        <v>210</v>
      </c>
      <c r="B116" s="592" t="str">
        <f>'raw data'!B129</f>
        <v>Foreign address recorded &gt;=6 months ago and account receiving CHB benefits</v>
      </c>
      <c r="C116" s="593" t="s">
        <v>266</v>
      </c>
      <c r="D116" s="594">
        <f>'raw data'!ET129</f>
        <v>13</v>
      </c>
      <c r="E116" s="595">
        <f>'raw data'!EU129</f>
        <v>48</v>
      </c>
      <c r="F116" s="596">
        <f>IF(ISERROR('raw data'!ET129/'raw data'!EU129),0,'raw data'!ET129/'raw data'!EU129)</f>
        <v>0.27083333333333331</v>
      </c>
      <c r="G116" s="594">
        <f>'raw data'!EV129</f>
        <v>4</v>
      </c>
      <c r="H116" s="595">
        <f>'raw data'!EW129</f>
        <v>18</v>
      </c>
      <c r="I116" s="596">
        <f>IF(ISERROR('raw data'!EV129/'raw data'!EW129),0,'raw data'!EV129/'raw data'!EW129)</f>
        <v>0.22222222222222221</v>
      </c>
      <c r="J116" s="594">
        <f>'raw data'!EX129</f>
        <v>11</v>
      </c>
      <c r="K116" s="595">
        <f>'raw data'!EY129</f>
        <v>13</v>
      </c>
      <c r="L116" s="597">
        <f>IF(ISERROR('raw data'!EX129/'raw data'!EY129),0,'raw data'!EX129/'raw data'!EY129)</f>
        <v>0.84615384615384615</v>
      </c>
      <c r="M116" s="594">
        <f>'raw data'!EZ129</f>
        <v>0</v>
      </c>
      <c r="N116" s="595">
        <f>'raw data'!FA129</f>
        <v>2</v>
      </c>
      <c r="O116" s="596">
        <f>IF(ISERROR('raw data'!EZ129/'raw data'!FA129),0,'raw data'!EZ129/'raw data'!FA129)</f>
        <v>0</v>
      </c>
      <c r="P116" s="594">
        <f>'raw data'!FB129</f>
        <v>6</v>
      </c>
      <c r="Q116" s="595">
        <f>'raw data'!FC129</f>
        <v>10</v>
      </c>
      <c r="R116" s="596">
        <f>IF(ISERROR('raw data'!FB129/'raw data'!FC129),0,'raw data'!FB129/'raw data'!FC129)</f>
        <v>0.6</v>
      </c>
      <c r="S116" s="594">
        <f>'raw data'!FD129</f>
        <v>8</v>
      </c>
      <c r="T116" s="595">
        <f>'raw data'!FE129</f>
        <v>11</v>
      </c>
      <c r="U116" s="596">
        <f>IF(ISERROR('raw data'!FD129/'raw data'!FE129),0,'raw data'!FD129/'raw data'!FE129)</f>
        <v>0.72727272727272729</v>
      </c>
      <c r="V116" s="594">
        <f>'raw data'!FF129</f>
        <v>9</v>
      </c>
      <c r="W116" s="595">
        <f>'raw data'!FG129</f>
        <v>12</v>
      </c>
      <c r="X116" s="596">
        <f>IF(ISERROR('raw data'!FF129/'raw data'!FG129),0,'raw data'!FF129/'raw data'!FG129)</f>
        <v>0.75</v>
      </c>
      <c r="Y116" s="594">
        <f>'raw data'!FH129</f>
        <v>5</v>
      </c>
      <c r="Z116" s="595">
        <f>'raw data'!FI129</f>
        <v>6</v>
      </c>
      <c r="AA116" s="596">
        <f>IF(ISERROR('raw data'!FH129/'raw data'!FI129),0,'raw data'!FH129/'raw data'!FI129)</f>
        <v>0.83333333333333337</v>
      </c>
      <c r="AB116" s="594">
        <f>'raw data'!FJ129</f>
        <v>12</v>
      </c>
      <c r="AC116" s="595">
        <f>'raw data'!FM129</f>
        <v>12</v>
      </c>
      <c r="AD116" s="596">
        <f>IF(ISERROR('raw data'!FJ129/'raw data'!FM129),0,'raw data'!FJ129/'raw data'!FM129)</f>
        <v>1</v>
      </c>
      <c r="AE116" s="594">
        <f>'raw data'!FN129</f>
        <v>64</v>
      </c>
      <c r="AF116" s="595">
        <f>'raw data'!FO129</f>
        <v>73</v>
      </c>
      <c r="AG116" s="596">
        <f>IF(ISERROR('raw data'!FN129/'raw data'!FO129),0,'raw data'!FN129/'raw data'!FO129)</f>
        <v>0.87671232876712324</v>
      </c>
      <c r="AH116" s="594">
        <f>'raw data'!FP129</f>
        <v>9</v>
      </c>
      <c r="AI116" s="595">
        <f>'raw data'!FQ129</f>
        <v>10</v>
      </c>
      <c r="AJ116" s="596">
        <f>IF(ISERROR('raw data'!FP129/'raw data'!FQ129),0,'raw data'!FP129/'raw data'!FQ129)</f>
        <v>0.9</v>
      </c>
      <c r="AK116" s="594">
        <f>'raw data'!FR129</f>
        <v>12</v>
      </c>
      <c r="AL116" s="595">
        <f>'raw data'!FS129</f>
        <v>15</v>
      </c>
      <c r="AM116" s="596">
        <f>IF(ISERROR('raw data'!FR129/'raw data'!FS129),0,'raw data'!FR129/'raw data'!FS129)</f>
        <v>0.8</v>
      </c>
      <c r="AN116" s="594">
        <f>'raw data'!FT129</f>
        <v>16</v>
      </c>
      <c r="AO116" s="595">
        <f>'raw data'!FU129</f>
        <v>19</v>
      </c>
      <c r="AP116" s="596">
        <f>IF(ISERROR('raw data'!FT129/'raw data'!FU129),0,'raw data'!FT129/'raw data'!FU129)</f>
        <v>0.84210526315789469</v>
      </c>
      <c r="AQ116" s="594">
        <f>'raw data'!FV129</f>
        <v>61</v>
      </c>
      <c r="AR116" s="595">
        <f>'raw data'!FW129</f>
        <v>67</v>
      </c>
      <c r="AS116" s="598">
        <f>IF(ISERROR('raw data'!FV129/'raw data'!FW129),0,'raw data'!FV129/'raw data'!FW129)</f>
        <v>0.91044776119402981</v>
      </c>
      <c r="AT116" s="594">
        <f>'raw data'!FX129</f>
        <v>13</v>
      </c>
      <c r="AU116" s="595">
        <f>'raw data'!FY129</f>
        <v>16</v>
      </c>
      <c r="AV116" s="598">
        <f>IF(ISERROR('raw data'!FX129/'raw data'!FY129),0,'raw data'!FX129/'raw data'!FY129)</f>
        <v>0.8125</v>
      </c>
      <c r="AW116" s="594">
        <f>'raw data'!FZ129</f>
        <v>17</v>
      </c>
      <c r="AX116" s="595">
        <f>'raw data'!GA129</f>
        <v>18</v>
      </c>
      <c r="AY116" s="598">
        <f>IF(ISERROR('raw data'!FZ129/'raw data'!GA129),0,'raw data'!FZ129/'raw data'!GA129)</f>
        <v>0.94444444444444442</v>
      </c>
      <c r="AZ116" s="594">
        <f>'raw data'!GB129</f>
        <v>24</v>
      </c>
      <c r="BA116" s="595">
        <f>'raw data'!GC129</f>
        <v>27</v>
      </c>
      <c r="BB116" s="598">
        <f>IF(ISERROR('raw data'!GB129/'raw data'!GC129),0,'raw data'!GB129/'raw data'!GC129)</f>
        <v>0.88888888888888884</v>
      </c>
      <c r="BC116" s="594">
        <f>'raw data'!GD129</f>
        <v>1</v>
      </c>
      <c r="BD116" s="595">
        <f>'raw data'!GE129</f>
        <v>59</v>
      </c>
      <c r="BE116" s="598">
        <f>IF(ISERROR('raw data'!GD129/'raw data'!GE129),0,'raw data'!GD129/'raw data'!GE129)</f>
        <v>1.6949152542372881E-2</v>
      </c>
      <c r="BF116" s="594">
        <f>'raw data'!GF129</f>
        <v>17</v>
      </c>
      <c r="BG116" s="595">
        <f>'raw data'!GG129</f>
        <v>18</v>
      </c>
      <c r="BH116" s="598">
        <f>IF(ISERROR('raw data'!GF129/'raw data'!GG129),0,'raw data'!GF129/'raw data'!GG129)</f>
        <v>0.94444444444444442</v>
      </c>
      <c r="BI116" s="594">
        <f>'raw data'!GH129</f>
        <v>5</v>
      </c>
      <c r="BJ116" s="595">
        <f>'raw data'!GI129</f>
        <v>6</v>
      </c>
      <c r="BK116" s="598">
        <f>IF(ISERROR('raw data'!GH129/'raw data'!GI129),0,'raw data'!GH129/'raw data'!GI129)</f>
        <v>0.83333333333333337</v>
      </c>
      <c r="BL116" s="594">
        <f>'raw data'!GJ129</f>
        <v>2</v>
      </c>
      <c r="BM116" s="595">
        <f>'raw data'!GK129</f>
        <v>3</v>
      </c>
      <c r="BN116" s="598">
        <f>IF(ISERROR('raw data'!GJ129/'raw data'!GK129),0,'raw data'!GJ129/'raw data'!GK129)</f>
        <v>0.66666666666666663</v>
      </c>
      <c r="BO116" s="594">
        <f>'raw data'!GL129</f>
        <v>3</v>
      </c>
      <c r="BP116" s="595">
        <f>'raw data'!GM129</f>
        <v>6</v>
      </c>
      <c r="BQ116" s="598">
        <f>IF(ISERROR('raw data'!GL129/'raw data'!GM129),0,'raw data'!GL129/'raw data'!GM129)</f>
        <v>0.5</v>
      </c>
      <c r="BR116" s="594">
        <f>'raw data'!GN129</f>
        <v>2</v>
      </c>
      <c r="BS116" s="595">
        <f>'raw data'!GO129</f>
        <v>3</v>
      </c>
      <c r="BT116" s="598">
        <f>IF(ISERROR('raw data'!GN129/'raw data'!GO129),0,'raw data'!GN129/'raw data'!GO129)</f>
        <v>0.66666666666666663</v>
      </c>
      <c r="BU116" s="594">
        <f>'raw data'!GP129</f>
        <v>3</v>
      </c>
      <c r="BV116" s="595">
        <f>'raw data'!GQ129</f>
        <v>5</v>
      </c>
      <c r="BW116" s="598">
        <f>IF(ISERROR('raw data'!GP129/'raw data'!GQ129),0,'raw data'!GP129/'raw data'!GQ129)</f>
        <v>0.6</v>
      </c>
      <c r="BX116" s="594">
        <f>'raw data'!GR129</f>
        <v>3</v>
      </c>
      <c r="BY116" s="595">
        <f>'raw data'!GS129</f>
        <v>3</v>
      </c>
      <c r="BZ116" s="598">
        <f>IF(ISERROR('raw data'!GR129/'raw data'!GS129),0,'raw data'!GR129/'raw data'!GS129)</f>
        <v>1</v>
      </c>
      <c r="CA116" s="594">
        <f>'raw data'!GT129</f>
        <v>2</v>
      </c>
      <c r="CB116" s="595">
        <f>'raw data'!GU129</f>
        <v>5</v>
      </c>
      <c r="CC116" s="598">
        <f>IF(ISERROR('raw data'!GT129/'raw data'!GU129),0,'raw data'!GT129/'raw data'!GU129)</f>
        <v>0.4</v>
      </c>
      <c r="CD116" s="594">
        <f>'raw data'!GV129</f>
        <v>4</v>
      </c>
      <c r="CE116" s="595">
        <f>'raw data'!GW129</f>
        <v>6</v>
      </c>
      <c r="CF116" s="598">
        <f>IF(ISERROR('raw data'!GV129/'raw data'!GW129),0,'raw data'!GV129/'raw data'!GW129)</f>
        <v>0.66666666666666663</v>
      </c>
      <c r="CG116" s="594">
        <f>'raw data'!GX129</f>
        <v>3</v>
      </c>
      <c r="CH116" s="595">
        <f>'raw data'!GY129</f>
        <v>4</v>
      </c>
      <c r="CI116" s="598">
        <f>IF(ISERROR('raw data'!GX129/'raw data'!GY129),0,'raw data'!GX129/'raw data'!GY129)</f>
        <v>0.75</v>
      </c>
      <c r="CJ116" s="408" t="str">
        <f>'raw data'!GZ129</f>
        <v>Suspended</v>
      </c>
      <c r="CK116" s="409" t="str">
        <f>'raw data'!HA129</f>
        <v>Suspended</v>
      </c>
      <c r="CL116" s="414" t="s">
        <v>30</v>
      </c>
      <c r="CM116" s="594">
        <f>'raw data'!HB129</f>
        <v>12</v>
      </c>
      <c r="CN116" s="595">
        <f>'raw data'!HC129</f>
        <v>18</v>
      </c>
      <c r="CO116" s="598">
        <f>IF(ISERROR('raw data'!HB129/'raw data'!HC129),0,'raw data'!HB129/'raw data'!HC129)</f>
        <v>0.66666666666666663</v>
      </c>
      <c r="CP116" s="594">
        <f>'raw data'!HD129</f>
        <v>6</v>
      </c>
      <c r="CQ116" s="595">
        <f>'raw data'!HE129</f>
        <v>6</v>
      </c>
      <c r="CR116" s="596">
        <f>IF(ISERROR('raw data'!HD129/'raw data'!HE129),0,'raw data'!HD129/'raw data'!HE129)</f>
        <v>1</v>
      </c>
      <c r="CS116" s="594">
        <f>'raw data'!HF129</f>
        <v>19</v>
      </c>
      <c r="CT116" s="595">
        <f>'raw data'!HG129</f>
        <v>21</v>
      </c>
      <c r="CU116" s="596">
        <f>IF(ISERROR('raw data'!HF129/'raw data'!HG129),0,'raw data'!HF129/'raw data'!HG129)</f>
        <v>0.90476190476190477</v>
      </c>
      <c r="CV116" s="594">
        <f>'raw data'!HH129</f>
        <v>22</v>
      </c>
      <c r="CW116" s="595">
        <f>'raw data'!HI129</f>
        <v>25</v>
      </c>
      <c r="CX116" s="596">
        <f>IF(ISERROR('raw data'!HH129/'raw data'!HI129),0,'raw data'!HH129/'raw data'!HI129)</f>
        <v>0.88</v>
      </c>
      <c r="CY116" s="594">
        <f>'raw data'!HJ129</f>
        <v>13</v>
      </c>
      <c r="CZ116" s="595">
        <f>'raw data'!HK129</f>
        <v>18</v>
      </c>
      <c r="DA116" s="596">
        <f>IF(ISERROR('raw data'!HJ129/'raw data'!HK129),0,'raw data'!HJ129/'raw data'!HK129)</f>
        <v>0.72222222222222221</v>
      </c>
      <c r="DB116" s="594">
        <f>'raw data'!HL129</f>
        <v>6</v>
      </c>
      <c r="DC116" s="595">
        <f>'raw data'!HM129</f>
        <v>6</v>
      </c>
      <c r="DD116" s="596">
        <f>IF(ISERROR('raw data'!HL129/'raw data'!HM129),0,'raw data'!HL129/'raw data'!HM129)</f>
        <v>1</v>
      </c>
      <c r="DE116" s="594">
        <f>'raw data'!HN129</f>
        <v>4</v>
      </c>
      <c r="DF116" s="595">
        <f>'raw data'!HO129</f>
        <v>5</v>
      </c>
      <c r="DG116" s="596">
        <f>IF(ISERROR('raw data'!HN129/'raw data'!HO129),0,'raw data'!HN129/'raw data'!HO129)</f>
        <v>0.8</v>
      </c>
      <c r="DH116" s="594">
        <f>'raw data'!HP129</f>
        <v>8</v>
      </c>
      <c r="DI116" s="595">
        <f>'raw data'!HQ129</f>
        <v>9</v>
      </c>
      <c r="DJ116" s="596">
        <f>IF(ISERROR('raw data'!HP129/'raw data'!HQ129),0,'raw data'!HP129/'raw data'!HQ129)</f>
        <v>0.88888888888888884</v>
      </c>
      <c r="DK116" s="594">
        <f>'raw data'!HR129</f>
        <v>10</v>
      </c>
      <c r="DL116" s="595">
        <f>'raw data'!HS129</f>
        <v>15</v>
      </c>
      <c r="DM116" s="596">
        <f>IF(ISERROR('raw data'!HR129/'raw data'!HS129),0,'raw data'!HR129/'raw data'!HS129)</f>
        <v>0.66666666666666663</v>
      </c>
      <c r="DN116" s="594">
        <f>'raw data'!HT129</f>
        <v>6</v>
      </c>
      <c r="DO116" s="595">
        <f>'raw data'!HU129</f>
        <v>7</v>
      </c>
      <c r="DP116" s="596">
        <f>IF(ISERROR('raw data'!HT129/'raw data'!HU129),0,'raw data'!HT129/'raw data'!HU129)</f>
        <v>0.8571428571428571</v>
      </c>
      <c r="DQ116" s="594">
        <f>'raw data'!HV129</f>
        <v>6</v>
      </c>
      <c r="DR116" s="595">
        <f>'raw data'!HW129</f>
        <v>6</v>
      </c>
      <c r="DS116" s="596">
        <f>IF(ISERROR('raw data'!HV129/'raw data'!HW129),0,'raw data'!HV129/'raw data'!HW129)</f>
        <v>1</v>
      </c>
      <c r="DT116" s="594">
        <f>'raw data'!HX129</f>
        <v>3</v>
      </c>
      <c r="DU116" s="595">
        <f>'raw data'!HY129</f>
        <v>5</v>
      </c>
      <c r="DV116" s="596">
        <f>IF(ISERROR('raw data'!HX129/'raw data'!HY129),0,'raw data'!HX129/'raw data'!HY129)</f>
        <v>0.6</v>
      </c>
      <c r="DW116" s="594">
        <f>'raw data'!HZ129</f>
        <v>8</v>
      </c>
      <c r="DX116" s="595">
        <f>'raw data'!IA129</f>
        <v>12</v>
      </c>
      <c r="DY116" s="596">
        <f>IF(ISERROR('raw data'!HZ129/'raw data'!IA129),0,'raw data'!HZ129/'raw data'!IA129)</f>
        <v>0.66666666666666663</v>
      </c>
      <c r="DZ116" s="594">
        <f>'raw data'!IB129</f>
        <v>9</v>
      </c>
      <c r="EA116" s="595">
        <f>'raw data'!IC129</f>
        <v>9</v>
      </c>
      <c r="EB116" s="596">
        <f>IF(ISERROR('raw data'!IB129/'raw data'!IC129),0,'raw data'!IB129/'raw data'!IC129)</f>
        <v>1</v>
      </c>
      <c r="EC116" s="594">
        <f>'raw data'!ID129</f>
        <v>2</v>
      </c>
      <c r="ED116" s="595">
        <f>'raw data'!IE129</f>
        <v>2</v>
      </c>
      <c r="EE116" s="596">
        <f>IF(ISERROR('raw data'!ID129/'raw data'!IE129),0,'raw data'!ID129/'raw data'!IE129)</f>
        <v>1</v>
      </c>
      <c r="EF116" s="594">
        <f>'raw data'!IF129</f>
        <v>5</v>
      </c>
      <c r="EG116" s="595">
        <f>'raw data'!IG129</f>
        <v>7</v>
      </c>
      <c r="EH116" s="596">
        <f>IF(ISERROR('raw data'!IF129/'raw data'!IG129),0,'raw data'!IF129/'raw data'!IG129)</f>
        <v>0.7142857142857143</v>
      </c>
      <c r="EI116" s="594">
        <f>'raw data'!IH129</f>
        <v>7</v>
      </c>
      <c r="EJ116" s="595">
        <f>'raw data'!II129</f>
        <v>9</v>
      </c>
      <c r="EK116" s="596">
        <f>IF(ISERROR('raw data'!IH129/'raw data'!II129),0,'raw data'!IH129/'raw data'!II129)</f>
        <v>0.77777777777777779</v>
      </c>
      <c r="EL116" s="594">
        <f>'raw data'!IJ129</f>
        <v>12</v>
      </c>
      <c r="EM116" s="595">
        <f>'raw data'!IK129</f>
        <v>12</v>
      </c>
      <c r="EN116" s="596">
        <f>IF(ISERROR('raw data'!IJ129/'raw data'!IK129),0,'raw data'!IJ129/'raw data'!IK129)</f>
        <v>1</v>
      </c>
      <c r="EO116" s="594">
        <f>'raw data'!IL129</f>
        <v>14</v>
      </c>
      <c r="EP116" s="595">
        <f>'raw data'!IM129</f>
        <v>16</v>
      </c>
      <c r="EQ116" s="596">
        <f>IF(ISERROR('raw data'!IL129/'raw data'!IM129),0,'raw data'!IL129/'raw data'!IM129)</f>
        <v>0.875</v>
      </c>
      <c r="ER116" s="594">
        <f>'raw data'!IN129</f>
        <v>9</v>
      </c>
      <c r="ES116" s="595">
        <f>'raw data'!IO129</f>
        <v>10</v>
      </c>
      <c r="ET116" s="596">
        <f>IF(ISERROR('raw data'!IN129/'raw data'!IO129),0,'raw data'!IN129/'raw data'!IO129)</f>
        <v>0.9</v>
      </c>
      <c r="EU116" s="594">
        <f>'raw data'!IP129</f>
        <v>3</v>
      </c>
      <c r="EV116" s="595">
        <f>'raw data'!IQ129</f>
        <v>4</v>
      </c>
      <c r="EW116" s="596">
        <f>IF(ISERROR('raw data'!IP129/'raw data'!IQ129),0,'raw data'!IP129/'raw data'!IQ129)</f>
        <v>0.75</v>
      </c>
      <c r="EX116" s="594">
        <f>'raw data'!IR129</f>
        <v>5</v>
      </c>
      <c r="EY116" s="595">
        <f>'raw data'!IS129</f>
        <v>5</v>
      </c>
      <c r="EZ116" s="596">
        <f>IF(ISERROR('raw data'!IR129/'raw data'!IS129),0,'raw data'!IR129/'raw data'!IS129)</f>
        <v>1</v>
      </c>
      <c r="FA116" s="594">
        <f>'raw data'!IT129</f>
        <v>0</v>
      </c>
      <c r="FB116" s="595">
        <f>'raw data'!IU129</f>
        <v>0</v>
      </c>
      <c r="FC116" s="596">
        <f>IF(ISERROR('raw data'!IT129/'raw data'!IU129),0,'raw data'!IT129/'raw data'!IU129)</f>
        <v>0</v>
      </c>
      <c r="FD116" s="594">
        <f>'raw data'!IV129</f>
        <v>0</v>
      </c>
      <c r="FE116" s="595">
        <f>'raw data'!IW129</f>
        <v>0</v>
      </c>
      <c r="FF116" s="596">
        <f>IF(ISERROR('raw data'!IV129/'raw data'!IW129),0,'raw data'!IV129/'raw data'!IW129)</f>
        <v>0</v>
      </c>
      <c r="FG116" s="594">
        <f>'raw data'!IX129</f>
        <v>0</v>
      </c>
      <c r="FH116" s="595">
        <f>'raw data'!IY129</f>
        <v>0</v>
      </c>
      <c r="FI116" s="596">
        <f>IF(ISERROR('raw data'!IX129/'raw data'!IY129),0,'raw data'!IX129/'raw data'!IY129)</f>
        <v>0</v>
      </c>
      <c r="FJ116" s="594">
        <f>'raw data'!IZ129</f>
        <v>0</v>
      </c>
      <c r="FK116" s="595">
        <f>'raw data'!JA129</f>
        <v>0</v>
      </c>
      <c r="FL116" s="596">
        <f>IF(ISERROR('raw data'!IZ129/'raw data'!JA129),0,'raw data'!IZ129/'raw data'!JA129)</f>
        <v>0</v>
      </c>
      <c r="FM116" s="594">
        <f>'raw data'!JB129</f>
        <v>0</v>
      </c>
      <c r="FN116" s="595">
        <f>'raw data'!JC129</f>
        <v>0</v>
      </c>
      <c r="FO116" s="596">
        <f>IF(ISERROR('raw data'!JB129/'raw data'!JC129),0,'raw data'!JB129/'raw data'!JC129)</f>
        <v>0</v>
      </c>
      <c r="FP116" s="594">
        <f>'raw data'!JD129</f>
        <v>0</v>
      </c>
      <c r="FQ116" s="595">
        <f>'raw data'!JE129</f>
        <v>0</v>
      </c>
      <c r="FR116" s="596">
        <f>IF(ISERROR('raw data'!JD129/'raw data'!JE129),0,'raw data'!JD129/'raw data'!JE129)</f>
        <v>0</v>
      </c>
      <c r="FS116" s="469"/>
      <c r="FT116" s="599">
        <v>50</v>
      </c>
      <c r="FU116" s="600">
        <v>56</v>
      </c>
      <c r="FV116" s="601">
        <f t="shared" si="6"/>
        <v>0.8928571428571429</v>
      </c>
    </row>
    <row r="117" spans="1:178" ht="28" x14ac:dyDescent="0.15">
      <c r="A117" s="591" t="s">
        <v>213</v>
      </c>
      <c r="B117" s="592" t="str">
        <f>'raw data'!B130</f>
        <v>Customer in receipt of JSA for &gt;=7 months and has B&amp;S account balances totalling £17k+.</v>
      </c>
      <c r="C117" s="593" t="s">
        <v>215</v>
      </c>
      <c r="D117" s="594">
        <f>'raw data'!ET130</f>
        <v>2</v>
      </c>
      <c r="E117" s="595">
        <f>'raw data'!EU130</f>
        <v>28</v>
      </c>
      <c r="F117" s="596">
        <f>IF(ISERROR('raw data'!ET130/'raw data'!EU130),0,'raw data'!ET130/'raw data'!EU130)</f>
        <v>7.1428571428571425E-2</v>
      </c>
      <c r="G117" s="594">
        <f>'raw data'!EV130</f>
        <v>4</v>
      </c>
      <c r="H117" s="595">
        <f>'raw data'!EW130</f>
        <v>28</v>
      </c>
      <c r="I117" s="596">
        <f>IF(ISERROR('raw data'!EV130/'raw data'!EW130),0,'raw data'!EV130/'raw data'!EW130)</f>
        <v>0.14285714285714285</v>
      </c>
      <c r="J117" s="594">
        <f>'raw data'!EX130</f>
        <v>5</v>
      </c>
      <c r="K117" s="595">
        <f>'raw data'!EY130</f>
        <v>22</v>
      </c>
      <c r="L117" s="597">
        <f>IF(ISERROR('raw data'!EX130/'raw data'!EY130),0,'raw data'!EX130/'raw data'!EY130)</f>
        <v>0.22727272727272727</v>
      </c>
      <c r="M117" s="594">
        <f>'raw data'!EZ130</f>
        <v>5</v>
      </c>
      <c r="N117" s="595">
        <f>'raw data'!FA130</f>
        <v>26</v>
      </c>
      <c r="O117" s="596">
        <f>IF(ISERROR('raw data'!EZ130/'raw data'!FA130),0,'raw data'!EZ130/'raw data'!FA130)</f>
        <v>0.19230769230769232</v>
      </c>
      <c r="P117" s="594">
        <f>'raw data'!FB130</f>
        <v>1</v>
      </c>
      <c r="Q117" s="595">
        <f>'raw data'!FC130</f>
        <v>20</v>
      </c>
      <c r="R117" s="596">
        <f>IF(ISERROR('raw data'!FB130/'raw data'!FC130),0,'raw data'!FB130/'raw data'!FC130)</f>
        <v>0.05</v>
      </c>
      <c r="S117" s="594">
        <f>'raw data'!FD130</f>
        <v>5</v>
      </c>
      <c r="T117" s="595">
        <f>'raw data'!FE130</f>
        <v>30</v>
      </c>
      <c r="U117" s="596">
        <f>IF(ISERROR('raw data'!FD130/'raw data'!FE130),0,'raw data'!FD130/'raw data'!FE130)</f>
        <v>0.16666666666666666</v>
      </c>
      <c r="V117" s="594">
        <f>'raw data'!FF130</f>
        <v>6</v>
      </c>
      <c r="W117" s="595">
        <f>'raw data'!FG130</f>
        <v>19</v>
      </c>
      <c r="X117" s="596">
        <f>IF(ISERROR('raw data'!FF130/'raw data'!FG130),0,'raw data'!FF130/'raw data'!FG130)</f>
        <v>0.31578947368421051</v>
      </c>
      <c r="Y117" s="594">
        <f>'raw data'!FH130</f>
        <v>3</v>
      </c>
      <c r="Z117" s="595">
        <f>'raw data'!FI130</f>
        <v>24</v>
      </c>
      <c r="AA117" s="596">
        <f>IF(ISERROR('raw data'!FH130/'raw data'!FI130),0,'raw data'!FH130/'raw data'!FI130)</f>
        <v>0.125</v>
      </c>
      <c r="AB117" s="594">
        <f>'raw data'!FJ130</f>
        <v>4</v>
      </c>
      <c r="AC117" s="595">
        <f>'raw data'!FM130</f>
        <v>26</v>
      </c>
      <c r="AD117" s="596">
        <f>IF(ISERROR('raw data'!FJ130/'raw data'!FM130),0,'raw data'!FJ130/'raw data'!FM130)</f>
        <v>0.15384615384615385</v>
      </c>
      <c r="AE117" s="594">
        <f>'raw data'!FN130</f>
        <v>19</v>
      </c>
      <c r="AF117" s="595">
        <f>'raw data'!FO130</f>
        <v>42</v>
      </c>
      <c r="AG117" s="596">
        <f>IF(ISERROR('raw data'!FN130/'raw data'!FO130),0,'raw data'!FN130/'raw data'!FO130)</f>
        <v>0.45238095238095238</v>
      </c>
      <c r="AH117" s="594">
        <f>'raw data'!FP130</f>
        <v>7</v>
      </c>
      <c r="AI117" s="595">
        <f>'raw data'!FQ130</f>
        <v>35</v>
      </c>
      <c r="AJ117" s="596">
        <f>IF(ISERROR('raw data'!FP130/'raw data'!FQ130),0,'raw data'!FP130/'raw data'!FQ130)</f>
        <v>0.2</v>
      </c>
      <c r="AK117" s="594">
        <f>'raw data'!FR130</f>
        <v>5</v>
      </c>
      <c r="AL117" s="595">
        <f>'raw data'!FS130</f>
        <v>27</v>
      </c>
      <c r="AM117" s="596">
        <f>IF(ISERROR('raw data'!FR130/'raw data'!FS130),0,'raw data'!FR130/'raw data'!FS130)</f>
        <v>0.18518518518518517</v>
      </c>
      <c r="AN117" s="594">
        <f>'raw data'!FT130</f>
        <v>7</v>
      </c>
      <c r="AO117" s="595">
        <f>'raw data'!FU130</f>
        <v>18</v>
      </c>
      <c r="AP117" s="596">
        <f>IF(ISERROR('raw data'!FT130/'raw data'!FU130),0,'raw data'!FT130/'raw data'!FU130)</f>
        <v>0.3888888888888889</v>
      </c>
      <c r="AQ117" s="594">
        <f>'raw data'!FV130</f>
        <v>12</v>
      </c>
      <c r="AR117" s="595">
        <f>'raw data'!FW130</f>
        <v>28</v>
      </c>
      <c r="AS117" s="598">
        <f>IF(ISERROR('raw data'!FV130/'raw data'!FW130),0,'raw data'!FV130/'raw data'!FW130)</f>
        <v>0.42857142857142855</v>
      </c>
      <c r="AT117" s="594">
        <f>'raw data'!FX130</f>
        <v>10</v>
      </c>
      <c r="AU117" s="595">
        <f>'raw data'!FY130</f>
        <v>35</v>
      </c>
      <c r="AV117" s="598">
        <f>IF(ISERROR('raw data'!FX130/'raw data'!FY130),0,'raw data'!FX130/'raw data'!FY130)</f>
        <v>0.2857142857142857</v>
      </c>
      <c r="AW117" s="594">
        <f>'raw data'!FZ130</f>
        <v>17</v>
      </c>
      <c r="AX117" s="595">
        <f>'raw data'!GA130</f>
        <v>38</v>
      </c>
      <c r="AY117" s="598">
        <f>IF(ISERROR('raw data'!FZ130/'raw data'!GA130),0,'raw data'!FZ130/'raw data'!GA130)</f>
        <v>0.44736842105263158</v>
      </c>
      <c r="AZ117" s="594">
        <f>'raw data'!GB130</f>
        <v>9</v>
      </c>
      <c r="BA117" s="595">
        <f>'raw data'!GC130</f>
        <v>18</v>
      </c>
      <c r="BB117" s="598">
        <f>IF(ISERROR('raw data'!GB130/'raw data'!GC130),0,'raw data'!GB130/'raw data'!GC130)</f>
        <v>0.5</v>
      </c>
      <c r="BC117" s="594">
        <f>'raw data'!GD130</f>
        <v>1</v>
      </c>
      <c r="BD117" s="595">
        <f>'raw data'!GE130</f>
        <v>22</v>
      </c>
      <c r="BE117" s="598">
        <f>IF(ISERROR('raw data'!GD130/'raw data'!GE130),0,'raw data'!GD130/'raw data'!GE130)</f>
        <v>4.5454545454545456E-2</v>
      </c>
      <c r="BF117" s="594">
        <f>'raw data'!GF130</f>
        <v>8</v>
      </c>
      <c r="BG117" s="595">
        <f>'raw data'!GG130</f>
        <v>20</v>
      </c>
      <c r="BH117" s="598">
        <f>IF(ISERROR('raw data'!GF130/'raw data'!GG130),0,'raw data'!GF130/'raw data'!GG130)</f>
        <v>0.4</v>
      </c>
      <c r="BI117" s="594">
        <f>'raw data'!GH130</f>
        <v>38</v>
      </c>
      <c r="BJ117" s="595">
        <f>'raw data'!GI130</f>
        <v>59</v>
      </c>
      <c r="BK117" s="598">
        <f>IF(ISERROR('raw data'!GH130/'raw data'!GI130),0,'raw data'!GH130/'raw data'!GI130)</f>
        <v>0.64406779661016944</v>
      </c>
      <c r="BL117" s="594">
        <f>'raw data'!GJ130</f>
        <v>14</v>
      </c>
      <c r="BM117" s="595">
        <f>'raw data'!GK130</f>
        <v>31</v>
      </c>
      <c r="BN117" s="598">
        <f>IF(ISERROR('raw data'!GJ130/'raw data'!GK130),0,'raw data'!GJ130/'raw data'!GK130)</f>
        <v>0.45161290322580644</v>
      </c>
      <c r="BO117" s="594">
        <f>'raw data'!GL130</f>
        <v>17</v>
      </c>
      <c r="BP117" s="595">
        <f>'raw data'!GM130</f>
        <v>40</v>
      </c>
      <c r="BQ117" s="598">
        <f>IF(ISERROR('raw data'!GL130/'raw data'!GM130),0,'raw data'!GL130/'raw data'!GM130)</f>
        <v>0.42499999999999999</v>
      </c>
      <c r="BR117" s="594">
        <f>'raw data'!GN130</f>
        <v>6</v>
      </c>
      <c r="BS117" s="595">
        <f>'raw data'!GO130</f>
        <v>32</v>
      </c>
      <c r="BT117" s="598">
        <f>IF(ISERROR('raw data'!GN130/'raw data'!GO130),0,'raw data'!GN130/'raw data'!GO130)</f>
        <v>0.1875</v>
      </c>
      <c r="BU117" s="594">
        <f>'raw data'!GP130</f>
        <v>7</v>
      </c>
      <c r="BV117" s="595">
        <f>'raw data'!GQ130</f>
        <v>22</v>
      </c>
      <c r="BW117" s="598">
        <f>IF(ISERROR('raw data'!GP130/'raw data'!GQ130),0,'raw data'!GP130/'raw data'!GQ130)</f>
        <v>0.31818181818181818</v>
      </c>
      <c r="BX117" s="594">
        <f>'raw data'!GR130</f>
        <v>9</v>
      </c>
      <c r="BY117" s="595">
        <f>'raw data'!GS130</f>
        <v>33</v>
      </c>
      <c r="BZ117" s="598">
        <f>IF(ISERROR('raw data'!GR130/'raw data'!GS130),0,'raw data'!GR130/'raw data'!GS130)</f>
        <v>0.27272727272727271</v>
      </c>
      <c r="CA117" s="594">
        <f>'raw data'!GT130</f>
        <v>11</v>
      </c>
      <c r="CB117" s="595">
        <f>'raw data'!GU130</f>
        <v>36</v>
      </c>
      <c r="CC117" s="598">
        <f>IF(ISERROR('raw data'!GT130/'raw data'!GU130),0,'raw data'!GT130/'raw data'!GU130)</f>
        <v>0.30555555555555558</v>
      </c>
      <c r="CD117" s="594">
        <f>'raw data'!GV130</f>
        <v>21</v>
      </c>
      <c r="CE117" s="595">
        <f>'raw data'!GW130</f>
        <v>33</v>
      </c>
      <c r="CF117" s="598">
        <f>IF(ISERROR('raw data'!GV130/'raw data'!GW130),0,'raw data'!GV130/'raw data'!GW130)</f>
        <v>0.63636363636363635</v>
      </c>
      <c r="CG117" s="594">
        <f>'raw data'!GX130</f>
        <v>20</v>
      </c>
      <c r="CH117" s="595">
        <f>'raw data'!GY130</f>
        <v>30</v>
      </c>
      <c r="CI117" s="598">
        <f>IF(ISERROR('raw data'!GX130/'raw data'!GY130),0,'raw data'!GX130/'raw data'!GY130)</f>
        <v>0.66666666666666663</v>
      </c>
      <c r="CJ117" s="408" t="str">
        <f>'raw data'!GZ130</f>
        <v>Suspended</v>
      </c>
      <c r="CK117" s="409" t="str">
        <f>'raw data'!HA130</f>
        <v>Suspended</v>
      </c>
      <c r="CL117" s="414" t="s">
        <v>30</v>
      </c>
      <c r="CM117" s="594">
        <f>'raw data'!HB130</f>
        <v>13</v>
      </c>
      <c r="CN117" s="595">
        <f>'raw data'!HC130</f>
        <v>35</v>
      </c>
      <c r="CO117" s="598">
        <f>IF(ISERROR('raw data'!HB130/'raw data'!HC130),0,'raw data'!HB130/'raw data'!HC130)</f>
        <v>0.37142857142857144</v>
      </c>
      <c r="CP117" s="594">
        <f>'raw data'!HD130</f>
        <v>2</v>
      </c>
      <c r="CQ117" s="595">
        <f>'raw data'!HE130</f>
        <v>10</v>
      </c>
      <c r="CR117" s="596">
        <f>IF(ISERROR('raw data'!HD130/'raw data'!HE130),0,'raw data'!HD130/'raw data'!HE130)</f>
        <v>0.2</v>
      </c>
      <c r="CS117" s="594">
        <f>'raw data'!HF130</f>
        <v>4</v>
      </c>
      <c r="CT117" s="595">
        <f>'raw data'!HG130</f>
        <v>18</v>
      </c>
      <c r="CU117" s="596">
        <f>IF(ISERROR('raw data'!HF130/'raw data'!HG130),0,'raw data'!HF130/'raw data'!HG130)</f>
        <v>0.22222222222222221</v>
      </c>
      <c r="CV117" s="594">
        <f>'raw data'!HH130</f>
        <v>10</v>
      </c>
      <c r="CW117" s="595">
        <f>'raw data'!HI130</f>
        <v>27</v>
      </c>
      <c r="CX117" s="596">
        <f>IF(ISERROR('raw data'!HH130/'raw data'!HI130),0,'raw data'!HH130/'raw data'!HI130)</f>
        <v>0.37037037037037035</v>
      </c>
      <c r="CY117" s="594">
        <f>'raw data'!HJ130</f>
        <v>7</v>
      </c>
      <c r="CZ117" s="595">
        <f>'raw data'!HK130</f>
        <v>15</v>
      </c>
      <c r="DA117" s="596">
        <f>IF(ISERROR('raw data'!HJ130/'raw data'!HK130),0,'raw data'!HJ130/'raw data'!HK130)</f>
        <v>0.46666666666666667</v>
      </c>
      <c r="DB117" s="594">
        <f>'raw data'!HL130</f>
        <v>9</v>
      </c>
      <c r="DC117" s="595">
        <f>'raw data'!HM130</f>
        <v>16</v>
      </c>
      <c r="DD117" s="596">
        <f>IF(ISERROR('raw data'!HL130/'raw data'!HM130),0,'raw data'!HL130/'raw data'!HM130)</f>
        <v>0.5625</v>
      </c>
      <c r="DE117" s="594">
        <f>'raw data'!HN130</f>
        <v>9</v>
      </c>
      <c r="DF117" s="595">
        <f>'raw data'!HO130</f>
        <v>12</v>
      </c>
      <c r="DG117" s="596">
        <f>IF(ISERROR('raw data'!HN130/'raw data'!HO130),0,'raw data'!HN130/'raw data'!HO130)</f>
        <v>0.75</v>
      </c>
      <c r="DH117" s="594">
        <f>'raw data'!HP130</f>
        <v>15</v>
      </c>
      <c r="DI117" s="595">
        <f>'raw data'!HQ130</f>
        <v>23</v>
      </c>
      <c r="DJ117" s="596">
        <f>IF(ISERROR('raw data'!HP130/'raw data'!HQ130),0,'raw data'!HP130/'raw data'!HQ130)</f>
        <v>0.65217391304347827</v>
      </c>
      <c r="DK117" s="594">
        <f>'raw data'!HR130</f>
        <v>11</v>
      </c>
      <c r="DL117" s="595">
        <f>'raw data'!HS130</f>
        <v>18</v>
      </c>
      <c r="DM117" s="596">
        <f>IF(ISERROR('raw data'!HR130/'raw data'!HS130),0,'raw data'!HR130/'raw data'!HS130)</f>
        <v>0.61111111111111116</v>
      </c>
      <c r="DN117" s="594">
        <f>'raw data'!HT130</f>
        <v>7</v>
      </c>
      <c r="DO117" s="595">
        <f>'raw data'!HU130</f>
        <v>11</v>
      </c>
      <c r="DP117" s="596">
        <f>IF(ISERROR('raw data'!HT130/'raw data'!HU130),0,'raw data'!HT130/'raw data'!HU130)</f>
        <v>0.63636363636363635</v>
      </c>
      <c r="DQ117" s="594">
        <f>'raw data'!HV130</f>
        <v>15</v>
      </c>
      <c r="DR117" s="595">
        <f>'raw data'!HW130</f>
        <v>18</v>
      </c>
      <c r="DS117" s="596">
        <f>IF(ISERROR('raw data'!HV130/'raw data'!HW130),0,'raw data'!HV130/'raw data'!HW130)</f>
        <v>0.83333333333333337</v>
      </c>
      <c r="DT117" s="594">
        <f>'raw data'!HX130</f>
        <v>21</v>
      </c>
      <c r="DU117" s="595">
        <f>'raw data'!HY130</f>
        <v>26</v>
      </c>
      <c r="DV117" s="596">
        <f>IF(ISERROR('raw data'!HX130/'raw data'!HY130),0,'raw data'!HX130/'raw data'!HY130)</f>
        <v>0.80769230769230771</v>
      </c>
      <c r="DW117" s="594">
        <f>'raw data'!HZ130</f>
        <v>21</v>
      </c>
      <c r="DX117" s="595">
        <f>'raw data'!IA130</f>
        <v>28</v>
      </c>
      <c r="DY117" s="596">
        <f>IF(ISERROR('raw data'!HZ130/'raw data'!IA130),0,'raw data'!HZ130/'raw data'!IA130)</f>
        <v>0.75</v>
      </c>
      <c r="DZ117" s="594">
        <f>'raw data'!IB130</f>
        <v>14</v>
      </c>
      <c r="EA117" s="595">
        <f>'raw data'!IC130</f>
        <v>19</v>
      </c>
      <c r="EB117" s="596">
        <f>IF(ISERROR('raw data'!IB130/'raw data'!IC130),0,'raw data'!IB130/'raw data'!IC130)</f>
        <v>0.73684210526315785</v>
      </c>
      <c r="EC117" s="594">
        <f>'raw data'!ID130</f>
        <v>8</v>
      </c>
      <c r="ED117" s="595">
        <f>'raw data'!IE130</f>
        <v>16</v>
      </c>
      <c r="EE117" s="596">
        <f>IF(ISERROR('raw data'!ID130/'raw data'!IE130),0,'raw data'!ID130/'raw data'!IE130)</f>
        <v>0.5</v>
      </c>
      <c r="EF117" s="594">
        <f>'raw data'!IF130</f>
        <v>14</v>
      </c>
      <c r="EG117" s="595">
        <f>'raw data'!IG130</f>
        <v>22</v>
      </c>
      <c r="EH117" s="596">
        <f>IF(ISERROR('raw data'!IF130/'raw data'!IG130),0,'raw data'!IF130/'raw data'!IG130)</f>
        <v>0.63636363636363635</v>
      </c>
      <c r="EI117" s="594">
        <f>'raw data'!IH130</f>
        <v>10</v>
      </c>
      <c r="EJ117" s="595">
        <f>'raw data'!II130</f>
        <v>16</v>
      </c>
      <c r="EK117" s="596">
        <f>IF(ISERROR('raw data'!IH130/'raw data'!II130),0,'raw data'!IH130/'raw data'!II130)</f>
        <v>0.625</v>
      </c>
      <c r="EL117" s="594">
        <f>'raw data'!IJ130</f>
        <v>12</v>
      </c>
      <c r="EM117" s="595">
        <f>'raw data'!IK130</f>
        <v>32</v>
      </c>
      <c r="EN117" s="596">
        <f>IF(ISERROR('raw data'!IJ130/'raw data'!IK130),0,'raw data'!IJ130/'raw data'!IK130)</f>
        <v>0.375</v>
      </c>
      <c r="EO117" s="594">
        <f>'raw data'!IL130</f>
        <v>9</v>
      </c>
      <c r="EP117" s="595">
        <f>'raw data'!IM130</f>
        <v>19</v>
      </c>
      <c r="EQ117" s="596">
        <f>IF(ISERROR('raw data'!IL130/'raw data'!IM130),0,'raw data'!IL130/'raw data'!IM130)</f>
        <v>0.47368421052631576</v>
      </c>
      <c r="ER117" s="594">
        <f>'raw data'!IN130</f>
        <v>24</v>
      </c>
      <c r="ES117" s="595">
        <f>'raw data'!IO130</f>
        <v>36</v>
      </c>
      <c r="ET117" s="596">
        <f>IF(ISERROR('raw data'!IN130/'raw data'!IO130),0,'raw data'!IN130/'raw data'!IO130)</f>
        <v>0.66666666666666663</v>
      </c>
      <c r="EU117" s="594">
        <f>'raw data'!IP130</f>
        <v>31</v>
      </c>
      <c r="EV117" s="595">
        <f>'raw data'!IQ130</f>
        <v>42</v>
      </c>
      <c r="EW117" s="596">
        <f>IF(ISERROR('raw data'!IP130/'raw data'!IQ130),0,'raw data'!IP130/'raw data'!IQ130)</f>
        <v>0.73809523809523814</v>
      </c>
      <c r="EX117" s="594">
        <f>'raw data'!IR130</f>
        <v>28</v>
      </c>
      <c r="EY117" s="595">
        <f>'raw data'!IS130</f>
        <v>41</v>
      </c>
      <c r="EZ117" s="596">
        <f>IF(ISERROR('raw data'!IR130/'raw data'!IS130),0,'raw data'!IR130/'raw data'!IS130)</f>
        <v>0.68292682926829273</v>
      </c>
      <c r="FA117" s="594">
        <f>'raw data'!IT130</f>
        <v>28</v>
      </c>
      <c r="FB117" s="595">
        <f>'raw data'!IU130</f>
        <v>43</v>
      </c>
      <c r="FC117" s="596">
        <f>IF(ISERROR('raw data'!IT130/'raw data'!IU130),0,'raw data'!IT130/'raw data'!IU130)</f>
        <v>0.65116279069767447</v>
      </c>
      <c r="FD117" s="594">
        <f>'raw data'!IV130</f>
        <v>29</v>
      </c>
      <c r="FE117" s="595">
        <f>'raw data'!IW130</f>
        <v>36</v>
      </c>
      <c r="FF117" s="596">
        <f>IF(ISERROR('raw data'!IV130/'raw data'!IW130),0,'raw data'!IV130/'raw data'!IW130)</f>
        <v>0.80555555555555558</v>
      </c>
      <c r="FG117" s="594">
        <f>'raw data'!IX130</f>
        <v>25</v>
      </c>
      <c r="FH117" s="595">
        <f>'raw data'!IY130</f>
        <v>39</v>
      </c>
      <c r="FI117" s="596">
        <f>IF(ISERROR('raw data'!IX130/'raw data'!IY130),0,'raw data'!IX130/'raw data'!IY130)</f>
        <v>0.64102564102564108</v>
      </c>
      <c r="FJ117" s="594">
        <f>'raw data'!IZ130</f>
        <v>19</v>
      </c>
      <c r="FK117" s="595">
        <f>'raw data'!JA130</f>
        <v>26</v>
      </c>
      <c r="FL117" s="596">
        <f>IF(ISERROR('raw data'!IZ130/'raw data'!JA130),0,'raw data'!IZ130/'raw data'!JA130)</f>
        <v>0.73076923076923073</v>
      </c>
      <c r="FM117" s="594">
        <f>'raw data'!JB130</f>
        <v>29</v>
      </c>
      <c r="FN117" s="595">
        <f>'raw data'!JC130</f>
        <v>37</v>
      </c>
      <c r="FO117" s="596">
        <f>IF(ISERROR('raw data'!JB130/'raw data'!JC130),0,'raw data'!JB130/'raw data'!JC130)</f>
        <v>0.78378378378378377</v>
      </c>
      <c r="FP117" s="594">
        <f>'raw data'!JD130</f>
        <v>15</v>
      </c>
      <c r="FQ117" s="595">
        <f>'raw data'!JE130</f>
        <v>25</v>
      </c>
      <c r="FR117" s="596">
        <f>IF(ISERROR('raw data'!JD130/'raw data'!JE130),0,'raw data'!JD130/'raw data'!JE130)</f>
        <v>0.6</v>
      </c>
      <c r="FS117" s="469"/>
      <c r="FT117" s="599">
        <v>259</v>
      </c>
      <c r="FU117" s="600">
        <v>392</v>
      </c>
      <c r="FV117" s="601">
        <f t="shared" si="6"/>
        <v>0.6607142857142857</v>
      </c>
    </row>
    <row r="118" spans="1:178" ht="28" x14ac:dyDescent="0.15">
      <c r="A118" s="591" t="s">
        <v>216</v>
      </c>
      <c r="B118" s="592" t="str">
        <f>'raw data'!B131</f>
        <v>ISA/JSA/DWP UC received for &gt;=6 months and £3k+ cash received last month.</v>
      </c>
      <c r="C118" s="593" t="s">
        <v>218</v>
      </c>
      <c r="D118" s="594">
        <f>'raw data'!ET131</f>
        <v>8</v>
      </c>
      <c r="E118" s="595">
        <f>'raw data'!EU131</f>
        <v>33</v>
      </c>
      <c r="F118" s="596">
        <f>IF(ISERROR('raw data'!ET131/'raw data'!EU131),0,'raw data'!ET131/'raw data'!EU131)</f>
        <v>0.24242424242424243</v>
      </c>
      <c r="G118" s="594">
        <f>'raw data'!EV131</f>
        <v>4</v>
      </c>
      <c r="H118" s="595">
        <f>'raw data'!EW131</f>
        <v>33</v>
      </c>
      <c r="I118" s="596">
        <f>IF(ISERROR('raw data'!EV131/'raw data'!EW131),0,'raw data'!EV131/'raw data'!EW131)</f>
        <v>0.12121212121212122</v>
      </c>
      <c r="J118" s="594">
        <f>'raw data'!EX131</f>
        <v>8</v>
      </c>
      <c r="K118" s="595">
        <f>'raw data'!EY131</f>
        <v>47</v>
      </c>
      <c r="L118" s="597">
        <f>IF(ISERROR('raw data'!EX131/'raw data'!EY131),0,'raw data'!EX131/'raw data'!EY131)</f>
        <v>0.1702127659574468</v>
      </c>
      <c r="M118" s="594">
        <f>'raw data'!EZ131</f>
        <v>11</v>
      </c>
      <c r="N118" s="595">
        <f>'raw data'!FA131</f>
        <v>37</v>
      </c>
      <c r="O118" s="596">
        <f>IF(ISERROR('raw data'!EZ131/'raw data'!FA131),0,'raw data'!EZ131/'raw data'!FA131)</f>
        <v>0.29729729729729731</v>
      </c>
      <c r="P118" s="594">
        <f>'raw data'!FB131</f>
        <v>9</v>
      </c>
      <c r="Q118" s="595">
        <f>'raw data'!FC131</f>
        <v>26</v>
      </c>
      <c r="R118" s="596">
        <f>IF(ISERROR('raw data'!FB131/'raw data'!FC131),0,'raw data'!FB131/'raw data'!FC131)</f>
        <v>0.34615384615384615</v>
      </c>
      <c r="S118" s="594">
        <f>'raw data'!FD131</f>
        <v>5</v>
      </c>
      <c r="T118" s="595">
        <f>'raw data'!FE131</f>
        <v>45</v>
      </c>
      <c r="U118" s="596">
        <f>IF(ISERROR('raw data'!FD131/'raw data'!FE131),0,'raw data'!FD131/'raw data'!FE131)</f>
        <v>0.1111111111111111</v>
      </c>
      <c r="V118" s="594">
        <f>'raw data'!FF131</f>
        <v>12</v>
      </c>
      <c r="W118" s="595">
        <f>'raw data'!FG131</f>
        <v>41</v>
      </c>
      <c r="X118" s="596">
        <f>IF(ISERROR('raw data'!FF131/'raw data'!FG131),0,'raw data'!FF131/'raw data'!FG131)</f>
        <v>0.29268292682926828</v>
      </c>
      <c r="Y118" s="594">
        <f>'raw data'!FH131</f>
        <v>13</v>
      </c>
      <c r="Z118" s="595">
        <f>'raw data'!FI131</f>
        <v>44</v>
      </c>
      <c r="AA118" s="596">
        <f>IF(ISERROR('raw data'!FH131/'raw data'!FI131),0,'raw data'!FH131/'raw data'!FI131)</f>
        <v>0.29545454545454547</v>
      </c>
      <c r="AB118" s="594">
        <f>'raw data'!FJ131</f>
        <v>10</v>
      </c>
      <c r="AC118" s="595">
        <f>'raw data'!FM131</f>
        <v>38</v>
      </c>
      <c r="AD118" s="596">
        <f>IF(ISERROR('raw data'!FJ131/'raw data'!FM131),0,'raw data'!FJ131/'raw data'!FM131)</f>
        <v>0.26315789473684209</v>
      </c>
      <c r="AE118" s="594">
        <f>'raw data'!FN131</f>
        <v>19</v>
      </c>
      <c r="AF118" s="595">
        <f>'raw data'!FO131</f>
        <v>59</v>
      </c>
      <c r="AG118" s="596">
        <f>IF(ISERROR('raw data'!FN131/'raw data'!FO131),0,'raw data'!FN131/'raw data'!FO131)</f>
        <v>0.32203389830508472</v>
      </c>
      <c r="AH118" s="594">
        <f>'raw data'!FP131</f>
        <v>9</v>
      </c>
      <c r="AI118" s="595">
        <f>'raw data'!FQ131</f>
        <v>41</v>
      </c>
      <c r="AJ118" s="596">
        <f>IF(ISERROR('raw data'!FP131/'raw data'!FQ131),0,'raw data'!FP131/'raw data'!FQ131)</f>
        <v>0.21951219512195122</v>
      </c>
      <c r="AK118" s="594">
        <f>'raw data'!FR131</f>
        <v>15</v>
      </c>
      <c r="AL118" s="595">
        <f>'raw data'!FS131</f>
        <v>39</v>
      </c>
      <c r="AM118" s="596">
        <f>IF(ISERROR('raw data'!FR131/'raw data'!FS131),0,'raw data'!FR131/'raw data'!FS131)</f>
        <v>0.38461538461538464</v>
      </c>
      <c r="AN118" s="594">
        <f>'raw data'!FT131</f>
        <v>16</v>
      </c>
      <c r="AO118" s="595">
        <f>'raw data'!FU131</f>
        <v>60</v>
      </c>
      <c r="AP118" s="596">
        <f>IF(ISERROR('raw data'!FT131/'raw data'!FU131),0,'raw data'!FT131/'raw data'!FU131)</f>
        <v>0.26666666666666666</v>
      </c>
      <c r="AQ118" s="594">
        <f>'raw data'!FV131</f>
        <v>21</v>
      </c>
      <c r="AR118" s="595">
        <f>'raw data'!FW131</f>
        <v>61</v>
      </c>
      <c r="AS118" s="598">
        <f>IF(ISERROR('raw data'!FV131/'raw data'!FW131),0,'raw data'!FV131/'raw data'!FW131)</f>
        <v>0.34426229508196721</v>
      </c>
      <c r="AT118" s="594">
        <f>'raw data'!FX131</f>
        <v>6</v>
      </c>
      <c r="AU118" s="595">
        <f>'raw data'!FY131</f>
        <v>43</v>
      </c>
      <c r="AV118" s="598">
        <f>IF(ISERROR('raw data'!FX131/'raw data'!FY131),0,'raw data'!FX131/'raw data'!FY131)</f>
        <v>0.13953488372093023</v>
      </c>
      <c r="AW118" s="594">
        <f>'raw data'!FZ131</f>
        <v>6</v>
      </c>
      <c r="AX118" s="595">
        <f>'raw data'!GA131</f>
        <v>41</v>
      </c>
      <c r="AY118" s="598">
        <f>IF(ISERROR('raw data'!FZ131/'raw data'!GA131),0,'raw data'!FZ131/'raw data'!GA131)</f>
        <v>0.14634146341463414</v>
      </c>
      <c r="AZ118" s="402" t="s">
        <v>243</v>
      </c>
      <c r="BA118" s="403" t="s">
        <v>243</v>
      </c>
      <c r="BB118" s="404" t="s">
        <v>243</v>
      </c>
      <c r="BC118" s="402" t="s">
        <v>243</v>
      </c>
      <c r="BD118" s="403" t="s">
        <v>243</v>
      </c>
      <c r="BE118" s="404" t="s">
        <v>243</v>
      </c>
      <c r="BF118" s="402" t="s">
        <v>243</v>
      </c>
      <c r="BG118" s="403" t="s">
        <v>243</v>
      </c>
      <c r="BH118" s="404" t="s">
        <v>243</v>
      </c>
      <c r="BI118" s="402" t="s">
        <v>243</v>
      </c>
      <c r="BJ118" s="403" t="s">
        <v>243</v>
      </c>
      <c r="BK118" s="404" t="s">
        <v>243</v>
      </c>
      <c r="BL118" s="402" t="s">
        <v>243</v>
      </c>
      <c r="BM118" s="403" t="s">
        <v>243</v>
      </c>
      <c r="BN118" s="404" t="s">
        <v>243</v>
      </c>
      <c r="BO118" s="402" t="s">
        <v>243</v>
      </c>
      <c r="BP118" s="403" t="s">
        <v>243</v>
      </c>
      <c r="BQ118" s="404" t="s">
        <v>243</v>
      </c>
      <c r="BR118" s="402" t="s">
        <v>243</v>
      </c>
      <c r="BS118" s="403" t="s">
        <v>243</v>
      </c>
      <c r="BT118" s="404" t="s">
        <v>243</v>
      </c>
      <c r="BU118" s="402" t="s">
        <v>243</v>
      </c>
      <c r="BV118" s="403" t="s">
        <v>243</v>
      </c>
      <c r="BW118" s="404" t="s">
        <v>243</v>
      </c>
      <c r="BX118" s="402" t="s">
        <v>243</v>
      </c>
      <c r="BY118" s="403" t="s">
        <v>243</v>
      </c>
      <c r="BZ118" s="404" t="s">
        <v>243</v>
      </c>
      <c r="CA118" s="402" t="s">
        <v>243</v>
      </c>
      <c r="CB118" s="403" t="s">
        <v>243</v>
      </c>
      <c r="CC118" s="404" t="s">
        <v>243</v>
      </c>
      <c r="CD118" s="402" t="s">
        <v>243</v>
      </c>
      <c r="CE118" s="403" t="s">
        <v>243</v>
      </c>
      <c r="CF118" s="404" t="s">
        <v>243</v>
      </c>
      <c r="CG118" s="402" t="s">
        <v>243</v>
      </c>
      <c r="CH118" s="403" t="s">
        <v>243</v>
      </c>
      <c r="CI118" s="404" t="s">
        <v>243</v>
      </c>
      <c r="CJ118" s="402" t="s">
        <v>243</v>
      </c>
      <c r="CK118" s="403" t="s">
        <v>243</v>
      </c>
      <c r="CL118" s="404" t="s">
        <v>243</v>
      </c>
      <c r="CM118" s="402" t="s">
        <v>243</v>
      </c>
      <c r="CN118" s="403" t="s">
        <v>243</v>
      </c>
      <c r="CO118" s="404" t="s">
        <v>243</v>
      </c>
      <c r="CP118" s="402" t="s">
        <v>243</v>
      </c>
      <c r="CQ118" s="403" t="s">
        <v>243</v>
      </c>
      <c r="CR118" s="404" t="s">
        <v>243</v>
      </c>
      <c r="CS118" s="402" t="s">
        <v>243</v>
      </c>
      <c r="CT118" s="403" t="s">
        <v>243</v>
      </c>
      <c r="CU118" s="404" t="s">
        <v>243</v>
      </c>
      <c r="CV118" s="402" t="s">
        <v>243</v>
      </c>
      <c r="CW118" s="403" t="s">
        <v>243</v>
      </c>
      <c r="CX118" s="404" t="s">
        <v>243</v>
      </c>
      <c r="CY118" s="402" t="s">
        <v>243</v>
      </c>
      <c r="CZ118" s="403" t="s">
        <v>243</v>
      </c>
      <c r="DA118" s="404" t="s">
        <v>243</v>
      </c>
      <c r="DB118" s="402" t="s">
        <v>243</v>
      </c>
      <c r="DC118" s="403" t="s">
        <v>243</v>
      </c>
      <c r="DD118" s="404" t="s">
        <v>243</v>
      </c>
      <c r="DE118" s="402" t="s">
        <v>243</v>
      </c>
      <c r="DF118" s="403" t="s">
        <v>243</v>
      </c>
      <c r="DG118" s="404" t="s">
        <v>243</v>
      </c>
      <c r="DH118" s="402" t="s">
        <v>243</v>
      </c>
      <c r="DI118" s="403" t="s">
        <v>243</v>
      </c>
      <c r="DJ118" s="404" t="s">
        <v>243</v>
      </c>
      <c r="DK118" s="402" t="s">
        <v>243</v>
      </c>
      <c r="DL118" s="403" t="s">
        <v>243</v>
      </c>
      <c r="DM118" s="404" t="s">
        <v>243</v>
      </c>
      <c r="DN118" s="402" t="s">
        <v>243</v>
      </c>
      <c r="DO118" s="403" t="s">
        <v>243</v>
      </c>
      <c r="DP118" s="404" t="s">
        <v>243</v>
      </c>
      <c r="DQ118" s="402" t="s">
        <v>243</v>
      </c>
      <c r="DR118" s="403" t="s">
        <v>243</v>
      </c>
      <c r="DS118" s="404" t="s">
        <v>243</v>
      </c>
      <c r="DT118" s="402" t="s">
        <v>243</v>
      </c>
      <c r="DU118" s="403" t="s">
        <v>243</v>
      </c>
      <c r="DV118" s="404" t="s">
        <v>243</v>
      </c>
      <c r="DW118" s="402" t="s">
        <v>243</v>
      </c>
      <c r="DX118" s="403" t="s">
        <v>243</v>
      </c>
      <c r="DY118" s="404" t="s">
        <v>243</v>
      </c>
      <c r="DZ118" s="402" t="s">
        <v>243</v>
      </c>
      <c r="EA118" s="403" t="s">
        <v>243</v>
      </c>
      <c r="EB118" s="404" t="s">
        <v>243</v>
      </c>
      <c r="EC118" s="402" t="s">
        <v>243</v>
      </c>
      <c r="ED118" s="403" t="s">
        <v>243</v>
      </c>
      <c r="EE118" s="404" t="s">
        <v>243</v>
      </c>
      <c r="EF118" s="402" t="s">
        <v>243</v>
      </c>
      <c r="EG118" s="403" t="s">
        <v>243</v>
      </c>
      <c r="EH118" s="404" t="s">
        <v>243</v>
      </c>
      <c r="EI118" s="402" t="s">
        <v>243</v>
      </c>
      <c r="EJ118" s="403" t="s">
        <v>243</v>
      </c>
      <c r="EK118" s="404" t="s">
        <v>243</v>
      </c>
      <c r="EL118" s="402" t="s">
        <v>243</v>
      </c>
      <c r="EM118" s="403" t="s">
        <v>243</v>
      </c>
      <c r="EN118" s="404" t="s">
        <v>243</v>
      </c>
      <c r="EO118" s="402" t="s">
        <v>243</v>
      </c>
      <c r="EP118" s="403" t="s">
        <v>243</v>
      </c>
      <c r="EQ118" s="404" t="s">
        <v>243</v>
      </c>
      <c r="ER118" s="402" t="s">
        <v>243</v>
      </c>
      <c r="ES118" s="403" t="s">
        <v>243</v>
      </c>
      <c r="ET118" s="404" t="s">
        <v>243</v>
      </c>
      <c r="EU118" s="402" t="s">
        <v>243</v>
      </c>
      <c r="EV118" s="403" t="s">
        <v>243</v>
      </c>
      <c r="EW118" s="404" t="s">
        <v>243</v>
      </c>
      <c r="EX118" s="402" t="s">
        <v>243</v>
      </c>
      <c r="EY118" s="403" t="s">
        <v>243</v>
      </c>
      <c r="EZ118" s="404" t="s">
        <v>243</v>
      </c>
      <c r="FA118" s="402" t="s">
        <v>243</v>
      </c>
      <c r="FB118" s="403" t="s">
        <v>243</v>
      </c>
      <c r="FC118" s="404" t="s">
        <v>243</v>
      </c>
      <c r="FD118" s="402" t="s">
        <v>243</v>
      </c>
      <c r="FE118" s="403" t="s">
        <v>243</v>
      </c>
      <c r="FF118" s="404" t="s">
        <v>243</v>
      </c>
      <c r="FG118" s="402" t="s">
        <v>243</v>
      </c>
      <c r="FH118" s="403" t="s">
        <v>243</v>
      </c>
      <c r="FI118" s="404" t="s">
        <v>243</v>
      </c>
      <c r="FJ118" s="402" t="s">
        <v>243</v>
      </c>
      <c r="FK118" s="403" t="s">
        <v>243</v>
      </c>
      <c r="FL118" s="404" t="s">
        <v>243</v>
      </c>
      <c r="FM118" s="402" t="s">
        <v>243</v>
      </c>
      <c r="FN118" s="403" t="s">
        <v>243</v>
      </c>
      <c r="FO118" s="404" t="s">
        <v>243</v>
      </c>
      <c r="FP118" s="402" t="s">
        <v>243</v>
      </c>
      <c r="FQ118" s="403" t="s">
        <v>243</v>
      </c>
      <c r="FR118" s="404" t="s">
        <v>243</v>
      </c>
      <c r="FS118" s="469"/>
      <c r="FT118" s="599">
        <v>0</v>
      </c>
      <c r="FU118" s="600">
        <v>0</v>
      </c>
      <c r="FV118" s="601">
        <f t="shared" si="6"/>
        <v>0</v>
      </c>
    </row>
    <row r="119" spans="1:178" ht="28" x14ac:dyDescent="0.15">
      <c r="A119" s="591" t="s">
        <v>219</v>
      </c>
      <c r="B119" s="592" t="str">
        <f>'raw data'!B132</f>
        <v>IS/JSA received and salary of (LFs) £1800+ received for past 2 months.</v>
      </c>
      <c r="C119" s="593" t="s">
        <v>221</v>
      </c>
      <c r="D119" s="594">
        <f>'raw data'!ET132</f>
        <v>0</v>
      </c>
      <c r="E119" s="595">
        <f>'raw data'!EU132</f>
        <v>0</v>
      </c>
      <c r="F119" s="596">
        <f>IF(ISERROR('raw data'!ET132/'raw data'!EU132),0,'raw data'!ET132/'raw data'!EU132)</f>
        <v>0</v>
      </c>
      <c r="G119" s="402" t="s">
        <v>243</v>
      </c>
      <c r="H119" s="403" t="s">
        <v>243</v>
      </c>
      <c r="I119" s="404" t="s">
        <v>243</v>
      </c>
      <c r="J119" s="402" t="s">
        <v>243</v>
      </c>
      <c r="K119" s="403" t="s">
        <v>243</v>
      </c>
      <c r="L119" s="404" t="s">
        <v>243</v>
      </c>
      <c r="M119" s="402" t="s">
        <v>243</v>
      </c>
      <c r="N119" s="403" t="s">
        <v>243</v>
      </c>
      <c r="O119" s="404" t="s">
        <v>243</v>
      </c>
      <c r="P119" s="402" t="s">
        <v>243</v>
      </c>
      <c r="Q119" s="403" t="s">
        <v>243</v>
      </c>
      <c r="R119" s="404" t="s">
        <v>243</v>
      </c>
      <c r="S119" s="402" t="s">
        <v>243</v>
      </c>
      <c r="T119" s="403" t="s">
        <v>243</v>
      </c>
      <c r="U119" s="404" t="s">
        <v>243</v>
      </c>
      <c r="V119" s="402" t="s">
        <v>243</v>
      </c>
      <c r="W119" s="403" t="s">
        <v>243</v>
      </c>
      <c r="X119" s="404" t="s">
        <v>243</v>
      </c>
      <c r="Y119" s="402" t="s">
        <v>243</v>
      </c>
      <c r="Z119" s="403" t="s">
        <v>243</v>
      </c>
      <c r="AA119" s="404" t="s">
        <v>243</v>
      </c>
      <c r="AB119" s="402" t="s">
        <v>243</v>
      </c>
      <c r="AC119" s="403" t="s">
        <v>243</v>
      </c>
      <c r="AD119" s="404" t="s">
        <v>243</v>
      </c>
      <c r="AE119" s="402" t="s">
        <v>243</v>
      </c>
      <c r="AF119" s="403" t="s">
        <v>243</v>
      </c>
      <c r="AG119" s="404" t="s">
        <v>243</v>
      </c>
      <c r="AH119" s="402" t="s">
        <v>243</v>
      </c>
      <c r="AI119" s="403" t="s">
        <v>243</v>
      </c>
      <c r="AJ119" s="404" t="s">
        <v>243</v>
      </c>
      <c r="AK119" s="402" t="s">
        <v>243</v>
      </c>
      <c r="AL119" s="403" t="s">
        <v>243</v>
      </c>
      <c r="AM119" s="404" t="s">
        <v>243</v>
      </c>
      <c r="AN119" s="402" t="s">
        <v>243</v>
      </c>
      <c r="AO119" s="403" t="s">
        <v>243</v>
      </c>
      <c r="AP119" s="404" t="s">
        <v>243</v>
      </c>
      <c r="AQ119" s="402" t="s">
        <v>243</v>
      </c>
      <c r="AR119" s="403" t="s">
        <v>243</v>
      </c>
      <c r="AS119" s="405" t="s">
        <v>243</v>
      </c>
      <c r="AT119" s="402" t="s">
        <v>243</v>
      </c>
      <c r="AU119" s="403" t="s">
        <v>243</v>
      </c>
      <c r="AV119" s="404" t="s">
        <v>243</v>
      </c>
      <c r="AW119" s="402" t="s">
        <v>243</v>
      </c>
      <c r="AX119" s="403" t="s">
        <v>243</v>
      </c>
      <c r="AY119" s="404" t="s">
        <v>243</v>
      </c>
      <c r="AZ119" s="402" t="s">
        <v>243</v>
      </c>
      <c r="BA119" s="403" t="s">
        <v>243</v>
      </c>
      <c r="BB119" s="404" t="s">
        <v>243</v>
      </c>
      <c r="BC119" s="402" t="s">
        <v>243</v>
      </c>
      <c r="BD119" s="403" t="s">
        <v>243</v>
      </c>
      <c r="BE119" s="404" t="s">
        <v>243</v>
      </c>
      <c r="BF119" s="402" t="s">
        <v>243</v>
      </c>
      <c r="BG119" s="403" t="s">
        <v>243</v>
      </c>
      <c r="BH119" s="404" t="s">
        <v>243</v>
      </c>
      <c r="BI119" s="402" t="s">
        <v>243</v>
      </c>
      <c r="BJ119" s="403" t="s">
        <v>243</v>
      </c>
      <c r="BK119" s="404" t="s">
        <v>243</v>
      </c>
      <c r="BL119" s="402" t="s">
        <v>243</v>
      </c>
      <c r="BM119" s="403" t="s">
        <v>243</v>
      </c>
      <c r="BN119" s="404" t="s">
        <v>243</v>
      </c>
      <c r="BO119" s="402" t="s">
        <v>243</v>
      </c>
      <c r="BP119" s="403" t="s">
        <v>243</v>
      </c>
      <c r="BQ119" s="404" t="s">
        <v>243</v>
      </c>
      <c r="BR119" s="402" t="s">
        <v>243</v>
      </c>
      <c r="BS119" s="403" t="s">
        <v>243</v>
      </c>
      <c r="BT119" s="404" t="s">
        <v>243</v>
      </c>
      <c r="BU119" s="402" t="s">
        <v>243</v>
      </c>
      <c r="BV119" s="403" t="s">
        <v>243</v>
      </c>
      <c r="BW119" s="404" t="s">
        <v>243</v>
      </c>
      <c r="BX119" s="402" t="s">
        <v>243</v>
      </c>
      <c r="BY119" s="403" t="s">
        <v>243</v>
      </c>
      <c r="BZ119" s="404" t="s">
        <v>243</v>
      </c>
      <c r="CA119" s="402" t="s">
        <v>243</v>
      </c>
      <c r="CB119" s="403" t="s">
        <v>243</v>
      </c>
      <c r="CC119" s="404" t="s">
        <v>243</v>
      </c>
      <c r="CD119" s="402" t="s">
        <v>243</v>
      </c>
      <c r="CE119" s="403" t="s">
        <v>243</v>
      </c>
      <c r="CF119" s="404" t="s">
        <v>243</v>
      </c>
      <c r="CG119" s="402" t="s">
        <v>243</v>
      </c>
      <c r="CH119" s="403" t="s">
        <v>243</v>
      </c>
      <c r="CI119" s="404" t="s">
        <v>243</v>
      </c>
      <c r="CJ119" s="402" t="s">
        <v>243</v>
      </c>
      <c r="CK119" s="403" t="s">
        <v>243</v>
      </c>
      <c r="CL119" s="404" t="s">
        <v>243</v>
      </c>
      <c r="CM119" s="402" t="s">
        <v>243</v>
      </c>
      <c r="CN119" s="403" t="s">
        <v>243</v>
      </c>
      <c r="CO119" s="404" t="s">
        <v>243</v>
      </c>
      <c r="CP119" s="402" t="s">
        <v>243</v>
      </c>
      <c r="CQ119" s="403" t="s">
        <v>243</v>
      </c>
      <c r="CR119" s="404" t="s">
        <v>243</v>
      </c>
      <c r="CS119" s="402" t="s">
        <v>243</v>
      </c>
      <c r="CT119" s="403" t="s">
        <v>243</v>
      </c>
      <c r="CU119" s="404" t="s">
        <v>243</v>
      </c>
      <c r="CV119" s="402" t="s">
        <v>243</v>
      </c>
      <c r="CW119" s="403" t="s">
        <v>243</v>
      </c>
      <c r="CX119" s="404" t="s">
        <v>243</v>
      </c>
      <c r="CY119" s="402" t="s">
        <v>243</v>
      </c>
      <c r="CZ119" s="403" t="s">
        <v>243</v>
      </c>
      <c r="DA119" s="404" t="s">
        <v>243</v>
      </c>
      <c r="DB119" s="402" t="s">
        <v>243</v>
      </c>
      <c r="DC119" s="403" t="s">
        <v>243</v>
      </c>
      <c r="DD119" s="404" t="s">
        <v>243</v>
      </c>
      <c r="DE119" s="402" t="s">
        <v>243</v>
      </c>
      <c r="DF119" s="403" t="s">
        <v>243</v>
      </c>
      <c r="DG119" s="404" t="s">
        <v>243</v>
      </c>
      <c r="DH119" s="402" t="s">
        <v>243</v>
      </c>
      <c r="DI119" s="403" t="s">
        <v>243</v>
      </c>
      <c r="DJ119" s="404" t="s">
        <v>243</v>
      </c>
      <c r="DK119" s="402" t="s">
        <v>243</v>
      </c>
      <c r="DL119" s="403" t="s">
        <v>243</v>
      </c>
      <c r="DM119" s="404" t="s">
        <v>243</v>
      </c>
      <c r="DN119" s="402" t="s">
        <v>243</v>
      </c>
      <c r="DO119" s="403" t="s">
        <v>243</v>
      </c>
      <c r="DP119" s="404" t="s">
        <v>243</v>
      </c>
      <c r="DQ119" s="402" t="s">
        <v>243</v>
      </c>
      <c r="DR119" s="403" t="s">
        <v>243</v>
      </c>
      <c r="DS119" s="404" t="s">
        <v>243</v>
      </c>
      <c r="DT119" s="402" t="s">
        <v>243</v>
      </c>
      <c r="DU119" s="403" t="s">
        <v>243</v>
      </c>
      <c r="DV119" s="404" t="s">
        <v>243</v>
      </c>
      <c r="DW119" s="402" t="s">
        <v>243</v>
      </c>
      <c r="DX119" s="403" t="s">
        <v>243</v>
      </c>
      <c r="DY119" s="404" t="s">
        <v>243</v>
      </c>
      <c r="DZ119" s="402" t="s">
        <v>243</v>
      </c>
      <c r="EA119" s="403" t="s">
        <v>243</v>
      </c>
      <c r="EB119" s="404" t="s">
        <v>243</v>
      </c>
      <c r="EC119" s="402" t="s">
        <v>243</v>
      </c>
      <c r="ED119" s="403" t="s">
        <v>243</v>
      </c>
      <c r="EE119" s="404" t="s">
        <v>243</v>
      </c>
      <c r="EF119" s="402" t="s">
        <v>243</v>
      </c>
      <c r="EG119" s="403" t="s">
        <v>243</v>
      </c>
      <c r="EH119" s="404" t="s">
        <v>243</v>
      </c>
      <c r="EI119" s="402" t="s">
        <v>243</v>
      </c>
      <c r="EJ119" s="403" t="s">
        <v>243</v>
      </c>
      <c r="EK119" s="404" t="s">
        <v>243</v>
      </c>
      <c r="EL119" s="402" t="s">
        <v>243</v>
      </c>
      <c r="EM119" s="403" t="s">
        <v>243</v>
      </c>
      <c r="EN119" s="404" t="s">
        <v>243</v>
      </c>
      <c r="EO119" s="402" t="s">
        <v>243</v>
      </c>
      <c r="EP119" s="403" t="s">
        <v>243</v>
      </c>
      <c r="EQ119" s="404" t="s">
        <v>243</v>
      </c>
      <c r="ER119" s="402" t="s">
        <v>243</v>
      </c>
      <c r="ES119" s="403" t="s">
        <v>243</v>
      </c>
      <c r="ET119" s="404" t="s">
        <v>243</v>
      </c>
      <c r="EU119" s="402" t="s">
        <v>243</v>
      </c>
      <c r="EV119" s="403" t="s">
        <v>243</v>
      </c>
      <c r="EW119" s="404" t="s">
        <v>243</v>
      </c>
      <c r="EX119" s="402" t="s">
        <v>243</v>
      </c>
      <c r="EY119" s="403" t="s">
        <v>243</v>
      </c>
      <c r="EZ119" s="404" t="s">
        <v>243</v>
      </c>
      <c r="FA119" s="402" t="s">
        <v>243</v>
      </c>
      <c r="FB119" s="403" t="s">
        <v>243</v>
      </c>
      <c r="FC119" s="404" t="s">
        <v>243</v>
      </c>
      <c r="FD119" s="402" t="s">
        <v>243</v>
      </c>
      <c r="FE119" s="403" t="s">
        <v>243</v>
      </c>
      <c r="FF119" s="404" t="s">
        <v>243</v>
      </c>
      <c r="FG119" s="402" t="s">
        <v>243</v>
      </c>
      <c r="FH119" s="403" t="s">
        <v>243</v>
      </c>
      <c r="FI119" s="404" t="s">
        <v>243</v>
      </c>
      <c r="FJ119" s="402" t="s">
        <v>243</v>
      </c>
      <c r="FK119" s="403" t="s">
        <v>243</v>
      </c>
      <c r="FL119" s="404" t="s">
        <v>243</v>
      </c>
      <c r="FM119" s="402" t="s">
        <v>243</v>
      </c>
      <c r="FN119" s="403" t="s">
        <v>243</v>
      </c>
      <c r="FO119" s="404" t="s">
        <v>243</v>
      </c>
      <c r="FP119" s="402" t="s">
        <v>243</v>
      </c>
      <c r="FQ119" s="403" t="s">
        <v>243</v>
      </c>
      <c r="FR119" s="404" t="s">
        <v>243</v>
      </c>
      <c r="FS119" s="469"/>
      <c r="FT119" s="599">
        <v>0</v>
      </c>
      <c r="FU119" s="600">
        <v>0</v>
      </c>
      <c r="FV119" s="601">
        <f>IF(ISERROR(FT119/FU119),0,FT119/FU119)</f>
        <v>0</v>
      </c>
    </row>
    <row r="120" spans="1:178" ht="42" x14ac:dyDescent="0.15">
      <c r="A120" s="591" t="s">
        <v>224</v>
      </c>
      <c r="B120" s="592" t="str">
        <f>'raw data'!B134</f>
        <v>Flex accounts of Eastern Europeans, possibly benefits paid (Child Benefit, JSA etc) and may live abroad (2 or more VW in last 3 months).</v>
      </c>
      <c r="C120" s="602" t="s">
        <v>263</v>
      </c>
      <c r="D120" s="461"/>
      <c r="E120" s="462"/>
      <c r="F120" s="463"/>
      <c r="G120" s="594">
        <f>'raw data'!EV134</f>
        <v>2</v>
      </c>
      <c r="H120" s="595">
        <f>'raw data'!EW134</f>
        <v>55</v>
      </c>
      <c r="I120" s="596">
        <f>IF(ISERROR('raw data'!EV134/'raw data'!EW134),0,'raw data'!EV134/'raw data'!EW134)</f>
        <v>3.6363636363636362E-2</v>
      </c>
      <c r="J120" s="594">
        <f>'raw data'!EX134</f>
        <v>2</v>
      </c>
      <c r="K120" s="595">
        <f>'raw data'!EY134</f>
        <v>22</v>
      </c>
      <c r="L120" s="597">
        <f>IF(ISERROR('raw data'!EX134/'raw data'!EY134),0,'raw data'!EX134/'raw data'!EY134)</f>
        <v>9.0909090909090912E-2</v>
      </c>
      <c r="M120" s="594">
        <f>'raw data'!EZ134</f>
        <v>0</v>
      </c>
      <c r="N120" s="595">
        <f>'raw data'!FA134</f>
        <v>15</v>
      </c>
      <c r="O120" s="596">
        <f>IF(ISERROR('raw data'!EZ134/'raw data'!FA134),0,'raw data'!EZ134/'raw data'!FA134)</f>
        <v>0</v>
      </c>
      <c r="P120" s="594">
        <f>'raw data'!FB134</f>
        <v>1</v>
      </c>
      <c r="Q120" s="595">
        <f>'raw data'!FC134</f>
        <v>7</v>
      </c>
      <c r="R120" s="596">
        <f>IF(ISERROR('raw data'!FB134/'raw data'!FC134),0,'raw data'!FB134/'raw data'!FC134)</f>
        <v>0.14285714285714285</v>
      </c>
      <c r="S120" s="594">
        <f>'raw data'!FD134</f>
        <v>1</v>
      </c>
      <c r="T120" s="595">
        <f>'raw data'!FE134</f>
        <v>14</v>
      </c>
      <c r="U120" s="596">
        <f>IF(ISERROR('raw data'!FD134/'raw data'!FE134),0,'raw data'!FD134/'raw data'!FE134)</f>
        <v>7.1428571428571425E-2</v>
      </c>
      <c r="V120" s="594">
        <f>'raw data'!FF134</f>
        <v>1</v>
      </c>
      <c r="W120" s="595">
        <f>'raw data'!FG134</f>
        <v>16</v>
      </c>
      <c r="X120" s="596">
        <f>IF(ISERROR('raw data'!FF134/'raw data'!FG134),0,'raw data'!FF134/'raw data'!FG134)</f>
        <v>6.25E-2</v>
      </c>
      <c r="Y120" s="594">
        <f>'raw data'!FH134</f>
        <v>1</v>
      </c>
      <c r="Z120" s="595">
        <f>'raw data'!FI134</f>
        <v>21</v>
      </c>
      <c r="AA120" s="596">
        <f>IF(ISERROR('raw data'!FH134/'raw data'!FI134),0,'raw data'!FH134/'raw data'!FI134)</f>
        <v>4.7619047619047616E-2</v>
      </c>
      <c r="AB120" s="594">
        <f>'raw data'!FJ134</f>
        <v>0</v>
      </c>
      <c r="AC120" s="595">
        <f>'raw data'!FM134</f>
        <v>27</v>
      </c>
      <c r="AD120" s="596">
        <f>IF(ISERROR('raw data'!FJ134/'raw data'!FM134),0,'raw data'!FJ134/'raw data'!FM134)</f>
        <v>0</v>
      </c>
      <c r="AE120" s="408" t="str">
        <f>'raw data'!FN134</f>
        <v>Suspended</v>
      </c>
      <c r="AF120" s="409" t="str">
        <f>'raw data'!FO134</f>
        <v>Suspended</v>
      </c>
      <c r="AG120" s="414" t="s">
        <v>30</v>
      </c>
      <c r="AH120" s="408" t="str">
        <f>'raw data'!FP134</f>
        <v>Suspended</v>
      </c>
      <c r="AI120" s="409" t="str">
        <f>'raw data'!FQ134</f>
        <v>Suspended</v>
      </c>
      <c r="AJ120" s="414" t="s">
        <v>30</v>
      </c>
      <c r="AK120" s="408" t="str">
        <f>'raw data'!FR134</f>
        <v>Suspended</v>
      </c>
      <c r="AL120" s="409" t="str">
        <f>'raw data'!FS134</f>
        <v>Suspended</v>
      </c>
      <c r="AM120" s="414" t="s">
        <v>30</v>
      </c>
      <c r="AN120" s="408" t="str">
        <f>'raw data'!FT134</f>
        <v>Suspended</v>
      </c>
      <c r="AO120" s="409" t="str">
        <f>'raw data'!FU134</f>
        <v>Suspended</v>
      </c>
      <c r="AP120" s="414" t="s">
        <v>30</v>
      </c>
      <c r="AQ120" s="472" t="str">
        <f>'raw data'!FV134</f>
        <v>Suspended</v>
      </c>
      <c r="AR120" s="409" t="str">
        <f>'raw data'!FW134</f>
        <v>Suspended</v>
      </c>
      <c r="AS120" s="410" t="s">
        <v>30</v>
      </c>
      <c r="AT120" s="408" t="str">
        <f>'raw data'!FX134</f>
        <v>Suspended</v>
      </c>
      <c r="AU120" s="409" t="str">
        <f>'raw data'!FY134</f>
        <v>Suspended</v>
      </c>
      <c r="AV120" s="414" t="s">
        <v>30</v>
      </c>
      <c r="AW120" s="408" t="str">
        <f>'raw data'!FZ134</f>
        <v>Suspended</v>
      </c>
      <c r="AX120" s="409" t="str">
        <f>'raw data'!GA134</f>
        <v>Suspended</v>
      </c>
      <c r="AY120" s="414" t="s">
        <v>30</v>
      </c>
      <c r="AZ120" s="408" t="str">
        <f>'raw data'!GB134</f>
        <v>Suspended</v>
      </c>
      <c r="BA120" s="409" t="str">
        <f>'raw data'!GC134</f>
        <v>Suspended</v>
      </c>
      <c r="BB120" s="414" t="s">
        <v>30</v>
      </c>
      <c r="BC120" s="408" t="str">
        <f>'raw data'!GD134</f>
        <v>Suspended</v>
      </c>
      <c r="BD120" s="409" t="str">
        <f>'raw data'!GE134</f>
        <v>Suspended</v>
      </c>
      <c r="BE120" s="414" t="s">
        <v>30</v>
      </c>
      <c r="BF120" s="408" t="str">
        <f>'raw data'!GF134</f>
        <v>Suspended</v>
      </c>
      <c r="BG120" s="409" t="str">
        <f>'raw data'!GG134</f>
        <v>Suspended</v>
      </c>
      <c r="BH120" s="414" t="s">
        <v>30</v>
      </c>
      <c r="BI120" s="408" t="str">
        <f>'raw data'!GH134</f>
        <v>Suspended</v>
      </c>
      <c r="BJ120" s="409" t="str">
        <f>'raw data'!GI134</f>
        <v>Suspended</v>
      </c>
      <c r="BK120" s="414" t="s">
        <v>30</v>
      </c>
      <c r="BL120" s="408" t="str">
        <f>'raw data'!GJ134</f>
        <v>Suspended</v>
      </c>
      <c r="BM120" s="409" t="str">
        <f>'raw data'!GK134</f>
        <v>Suspended</v>
      </c>
      <c r="BN120" s="414" t="s">
        <v>30</v>
      </c>
      <c r="BO120" s="408" t="str">
        <f>'raw data'!GL134</f>
        <v>Suspended</v>
      </c>
      <c r="BP120" s="409" t="str">
        <f>'raw data'!GM134</f>
        <v>Suspended</v>
      </c>
      <c r="BQ120" s="414" t="s">
        <v>30</v>
      </c>
      <c r="BR120" s="408" t="str">
        <f>'raw data'!GN134</f>
        <v>Suspended</v>
      </c>
      <c r="BS120" s="409" t="str">
        <f>'raw data'!GO134</f>
        <v>Suspended</v>
      </c>
      <c r="BT120" s="414" t="s">
        <v>30</v>
      </c>
      <c r="BU120" s="408" t="str">
        <f>'raw data'!GP134</f>
        <v>Suspended</v>
      </c>
      <c r="BV120" s="409" t="str">
        <f>'raw data'!GQ134</f>
        <v>Suspended</v>
      </c>
      <c r="BW120" s="414" t="s">
        <v>30</v>
      </c>
      <c r="BX120" s="408" t="str">
        <f>'raw data'!GR134</f>
        <v>Suspended</v>
      </c>
      <c r="BY120" s="409" t="str">
        <f>'raw data'!GS134</f>
        <v>Suspended</v>
      </c>
      <c r="BZ120" s="414" t="s">
        <v>30</v>
      </c>
      <c r="CA120" s="408" t="str">
        <f>'raw data'!GT134</f>
        <v>Suspended</v>
      </c>
      <c r="CB120" s="409" t="str">
        <f>'raw data'!GU134</f>
        <v>Suspended</v>
      </c>
      <c r="CC120" s="414" t="s">
        <v>30</v>
      </c>
      <c r="CD120" s="408" t="str">
        <f>'raw data'!GV134</f>
        <v>Suspended</v>
      </c>
      <c r="CE120" s="409" t="str">
        <f>'raw data'!GW134</f>
        <v>Suspended</v>
      </c>
      <c r="CF120" s="414" t="s">
        <v>30</v>
      </c>
      <c r="CG120" s="408" t="str">
        <f>'raw data'!GX134</f>
        <v>Suspended</v>
      </c>
      <c r="CH120" s="409" t="str">
        <f>'raw data'!GY134</f>
        <v>Suspended</v>
      </c>
      <c r="CI120" s="414" t="s">
        <v>30</v>
      </c>
      <c r="CJ120" s="408" t="str">
        <f>'raw data'!GZ134</f>
        <v>Suspended</v>
      </c>
      <c r="CK120" s="409" t="str">
        <f>'raw data'!HA134</f>
        <v>Suspended</v>
      </c>
      <c r="CL120" s="414" t="s">
        <v>30</v>
      </c>
      <c r="CM120" s="408" t="str">
        <f>'raw data'!HB134</f>
        <v>Suspended</v>
      </c>
      <c r="CN120" s="409" t="str">
        <f>'raw data'!HC134</f>
        <v>Suspended</v>
      </c>
      <c r="CO120" s="414" t="s">
        <v>30</v>
      </c>
      <c r="CP120" s="408" t="str">
        <f>'raw data'!HD134</f>
        <v>Suspended</v>
      </c>
      <c r="CQ120" s="409" t="str">
        <f>'raw data'!HE134</f>
        <v>Suspended</v>
      </c>
      <c r="CR120" s="414" t="s">
        <v>30</v>
      </c>
      <c r="CS120" s="408" t="str">
        <f>'raw data'!HF134</f>
        <v>Suspended</v>
      </c>
      <c r="CT120" s="409" t="str">
        <f>'raw data'!HG134</f>
        <v>Suspended</v>
      </c>
      <c r="CU120" s="414" t="s">
        <v>30</v>
      </c>
      <c r="CV120" s="408" t="str">
        <f>'raw data'!HH134</f>
        <v>Suspended</v>
      </c>
      <c r="CW120" s="409" t="str">
        <f>'raw data'!HI134</f>
        <v>Suspended</v>
      </c>
      <c r="CX120" s="414" t="s">
        <v>30</v>
      </c>
      <c r="CY120" s="408" t="str">
        <f>'raw data'!HJ134</f>
        <v>Suspended</v>
      </c>
      <c r="CZ120" s="409" t="str">
        <f>'raw data'!HK134</f>
        <v>Suspended</v>
      </c>
      <c r="DA120" s="414" t="s">
        <v>30</v>
      </c>
      <c r="DB120" s="408" t="str">
        <f>'raw data'!HL134</f>
        <v>Suspended</v>
      </c>
      <c r="DC120" s="409" t="str">
        <f>'raw data'!HM134</f>
        <v>Suspended</v>
      </c>
      <c r="DD120" s="414" t="s">
        <v>30</v>
      </c>
      <c r="DE120" s="408" t="str">
        <f>'raw data'!HN134</f>
        <v>Suspended</v>
      </c>
      <c r="DF120" s="409" t="str">
        <f>'raw data'!HO134</f>
        <v>Suspended</v>
      </c>
      <c r="DG120" s="414" t="s">
        <v>30</v>
      </c>
      <c r="DH120" s="408" t="str">
        <f>'raw data'!HP134</f>
        <v>Suspended</v>
      </c>
      <c r="DI120" s="409" t="str">
        <f>'raw data'!HQ134</f>
        <v>Suspended</v>
      </c>
      <c r="DJ120" s="414" t="s">
        <v>30</v>
      </c>
      <c r="DK120" s="408" t="str">
        <f>'raw data'!HR134</f>
        <v>Suspended</v>
      </c>
      <c r="DL120" s="409" t="str">
        <f>'raw data'!HS134</f>
        <v>Suspended</v>
      </c>
      <c r="DM120" s="414" t="s">
        <v>30</v>
      </c>
      <c r="DN120" s="408" t="str">
        <f>'raw data'!HT134</f>
        <v>Suspended</v>
      </c>
      <c r="DO120" s="409" t="str">
        <f>'raw data'!HU134</f>
        <v>Suspended</v>
      </c>
      <c r="DP120" s="414" t="s">
        <v>30</v>
      </c>
      <c r="DQ120" s="408" t="str">
        <f>'raw data'!HV134</f>
        <v>Suspended</v>
      </c>
      <c r="DR120" s="409" t="str">
        <f>'raw data'!HW134</f>
        <v>Suspended</v>
      </c>
      <c r="DS120" s="414" t="s">
        <v>30</v>
      </c>
      <c r="DT120" s="408" t="str">
        <f>'raw data'!HX134</f>
        <v>Suspended</v>
      </c>
      <c r="DU120" s="409" t="str">
        <f>'raw data'!HY134</f>
        <v>Suspended</v>
      </c>
      <c r="DV120" s="414" t="s">
        <v>30</v>
      </c>
      <c r="DW120" s="408" t="str">
        <f>'raw data'!HZ134</f>
        <v>Suspended</v>
      </c>
      <c r="DX120" s="409" t="str">
        <f>'raw data'!IA134</f>
        <v>Suspended</v>
      </c>
      <c r="DY120" s="414" t="s">
        <v>30</v>
      </c>
      <c r="DZ120" s="408" t="str">
        <f>'raw data'!IB134</f>
        <v>Suspended</v>
      </c>
      <c r="EA120" s="409" t="str">
        <f>'raw data'!IC134</f>
        <v>Suspended</v>
      </c>
      <c r="EB120" s="414" t="s">
        <v>30</v>
      </c>
      <c r="EC120" s="408" t="str">
        <f>'raw data'!ID134</f>
        <v>Suspended</v>
      </c>
      <c r="ED120" s="409" t="str">
        <f>'raw data'!IE134</f>
        <v>Suspended</v>
      </c>
      <c r="EE120" s="414" t="s">
        <v>30</v>
      </c>
      <c r="EF120" s="408" t="str">
        <f>'raw data'!IF134</f>
        <v>Suspended</v>
      </c>
      <c r="EG120" s="409" t="str">
        <f>'raw data'!IG134</f>
        <v>Suspended</v>
      </c>
      <c r="EH120" s="414" t="s">
        <v>30</v>
      </c>
      <c r="EI120" s="408" t="str">
        <f>'raw data'!IH134</f>
        <v>Suspended</v>
      </c>
      <c r="EJ120" s="409" t="str">
        <f>'raw data'!II134</f>
        <v>Suspended</v>
      </c>
      <c r="EK120" s="414" t="s">
        <v>30</v>
      </c>
      <c r="EL120" s="408" t="str">
        <f>'raw data'!IJ134</f>
        <v>Suspended</v>
      </c>
      <c r="EM120" s="409" t="str">
        <f>'raw data'!IK134</f>
        <v>Suspended</v>
      </c>
      <c r="EN120" s="414" t="s">
        <v>30</v>
      </c>
      <c r="EO120" s="408" t="str">
        <f>'raw data'!IL134</f>
        <v>Suspended</v>
      </c>
      <c r="EP120" s="409" t="str">
        <f>'raw data'!IM134</f>
        <v>Suspended</v>
      </c>
      <c r="EQ120" s="414" t="s">
        <v>30</v>
      </c>
      <c r="ER120" s="408" t="str">
        <f>'raw data'!IN134</f>
        <v>Suspended</v>
      </c>
      <c r="ES120" s="409" t="str">
        <f>'raw data'!IO134</f>
        <v>Suspended</v>
      </c>
      <c r="ET120" s="414" t="s">
        <v>30</v>
      </c>
      <c r="EU120" s="408" t="str">
        <f>'raw data'!IP134</f>
        <v>Suspended</v>
      </c>
      <c r="EV120" s="409" t="str">
        <f>'raw data'!IQ134</f>
        <v>Suspended</v>
      </c>
      <c r="EW120" s="414" t="s">
        <v>30</v>
      </c>
      <c r="EX120" s="408" t="str">
        <f>'raw data'!IR134</f>
        <v>Suspended</v>
      </c>
      <c r="EY120" s="409" t="str">
        <f>'raw data'!IS134</f>
        <v>Suspended</v>
      </c>
      <c r="EZ120" s="414" t="s">
        <v>30</v>
      </c>
      <c r="FA120" s="408" t="str">
        <f>'raw data'!IT134</f>
        <v>Suspended</v>
      </c>
      <c r="FB120" s="409" t="str">
        <f>'raw data'!IU134</f>
        <v>Suspended</v>
      </c>
      <c r="FC120" s="414" t="s">
        <v>30</v>
      </c>
      <c r="FD120" s="408" t="str">
        <f>'raw data'!IV134</f>
        <v>Suspended</v>
      </c>
      <c r="FE120" s="409" t="str">
        <f>'raw data'!IW134</f>
        <v>Suspended</v>
      </c>
      <c r="FF120" s="414" t="s">
        <v>30</v>
      </c>
      <c r="FG120" s="408" t="str">
        <f>'raw data'!IX134</f>
        <v>Suspended</v>
      </c>
      <c r="FH120" s="409" t="str">
        <f>'raw data'!IY134</f>
        <v>Suspended</v>
      </c>
      <c r="FI120" s="414" t="s">
        <v>30</v>
      </c>
      <c r="FJ120" s="408" t="str">
        <f>'raw data'!IZ134</f>
        <v>Suspended</v>
      </c>
      <c r="FK120" s="409" t="str">
        <f>'raw data'!JA134</f>
        <v>Suspended</v>
      </c>
      <c r="FL120" s="414" t="s">
        <v>30</v>
      </c>
      <c r="FM120" s="408" t="str">
        <f>'raw data'!JB134</f>
        <v>Suspended</v>
      </c>
      <c r="FN120" s="409" t="str">
        <f>'raw data'!JC134</f>
        <v>Suspended</v>
      </c>
      <c r="FO120" s="414" t="s">
        <v>30</v>
      </c>
      <c r="FP120" s="408" t="str">
        <f>'raw data'!JD134</f>
        <v>Suspended</v>
      </c>
      <c r="FQ120" s="409" t="str">
        <f>'raw data'!JE134</f>
        <v>Suspended</v>
      </c>
      <c r="FR120" s="414" t="s">
        <v>30</v>
      </c>
      <c r="FS120" s="469"/>
      <c r="FT120" s="599">
        <v>0</v>
      </c>
      <c r="FU120" s="600">
        <v>0</v>
      </c>
      <c r="FV120" s="601">
        <f t="shared" si="6"/>
        <v>0</v>
      </c>
    </row>
    <row r="121" spans="1:178" ht="14" x14ac:dyDescent="0.15">
      <c r="A121" s="415"/>
      <c r="B121" s="587" t="s">
        <v>225</v>
      </c>
      <c r="C121" s="588" t="s">
        <v>225</v>
      </c>
      <c r="D121" s="603">
        <f>SUM(D113:D120)</f>
        <v>27</v>
      </c>
      <c r="E121" s="604">
        <f>SUM(E113:E120)</f>
        <v>126</v>
      </c>
      <c r="F121" s="605">
        <f>IF(ISERROR('raw data'!ET135/'raw data'!EU135),0,'raw data'!ET135/'raw data'!EU135)</f>
        <v>0.21428571428571427</v>
      </c>
      <c r="G121" s="606">
        <f>SUM(G113:G120)</f>
        <v>18</v>
      </c>
      <c r="H121" s="607">
        <f>SUM(H113:H120)</f>
        <v>151</v>
      </c>
      <c r="I121" s="605">
        <f>IF(ISERROR('raw data'!EV135/'raw data'!EW135),0,'raw data'!EV135/'raw data'!EW135)</f>
        <v>0.11920529801324503</v>
      </c>
      <c r="J121" s="606">
        <f>SUM(J113:J120)</f>
        <v>34</v>
      </c>
      <c r="K121" s="607">
        <f>SUM(K113:K120)</f>
        <v>127</v>
      </c>
      <c r="L121" s="605">
        <f>IF(ISERROR('raw data'!EX135/'raw data'!EY135),0,'raw data'!EX135/'raw data'!EY135)</f>
        <v>0.26771653543307089</v>
      </c>
      <c r="M121" s="606">
        <f>SUM(M113:M120)</f>
        <v>28</v>
      </c>
      <c r="N121" s="607">
        <f>SUM(N113:N120)</f>
        <v>105</v>
      </c>
      <c r="O121" s="605">
        <f>IF(ISERROR('raw data'!EZ135/'raw data'!FA135),0,'raw data'!EZ135/'raw data'!FA135)</f>
        <v>0.26666666666666666</v>
      </c>
      <c r="P121" s="606">
        <f>SUM(P113:P120)</f>
        <v>23</v>
      </c>
      <c r="Q121" s="607">
        <f>SUM(Q113:Q120)</f>
        <v>82</v>
      </c>
      <c r="R121" s="605">
        <f>IF(ISERROR('raw data'!FB135/'raw data'!FC135),0,'raw data'!FB135/'raw data'!FC135)</f>
        <v>0.28048780487804881</v>
      </c>
      <c r="S121" s="606">
        <f>SUM(S113:S120)</f>
        <v>27</v>
      </c>
      <c r="T121" s="607">
        <f>SUM(T113:T120)</f>
        <v>121</v>
      </c>
      <c r="U121" s="605">
        <f>IF(ISERROR('raw data'!FD135/'raw data'!FE135),0,'raw data'!FD135/'raw data'!FE135)</f>
        <v>0.2231404958677686</v>
      </c>
      <c r="V121" s="606">
        <f>SUM(V113:V120)</f>
        <v>36</v>
      </c>
      <c r="W121" s="607">
        <f>SUM(W113:W120)</f>
        <v>107</v>
      </c>
      <c r="X121" s="605">
        <f>IF(ISERROR('raw data'!FF135/'raw data'!FG135),0,'raw data'!FF135/'raw data'!FG135)</f>
        <v>0.3364485981308411</v>
      </c>
      <c r="Y121" s="606">
        <f>SUM(Y113:Y120)</f>
        <v>29</v>
      </c>
      <c r="Z121" s="607">
        <f>SUM(Z113:Z120)</f>
        <v>115</v>
      </c>
      <c r="AA121" s="605">
        <f>IF(ISERROR('raw data'!FH135/'raw data'!FI135),0,'raw data'!FH135/'raw data'!FI135)</f>
        <v>0.25217391304347825</v>
      </c>
      <c r="AB121" s="606">
        <f>SUM(AB113:AB120)</f>
        <v>40</v>
      </c>
      <c r="AC121" s="607">
        <f>SUM(AC113:AC120)</f>
        <v>137</v>
      </c>
      <c r="AD121" s="605">
        <f>IF(ISERROR('raw data'!FJ135/'raw data'!FM135),0,'raw data'!FJ135/'raw data'!FM135)</f>
        <v>0.29197080291970801</v>
      </c>
      <c r="AE121" s="606">
        <f>SUM(AE113:AE120)</f>
        <v>138</v>
      </c>
      <c r="AF121" s="607">
        <f>SUM(AF113:AF120)</f>
        <v>259</v>
      </c>
      <c r="AG121" s="605">
        <f>IF(ISERROR('raw data'!FN135/'raw data'!FO135),0,'raw data'!FN135/'raw data'!FO135)</f>
        <v>0.53281853281853286</v>
      </c>
      <c r="AH121" s="606">
        <f>SUM(AH113:AH120)</f>
        <v>63</v>
      </c>
      <c r="AI121" s="607">
        <f>SUM(AI113:AI120)</f>
        <v>180</v>
      </c>
      <c r="AJ121" s="605">
        <f>IF(ISERROR('raw data'!FP135/'raw data'!FQ135),0,'raw data'!FP135/'raw data'!FQ135)</f>
        <v>0.35</v>
      </c>
      <c r="AK121" s="606">
        <f>SUM(AK113:AK120)</f>
        <v>47</v>
      </c>
      <c r="AL121" s="607">
        <f>SUM(AL113:AL120)</f>
        <v>143</v>
      </c>
      <c r="AM121" s="605">
        <f>IF(ISERROR('raw data'!FR135/'raw data'!FS135),0,'raw data'!FR135/'raw data'!FS135)</f>
        <v>0.32867132867132864</v>
      </c>
      <c r="AN121" s="606">
        <f>SUM(AN113:AN120)</f>
        <v>51</v>
      </c>
      <c r="AO121" s="607">
        <f>SUM(AO113:AO120)</f>
        <v>171</v>
      </c>
      <c r="AP121" s="605">
        <f>IF(ISERROR('raw data'!FT135/'raw data'!FU135),0,'raw data'!FT135/'raw data'!FU135)</f>
        <v>0.2982456140350877</v>
      </c>
      <c r="AQ121" s="608">
        <f>SUM(AQ113:AQ120)</f>
        <v>137</v>
      </c>
      <c r="AR121" s="607">
        <f>SUM(AR113:AR120)</f>
        <v>279</v>
      </c>
      <c r="AS121" s="605">
        <f>IF(ISERROR('raw data'!FV135/'raw data'!FW135),0,'raw data'!FV135/'raw data'!FW135)</f>
        <v>0.49103942652329752</v>
      </c>
      <c r="AT121" s="608">
        <f>SUM(AT113:AT120)</f>
        <v>83</v>
      </c>
      <c r="AU121" s="607">
        <f>SUM(AU113:AU120)</f>
        <v>178</v>
      </c>
      <c r="AV121" s="605">
        <f>IF(ISERROR('raw data'!FX135/'raw data'!FY135),0,'raw data'!FX135/'raw data'!FY135)</f>
        <v>0.46629213483146065</v>
      </c>
      <c r="AW121" s="608">
        <f>SUM(AW113:AW120)</f>
        <v>54</v>
      </c>
      <c r="AX121" s="607">
        <f>SUM(AX113:AX120)</f>
        <v>128</v>
      </c>
      <c r="AY121" s="605">
        <f>IF(ISERROR('raw data'!FZ135/'raw data'!GA135),0,'raw data'!FZ135/'raw data'!GA135)</f>
        <v>0.421875</v>
      </c>
      <c r="AZ121" s="608">
        <f>SUM(AZ113:AZ120)</f>
        <v>50</v>
      </c>
      <c r="BA121" s="607">
        <f>SUM(BA113:BA120)</f>
        <v>68</v>
      </c>
      <c r="BB121" s="605">
        <f>IF(ISERROR('raw data'!GB135/'raw data'!GC135),0,'raw data'!GB135/'raw data'!GC135)</f>
        <v>0.73529411764705888</v>
      </c>
      <c r="BC121" s="608">
        <f>SUM(BC113:BC120)</f>
        <v>8</v>
      </c>
      <c r="BD121" s="607">
        <f>SUM(BD113:BD120)</f>
        <v>144</v>
      </c>
      <c r="BE121" s="605">
        <f>IF(ISERROR('raw data'!GD135/'raw data'!GE135),0,'raw data'!GD135/'raw data'!GE135)</f>
        <v>5.5555555555555552E-2</v>
      </c>
      <c r="BF121" s="608">
        <f>SUM(BF113:BF120)</f>
        <v>36</v>
      </c>
      <c r="BG121" s="607">
        <f>SUM(BG113:BG120)</f>
        <v>60</v>
      </c>
      <c r="BH121" s="605">
        <f>IF(ISERROR('raw data'!GF135/'raw data'!GG135),0,'raw data'!GF135/'raw data'!GG135)</f>
        <v>0.6</v>
      </c>
      <c r="BI121" s="608">
        <f>SUM(BI113:BI120)</f>
        <v>57</v>
      </c>
      <c r="BJ121" s="607">
        <f>SUM(BJ113:BJ120)</f>
        <v>93</v>
      </c>
      <c r="BK121" s="605">
        <f>IF(ISERROR('raw data'!GH135/'raw data'!GI135),0,'raw data'!GH135/'raw data'!GI135)</f>
        <v>0.61290322580645162</v>
      </c>
      <c r="BL121" s="608">
        <f>SUM(BL113:BL120)</f>
        <v>22</v>
      </c>
      <c r="BM121" s="607">
        <f>SUM(BM113:BM120)</f>
        <v>45</v>
      </c>
      <c r="BN121" s="605">
        <f>IF(ISERROR('raw data'!GJ135/'raw data'!GK135),0,'raw data'!GJ135/'raw data'!GK135)</f>
        <v>0.48888888888888887</v>
      </c>
      <c r="BO121" s="608">
        <f>SUM(BO113:BO120)</f>
        <v>31</v>
      </c>
      <c r="BP121" s="607">
        <f>SUM(BP113:BP120)</f>
        <v>72</v>
      </c>
      <c r="BQ121" s="605">
        <f>IF(ISERROR('raw data'!GL135/'raw data'!GM135),0,'raw data'!GL135/'raw data'!GM135)</f>
        <v>0.43055555555555558</v>
      </c>
      <c r="BR121" s="609">
        <f>SUM(BR113:BR120)</f>
        <v>8</v>
      </c>
      <c r="BS121" s="607">
        <f>SUM(BS113:BS120)</f>
        <v>45</v>
      </c>
      <c r="BT121" s="605">
        <f>IF(ISERROR('raw data'!GN135/'raw data'!GO135),0,'raw data'!GN135/'raw data'!GO135)</f>
        <v>0.17777777777777778</v>
      </c>
      <c r="BU121" s="609">
        <f>SUM(BU113:BU120)</f>
        <v>15</v>
      </c>
      <c r="BV121" s="607">
        <f>SUM(BV113:BV120)</f>
        <v>42</v>
      </c>
      <c r="BW121" s="605">
        <f>IF(ISERROR('raw data'!GP135/'raw data'!GQ135),0,'raw data'!GP135/'raw data'!GQ135)</f>
        <v>0.35714285714285715</v>
      </c>
      <c r="BX121" s="609">
        <f>SUM(BX113:BX120)</f>
        <v>23</v>
      </c>
      <c r="BY121" s="607">
        <f>SUM(BY113:BY120)</f>
        <v>53</v>
      </c>
      <c r="BZ121" s="605">
        <f>IF(ISERROR('raw data'!GR135/'raw data'!GS135),0,'raw data'!GR135/'raw data'!GS135)</f>
        <v>0.43396226415094341</v>
      </c>
      <c r="CA121" s="609">
        <f>SUM(CA113:CA120)</f>
        <v>15</v>
      </c>
      <c r="CB121" s="607">
        <f>SUM(CB113:CB120)</f>
        <v>54</v>
      </c>
      <c r="CC121" s="605">
        <f>IF(ISERROR('raw data'!GT135/'raw data'!GU135),0,'raw data'!GT135/'raw data'!GU135)</f>
        <v>0.27777777777777779</v>
      </c>
      <c r="CD121" s="609">
        <f>SUM(CD113:CD120)</f>
        <v>31</v>
      </c>
      <c r="CE121" s="607">
        <f>SUM(CE113:CE120)</f>
        <v>46</v>
      </c>
      <c r="CF121" s="605">
        <f>IF(ISERROR('raw data'!GV135/'raw data'!GW135),0,'raw data'!GV135/'raw data'!GW135)</f>
        <v>0.67391304347826086</v>
      </c>
      <c r="CG121" s="609">
        <f>SUM(CG113:CG120)</f>
        <v>28</v>
      </c>
      <c r="CH121" s="607">
        <f>SUM(CH113:CH120)</f>
        <v>47</v>
      </c>
      <c r="CI121" s="605">
        <f>IF(ISERROR('raw data'!GX135/'raw data'!GY135),0,'raw data'!GX135/'raw data'!GY135)</f>
        <v>0.5957446808510638</v>
      </c>
      <c r="CJ121" s="609">
        <f>SUM(CJ113:CJ120)</f>
        <v>0</v>
      </c>
      <c r="CK121" s="607">
        <f>SUM(CK113:CK120)</f>
        <v>0</v>
      </c>
      <c r="CL121" s="605">
        <f>IF(ISERROR('raw data'!GZ135/'raw data'!HA135),0,'raw data'!GZ135/'raw data'!HA135)</f>
        <v>0</v>
      </c>
      <c r="CM121" s="609">
        <f>SUM(CM113:CM120)</f>
        <v>67</v>
      </c>
      <c r="CN121" s="607">
        <f>SUM(CN113:CN120)</f>
        <v>107</v>
      </c>
      <c r="CO121" s="605">
        <f>IF(ISERROR('raw data'!HB135/'raw data'!HC135),0,'raw data'!HB135/'raw data'!HC135)</f>
        <v>0.62616822429906538</v>
      </c>
      <c r="CP121" s="609">
        <f>SUM(CP113:CP120)</f>
        <v>10</v>
      </c>
      <c r="CQ121" s="607">
        <f>SUM(CQ113:CQ120)</f>
        <v>18</v>
      </c>
      <c r="CR121" s="605">
        <f>IF(ISERROR('raw data'!HD135/'raw data'!HE135),0,'raw data'!HD135/'raw data'!HE135)</f>
        <v>0.55555555555555558</v>
      </c>
      <c r="CS121" s="609">
        <f>SUM(CS113:CS120)</f>
        <v>36</v>
      </c>
      <c r="CT121" s="607">
        <f>SUM(CT113:CT120)</f>
        <v>68</v>
      </c>
      <c r="CU121" s="605">
        <f>IF(ISERROR('raw data'!HF135/'raw data'!HG135),0,'raw data'!HF135/'raw data'!HG135)</f>
        <v>0.52941176470588236</v>
      </c>
      <c r="CV121" s="609">
        <f>SUM(CV113:CV120)</f>
        <v>91</v>
      </c>
      <c r="CW121" s="607">
        <f>SUM(CW113:CW120)</f>
        <v>159</v>
      </c>
      <c r="CX121" s="605">
        <f>IF(ISERROR('raw data'!HH135/'raw data'!HI135),0,'raw data'!HH135/'raw data'!HI135)</f>
        <v>0.57232704402515722</v>
      </c>
      <c r="CY121" s="609">
        <f>SUM(CY113:CY120)</f>
        <v>29</v>
      </c>
      <c r="CZ121" s="607">
        <f>SUM(CZ113:CZ120)</f>
        <v>61</v>
      </c>
      <c r="DA121" s="605">
        <f>IF(ISERROR('raw data'!HJ135/'raw data'!HK135),0,'raw data'!HJ135/'raw data'!HK135)</f>
        <v>0.47540983606557374</v>
      </c>
      <c r="DB121" s="609">
        <f>SUM(DB113:DB120)</f>
        <v>28</v>
      </c>
      <c r="DC121" s="607">
        <f>SUM(DC113:DC120)</f>
        <v>42</v>
      </c>
      <c r="DD121" s="605">
        <f>IF(ISERROR('raw data'!HL135/'raw data'!HM135),0,'raw data'!HL135/'raw data'!HM135)</f>
        <v>0.66666666666666663</v>
      </c>
      <c r="DE121" s="609">
        <f>SUM(DE113:DE120)</f>
        <v>34</v>
      </c>
      <c r="DF121" s="607">
        <f>SUM(DF113:DF120)</f>
        <v>49</v>
      </c>
      <c r="DG121" s="605">
        <f>IF(ISERROR('raw data'!HN135/'raw data'!HO135),0,'raw data'!HN135/'raw data'!HO135)</f>
        <v>0.69387755102040816</v>
      </c>
      <c r="DH121" s="609">
        <f>SUM(DH113:DH120)</f>
        <v>43</v>
      </c>
      <c r="DI121" s="607">
        <f>SUM(DI113:DI120)</f>
        <v>89</v>
      </c>
      <c r="DJ121" s="605">
        <f>IF(ISERROR('raw data'!HP135/'raw data'!HQ135),0,'raw data'!HP135/'raw data'!HQ135)</f>
        <v>0.48314606741573035</v>
      </c>
      <c r="DK121" s="609">
        <f>SUM(DK113:DK120)</f>
        <v>30</v>
      </c>
      <c r="DL121" s="607">
        <f>SUM(DL113:DL120)</f>
        <v>57</v>
      </c>
      <c r="DM121" s="605">
        <f>IF(ISERROR('raw data'!HR135/'raw data'!HS135),0,'raw data'!HR135/'raw data'!HS135)</f>
        <v>0.52631578947368418</v>
      </c>
      <c r="DN121" s="609">
        <f>SUM(DN113:DN120)</f>
        <v>44</v>
      </c>
      <c r="DO121" s="607">
        <f>SUM(DO113:DO120)</f>
        <v>57</v>
      </c>
      <c r="DP121" s="605">
        <f>IF(ISERROR('raw data'!HT135/'raw data'!HU135),0,'raw data'!HT135/'raw data'!HU135)</f>
        <v>0.77192982456140347</v>
      </c>
      <c r="DQ121" s="609">
        <f>SUM(DQ113:DQ120)</f>
        <v>43</v>
      </c>
      <c r="DR121" s="607">
        <f>SUM(DR113:DR120)</f>
        <v>59</v>
      </c>
      <c r="DS121" s="605">
        <f>IF(ISERROR('raw data'!HV135/'raw data'!HW135),0,'raw data'!HV135/'raw data'!HW135)</f>
        <v>0.72881355932203384</v>
      </c>
      <c r="DT121" s="609">
        <f>SUM(DT113:DT120)</f>
        <v>39</v>
      </c>
      <c r="DU121" s="607">
        <f>SUM(DU113:DU120)</f>
        <v>78</v>
      </c>
      <c r="DV121" s="605">
        <f>IF(ISERROR('raw data'!HX135/'raw data'!HY135),0,'raw data'!HX135/'raw data'!HY135)</f>
        <v>0.5</v>
      </c>
      <c r="DW121" s="609">
        <f>SUM(DW113:DW120)</f>
        <v>48</v>
      </c>
      <c r="DX121" s="607">
        <f>SUM(DX113:DX120)</f>
        <v>68</v>
      </c>
      <c r="DY121" s="605">
        <f>IF(ISERROR('raw data'!HZ135/'raw data'!IA135),0,'raw data'!HZ135/'raw data'!IA135)</f>
        <v>0.70588235294117652</v>
      </c>
      <c r="DZ121" s="610">
        <f>SUM(DZ113:DZ120)</f>
        <v>30</v>
      </c>
      <c r="EA121" s="611">
        <f>SUM(EA113:EA120)</f>
        <v>48</v>
      </c>
      <c r="EB121" s="605">
        <f>IF(ISERROR('raw data'!IB135/'raw data'!IC135),0,'raw data'!IB135/'raw data'!IC135)</f>
        <v>0.625</v>
      </c>
      <c r="EC121" s="610">
        <f>SUM(EC113:EC120)</f>
        <v>30</v>
      </c>
      <c r="ED121" s="611">
        <f>SUM(ED113:ED120)</f>
        <v>51</v>
      </c>
      <c r="EE121" s="605">
        <f>IF(ISERROR('raw data'!ID135/'raw data'!IE135),0,'raw data'!ID135/'raw data'!IE135)</f>
        <v>0.58823529411764708</v>
      </c>
      <c r="EF121" s="610">
        <f>SUM(EF113:EF120)</f>
        <v>54</v>
      </c>
      <c r="EG121" s="611">
        <f>SUM(EG113:EG120)</f>
        <v>93</v>
      </c>
      <c r="EH121" s="605">
        <f>IF(ISERROR('raw data'!IF135/'raw data'!IG135),0,'raw data'!IF135/'raw data'!IG135)</f>
        <v>0.58064516129032262</v>
      </c>
      <c r="EI121" s="610">
        <f>SUM(EI113:EI120)</f>
        <v>28</v>
      </c>
      <c r="EJ121" s="611">
        <f>SUM(EJ113:EJ120)</f>
        <v>48</v>
      </c>
      <c r="EK121" s="605">
        <f>IF(ISERROR('raw data'!IH135/'raw data'!II135),0,'raw data'!IH135/'raw data'!II135)</f>
        <v>0.58333333333333337</v>
      </c>
      <c r="EL121" s="610">
        <f>SUM(EL113:EL120)</f>
        <v>47</v>
      </c>
      <c r="EM121" s="611">
        <f>SUM(EM113:EM120)</f>
        <v>85</v>
      </c>
      <c r="EN121" s="605">
        <f>IF(ISERROR('raw data'!IJ135/'raw data'!IK135),0,'raw data'!IJ135/'raw data'!IK135)</f>
        <v>0.55294117647058827</v>
      </c>
      <c r="EO121" s="610">
        <f>SUM(EO113:EO120)</f>
        <v>60</v>
      </c>
      <c r="EP121" s="611">
        <f>SUM(EP113:EP120)</f>
        <v>103</v>
      </c>
      <c r="EQ121" s="605">
        <f>IF(ISERROR('raw data'!IL135/'raw data'!IM135),0,'raw data'!IL135/'raw data'!IM135)</f>
        <v>0.58252427184466016</v>
      </c>
      <c r="ER121" s="610">
        <f>SUM(ER113:ER120)</f>
        <v>54</v>
      </c>
      <c r="ES121" s="611">
        <f>SUM(ES113:ES120)</f>
        <v>94</v>
      </c>
      <c r="ET121" s="605">
        <f>IF(ISERROR('raw data'!IN135/'raw data'!IO135),0,'raw data'!IN135/'raw data'!IO135)</f>
        <v>0.57446808510638303</v>
      </c>
      <c r="EU121" s="610">
        <f>SUM(EU113:EU120)</f>
        <v>58</v>
      </c>
      <c r="EV121" s="611">
        <f>SUM(EV113:EV120)</f>
        <v>82</v>
      </c>
      <c r="EW121" s="605">
        <f>IF(ISERROR('raw data'!IP135/'raw data'!IQ135),0,'raw data'!IP135/'raw data'!IQ135)</f>
        <v>0.70731707317073167</v>
      </c>
      <c r="EX121" s="610">
        <f>SUM(EX113:EX120)</f>
        <v>55</v>
      </c>
      <c r="EY121" s="611">
        <f>SUM(EY113:EY120)</f>
        <v>83</v>
      </c>
      <c r="EZ121" s="605">
        <f>IF(ISERROR('raw data'!IR135/'raw data'!IS135),0,'raw data'!IR135/'raw data'!IS135)</f>
        <v>0.66265060240963858</v>
      </c>
      <c r="FA121" s="610">
        <f>SUM(FA113:FA120)</f>
        <v>69</v>
      </c>
      <c r="FB121" s="611">
        <f>SUM(FB113:FB120)</f>
        <v>108</v>
      </c>
      <c r="FC121" s="605">
        <f>IF(ISERROR('raw data'!IT135/'raw data'!IU135),0,'raw data'!IT135/'raw data'!IU135)</f>
        <v>0.63888888888888884</v>
      </c>
      <c r="FD121" s="610">
        <f>SUM(FD113:FD120)</f>
        <v>43</v>
      </c>
      <c r="FE121" s="611">
        <f>SUM(FE113:FE120)</f>
        <v>75</v>
      </c>
      <c r="FF121" s="605">
        <f>IF(ISERROR('raw data'!IV135/'raw data'!IW135),0,'raw data'!IV135/'raw data'!IW135)</f>
        <v>0.57333333333333336</v>
      </c>
      <c r="FG121" s="610">
        <f>SUM(FG113:FG120)</f>
        <v>42</v>
      </c>
      <c r="FH121" s="611">
        <f>SUM(FH113:FH120)</f>
        <v>72</v>
      </c>
      <c r="FI121" s="605">
        <f>IF(ISERROR('raw data'!IX135/'raw data'!IY135),0,'raw data'!IX135/'raw data'!IY135)</f>
        <v>0.58333333333333337</v>
      </c>
      <c r="FJ121" s="610">
        <f>SUM(FJ113:FJ120)</f>
        <v>32</v>
      </c>
      <c r="FK121" s="611">
        <f>SUM(FK113:FK120)</f>
        <v>52</v>
      </c>
      <c r="FL121" s="605">
        <f>IF(ISERROR('raw data'!IZ135/'raw data'!JA135),0,'raw data'!IZ135/'raw data'!JA135)</f>
        <v>0.61538461538461542</v>
      </c>
      <c r="FM121" s="610">
        <f>SUM(FM113:FM120)</f>
        <v>47</v>
      </c>
      <c r="FN121" s="611">
        <f>SUM(FN113:FN120)</f>
        <v>74</v>
      </c>
      <c r="FO121" s="605">
        <f>IF(ISERROR('raw data'!JB135/'raw data'!JC135),0,'raw data'!JB135/'raw data'!JC135)</f>
        <v>0.63513513513513509</v>
      </c>
      <c r="FP121" s="610">
        <f>SUM(FP113:FP120)</f>
        <v>33</v>
      </c>
      <c r="FQ121" s="611">
        <f>SUM(FQ113:FQ120)</f>
        <v>68</v>
      </c>
      <c r="FR121" s="605">
        <f>IF(ISERROR('raw data'!JD135/'raw data'!JE135),0,'raw data'!JD135/'raw data'!JE135)</f>
        <v>0.48529411764705882</v>
      </c>
      <c r="FS121" s="469"/>
      <c r="FT121" s="428">
        <f>SUM(FT113:FT120)</f>
        <v>568</v>
      </c>
      <c r="FU121" s="612">
        <f>SUM(FU113:FU120)</f>
        <v>944</v>
      </c>
      <c r="FV121" s="430">
        <f>IF(ISERROR(FT121/FU121),0,FT121/FU121)</f>
        <v>0.60169491525423724</v>
      </c>
    </row>
    <row r="122" spans="1:178" ht="20" customHeight="1" x14ac:dyDescent="0.15">
      <c r="A122" s="613" t="s">
        <v>226</v>
      </c>
      <c r="B122" s="614" t="s">
        <v>227</v>
      </c>
      <c r="C122" s="614" t="s">
        <v>227</v>
      </c>
      <c r="D122" s="615">
        <f>'raw data'!ET143</f>
        <v>51</v>
      </c>
      <c r="E122" s="616">
        <f>'raw data'!EU143</f>
        <v>200</v>
      </c>
      <c r="F122" s="617">
        <f>IF(ISERROR('raw data'!ET143/'raw data'!EU143),0,'raw data'!ET143/'raw data'!EU143)</f>
        <v>0.255</v>
      </c>
      <c r="G122" s="615">
        <f>'raw data'!EV143</f>
        <v>20</v>
      </c>
      <c r="H122" s="616">
        <f>'raw data'!EW143</f>
        <v>100</v>
      </c>
      <c r="I122" s="617">
        <f>IF(ISERROR('raw data'!EV143/'raw data'!EW143),0,'raw data'!EV143/'raw data'!EW143)</f>
        <v>0.2</v>
      </c>
      <c r="J122" s="615">
        <f>'raw data'!EX143</f>
        <v>22</v>
      </c>
      <c r="K122" s="616">
        <f>'raw data'!EY143</f>
        <v>100</v>
      </c>
      <c r="L122" s="618">
        <f>IF(ISERROR('raw data'!EX143/'raw data'!EY143),0,'raw data'!EX143/'raw data'!EY143)</f>
        <v>0.22</v>
      </c>
      <c r="M122" s="615">
        <f>'raw data'!EZ143</f>
        <v>36</v>
      </c>
      <c r="N122" s="616">
        <f>'raw data'!FA143</f>
        <v>200</v>
      </c>
      <c r="O122" s="617">
        <f>IF(ISERROR('raw data'!EZ143/'raw data'!FA143),0,'raw data'!EZ143/'raw data'!FA143)</f>
        <v>0.18</v>
      </c>
      <c r="P122" s="615">
        <f>'raw data'!FB143</f>
        <v>83</v>
      </c>
      <c r="Q122" s="616">
        <f>'raw data'!FC143</f>
        <v>500</v>
      </c>
      <c r="R122" s="617">
        <f>IF(ISERROR('raw data'!FB143/'raw data'!FC143),0,'raw data'!FB143/'raw data'!FC143)</f>
        <v>0.16600000000000001</v>
      </c>
      <c r="S122" s="615">
        <f>'raw data'!FD143</f>
        <v>74</v>
      </c>
      <c r="T122" s="616">
        <f>'raw data'!FE143</f>
        <v>500</v>
      </c>
      <c r="U122" s="617">
        <f>IF(ISERROR('raw data'!FD143/'raw data'!FE143),0,'raw data'!FD143/'raw data'!FE143)</f>
        <v>0.14799999999999999</v>
      </c>
      <c r="V122" s="615">
        <f>'raw data'!FF143</f>
        <v>85</v>
      </c>
      <c r="W122" s="616">
        <f>'raw data'!FG143</f>
        <v>500</v>
      </c>
      <c r="X122" s="617">
        <f>IF(ISERROR('raw data'!FF143/'raw data'!FG143),0,'raw data'!FF143/'raw data'!FG143)</f>
        <v>0.17</v>
      </c>
      <c r="Y122" s="615">
        <f>'raw data'!FH143</f>
        <v>85</v>
      </c>
      <c r="Z122" s="616">
        <f>'raw data'!FI143</f>
        <v>400</v>
      </c>
      <c r="AA122" s="617">
        <f>IF(ISERROR('raw data'!FH143/'raw data'!FI143),0,'raw data'!FH143/'raw data'!FI143)</f>
        <v>0.21249999999999999</v>
      </c>
      <c r="AB122" s="615">
        <f>'raw data'!FJ143</f>
        <v>117</v>
      </c>
      <c r="AC122" s="616">
        <f>'raw data'!FM143</f>
        <v>600</v>
      </c>
      <c r="AD122" s="617">
        <f>IF(ISERROR('raw data'!FJ143/'raw data'!FM143),0,'raw data'!FJ143/'raw data'!FM143)</f>
        <v>0.19500000000000001</v>
      </c>
      <c r="AE122" s="615">
        <f>'raw data'!FN143</f>
        <v>101</v>
      </c>
      <c r="AF122" s="616">
        <f>'raw data'!FO143</f>
        <v>600</v>
      </c>
      <c r="AG122" s="617">
        <f>IF(ISERROR('raw data'!FN143/'raw data'!FO143),0,'raw data'!FN143/'raw data'!FO143)</f>
        <v>0.16833333333333333</v>
      </c>
      <c r="AH122" s="615">
        <f>'raw data'!FP143</f>
        <v>91</v>
      </c>
      <c r="AI122" s="616">
        <f>'raw data'!FQ143</f>
        <v>500</v>
      </c>
      <c r="AJ122" s="617">
        <f>IF(ISERROR('raw data'!FP143/'raw data'!FQ143),0,'raw data'!FP143/'raw data'!FQ143)</f>
        <v>0.182</v>
      </c>
      <c r="AK122" s="615">
        <f>'raw data'!FR143</f>
        <v>58</v>
      </c>
      <c r="AL122" s="616">
        <f>'raw data'!FS143</f>
        <v>500</v>
      </c>
      <c r="AM122" s="617">
        <f>IF(ISERROR('raw data'!FR143/'raw data'!FS143),0,'raw data'!FR143/'raw data'!FS143)</f>
        <v>0.11600000000000001</v>
      </c>
      <c r="AN122" s="615">
        <f>'raw data'!FT143</f>
        <v>43</v>
      </c>
      <c r="AO122" s="616">
        <f>'raw data'!FU143</f>
        <v>300</v>
      </c>
      <c r="AP122" s="617">
        <f>IF(ISERROR('raw data'!FT143/'raw data'!FU143),0,'raw data'!FT143/'raw data'!FU143)</f>
        <v>0.14333333333333334</v>
      </c>
      <c r="AQ122" s="615">
        <f>'raw data'!FV143</f>
        <v>45</v>
      </c>
      <c r="AR122" s="616">
        <f>'raw data'!FW143</f>
        <v>300</v>
      </c>
      <c r="AS122" s="617">
        <f>IF(ISERROR('raw data'!FV143/'raw data'!FW143),0,'raw data'!FV143/'raw data'!FW143)</f>
        <v>0.15</v>
      </c>
      <c r="AT122" s="615">
        <f>'raw data'!FX143</f>
        <v>21</v>
      </c>
      <c r="AU122" s="616">
        <f>'raw data'!FY143</f>
        <v>300</v>
      </c>
      <c r="AV122" s="617">
        <f>IF(ISERROR('raw data'!FX143/'raw data'!FY143),0,'raw data'!FX143/'raw data'!FY143)</f>
        <v>7.0000000000000007E-2</v>
      </c>
      <c r="AW122" s="615">
        <f>'raw data'!FZ143</f>
        <v>31</v>
      </c>
      <c r="AX122" s="616">
        <f>'raw data'!GA143</f>
        <v>300</v>
      </c>
      <c r="AY122" s="617">
        <f>IF(ISERROR('raw data'!FZ143/'raw data'!GA143),0,'raw data'!FZ143/'raw data'!GA143)</f>
        <v>0.10333333333333333</v>
      </c>
      <c r="AZ122" s="615">
        <f>'raw data'!GB143</f>
        <v>23</v>
      </c>
      <c r="BA122" s="616">
        <f>'raw data'!GC143</f>
        <v>200</v>
      </c>
      <c r="BB122" s="617">
        <f>IF(ISERROR('raw data'!GB143/'raw data'!GC143),0,'raw data'!GB143/'raw data'!GC143)</f>
        <v>0.115</v>
      </c>
      <c r="BC122" s="615">
        <f>'raw data'!GD143</f>
        <v>32</v>
      </c>
      <c r="BD122" s="616">
        <f>'raw data'!GE143</f>
        <v>300</v>
      </c>
      <c r="BE122" s="617">
        <f>IF(ISERROR('raw data'!GD143/'raw data'!GE143),0,'raw data'!GD143/'raw data'!GE143)</f>
        <v>0.10666666666666667</v>
      </c>
      <c r="BF122" s="615">
        <f>'raw data'!GF143</f>
        <v>47</v>
      </c>
      <c r="BG122" s="616">
        <f>'raw data'!GG143</f>
        <v>300</v>
      </c>
      <c r="BH122" s="617">
        <f>IF(ISERROR('raw data'!GF143/'raw data'!GG143),0,'raw data'!GF143/'raw data'!GG143)</f>
        <v>0.15666666666666668</v>
      </c>
      <c r="BI122" s="615">
        <f>'raw data'!GH143</f>
        <v>38</v>
      </c>
      <c r="BJ122" s="616">
        <f>'raw data'!GI143</f>
        <v>200</v>
      </c>
      <c r="BK122" s="617">
        <f>IF(ISERROR('raw data'!GH143/'raw data'!GI143),0,'raw data'!GH143/'raw data'!GI143)</f>
        <v>0.19</v>
      </c>
      <c r="BL122" s="615">
        <f>'raw data'!GJ143</f>
        <v>25</v>
      </c>
      <c r="BM122" s="616">
        <f>'raw data'!GK143</f>
        <v>200</v>
      </c>
      <c r="BN122" s="617">
        <f>IF(ISERROR('raw data'!GJ143/'raw data'!GK143),0,'raw data'!GJ143/'raw data'!GK143)</f>
        <v>0.125</v>
      </c>
      <c r="BO122" s="615">
        <f>'raw data'!GL143</f>
        <v>62</v>
      </c>
      <c r="BP122" s="616">
        <f>'raw data'!GM143</f>
        <v>400</v>
      </c>
      <c r="BQ122" s="617">
        <f>IF(ISERROR('raw data'!GL143/'raw data'!GM143),0,'raw data'!GL143/'raw data'!GM143)</f>
        <v>0.155</v>
      </c>
      <c r="BR122" s="615">
        <f>'raw data'!GN143</f>
        <v>46</v>
      </c>
      <c r="BS122" s="616">
        <f>'raw data'!GO143</f>
        <v>200</v>
      </c>
      <c r="BT122" s="617">
        <f>IF(ISERROR('raw data'!GN143/'raw data'!GO143),0,'raw data'!GN143/'raw data'!GO143)</f>
        <v>0.23</v>
      </c>
      <c r="BU122" s="615">
        <f>'raw data'!GP143</f>
        <v>20</v>
      </c>
      <c r="BV122" s="616">
        <f>'raw data'!GQ143</f>
        <v>200</v>
      </c>
      <c r="BW122" s="617">
        <f>IF(ISERROR('raw data'!GP143/'raw data'!GQ143),0,'raw data'!GP143/'raw data'!GQ143)</f>
        <v>0.1</v>
      </c>
      <c r="BX122" s="615">
        <f>'raw data'!GR143</f>
        <v>25</v>
      </c>
      <c r="BY122" s="616">
        <f>'raw data'!GS143</f>
        <v>200</v>
      </c>
      <c r="BZ122" s="617">
        <f>IF(ISERROR('raw data'!GR143/'raw data'!GS143),0,'raw data'!GR143/'raw data'!GS143)</f>
        <v>0.125</v>
      </c>
      <c r="CA122" s="615">
        <f>'raw data'!GT143</f>
        <v>25</v>
      </c>
      <c r="CB122" s="616">
        <f>'raw data'!GU143</f>
        <v>200</v>
      </c>
      <c r="CC122" s="617">
        <f>IF(ISERROR('raw data'!GT143/'raw data'!GU143),0,'raw data'!GT143/'raw data'!GU143)</f>
        <v>0.125</v>
      </c>
      <c r="CD122" s="615">
        <f>'raw data'!GV143</f>
        <v>30</v>
      </c>
      <c r="CE122" s="616">
        <f>'raw data'!GW143</f>
        <v>200</v>
      </c>
      <c r="CF122" s="617">
        <f>IF(ISERROR('raw data'!GV143/'raw data'!GW143),0,'raw data'!GV143/'raw data'!GW143)</f>
        <v>0.15</v>
      </c>
      <c r="CG122" s="615">
        <f>'raw data'!GX143</f>
        <v>35</v>
      </c>
      <c r="CH122" s="616">
        <f>'raw data'!GY143</f>
        <v>200</v>
      </c>
      <c r="CI122" s="617">
        <f>IF(ISERROR('raw data'!GX143/'raw data'!GY143),0,'raw data'!GX143/'raw data'!GY143)</f>
        <v>0.17499999999999999</v>
      </c>
      <c r="CJ122" s="615">
        <f>'raw data'!GZ143</f>
        <v>51</v>
      </c>
      <c r="CK122" s="616">
        <f>'raw data'!HA143</f>
        <v>200</v>
      </c>
      <c r="CL122" s="617">
        <f>IF(ISERROR('raw data'!GZ143/'raw data'!HA143),0,'raw data'!GZ143/'raw data'!HA143)</f>
        <v>0.255</v>
      </c>
      <c r="CM122" s="615">
        <f>'raw data'!HB143</f>
        <v>57</v>
      </c>
      <c r="CN122" s="616">
        <f>'raw data'!HC143</f>
        <v>250</v>
      </c>
      <c r="CO122" s="617">
        <f>IF(ISERROR('raw data'!HB143/'raw data'!HC143),0,'raw data'!HB143/'raw data'!HC143)</f>
        <v>0.22800000000000001</v>
      </c>
      <c r="CP122" s="615">
        <f>'raw data'!HD143</f>
        <v>45</v>
      </c>
      <c r="CQ122" s="616">
        <f>'raw data'!HE143</f>
        <v>200</v>
      </c>
      <c r="CR122" s="617">
        <f>IF(ISERROR('raw data'!HD143/'raw data'!HE143),0,'raw data'!HD143/'raw data'!HE143)</f>
        <v>0.22500000000000001</v>
      </c>
      <c r="CS122" s="615">
        <f>'raw data'!HF143</f>
        <v>30</v>
      </c>
      <c r="CT122" s="616">
        <f>'raw data'!HG143</f>
        <v>200</v>
      </c>
      <c r="CU122" s="617">
        <f>IF(ISERROR('raw data'!HF143/'raw data'!HG143),0,'raw data'!HF143/'raw data'!HG143)</f>
        <v>0.15</v>
      </c>
      <c r="CV122" s="615">
        <f>'raw data'!HH143</f>
        <v>32</v>
      </c>
      <c r="CW122" s="616">
        <f>'raw data'!HI143</f>
        <v>300</v>
      </c>
      <c r="CX122" s="617">
        <f>IF(ISERROR('raw data'!HH143/'raw data'!HI143),0,'raw data'!HH143/'raw data'!HI143)</f>
        <v>0.10666666666666667</v>
      </c>
      <c r="CY122" s="615">
        <f>'raw data'!HJ143</f>
        <v>48</v>
      </c>
      <c r="CZ122" s="616">
        <f>'raw data'!HK143</f>
        <v>300</v>
      </c>
      <c r="DA122" s="617">
        <f>IF(ISERROR('raw data'!HJ143/'raw data'!HK143),0,'raw data'!HJ143/'raw data'!HK143)</f>
        <v>0.16</v>
      </c>
      <c r="DB122" s="615">
        <f>'raw data'!HL143</f>
        <v>48</v>
      </c>
      <c r="DC122" s="616">
        <f>'raw data'!HM143</f>
        <v>300</v>
      </c>
      <c r="DD122" s="617">
        <f>IF(ISERROR('raw data'!HL143/'raw data'!HM143),0,'raw data'!HL143/'raw data'!HM143)</f>
        <v>0.16</v>
      </c>
      <c r="DE122" s="615">
        <f>'raw data'!HN143</f>
        <v>58</v>
      </c>
      <c r="DF122" s="616">
        <f>'raw data'!HO143</f>
        <v>300</v>
      </c>
      <c r="DG122" s="617">
        <f>IF(ISERROR('raw data'!HN143/'raw data'!HO143),0,'raw data'!HN143/'raw data'!HO143)</f>
        <v>0.19333333333333333</v>
      </c>
      <c r="DH122" s="615">
        <f>'raw data'!HP143</f>
        <v>71</v>
      </c>
      <c r="DI122" s="616">
        <f>'raw data'!HQ143</f>
        <v>300</v>
      </c>
      <c r="DJ122" s="617">
        <f>IF(ISERROR('raw data'!HP143/'raw data'!HQ143),0,'raw data'!HP143/'raw data'!HQ143)</f>
        <v>0.23666666666666666</v>
      </c>
      <c r="DK122" s="615">
        <f>'raw data'!HR143</f>
        <v>21</v>
      </c>
      <c r="DL122" s="616">
        <f>'raw data'!HS143</f>
        <v>200</v>
      </c>
      <c r="DM122" s="617">
        <f>IF(ISERROR('raw data'!HR143/'raw data'!HS143),0,'raw data'!HR143/'raw data'!HS143)</f>
        <v>0.105</v>
      </c>
      <c r="DN122" s="615">
        <f>'raw data'!HT143</f>
        <v>26</v>
      </c>
      <c r="DO122" s="616">
        <f>'raw data'!HU143</f>
        <v>200</v>
      </c>
      <c r="DP122" s="617">
        <f>IF(ISERROR('raw data'!HT143/'raw data'!HU143),0,'raw data'!HT143/'raw data'!HU143)</f>
        <v>0.13</v>
      </c>
      <c r="DQ122" s="615">
        <f>'raw data'!HV143</f>
        <v>14</v>
      </c>
      <c r="DR122" s="616">
        <f>'raw data'!HW143</f>
        <v>100</v>
      </c>
      <c r="DS122" s="617">
        <f>IF(ISERROR('raw data'!HV143/'raw data'!HW143),0,'raw data'!HV143/'raw data'!HW143)</f>
        <v>0.14000000000000001</v>
      </c>
      <c r="DT122" s="615">
        <f>'raw data'!HX143</f>
        <v>0</v>
      </c>
      <c r="DU122" s="616">
        <f>'raw data'!HY143</f>
        <v>100</v>
      </c>
      <c r="DV122" s="617">
        <f>IF(ISERROR('raw data'!HX143/'raw data'!HY143),0,'raw data'!HX143/'raw data'!HY143)</f>
        <v>0</v>
      </c>
      <c r="DW122" s="615">
        <f>'raw data'!HZ143</f>
        <v>0</v>
      </c>
      <c r="DX122" s="616">
        <f>'raw data'!IA143</f>
        <v>100</v>
      </c>
      <c r="DY122" s="617">
        <f>IF(ISERROR('raw data'!HZ143/'raw data'!IA143),0,'raw data'!HZ143/'raw data'!IA143)</f>
        <v>0</v>
      </c>
      <c r="DZ122" s="615">
        <f>'raw data'!IB143</f>
        <v>16</v>
      </c>
      <c r="EA122" s="616">
        <f>'raw data'!IC143</f>
        <v>100</v>
      </c>
      <c r="EB122" s="617">
        <f>IF(ISERROR('raw data'!IB143/'raw data'!IC143),0,'raw data'!IB143/'raw data'!IC143)</f>
        <v>0.16</v>
      </c>
      <c r="EC122" s="408" t="str">
        <f>'raw data'!ID143</f>
        <v>Suspended</v>
      </c>
      <c r="ED122" s="409" t="str">
        <f>'raw data'!IE143</f>
        <v>Suspended</v>
      </c>
      <c r="EE122" s="414" t="s">
        <v>30</v>
      </c>
      <c r="EF122" s="402" t="s">
        <v>243</v>
      </c>
      <c r="EG122" s="403" t="s">
        <v>243</v>
      </c>
      <c r="EH122" s="405" t="s">
        <v>243</v>
      </c>
      <c r="EI122" s="402" t="s">
        <v>243</v>
      </c>
      <c r="EJ122" s="403" t="s">
        <v>243</v>
      </c>
      <c r="EK122" s="405" t="s">
        <v>243</v>
      </c>
      <c r="EL122" s="402" t="s">
        <v>243</v>
      </c>
      <c r="EM122" s="403" t="s">
        <v>243</v>
      </c>
      <c r="EN122" s="405" t="s">
        <v>243</v>
      </c>
      <c r="EO122" s="402" t="s">
        <v>243</v>
      </c>
      <c r="EP122" s="403" t="s">
        <v>243</v>
      </c>
      <c r="EQ122" s="405" t="s">
        <v>243</v>
      </c>
      <c r="ER122" s="402" t="s">
        <v>243</v>
      </c>
      <c r="ES122" s="403" t="s">
        <v>243</v>
      </c>
      <c r="ET122" s="405" t="s">
        <v>243</v>
      </c>
      <c r="EU122" s="402" t="s">
        <v>243</v>
      </c>
      <c r="EV122" s="403" t="s">
        <v>243</v>
      </c>
      <c r="EW122" s="405" t="s">
        <v>243</v>
      </c>
      <c r="EX122" s="402" t="s">
        <v>243</v>
      </c>
      <c r="EY122" s="403" t="s">
        <v>243</v>
      </c>
      <c r="EZ122" s="405" t="s">
        <v>243</v>
      </c>
      <c r="FA122" s="402" t="s">
        <v>243</v>
      </c>
      <c r="FB122" s="403" t="s">
        <v>243</v>
      </c>
      <c r="FC122" s="405" t="s">
        <v>243</v>
      </c>
      <c r="FD122" s="402" t="s">
        <v>243</v>
      </c>
      <c r="FE122" s="403" t="s">
        <v>243</v>
      </c>
      <c r="FF122" s="405" t="s">
        <v>243</v>
      </c>
      <c r="FG122" s="402" t="s">
        <v>243</v>
      </c>
      <c r="FH122" s="403" t="s">
        <v>243</v>
      </c>
      <c r="FI122" s="405" t="s">
        <v>243</v>
      </c>
      <c r="FJ122" s="402" t="s">
        <v>243</v>
      </c>
      <c r="FK122" s="403" t="s">
        <v>243</v>
      </c>
      <c r="FL122" s="405" t="s">
        <v>243</v>
      </c>
      <c r="FM122" s="402" t="s">
        <v>243</v>
      </c>
      <c r="FN122" s="403" t="s">
        <v>243</v>
      </c>
      <c r="FO122" s="405" t="s">
        <v>243</v>
      </c>
      <c r="FP122" s="402" t="s">
        <v>243</v>
      </c>
      <c r="FQ122" s="403" t="s">
        <v>243</v>
      </c>
      <c r="FR122" s="405" t="s">
        <v>243</v>
      </c>
      <c r="FS122" s="469"/>
      <c r="FT122" s="619">
        <v>0</v>
      </c>
      <c r="FU122" s="620">
        <v>0</v>
      </c>
      <c r="FV122" s="621">
        <f>IF(ISERROR(FT122/FU122),0,FT122/FU122)</f>
        <v>0</v>
      </c>
    </row>
    <row r="123" spans="1:178" ht="20" customHeight="1" x14ac:dyDescent="0.15">
      <c r="A123" s="613" t="s">
        <v>228</v>
      </c>
      <c r="B123" s="614" t="s">
        <v>229</v>
      </c>
      <c r="C123" s="614" t="s">
        <v>229</v>
      </c>
      <c r="D123" s="615">
        <f>'raw data'!ET144</f>
        <v>407</v>
      </c>
      <c r="E123" s="616">
        <f>'raw data'!EU144</f>
        <v>683</v>
      </c>
      <c r="F123" s="617">
        <f>IF(ISERROR('raw data'!ET144/'raw data'!EU144),0,'raw data'!ET144/'raw data'!EU144)</f>
        <v>0.59590043923865299</v>
      </c>
      <c r="G123" s="615">
        <f>'raw data'!EV144</f>
        <v>453</v>
      </c>
      <c r="H123" s="616">
        <f>'raw data'!EW144</f>
        <v>821</v>
      </c>
      <c r="I123" s="617">
        <f>IF(ISERROR('raw data'!EV144/'raw data'!EW144),0,'raw data'!EV144/'raw data'!EW144)</f>
        <v>0.55176613885505477</v>
      </c>
      <c r="J123" s="615">
        <f>'raw data'!EX144</f>
        <v>284</v>
      </c>
      <c r="K123" s="616">
        <f>'raw data'!EY144</f>
        <v>551</v>
      </c>
      <c r="L123" s="618">
        <f>IF(ISERROR('raw data'!EX144/'raw data'!EY144),0,'raw data'!EX144/'raw data'!EY144)</f>
        <v>0.51542649727767698</v>
      </c>
      <c r="M123" s="615">
        <f>'raw data'!EZ144</f>
        <v>340</v>
      </c>
      <c r="N123" s="616">
        <f>'raw data'!FA144</f>
        <v>542</v>
      </c>
      <c r="O123" s="617">
        <f>IF(ISERROR('raw data'!EZ144/'raw data'!FA144),0,'raw data'!EZ144/'raw data'!FA144)</f>
        <v>0.62730627306273068</v>
      </c>
      <c r="P123" s="615">
        <f>'raw data'!FB144</f>
        <v>591</v>
      </c>
      <c r="Q123" s="616">
        <f>'raw data'!FC144</f>
        <v>894</v>
      </c>
      <c r="R123" s="617">
        <f>IF(ISERROR('raw data'!FB144/'raw data'!FC144),0,'raw data'!FB144/'raw data'!FC144)</f>
        <v>0.66107382550335569</v>
      </c>
      <c r="S123" s="615">
        <f>'raw data'!FD144</f>
        <v>624</v>
      </c>
      <c r="T123" s="616">
        <f>'raw data'!FE144</f>
        <v>999</v>
      </c>
      <c r="U123" s="617">
        <f>IF(ISERROR('raw data'!FD144/'raw data'!FE144),0,'raw data'!FD144/'raw data'!FE144)</f>
        <v>0.62462462462462465</v>
      </c>
      <c r="V123" s="615">
        <f>'raw data'!FF144</f>
        <v>638</v>
      </c>
      <c r="W123" s="616">
        <f>'raw data'!FG144</f>
        <v>878</v>
      </c>
      <c r="X123" s="617">
        <f>IF(ISERROR('raw data'!FF144/'raw data'!FG144),0,'raw data'!FF144/'raw data'!FG144)</f>
        <v>0.72665148063781326</v>
      </c>
      <c r="Y123" s="615">
        <f>'raw data'!FH144</f>
        <v>704</v>
      </c>
      <c r="Z123" s="616">
        <f>'raw data'!FI144</f>
        <v>1079</v>
      </c>
      <c r="AA123" s="617">
        <f>IF(ISERROR('raw data'!FH144/'raw data'!FI144),0,'raw data'!FH144/'raw data'!FI144)</f>
        <v>0.65245597775718256</v>
      </c>
      <c r="AB123" s="615">
        <f>'raw data'!FJ144</f>
        <v>628</v>
      </c>
      <c r="AC123" s="616">
        <f>'raw data'!FM144</f>
        <v>932</v>
      </c>
      <c r="AD123" s="617">
        <f>IF(ISERROR('raw data'!FJ144/'raw data'!FM144),0,'raw data'!FJ144/'raw data'!FM144)</f>
        <v>0.67381974248927035</v>
      </c>
      <c r="AE123" s="615">
        <f>'raw data'!FN144</f>
        <v>690</v>
      </c>
      <c r="AF123" s="616">
        <f>'raw data'!FO144</f>
        <v>1017</v>
      </c>
      <c r="AG123" s="617">
        <f>IF(ISERROR('raw data'!FN144/'raw data'!FO144),0,'raw data'!FN144/'raw data'!FO144)</f>
        <v>0.67846607669616521</v>
      </c>
      <c r="AH123" s="615">
        <f>'raw data'!FP144</f>
        <v>714</v>
      </c>
      <c r="AI123" s="616">
        <f>'raw data'!FQ144</f>
        <v>1022</v>
      </c>
      <c r="AJ123" s="617">
        <f>IF(ISERROR('raw data'!FP144/'raw data'!FQ144),0,'raw data'!FP144/'raw data'!FQ144)</f>
        <v>0.69863013698630139</v>
      </c>
      <c r="AK123" s="615">
        <f>'raw data'!FR144</f>
        <v>568</v>
      </c>
      <c r="AL123" s="616">
        <f>'raw data'!FS144</f>
        <v>883</v>
      </c>
      <c r="AM123" s="617">
        <f>IF(ISERROR('raw data'!FR144/'raw data'!FS144),0,'raw data'!FR144/'raw data'!FS144)</f>
        <v>0.64326160815402034</v>
      </c>
      <c r="AN123" s="615">
        <f>'raw data'!FT144</f>
        <v>568</v>
      </c>
      <c r="AO123" s="616">
        <f>'raw data'!FU144</f>
        <v>823</v>
      </c>
      <c r="AP123" s="617">
        <f>IF(ISERROR('raw data'!FT144/'raw data'!FU144),0,'raw data'!FT144/'raw data'!FU144)</f>
        <v>0.69015795868772778</v>
      </c>
      <c r="AQ123" s="615">
        <f>'raw data'!FV144</f>
        <v>751</v>
      </c>
      <c r="AR123" s="616">
        <f>'raw data'!FW144</f>
        <v>1107</v>
      </c>
      <c r="AS123" s="617">
        <f>IF(ISERROR('raw data'!FV144/'raw data'!FW144),0,'raw data'!FV144/'raw data'!FW144)</f>
        <v>0.67841011743450763</v>
      </c>
      <c r="AT123" s="615">
        <f>'raw data'!FX144</f>
        <v>684</v>
      </c>
      <c r="AU123" s="616">
        <f>'raw data'!FY144</f>
        <v>1047</v>
      </c>
      <c r="AV123" s="617">
        <f>IF(ISERROR('raw data'!FX144/'raw data'!FY144),0,'raw data'!FX144/'raw data'!FY144)</f>
        <v>0.65329512893982811</v>
      </c>
      <c r="AW123" s="615">
        <f>'raw data'!FZ144</f>
        <v>693</v>
      </c>
      <c r="AX123" s="616">
        <f>'raw data'!GA144</f>
        <v>1031</v>
      </c>
      <c r="AY123" s="617">
        <f>IF(ISERROR('raw data'!FZ144/'raw data'!GA144),0,'raw data'!FZ144/'raw data'!GA144)</f>
        <v>0.67216294859359849</v>
      </c>
      <c r="AZ123" s="615">
        <f>'raw data'!GB144</f>
        <v>820</v>
      </c>
      <c r="BA123" s="616">
        <f>'raw data'!GC144</f>
        <v>1254</v>
      </c>
      <c r="BB123" s="617">
        <f>IF(ISERROR('raw data'!GB144/'raw data'!GC144),0,'raw data'!GB144/'raw data'!GC144)</f>
        <v>0.65390749601275922</v>
      </c>
      <c r="BC123" s="615">
        <f>'raw data'!GD144</f>
        <v>841</v>
      </c>
      <c r="BD123" s="616">
        <f>'raw data'!GE144</f>
        <v>1290</v>
      </c>
      <c r="BE123" s="617">
        <f>IF(ISERROR('raw data'!GD144/'raw data'!GE144),0,'raw data'!GD144/'raw data'!GE144)</f>
        <v>0.65193798449612406</v>
      </c>
      <c r="BF123" s="615">
        <f>'raw data'!GF144</f>
        <v>661</v>
      </c>
      <c r="BG123" s="616">
        <f>'raw data'!GG144</f>
        <v>1091</v>
      </c>
      <c r="BH123" s="617">
        <f>IF(ISERROR('raw data'!GF144/'raw data'!GG144),0,'raw data'!GF144/'raw data'!GG144)</f>
        <v>0.60586617781851515</v>
      </c>
      <c r="BI123" s="615">
        <f>'raw data'!GH144</f>
        <v>689</v>
      </c>
      <c r="BJ123" s="616">
        <f>'raw data'!GI144</f>
        <v>931</v>
      </c>
      <c r="BK123" s="617">
        <f>IF(ISERROR('raw data'!GH144/'raw data'!GI144),0,'raw data'!GH144/'raw data'!GI144)</f>
        <v>0.74006444683136408</v>
      </c>
      <c r="BL123" s="615">
        <f>'raw data'!GJ144</f>
        <v>1370</v>
      </c>
      <c r="BM123" s="616">
        <f>'raw data'!GK144</f>
        <v>3291</v>
      </c>
      <c r="BN123" s="617">
        <f>IF(ISERROR('raw data'!GJ144/'raw data'!GK144),0,'raw data'!GJ144/'raw data'!GK144)</f>
        <v>0.41628684290489215</v>
      </c>
      <c r="BO123" s="615">
        <f>'raw data'!GL144</f>
        <v>810</v>
      </c>
      <c r="BP123" s="616">
        <f>'raw data'!GM144</f>
        <v>1227</v>
      </c>
      <c r="BQ123" s="617">
        <f>IF(ISERROR('raw data'!GL144/'raw data'!GM144),0,'raw data'!GL144/'raw data'!GM144)</f>
        <v>0.66014669926650371</v>
      </c>
      <c r="BR123" s="615">
        <f>'raw data'!GN144</f>
        <v>847</v>
      </c>
      <c r="BS123" s="616">
        <f>'raw data'!GO144</f>
        <v>1273</v>
      </c>
      <c r="BT123" s="617">
        <f>IF(ISERROR('raw data'!GN144/'raw data'!GO144),0,'raw data'!GN144/'raw data'!GO144)</f>
        <v>0.6653574234092694</v>
      </c>
      <c r="BU123" s="615">
        <f>'raw data'!GP144</f>
        <v>760</v>
      </c>
      <c r="BV123" s="616">
        <f>'raw data'!GQ144</f>
        <v>1141</v>
      </c>
      <c r="BW123" s="617">
        <f>IF(ISERROR('raw data'!GP144/'raw data'!GQ144),0,'raw data'!GP144/'raw data'!GQ144)</f>
        <v>0.66608238387379493</v>
      </c>
      <c r="BX123" s="615">
        <f>'raw data'!GR144</f>
        <v>1255</v>
      </c>
      <c r="BY123" s="616">
        <f>'raw data'!GS144</f>
        <v>1789</v>
      </c>
      <c r="BZ123" s="617">
        <f>IF(ISERROR('raw data'!GR144/'raw data'!GS144),0,'raw data'!GR144/'raw data'!GS144)</f>
        <v>0.70150922302962548</v>
      </c>
      <c r="CA123" s="615">
        <f>'raw data'!GT144</f>
        <v>751</v>
      </c>
      <c r="CB123" s="616">
        <f>'raw data'!GU144</f>
        <v>1287</v>
      </c>
      <c r="CC123" s="617">
        <f>IF(ISERROR('raw data'!GT144/'raw data'!GU144),0,'raw data'!GT144/'raw data'!GU144)</f>
        <v>0.58352758352758349</v>
      </c>
      <c r="CD123" s="615">
        <f>'raw data'!GV144</f>
        <v>913</v>
      </c>
      <c r="CE123" s="616">
        <f>'raw data'!GW144</f>
        <v>1086</v>
      </c>
      <c r="CF123" s="617">
        <f>IF(ISERROR('raw data'!GV144/'raw data'!GW144),0,'raw data'!GV144/'raw data'!GW144)</f>
        <v>0.8406998158379374</v>
      </c>
      <c r="CG123" s="615">
        <f>'raw data'!GX144</f>
        <v>887</v>
      </c>
      <c r="CH123" s="616">
        <f>'raw data'!GY144</f>
        <v>1165</v>
      </c>
      <c r="CI123" s="617">
        <f>IF(ISERROR('raw data'!GX144/'raw data'!GY144),0,'raw data'!GX144/'raw data'!GY144)</f>
        <v>0.76137339055793996</v>
      </c>
      <c r="CJ123" s="615">
        <f>'raw data'!GZ144</f>
        <v>943</v>
      </c>
      <c r="CK123" s="616">
        <f>'raw data'!HA144</f>
        <v>1186</v>
      </c>
      <c r="CL123" s="617">
        <f>IF(ISERROR('raw data'!GZ144/'raw data'!HA144),0,'raw data'!GZ144/'raw data'!HA144)</f>
        <v>0.79510961214165266</v>
      </c>
      <c r="CM123" s="615">
        <f>'raw data'!HB144</f>
        <v>1212</v>
      </c>
      <c r="CN123" s="616">
        <f>'raw data'!HC144</f>
        <v>1375</v>
      </c>
      <c r="CO123" s="617">
        <f>IF(ISERROR('raw data'!HB144/'raw data'!HC144),0,'raw data'!HB144/'raw data'!HC144)</f>
        <v>0.88145454545454549</v>
      </c>
      <c r="CP123" s="615">
        <f>'raw data'!HD144</f>
        <v>1395</v>
      </c>
      <c r="CQ123" s="616">
        <f>'raw data'!HE144</f>
        <v>1474</v>
      </c>
      <c r="CR123" s="617">
        <f>IF(ISERROR('raw data'!HD144/'raw data'!HE144),0,'raw data'!HD144/'raw data'!HE144)</f>
        <v>0.94640434192672995</v>
      </c>
      <c r="CS123" s="615">
        <f>'raw data'!HF144</f>
        <v>1392</v>
      </c>
      <c r="CT123" s="616">
        <f>'raw data'!HG144</f>
        <v>1389</v>
      </c>
      <c r="CU123" s="617">
        <f>IF(ISERROR('raw data'!HF144/'raw data'!HG144),0,'raw data'!HF144/'raw data'!HG144)</f>
        <v>1.0021598272138228</v>
      </c>
      <c r="CV123" s="615">
        <f>'raw data'!HH144</f>
        <v>1214</v>
      </c>
      <c r="CW123" s="616">
        <f>'raw data'!HI144</f>
        <v>1296</v>
      </c>
      <c r="CX123" s="617">
        <f>IF(ISERROR('raw data'!HH144/'raw data'!HI144),0,'raw data'!HH144/'raw data'!HI144)</f>
        <v>0.93672839506172845</v>
      </c>
      <c r="CY123" s="615">
        <f>'raw data'!HJ144</f>
        <v>1771</v>
      </c>
      <c r="CZ123" s="616">
        <f>'raw data'!HK144</f>
        <v>1885</v>
      </c>
      <c r="DA123" s="617">
        <f>IF(ISERROR('raw data'!HJ144/'raw data'!HK144),0,'raw data'!HJ144/'raw data'!HK144)</f>
        <v>0.93952254641909816</v>
      </c>
      <c r="DB123" s="615">
        <f>'raw data'!HL144</f>
        <v>1462</v>
      </c>
      <c r="DC123" s="616">
        <f>'raw data'!HM144</f>
        <v>1556</v>
      </c>
      <c r="DD123" s="617">
        <f>IF(ISERROR('raw data'!HL144/'raw data'!HM144),0,'raw data'!HL144/'raw data'!HM144)</f>
        <v>0.93958868894601544</v>
      </c>
      <c r="DE123" s="615">
        <f>'raw data'!HN144</f>
        <v>1216</v>
      </c>
      <c r="DF123" s="616">
        <f>'raw data'!HO144</f>
        <v>1262</v>
      </c>
      <c r="DG123" s="617">
        <f>IF(ISERROR('raw data'!HN144/'raw data'!HO144),0,'raw data'!HN144/'raw data'!HO144)</f>
        <v>0.96354992076069734</v>
      </c>
      <c r="DH123" s="615">
        <f>'raw data'!HP144</f>
        <v>1245</v>
      </c>
      <c r="DI123" s="616">
        <f>'raw data'!HQ144</f>
        <v>1298</v>
      </c>
      <c r="DJ123" s="617">
        <f>IF(ISERROR('raw data'!HP144/'raw data'!HQ144),0,'raw data'!HP144/'raw data'!HQ144)</f>
        <v>0.95916795069337446</v>
      </c>
      <c r="DK123" s="615">
        <f>'raw data'!HR144</f>
        <v>1373</v>
      </c>
      <c r="DL123" s="616">
        <f>'raw data'!HS144</f>
        <v>1473</v>
      </c>
      <c r="DM123" s="617">
        <f>IF(ISERROR('raw data'!HR144/'raw data'!HS144),0,'raw data'!HR144/'raw data'!HS144)</f>
        <v>0.93211133740665308</v>
      </c>
      <c r="DN123" s="615">
        <f>'raw data'!HT144</f>
        <v>1905</v>
      </c>
      <c r="DO123" s="616">
        <f>'raw data'!HU144</f>
        <v>2021</v>
      </c>
      <c r="DP123" s="617">
        <f>IF(ISERROR('raw data'!HT144/'raw data'!HU144),0,'raw data'!HT144/'raw data'!HU144)</f>
        <v>0.94260267194458192</v>
      </c>
      <c r="DQ123" s="615">
        <f>'raw data'!HV144</f>
        <v>2271</v>
      </c>
      <c r="DR123" s="616">
        <f>'raw data'!HW144</f>
        <v>2457</v>
      </c>
      <c r="DS123" s="617">
        <f>IF(ISERROR('raw data'!HV144/'raw data'!HW144),0,'raw data'!HV144/'raw data'!HW144)</f>
        <v>0.92429792429792434</v>
      </c>
      <c r="DT123" s="615">
        <f>'raw data'!HX144</f>
        <v>1346</v>
      </c>
      <c r="DU123" s="616">
        <f>'raw data'!HY144</f>
        <v>1429</v>
      </c>
      <c r="DV123" s="617">
        <f>IF(ISERROR('raw data'!HX144/'raw data'!HY144),0,'raw data'!HX144/'raw data'!HY144)</f>
        <v>0.94191742477256823</v>
      </c>
      <c r="DW123" s="615">
        <f>'raw data'!HZ144</f>
        <v>1299</v>
      </c>
      <c r="DX123" s="616">
        <f>'raw data'!IA144</f>
        <v>1369</v>
      </c>
      <c r="DY123" s="617">
        <f>IF(ISERROR('raw data'!HZ144/'raw data'!IA144),0,'raw data'!HZ144/'raw data'!IA144)</f>
        <v>0.94886778670562455</v>
      </c>
      <c r="DZ123" s="615">
        <f>'raw data'!IB144</f>
        <v>1112</v>
      </c>
      <c r="EA123" s="616">
        <f>'raw data'!IC144</f>
        <v>1256</v>
      </c>
      <c r="EB123" s="617">
        <f>IF(ISERROR('raw data'!IB144/'raw data'!IC144),0,'raw data'!IB144/'raw data'!IC144)</f>
        <v>0.88535031847133761</v>
      </c>
      <c r="EC123" s="615">
        <f>'raw data'!ID144</f>
        <v>769</v>
      </c>
      <c r="ED123" s="616">
        <f>'raw data'!IE144</f>
        <v>884</v>
      </c>
      <c r="EE123" s="617">
        <f>IF(ISERROR('raw data'!ID144/'raw data'!IE144),0,'raw data'!ID144/'raw data'!IE144)</f>
        <v>0.86990950226244346</v>
      </c>
      <c r="EF123" s="615">
        <f>'raw data'!IF144</f>
        <v>642</v>
      </c>
      <c r="EG123" s="616">
        <f>'raw data'!IG144</f>
        <v>761</v>
      </c>
      <c r="EH123" s="617">
        <f>IF(ISERROR('raw data'!IF144/'raw data'!IG144),0,'raw data'!IF144/'raw data'!IG144)</f>
        <v>0.84362680683311431</v>
      </c>
      <c r="EI123" s="615">
        <f>'raw data'!IH144</f>
        <v>879</v>
      </c>
      <c r="EJ123" s="616">
        <f>'raw data'!II144</f>
        <v>1136</v>
      </c>
      <c r="EK123" s="617">
        <f>IF(ISERROR('raw data'!IH144/'raw data'!II144),0,'raw data'!IH144/'raw data'!II144)</f>
        <v>0.77376760563380287</v>
      </c>
      <c r="EL123" s="615">
        <f>'raw data'!IJ144</f>
        <v>455</v>
      </c>
      <c r="EM123" s="616">
        <f>'raw data'!IK144</f>
        <v>556</v>
      </c>
      <c r="EN123" s="617">
        <f>IF(ISERROR('raw data'!IJ144/'raw data'!IK144),0,'raw data'!IJ144/'raw data'!IK144)</f>
        <v>0.81834532374100721</v>
      </c>
      <c r="EO123" s="615">
        <f>'raw data'!IL144</f>
        <v>592</v>
      </c>
      <c r="EP123" s="616">
        <f>'raw data'!IM144</f>
        <v>679</v>
      </c>
      <c r="EQ123" s="617">
        <f>IF(ISERROR('raw data'!IL144/'raw data'!IM144),0,'raw data'!IL144/'raw data'!IM144)</f>
        <v>0.87187039764359353</v>
      </c>
      <c r="ER123" s="615">
        <f>'raw data'!IN144</f>
        <v>727</v>
      </c>
      <c r="ES123" s="616">
        <f>'raw data'!IO144</f>
        <v>923</v>
      </c>
      <c r="ET123" s="617">
        <f>IF(ISERROR('raw data'!IN144/'raw data'!IO144),0,'raw data'!IN144/'raw data'!IO144)</f>
        <v>0.78764897074756235</v>
      </c>
      <c r="EU123" s="615">
        <f>'raw data'!IP144</f>
        <v>923</v>
      </c>
      <c r="EV123" s="616">
        <f>'raw data'!IQ144</f>
        <v>1239</v>
      </c>
      <c r="EW123" s="617">
        <f>IF(ISERROR('raw data'!IP144/'raw data'!IQ144),0,'raw data'!IP144/'raw data'!IQ144)</f>
        <v>0.74495560936238903</v>
      </c>
      <c r="EX123" s="615">
        <f>'raw data'!IR144</f>
        <v>919</v>
      </c>
      <c r="EY123" s="616">
        <f>'raw data'!IS144</f>
        <v>1416</v>
      </c>
      <c r="EZ123" s="617">
        <f>IF(ISERROR('raw data'!IR144/'raw data'!IS144),0,'raw data'!IR144/'raw data'!IS144)</f>
        <v>0.64901129943502822</v>
      </c>
      <c r="FA123" s="615">
        <f>'raw data'!IT144</f>
        <v>808</v>
      </c>
      <c r="FB123" s="616">
        <f>'raw data'!IU144</f>
        <v>1296</v>
      </c>
      <c r="FC123" s="617">
        <f>IF(ISERROR('raw data'!IT144/'raw data'!IU144),0,'raw data'!IT144/'raw data'!IU144)</f>
        <v>0.62345679012345678</v>
      </c>
      <c r="FD123" s="615">
        <f>'raw data'!IV144</f>
        <v>4431</v>
      </c>
      <c r="FE123" s="616">
        <f>'raw data'!IW144</f>
        <v>5384</v>
      </c>
      <c r="FF123" s="617">
        <f>IF(ISERROR('raw data'!IV144/'raw data'!IW144),0,'raw data'!IV144/'raw data'!IW144)</f>
        <v>0.8229940564635958</v>
      </c>
      <c r="FG123" s="615">
        <f>'raw data'!IX144</f>
        <v>1910</v>
      </c>
      <c r="FH123" s="616">
        <f>'raw data'!IY144</f>
        <v>2453</v>
      </c>
      <c r="FI123" s="617">
        <f>IF(ISERROR('raw data'!IX144/'raw data'!IY144),0,'raw data'!IX144/'raw data'!IY144)</f>
        <v>0.77863840195678757</v>
      </c>
      <c r="FJ123" s="615">
        <f>'raw data'!IZ144</f>
        <v>1327</v>
      </c>
      <c r="FK123" s="616">
        <f>'raw data'!JA144</f>
        <v>1750</v>
      </c>
      <c r="FL123" s="617">
        <f>IF(ISERROR('raw data'!IZ144/'raw data'!JA144),0,'raw data'!IZ144/'raw data'!JA144)</f>
        <v>0.75828571428571434</v>
      </c>
      <c r="FM123" s="615">
        <f>'raw data'!JB144</f>
        <v>1139</v>
      </c>
      <c r="FN123" s="616">
        <f>'raw data'!JC144</f>
        <v>1470</v>
      </c>
      <c r="FO123" s="617">
        <f>IF(ISERROR('raw data'!JB144/'raw data'!JC144),0,'raw data'!JB144/'raw data'!JC144)</f>
        <v>0.77482993197278915</v>
      </c>
      <c r="FP123" s="615">
        <f>'raw data'!JD144</f>
        <v>1304</v>
      </c>
      <c r="FQ123" s="616">
        <f>'raw data'!JE144</f>
        <v>1701</v>
      </c>
      <c r="FR123" s="617">
        <f>IF(ISERROR('raw data'!JD144/'raw data'!JE144),0,'raw data'!JD144/'raw data'!JE144)</f>
        <v>0.76660787771898886</v>
      </c>
      <c r="FS123" s="469"/>
      <c r="FT123" s="619">
        <v>15414</v>
      </c>
      <c r="FU123" s="620">
        <v>20003</v>
      </c>
      <c r="FV123" s="621">
        <f t="shared" ref="FV123:FV127" si="7">IF(ISERROR(FT123/FU123),0,FT123/FU123)</f>
        <v>0.77058441233814923</v>
      </c>
    </row>
    <row r="124" spans="1:178" ht="20" customHeight="1" x14ac:dyDescent="0.15">
      <c r="A124" s="613" t="s">
        <v>230</v>
      </c>
      <c r="B124" s="614" t="s">
        <v>231</v>
      </c>
      <c r="C124" s="614" t="s">
        <v>231</v>
      </c>
      <c r="D124" s="461"/>
      <c r="E124" s="462"/>
      <c r="F124" s="463"/>
      <c r="G124" s="461"/>
      <c r="H124" s="462"/>
      <c r="I124" s="463"/>
      <c r="J124" s="461"/>
      <c r="K124" s="462"/>
      <c r="L124" s="463"/>
      <c r="M124" s="461"/>
      <c r="N124" s="462"/>
      <c r="O124" s="463"/>
      <c r="P124" s="461"/>
      <c r="Q124" s="462"/>
      <c r="R124" s="463"/>
      <c r="S124" s="461"/>
      <c r="T124" s="462"/>
      <c r="U124" s="463"/>
      <c r="V124" s="461"/>
      <c r="W124" s="462"/>
      <c r="X124" s="463"/>
      <c r="Y124" s="461"/>
      <c r="Z124" s="462"/>
      <c r="AA124" s="463"/>
      <c r="AB124" s="461"/>
      <c r="AC124" s="462"/>
      <c r="AD124" s="463"/>
      <c r="AE124" s="461"/>
      <c r="AF124" s="462"/>
      <c r="AG124" s="463"/>
      <c r="AH124" s="461"/>
      <c r="AI124" s="462"/>
      <c r="AJ124" s="463"/>
      <c r="AK124" s="461"/>
      <c r="AL124" s="462"/>
      <c r="AM124" s="463"/>
      <c r="AN124" s="461"/>
      <c r="AO124" s="462"/>
      <c r="AP124" s="463"/>
      <c r="AQ124" s="461"/>
      <c r="AR124" s="462"/>
      <c r="AS124" s="463"/>
      <c r="AT124" s="461"/>
      <c r="AU124" s="462"/>
      <c r="AV124" s="463"/>
      <c r="AW124" s="461"/>
      <c r="AX124" s="462"/>
      <c r="AY124" s="463"/>
      <c r="AZ124" s="461"/>
      <c r="BA124" s="462"/>
      <c r="BB124" s="463"/>
      <c r="BC124" s="461"/>
      <c r="BD124" s="462"/>
      <c r="BE124" s="463"/>
      <c r="BF124" s="461"/>
      <c r="BG124" s="462"/>
      <c r="BH124" s="463"/>
      <c r="BI124" s="461"/>
      <c r="BJ124" s="462"/>
      <c r="BK124" s="463"/>
      <c r="BL124" s="461"/>
      <c r="BM124" s="462"/>
      <c r="BN124" s="463"/>
      <c r="BO124" s="615">
        <f>'raw data'!GL145</f>
        <v>33</v>
      </c>
      <c r="BP124" s="616">
        <f>'raw data'!GM145</f>
        <v>301</v>
      </c>
      <c r="BQ124" s="617">
        <f>IF(ISERROR('raw data'!GL145/'raw data'!GM145),0,'raw data'!GL145/'raw data'!GM145)</f>
        <v>0.10963455149501661</v>
      </c>
      <c r="BR124" s="615">
        <f>'raw data'!GN145</f>
        <v>43</v>
      </c>
      <c r="BS124" s="616">
        <f>'raw data'!GO145</f>
        <v>330</v>
      </c>
      <c r="BT124" s="617">
        <f>IF(ISERROR('raw data'!GN145/'raw data'!GO145),0,'raw data'!GN145/'raw data'!GO145)</f>
        <v>0.13030303030303031</v>
      </c>
      <c r="BU124" s="615">
        <f>'raw data'!GP145</f>
        <v>22</v>
      </c>
      <c r="BV124" s="616">
        <f>'raw data'!GQ145</f>
        <v>308</v>
      </c>
      <c r="BW124" s="617">
        <f>IF(ISERROR('raw data'!GP145/'raw data'!GQ145),0,'raw data'!GP145/'raw data'!GQ145)</f>
        <v>7.1428571428571425E-2</v>
      </c>
      <c r="BX124" s="615">
        <f>'raw data'!GR145</f>
        <v>30</v>
      </c>
      <c r="BY124" s="616">
        <f>'raw data'!GS145</f>
        <v>248</v>
      </c>
      <c r="BZ124" s="617">
        <f>IF(ISERROR('raw data'!GR145/'raw data'!GS145),0,'raw data'!GR145/'raw data'!GS145)</f>
        <v>0.12096774193548387</v>
      </c>
      <c r="CA124" s="615">
        <f>'raw data'!GT145</f>
        <v>29</v>
      </c>
      <c r="CB124" s="616">
        <f>'raw data'!GU145</f>
        <v>278</v>
      </c>
      <c r="CC124" s="617">
        <f>IF(ISERROR('raw data'!GT145/'raw data'!GU145),0,'raw data'!GT145/'raw data'!GU145)</f>
        <v>0.10431654676258993</v>
      </c>
      <c r="CD124" s="615">
        <f>'raw data'!GV145</f>
        <v>21</v>
      </c>
      <c r="CE124" s="616">
        <f>'raw data'!GW145</f>
        <v>279</v>
      </c>
      <c r="CF124" s="617">
        <f>IF(ISERROR('raw data'!GV145/'raw data'!GW145),0,'raw data'!GV145/'raw data'!GW145)</f>
        <v>7.5268817204301078E-2</v>
      </c>
      <c r="CG124" s="615">
        <f>'raw data'!GX145</f>
        <v>23</v>
      </c>
      <c r="CH124" s="616">
        <f>'raw data'!GY145</f>
        <v>262</v>
      </c>
      <c r="CI124" s="617">
        <f>IF(ISERROR('raw data'!GX145/'raw data'!GY145),0,'raw data'!GX145/'raw data'!GY145)</f>
        <v>8.7786259541984726E-2</v>
      </c>
      <c r="CJ124" s="615">
        <f>'raw data'!GZ145</f>
        <v>52</v>
      </c>
      <c r="CK124" s="616">
        <f>'raw data'!HA145</f>
        <v>314</v>
      </c>
      <c r="CL124" s="617">
        <f>IF(ISERROR('raw data'!GZ145/'raw data'!HA145),0,'raw data'!GZ145/'raw data'!HA145)</f>
        <v>0.16560509554140126</v>
      </c>
      <c r="CM124" s="615">
        <f>'raw data'!HB145</f>
        <v>35</v>
      </c>
      <c r="CN124" s="616">
        <f>'raw data'!HC145</f>
        <v>279</v>
      </c>
      <c r="CO124" s="617">
        <f>IF(ISERROR('raw data'!HB145/'raw data'!HC145),0,'raw data'!HB145/'raw data'!HC145)</f>
        <v>0.12544802867383512</v>
      </c>
      <c r="CP124" s="615">
        <f>'raw data'!HD145</f>
        <v>24</v>
      </c>
      <c r="CQ124" s="616">
        <f>'raw data'!HE145</f>
        <v>314</v>
      </c>
      <c r="CR124" s="617">
        <f>IF(ISERROR('raw data'!HD145/'raw data'!HE145),0,'raw data'!HD145/'raw data'!HE145)</f>
        <v>7.6433121019108277E-2</v>
      </c>
      <c r="CS124" s="615">
        <f>'raw data'!HF145</f>
        <v>21</v>
      </c>
      <c r="CT124" s="616">
        <f>'raw data'!HG145</f>
        <v>236</v>
      </c>
      <c r="CU124" s="617">
        <f>IF(ISERROR('raw data'!HF145/'raw data'!HG145),0,'raw data'!HF145/'raw data'!HG145)</f>
        <v>8.8983050847457626E-2</v>
      </c>
      <c r="CV124" s="615">
        <f>'raw data'!HH145</f>
        <v>16</v>
      </c>
      <c r="CW124" s="616">
        <f>'raw data'!HI145</f>
        <v>215</v>
      </c>
      <c r="CX124" s="617">
        <f>IF(ISERROR('raw data'!HH145/'raw data'!HI145),0,'raw data'!HH145/'raw data'!HI145)</f>
        <v>7.441860465116279E-2</v>
      </c>
      <c r="CY124" s="615">
        <f>'raw data'!HJ145</f>
        <v>26</v>
      </c>
      <c r="CZ124" s="616">
        <f>'raw data'!HK145</f>
        <v>207</v>
      </c>
      <c r="DA124" s="617">
        <f>IF(ISERROR('raw data'!HJ145/'raw data'!HK145),0,'raw data'!HJ145/'raw data'!HK145)</f>
        <v>0.12560386473429952</v>
      </c>
      <c r="DB124" s="615">
        <f>'raw data'!HL145</f>
        <v>22</v>
      </c>
      <c r="DC124" s="616">
        <f>'raw data'!HM145</f>
        <v>181</v>
      </c>
      <c r="DD124" s="617">
        <f>IF(ISERROR('raw data'!HL145/'raw data'!HM145),0,'raw data'!HL145/'raw data'!HM145)</f>
        <v>0.12154696132596685</v>
      </c>
      <c r="DE124" s="615">
        <f>'raw data'!HN145</f>
        <v>30</v>
      </c>
      <c r="DF124" s="616">
        <f>'raw data'!HO145</f>
        <v>200</v>
      </c>
      <c r="DG124" s="617">
        <f>IF(ISERROR('raw data'!HN145/'raw data'!HO145),0,'raw data'!HN145/'raw data'!HO145)</f>
        <v>0.15</v>
      </c>
      <c r="DH124" s="615">
        <f>'raw data'!HP145</f>
        <v>26</v>
      </c>
      <c r="DI124" s="616">
        <f>'raw data'!HQ145</f>
        <v>177</v>
      </c>
      <c r="DJ124" s="617">
        <f>IF(ISERROR('raw data'!HP145/'raw data'!HQ145),0,'raw data'!HP145/'raw data'!HQ145)</f>
        <v>0.14689265536723164</v>
      </c>
      <c r="DK124" s="615">
        <f>'raw data'!HR145</f>
        <v>25</v>
      </c>
      <c r="DL124" s="616">
        <f>'raw data'!HS145</f>
        <v>180</v>
      </c>
      <c r="DM124" s="617">
        <f>IF(ISERROR('raw data'!HR145/'raw data'!HS145),0,'raw data'!HR145/'raw data'!HS145)</f>
        <v>0.1388888888888889</v>
      </c>
      <c r="DN124" s="615">
        <f>'raw data'!HT145</f>
        <v>17</v>
      </c>
      <c r="DO124" s="616">
        <f>'raw data'!HU145</f>
        <v>170</v>
      </c>
      <c r="DP124" s="617">
        <f>IF(ISERROR('raw data'!HT145/'raw data'!HU145),0,'raw data'!HT145/'raw data'!HU145)</f>
        <v>0.1</v>
      </c>
      <c r="DQ124" s="615">
        <f>'raw data'!HV145</f>
        <v>13</v>
      </c>
      <c r="DR124" s="616">
        <f>'raw data'!HW145</f>
        <v>108</v>
      </c>
      <c r="DS124" s="617">
        <f>IF(ISERROR('raw data'!HV145/'raw data'!HW145),0,'raw data'!HV145/'raw data'!HW145)</f>
        <v>0.12037037037037036</v>
      </c>
      <c r="DT124" s="615">
        <f>'raw data'!HX145</f>
        <v>24</v>
      </c>
      <c r="DU124" s="616">
        <f>'raw data'!HY145</f>
        <v>119</v>
      </c>
      <c r="DV124" s="617">
        <f>IF(ISERROR('raw data'!HX145/'raw data'!HY145),0,'raw data'!HX145/'raw data'!HY145)</f>
        <v>0.20168067226890757</v>
      </c>
      <c r="DW124" s="615">
        <f>'raw data'!HZ145</f>
        <v>15</v>
      </c>
      <c r="DX124" s="616">
        <f>'raw data'!IA145</f>
        <v>132</v>
      </c>
      <c r="DY124" s="617">
        <f>IF(ISERROR('raw data'!HZ145/'raw data'!IA145),0,'raw data'!HZ145/'raw data'!IA145)</f>
        <v>0.11363636363636363</v>
      </c>
      <c r="DZ124" s="615">
        <f>'raw data'!IB145</f>
        <v>42</v>
      </c>
      <c r="EA124" s="616">
        <f>'raw data'!IC145</f>
        <v>212</v>
      </c>
      <c r="EB124" s="617">
        <f>IF(ISERROR('raw data'!IB145/'raw data'!IC145),0,'raw data'!IB145/'raw data'!IC145)</f>
        <v>0.19811320754716982</v>
      </c>
      <c r="EC124" s="615">
        <f>'raw data'!ID145</f>
        <v>45</v>
      </c>
      <c r="ED124" s="616">
        <f>'raw data'!IE145</f>
        <v>225</v>
      </c>
      <c r="EE124" s="617">
        <f>IF(ISERROR('raw data'!ID145/'raw data'!IE145),0,'raw data'!ID145/'raw data'!IE145)</f>
        <v>0.2</v>
      </c>
      <c r="EF124" s="615">
        <f>'raw data'!IF145</f>
        <v>33</v>
      </c>
      <c r="EG124" s="616">
        <f>'raw data'!IG145</f>
        <v>237</v>
      </c>
      <c r="EH124" s="617">
        <f>IF(ISERROR('raw data'!IF145/'raw data'!IG145),0,'raw data'!IF145/'raw data'!IG145)</f>
        <v>0.13924050632911392</v>
      </c>
      <c r="EI124" s="615">
        <f>'raw data'!IH145</f>
        <v>52</v>
      </c>
      <c r="EJ124" s="616">
        <f>'raw data'!II145</f>
        <v>235</v>
      </c>
      <c r="EK124" s="617">
        <f>IF(ISERROR('raw data'!IH145/'raw data'!II145),0,'raw data'!IH145/'raw data'!II145)</f>
        <v>0.22127659574468084</v>
      </c>
      <c r="EL124" s="615">
        <f>'raw data'!IJ145</f>
        <v>36</v>
      </c>
      <c r="EM124" s="616">
        <f>'raw data'!IK145</f>
        <v>195</v>
      </c>
      <c r="EN124" s="617">
        <f>IF(ISERROR('raw data'!IJ145/'raw data'!IK145),0,'raw data'!IJ145/'raw data'!IK145)</f>
        <v>0.18461538461538463</v>
      </c>
      <c r="EO124" s="615">
        <f>'raw data'!IL145</f>
        <v>24</v>
      </c>
      <c r="EP124" s="616">
        <f>'raw data'!IM145</f>
        <v>162</v>
      </c>
      <c r="EQ124" s="617">
        <f>IF(ISERROR('raw data'!IL145/'raw data'!IM145),0,'raw data'!IL145/'raw data'!IM145)</f>
        <v>0.14814814814814814</v>
      </c>
      <c r="ER124" s="615">
        <f>'raw data'!IN145</f>
        <v>34</v>
      </c>
      <c r="ES124" s="616">
        <f>'raw data'!IO145</f>
        <v>170</v>
      </c>
      <c r="ET124" s="617">
        <f>IF(ISERROR('raw data'!IN145/'raw data'!IO145),0,'raw data'!IN145/'raw data'!IO145)</f>
        <v>0.2</v>
      </c>
      <c r="EU124" s="615">
        <f>'raw data'!IP145</f>
        <v>54</v>
      </c>
      <c r="EV124" s="616">
        <f>'raw data'!IQ145</f>
        <v>197</v>
      </c>
      <c r="EW124" s="617">
        <f>IF(ISERROR('raw data'!IP145/'raw data'!IQ145),0,'raw data'!IP145/'raw data'!IQ145)</f>
        <v>0.27411167512690354</v>
      </c>
      <c r="EX124" s="615">
        <f>'raw data'!IR145</f>
        <v>44</v>
      </c>
      <c r="EY124" s="616">
        <f>'raw data'!IS145</f>
        <v>222</v>
      </c>
      <c r="EZ124" s="617">
        <f>IF(ISERROR('raw data'!IR145/'raw data'!IS145),0,'raw data'!IR145/'raw data'!IS145)</f>
        <v>0.1981981981981982</v>
      </c>
      <c r="FA124" s="615">
        <f>'raw data'!IT145</f>
        <v>27</v>
      </c>
      <c r="FB124" s="616">
        <f>'raw data'!IU145</f>
        <v>153</v>
      </c>
      <c r="FC124" s="617">
        <f>IF(ISERROR('raw data'!IT145/'raw data'!IU145),0,'raw data'!IT145/'raw data'!IU145)</f>
        <v>0.17647058823529413</v>
      </c>
      <c r="FD124" s="615">
        <f>'raw data'!IV145</f>
        <v>44</v>
      </c>
      <c r="FE124" s="616">
        <f>'raw data'!IW145</f>
        <v>196</v>
      </c>
      <c r="FF124" s="617">
        <f>IF(ISERROR('raw data'!IV145/'raw data'!IW145),0,'raw data'!IV145/'raw data'!IW145)</f>
        <v>0.22448979591836735</v>
      </c>
      <c r="FG124" s="615">
        <f>'raw data'!IX145</f>
        <v>33</v>
      </c>
      <c r="FH124" s="616">
        <f>'raw data'!IY145</f>
        <v>156</v>
      </c>
      <c r="FI124" s="617">
        <f>IF(ISERROR('raw data'!IX145/'raw data'!IY145),0,'raw data'!IX145/'raw data'!IY145)</f>
        <v>0.21153846153846154</v>
      </c>
      <c r="FJ124" s="615">
        <f>'raw data'!IZ145</f>
        <v>31</v>
      </c>
      <c r="FK124" s="616">
        <f>'raw data'!JA145</f>
        <v>190</v>
      </c>
      <c r="FL124" s="617">
        <f>IF(ISERROR('raw data'!IZ145/'raw data'!JA145),0,'raw data'!IZ145/'raw data'!JA145)</f>
        <v>0.16315789473684211</v>
      </c>
      <c r="FM124" s="615">
        <f>'raw data'!JB145</f>
        <v>51</v>
      </c>
      <c r="FN124" s="616">
        <f>'raw data'!JC145</f>
        <v>216</v>
      </c>
      <c r="FO124" s="617">
        <f>IF(ISERROR('raw data'!JB145/'raw data'!JC145),0,'raw data'!JB145/'raw data'!JC145)</f>
        <v>0.2361111111111111</v>
      </c>
      <c r="FP124" s="615">
        <f>'raw data'!JD145</f>
        <v>42</v>
      </c>
      <c r="FQ124" s="616">
        <f>'raw data'!JE145</f>
        <v>201</v>
      </c>
      <c r="FR124" s="617">
        <f>IF(ISERROR('raw data'!JD145/'raw data'!JE145),0,'raw data'!JD145/'raw data'!JE145)</f>
        <v>0.20895522388059701</v>
      </c>
      <c r="FS124" s="469"/>
      <c r="FT124" s="619">
        <v>472</v>
      </c>
      <c r="FU124" s="620">
        <v>2293</v>
      </c>
      <c r="FV124" s="621">
        <f t="shared" si="7"/>
        <v>0.20584387265590928</v>
      </c>
    </row>
    <row r="125" spans="1:178" ht="20" customHeight="1" x14ac:dyDescent="0.15">
      <c r="A125" s="613" t="s">
        <v>232</v>
      </c>
      <c r="B125" s="614" t="s">
        <v>233</v>
      </c>
      <c r="C125" s="614" t="s">
        <v>233</v>
      </c>
      <c r="D125" s="461"/>
      <c r="E125" s="462"/>
      <c r="F125" s="463"/>
      <c r="G125" s="461"/>
      <c r="H125" s="462"/>
      <c r="I125" s="463"/>
      <c r="J125" s="461"/>
      <c r="K125" s="462"/>
      <c r="L125" s="463"/>
      <c r="M125" s="461"/>
      <c r="N125" s="462"/>
      <c r="O125" s="463"/>
      <c r="P125" s="461"/>
      <c r="Q125" s="462"/>
      <c r="R125" s="463"/>
      <c r="S125" s="461"/>
      <c r="T125" s="462"/>
      <c r="U125" s="463"/>
      <c r="V125" s="461"/>
      <c r="W125" s="462"/>
      <c r="X125" s="463"/>
      <c r="Y125" s="461"/>
      <c r="Z125" s="462"/>
      <c r="AA125" s="463"/>
      <c r="AB125" s="461"/>
      <c r="AC125" s="462"/>
      <c r="AD125" s="463"/>
      <c r="AE125" s="461"/>
      <c r="AF125" s="462"/>
      <c r="AG125" s="463"/>
      <c r="AH125" s="461"/>
      <c r="AI125" s="462"/>
      <c r="AJ125" s="463"/>
      <c r="AK125" s="461"/>
      <c r="AL125" s="462"/>
      <c r="AM125" s="463"/>
      <c r="AN125" s="461"/>
      <c r="AO125" s="462"/>
      <c r="AP125" s="463"/>
      <c r="AQ125" s="461"/>
      <c r="AR125" s="462"/>
      <c r="AS125" s="463"/>
      <c r="AT125" s="461"/>
      <c r="AU125" s="462"/>
      <c r="AV125" s="463"/>
      <c r="AW125" s="461"/>
      <c r="AX125" s="462"/>
      <c r="AY125" s="463"/>
      <c r="AZ125" s="615">
        <f>'raw data'!GB146</f>
        <v>52</v>
      </c>
      <c r="BA125" s="616">
        <f>'raw data'!GC146</f>
        <v>75</v>
      </c>
      <c r="BB125" s="617">
        <f>IF(ISERROR('raw data'!GB146/'raw data'!GC146),0,'raw data'!GB146/'raw data'!GC146)</f>
        <v>0.69333333333333336</v>
      </c>
      <c r="BC125" s="615">
        <f>'raw data'!GD146</f>
        <v>15</v>
      </c>
      <c r="BD125" s="616">
        <f>'raw data'!GE146</f>
        <v>28</v>
      </c>
      <c r="BE125" s="617">
        <f>IF(ISERROR('raw data'!GD146/'raw data'!GE146),0,'raw data'!GD146/'raw data'!GE146)</f>
        <v>0.5357142857142857</v>
      </c>
      <c r="BF125" s="615">
        <f>'raw data'!GF146</f>
        <v>13</v>
      </c>
      <c r="BG125" s="616">
        <f>'raw data'!GG146</f>
        <v>32</v>
      </c>
      <c r="BH125" s="617">
        <f>IF(ISERROR('raw data'!GF146/'raw data'!GG146),0,'raw data'!GF146/'raw data'!GG146)</f>
        <v>0.40625</v>
      </c>
      <c r="BI125" s="615">
        <f>'raw data'!GH146</f>
        <v>2</v>
      </c>
      <c r="BJ125" s="616">
        <f>'raw data'!GI146</f>
        <v>8</v>
      </c>
      <c r="BK125" s="617">
        <f>IF(ISERROR('raw data'!GH146/'raw data'!GI146),0,'raw data'!GH146/'raw data'!GI146)</f>
        <v>0.25</v>
      </c>
      <c r="BL125" s="615">
        <f>'raw data'!GJ146</f>
        <v>4</v>
      </c>
      <c r="BM125" s="616">
        <f>'raw data'!GK146</f>
        <v>5</v>
      </c>
      <c r="BN125" s="617">
        <f>IF(ISERROR('raw data'!GJ146/'raw data'!GK146),0,'raw data'!GJ146/'raw data'!GK146)</f>
        <v>0.8</v>
      </c>
      <c r="BO125" s="615">
        <f>'raw data'!GL146</f>
        <v>1</v>
      </c>
      <c r="BP125" s="616">
        <f>'raw data'!GM146</f>
        <v>2</v>
      </c>
      <c r="BQ125" s="617">
        <f>IF(ISERROR('raw data'!GL146/'raw data'!GM146),0,'raw data'!GL146/'raw data'!GM146)</f>
        <v>0.5</v>
      </c>
      <c r="BR125" s="615">
        <f>'raw data'!GN146</f>
        <v>0</v>
      </c>
      <c r="BS125" s="616">
        <f>'raw data'!GO146</f>
        <v>1</v>
      </c>
      <c r="BT125" s="617">
        <f>IF(ISERROR('raw data'!GN146/'raw data'!GO146),0,'raw data'!GN146/'raw data'!GO146)</f>
        <v>0</v>
      </c>
      <c r="BU125" s="615">
        <f>'raw data'!GP146</f>
        <v>10</v>
      </c>
      <c r="BV125" s="616">
        <f>'raw data'!GQ146</f>
        <v>20</v>
      </c>
      <c r="BW125" s="617">
        <f>IF(ISERROR('raw data'!GP146/'raw data'!GQ146),0,'raw data'!GP146/'raw data'!GQ146)</f>
        <v>0.5</v>
      </c>
      <c r="BX125" s="615">
        <f>'raw data'!GR146</f>
        <v>0</v>
      </c>
      <c r="BY125" s="616">
        <f>'raw data'!GS146</f>
        <v>1</v>
      </c>
      <c r="BZ125" s="617">
        <f>IF(ISERROR('raw data'!GR146/'raw data'!GS146),0,'raw data'!GR146/'raw data'!GS146)</f>
        <v>0</v>
      </c>
      <c r="CA125" s="615">
        <f>'raw data'!GT146</f>
        <v>0</v>
      </c>
      <c r="CB125" s="616">
        <f>'raw data'!GU146</f>
        <v>0</v>
      </c>
      <c r="CC125" s="617">
        <f>IF(ISERROR('raw data'!GT146/'raw data'!GU146),0,'raw data'!GT146/'raw data'!GU146)</f>
        <v>0</v>
      </c>
      <c r="CD125" s="615">
        <f>'raw data'!GV146</f>
        <v>0</v>
      </c>
      <c r="CE125" s="616">
        <f>'raw data'!GW146</f>
        <v>0</v>
      </c>
      <c r="CF125" s="617">
        <f>IF(ISERROR('raw data'!GV146/'raw data'!GW146),0,'raw data'!GV146/'raw data'!GW146)</f>
        <v>0</v>
      </c>
      <c r="CG125" s="615">
        <f>'raw data'!GX146</f>
        <v>0</v>
      </c>
      <c r="CH125" s="616">
        <f>'raw data'!GY146</f>
        <v>1</v>
      </c>
      <c r="CI125" s="617">
        <f>IF(ISERROR('raw data'!GX146/'raw data'!GY146),0,'raw data'!GX146/'raw data'!GY146)</f>
        <v>0</v>
      </c>
      <c r="CJ125" s="615">
        <f>'raw data'!GZ146</f>
        <v>0</v>
      </c>
      <c r="CK125" s="616">
        <f>'raw data'!HA146</f>
        <v>0</v>
      </c>
      <c r="CL125" s="617">
        <f>IF(ISERROR('raw data'!GZ146/'raw data'!HA146),0,'raw data'!GZ146/'raw data'!HA146)</f>
        <v>0</v>
      </c>
      <c r="CM125" s="615">
        <f>'raw data'!HB146</f>
        <v>0</v>
      </c>
      <c r="CN125" s="616">
        <f>'raw data'!HC146</f>
        <v>0</v>
      </c>
      <c r="CO125" s="617">
        <f>IF(ISERROR('raw data'!HB146/'raw data'!HC146),0,'raw data'!HB146/'raw data'!HC146)</f>
        <v>0</v>
      </c>
      <c r="CP125" s="615">
        <f>'raw data'!HD146</f>
        <v>0</v>
      </c>
      <c r="CQ125" s="616">
        <f>'raw data'!HE146</f>
        <v>0</v>
      </c>
      <c r="CR125" s="617">
        <f>IF(ISERROR('raw data'!HD146/'raw data'!HE146),0,'raw data'!HD146/'raw data'!HE146)</f>
        <v>0</v>
      </c>
      <c r="CS125" s="615">
        <f>'raw data'!HF146</f>
        <v>0</v>
      </c>
      <c r="CT125" s="616">
        <f>'raw data'!HG146</f>
        <v>1</v>
      </c>
      <c r="CU125" s="617">
        <f>IF(ISERROR('raw data'!HF146/'raw data'!HG146),0,'raw data'!HF146/'raw data'!HG146)</f>
        <v>0</v>
      </c>
      <c r="CV125" s="615">
        <f>'raw data'!HH146</f>
        <v>0</v>
      </c>
      <c r="CW125" s="616">
        <f>'raw data'!HI146</f>
        <v>1</v>
      </c>
      <c r="CX125" s="617">
        <f>IF(ISERROR('raw data'!HH146/'raw data'!HI146),0,'raw data'!HH146/'raw data'!HI146)</f>
        <v>0</v>
      </c>
      <c r="CY125" s="615">
        <f>'raw data'!HJ146</f>
        <v>0</v>
      </c>
      <c r="CZ125" s="616">
        <f>'raw data'!HK146</f>
        <v>0</v>
      </c>
      <c r="DA125" s="617">
        <f>IF(ISERROR('raw data'!HJ146/'raw data'!HK146),0,'raw data'!HJ146/'raw data'!HK146)</f>
        <v>0</v>
      </c>
      <c r="DB125" s="615">
        <f>'raw data'!HL146</f>
        <v>0</v>
      </c>
      <c r="DC125" s="616">
        <f>'raw data'!HM146</f>
        <v>0</v>
      </c>
      <c r="DD125" s="617">
        <f>IF(ISERROR('raw data'!HL146/'raw data'!HM146),0,'raw data'!HL146/'raw data'!HM146)</f>
        <v>0</v>
      </c>
      <c r="DE125" s="615">
        <f>'raw data'!HN146</f>
        <v>0</v>
      </c>
      <c r="DF125" s="616">
        <f>'raw data'!HO146</f>
        <v>0</v>
      </c>
      <c r="DG125" s="617">
        <f>IF(ISERROR('raw data'!HN146/'raw data'!HO146),0,'raw data'!HN146/'raw data'!HO146)</f>
        <v>0</v>
      </c>
      <c r="DH125" s="615">
        <f>'raw data'!HP146</f>
        <v>0</v>
      </c>
      <c r="DI125" s="616">
        <f>'raw data'!HQ146</f>
        <v>0</v>
      </c>
      <c r="DJ125" s="617">
        <f>IF(ISERROR('raw data'!HP146/'raw data'!HQ146),0,'raw data'!HP146/'raw data'!HQ146)</f>
        <v>0</v>
      </c>
      <c r="DK125" s="615">
        <f>'raw data'!HR146</f>
        <v>0</v>
      </c>
      <c r="DL125" s="616">
        <f>'raw data'!HS146</f>
        <v>0</v>
      </c>
      <c r="DM125" s="617">
        <f>IF(ISERROR('raw data'!HR146/'raw data'!HS146),0,'raw data'!HR146/'raw data'!HS146)</f>
        <v>0</v>
      </c>
      <c r="DN125" s="615">
        <f>'raw data'!HT146</f>
        <v>0</v>
      </c>
      <c r="DO125" s="616">
        <f>'raw data'!HU146</f>
        <v>0</v>
      </c>
      <c r="DP125" s="617">
        <f>IF(ISERROR('raw data'!HT146/'raw data'!HU146),0,'raw data'!HT146/'raw data'!HU146)</f>
        <v>0</v>
      </c>
      <c r="DQ125" s="615">
        <f>'raw data'!HV146</f>
        <v>0</v>
      </c>
      <c r="DR125" s="616">
        <f>'raw data'!HW146</f>
        <v>0</v>
      </c>
      <c r="DS125" s="617">
        <f>IF(ISERROR('raw data'!HV146/'raw data'!HW146),0,'raw data'!HV146/'raw data'!HW146)</f>
        <v>0</v>
      </c>
      <c r="DT125" s="615">
        <f>'raw data'!HX146</f>
        <v>0</v>
      </c>
      <c r="DU125" s="616">
        <f>'raw data'!HY146</f>
        <v>0</v>
      </c>
      <c r="DV125" s="617">
        <f>IF(ISERROR('raw data'!HX146/'raw data'!HY146),0,'raw data'!HX146/'raw data'!HY146)</f>
        <v>0</v>
      </c>
      <c r="DW125" s="615">
        <f>'raw data'!HZ146</f>
        <v>0</v>
      </c>
      <c r="DX125" s="616">
        <f>'raw data'!IA146</f>
        <v>0</v>
      </c>
      <c r="DY125" s="617">
        <f>IF(ISERROR('raw data'!HZ146/'raw data'!IA146),0,'raw data'!HZ146/'raw data'!IA146)</f>
        <v>0</v>
      </c>
      <c r="DZ125" s="615">
        <f>'raw data'!IB146</f>
        <v>0</v>
      </c>
      <c r="EA125" s="616">
        <f>'raw data'!IC146</f>
        <v>0</v>
      </c>
      <c r="EB125" s="617">
        <f>IF(ISERROR('raw data'!IB146/'raw data'!IC146),0,'raw data'!IB146/'raw data'!IC146)</f>
        <v>0</v>
      </c>
      <c r="EC125" s="615">
        <f>'raw data'!ID146</f>
        <v>0</v>
      </c>
      <c r="ED125" s="616">
        <f>'raw data'!IE146</f>
        <v>0</v>
      </c>
      <c r="EE125" s="617">
        <f>IF(ISERROR('raw data'!ID146/'raw data'!IE146),0,'raw data'!ID146/'raw data'!IE146)</f>
        <v>0</v>
      </c>
      <c r="EF125" s="615">
        <f>'raw data'!IF146</f>
        <v>0</v>
      </c>
      <c r="EG125" s="616">
        <f>'raw data'!IG146</f>
        <v>0</v>
      </c>
      <c r="EH125" s="617">
        <f>IF(ISERROR('raw data'!IF146/'raw data'!IG146),0,'raw data'!IF146/'raw data'!IG146)</f>
        <v>0</v>
      </c>
      <c r="EI125" s="615">
        <f>'raw data'!IH146</f>
        <v>0</v>
      </c>
      <c r="EJ125" s="616">
        <f>'raw data'!II146</f>
        <v>0</v>
      </c>
      <c r="EK125" s="617">
        <f>IF(ISERROR('raw data'!IH146/'raw data'!II146),0,'raw data'!IH146/'raw data'!II146)</f>
        <v>0</v>
      </c>
      <c r="EL125" s="615">
        <f>'raw data'!IJ146</f>
        <v>0</v>
      </c>
      <c r="EM125" s="616">
        <f>'raw data'!IK146</f>
        <v>0</v>
      </c>
      <c r="EN125" s="617">
        <f>IF(ISERROR('raw data'!IJ146/'raw data'!IK146),0,'raw data'!IJ146/'raw data'!IK146)</f>
        <v>0</v>
      </c>
      <c r="EO125" s="615">
        <f>'raw data'!IL146</f>
        <v>0</v>
      </c>
      <c r="EP125" s="616">
        <f>'raw data'!IM146</f>
        <v>0</v>
      </c>
      <c r="EQ125" s="617">
        <f>IF(ISERROR('raw data'!IL146/'raw data'!IM146),0,'raw data'!IL146/'raw data'!IM146)</f>
        <v>0</v>
      </c>
      <c r="ER125" s="615">
        <f>'raw data'!IN146</f>
        <v>0</v>
      </c>
      <c r="ES125" s="616">
        <f>'raw data'!IO146</f>
        <v>0</v>
      </c>
      <c r="ET125" s="617">
        <f>IF(ISERROR('raw data'!IN146/'raw data'!IO146),0,'raw data'!IN146/'raw data'!IO146)</f>
        <v>0</v>
      </c>
      <c r="EU125" s="615">
        <f>'raw data'!IP146</f>
        <v>0</v>
      </c>
      <c r="EV125" s="616">
        <f>'raw data'!IQ146</f>
        <v>0</v>
      </c>
      <c r="EW125" s="617">
        <f>IF(ISERROR('raw data'!IP146/'raw data'!IQ146),0,'raw data'!IP146/'raw data'!IQ146)</f>
        <v>0</v>
      </c>
      <c r="EX125" s="615">
        <f>'raw data'!IR146</f>
        <v>0</v>
      </c>
      <c r="EY125" s="616">
        <f>'raw data'!IS146</f>
        <v>0</v>
      </c>
      <c r="EZ125" s="617">
        <f>IF(ISERROR('raw data'!IR146/'raw data'!IS146),0,'raw data'!IR146/'raw data'!IS146)</f>
        <v>0</v>
      </c>
      <c r="FA125" s="615">
        <f>'raw data'!IT146</f>
        <v>0</v>
      </c>
      <c r="FB125" s="616">
        <f>'raw data'!IU146</f>
        <v>0</v>
      </c>
      <c r="FC125" s="617">
        <f>IF(ISERROR('raw data'!IT146/'raw data'!IU146),0,'raw data'!IT146/'raw data'!IU146)</f>
        <v>0</v>
      </c>
      <c r="FD125" s="615">
        <f>'raw data'!IV146</f>
        <v>0</v>
      </c>
      <c r="FE125" s="616">
        <f>'raw data'!IW146</f>
        <v>0</v>
      </c>
      <c r="FF125" s="617">
        <f>IF(ISERROR('raw data'!IV146/'raw data'!IW146),0,'raw data'!IV146/'raw data'!IW146)</f>
        <v>0</v>
      </c>
      <c r="FG125" s="615">
        <f>'raw data'!IX146</f>
        <v>0</v>
      </c>
      <c r="FH125" s="616">
        <f>'raw data'!IY146</f>
        <v>1</v>
      </c>
      <c r="FI125" s="617">
        <f>IF(ISERROR('raw data'!IX146/'raw data'!IY146),0,'raw data'!IX146/'raw data'!IY146)</f>
        <v>0</v>
      </c>
      <c r="FJ125" s="615">
        <f>'raw data'!IZ146</f>
        <v>0</v>
      </c>
      <c r="FK125" s="616">
        <f>'raw data'!JA146</f>
        <v>0</v>
      </c>
      <c r="FL125" s="617">
        <f>IF(ISERROR('raw data'!IZ146/'raw data'!JA146),0,'raw data'!IZ146/'raw data'!JA146)</f>
        <v>0</v>
      </c>
      <c r="FM125" s="615">
        <f>'raw data'!JB146</f>
        <v>0</v>
      </c>
      <c r="FN125" s="616">
        <f>'raw data'!JC146</f>
        <v>0</v>
      </c>
      <c r="FO125" s="617">
        <f>IF(ISERROR('raw data'!JB146/'raw data'!JC146),0,'raw data'!JB146/'raw data'!JC146)</f>
        <v>0</v>
      </c>
      <c r="FP125" s="615">
        <f>'raw data'!JD146</f>
        <v>0</v>
      </c>
      <c r="FQ125" s="616">
        <f>'raw data'!JE146</f>
        <v>0</v>
      </c>
      <c r="FR125" s="617">
        <f>IF(ISERROR('raw data'!JD146/'raw data'!JE146),0,'raw data'!JD146/'raw data'!JE146)</f>
        <v>0</v>
      </c>
      <c r="FS125" s="469"/>
      <c r="FT125" s="619">
        <v>0</v>
      </c>
      <c r="FU125" s="620">
        <v>1</v>
      </c>
      <c r="FV125" s="621">
        <f t="shared" si="7"/>
        <v>0</v>
      </c>
    </row>
    <row r="126" spans="1:178" ht="20" customHeight="1" x14ac:dyDescent="0.15">
      <c r="A126" s="613" t="s">
        <v>234</v>
      </c>
      <c r="B126" s="614" t="s">
        <v>235</v>
      </c>
      <c r="C126" s="614" t="s">
        <v>235</v>
      </c>
      <c r="D126" s="461"/>
      <c r="E126" s="462"/>
      <c r="F126" s="463"/>
      <c r="G126" s="461"/>
      <c r="H126" s="462"/>
      <c r="I126" s="463"/>
      <c r="J126" s="461"/>
      <c r="K126" s="462"/>
      <c r="L126" s="463"/>
      <c r="M126" s="461"/>
      <c r="N126" s="462"/>
      <c r="O126" s="463"/>
      <c r="P126" s="461"/>
      <c r="Q126" s="462"/>
      <c r="R126" s="463"/>
      <c r="S126" s="461"/>
      <c r="T126" s="462"/>
      <c r="U126" s="463"/>
      <c r="V126" s="461"/>
      <c r="W126" s="462"/>
      <c r="X126" s="463"/>
      <c r="Y126" s="461"/>
      <c r="Z126" s="462"/>
      <c r="AA126" s="463"/>
      <c r="AB126" s="461"/>
      <c r="AC126" s="462"/>
      <c r="AD126" s="463"/>
      <c r="AE126" s="461"/>
      <c r="AF126" s="462"/>
      <c r="AG126" s="463"/>
      <c r="AH126" s="461"/>
      <c r="AI126" s="462"/>
      <c r="AJ126" s="463"/>
      <c r="AK126" s="461"/>
      <c r="AL126" s="462"/>
      <c r="AM126" s="463"/>
      <c r="AN126" s="461"/>
      <c r="AO126" s="462"/>
      <c r="AP126" s="463"/>
      <c r="AQ126" s="461"/>
      <c r="AR126" s="462"/>
      <c r="AS126" s="463"/>
      <c r="AT126" s="461"/>
      <c r="AU126" s="462"/>
      <c r="AV126" s="463"/>
      <c r="AW126" s="461"/>
      <c r="AX126" s="462"/>
      <c r="AY126" s="463"/>
      <c r="AZ126" s="461"/>
      <c r="BA126" s="462"/>
      <c r="BB126" s="463"/>
      <c r="BC126" s="461"/>
      <c r="BD126" s="462"/>
      <c r="BE126" s="463"/>
      <c r="BF126" s="461"/>
      <c r="BG126" s="462"/>
      <c r="BH126" s="463"/>
      <c r="BI126" s="461"/>
      <c r="BJ126" s="462"/>
      <c r="BK126" s="463"/>
      <c r="BL126" s="461"/>
      <c r="BM126" s="462"/>
      <c r="BN126" s="463"/>
      <c r="BO126" s="461"/>
      <c r="BP126" s="462"/>
      <c r="BQ126" s="463"/>
      <c r="BR126" s="461"/>
      <c r="BS126" s="462"/>
      <c r="BT126" s="463"/>
      <c r="BU126" s="461"/>
      <c r="BV126" s="462"/>
      <c r="BW126" s="463"/>
      <c r="BX126" s="461"/>
      <c r="BY126" s="462"/>
      <c r="BZ126" s="463"/>
      <c r="CA126" s="461"/>
      <c r="CB126" s="462"/>
      <c r="CC126" s="463"/>
      <c r="CD126" s="461"/>
      <c r="CE126" s="462"/>
      <c r="CF126" s="463"/>
      <c r="CG126" s="461"/>
      <c r="CH126" s="462"/>
      <c r="CI126" s="463"/>
      <c r="CJ126" s="461"/>
      <c r="CK126" s="462"/>
      <c r="CL126" s="463"/>
      <c r="CM126" s="461"/>
      <c r="CN126" s="462"/>
      <c r="CO126" s="463"/>
      <c r="CP126" s="461"/>
      <c r="CQ126" s="462"/>
      <c r="CR126" s="463"/>
      <c r="CS126" s="461"/>
      <c r="CT126" s="462"/>
      <c r="CU126" s="463"/>
      <c r="CV126" s="615">
        <f>'raw data'!HH147</f>
        <v>3</v>
      </c>
      <c r="CW126" s="616">
        <f>'raw data'!HI147</f>
        <v>12</v>
      </c>
      <c r="CX126" s="617">
        <f>IF(ISERROR('raw data'!HH147/'raw data'!HI147),0,'raw data'!HH147/'raw data'!HI147)</f>
        <v>0.25</v>
      </c>
      <c r="CY126" s="615">
        <f>'raw data'!HJ147</f>
        <v>4</v>
      </c>
      <c r="CZ126" s="616">
        <f>'raw data'!HK147</f>
        <v>16</v>
      </c>
      <c r="DA126" s="617">
        <f>IF(ISERROR('raw data'!HJ147/'raw data'!HK147),0,'raw data'!HJ147/'raw data'!HK147)</f>
        <v>0.25</v>
      </c>
      <c r="DB126" s="615">
        <f>'raw data'!HL147</f>
        <v>2</v>
      </c>
      <c r="DC126" s="616">
        <f>'raw data'!HM147</f>
        <v>13</v>
      </c>
      <c r="DD126" s="617">
        <f>IF(ISERROR('raw data'!HL147/'raw data'!HM147),0,'raw data'!HL147/'raw data'!HM147)</f>
        <v>0.15384615384615385</v>
      </c>
      <c r="DE126" s="615">
        <f>'raw data'!HN147</f>
        <v>3</v>
      </c>
      <c r="DF126" s="616">
        <f>'raw data'!HO147</f>
        <v>12</v>
      </c>
      <c r="DG126" s="617">
        <f>IF(ISERROR('raw data'!HN147/'raw data'!HO147),0,'raw data'!HN147/'raw data'!HO147)</f>
        <v>0.25</v>
      </c>
      <c r="DH126" s="615">
        <f>'raw data'!HP147</f>
        <v>4</v>
      </c>
      <c r="DI126" s="616">
        <f>'raw data'!HQ147</f>
        <v>15</v>
      </c>
      <c r="DJ126" s="617">
        <f>IF(ISERROR('raw data'!HP147/'raw data'!HQ147),0,'raw data'!HP147/'raw data'!HQ147)</f>
        <v>0.26666666666666666</v>
      </c>
      <c r="DK126" s="615">
        <f>'raw data'!HR147</f>
        <v>1</v>
      </c>
      <c r="DL126" s="616">
        <f>'raw data'!HS147</f>
        <v>14</v>
      </c>
      <c r="DM126" s="617">
        <f>IF(ISERROR('raw data'!HR147/'raw data'!HS147),0,'raw data'!HR147/'raw data'!HS147)</f>
        <v>7.1428571428571425E-2</v>
      </c>
      <c r="DN126" s="615">
        <f>'raw data'!HT147</f>
        <v>3</v>
      </c>
      <c r="DO126" s="616">
        <f>'raw data'!HU147</f>
        <v>7</v>
      </c>
      <c r="DP126" s="617">
        <f>IF(ISERROR('raw data'!HT147/'raw data'!HU147),0,'raw data'!HT147/'raw data'!HU147)</f>
        <v>0.42857142857142855</v>
      </c>
      <c r="DQ126" s="615">
        <f>'raw data'!HV147</f>
        <v>0</v>
      </c>
      <c r="DR126" s="616">
        <f>'raw data'!HW147</f>
        <v>2</v>
      </c>
      <c r="DS126" s="617">
        <f>IF(ISERROR('raw data'!HV147/'raw data'!HW147),0,'raw data'!HV147/'raw data'!HW147)</f>
        <v>0</v>
      </c>
      <c r="DT126" s="615">
        <f>'raw data'!HX147</f>
        <v>2</v>
      </c>
      <c r="DU126" s="616">
        <f>'raw data'!HY147</f>
        <v>4</v>
      </c>
      <c r="DV126" s="617">
        <f>IF(ISERROR('raw data'!HX147/'raw data'!HY147),0,'raw data'!HX147/'raw data'!HY147)</f>
        <v>0.5</v>
      </c>
      <c r="DW126" s="615">
        <f>'raw data'!HZ147</f>
        <v>4</v>
      </c>
      <c r="DX126" s="616">
        <f>'raw data'!IA147</f>
        <v>10</v>
      </c>
      <c r="DY126" s="617">
        <f>IF(ISERROR('raw data'!HZ147/'raw data'!IA147),0,'raw data'!HZ147/'raw data'!IA147)</f>
        <v>0.4</v>
      </c>
      <c r="DZ126" s="615">
        <f>'raw data'!IB147</f>
        <v>1</v>
      </c>
      <c r="EA126" s="616">
        <f>'raw data'!IC147</f>
        <v>6</v>
      </c>
      <c r="EB126" s="617">
        <f>IF(ISERROR('raw data'!IB147/'raw data'!IC147),0,'raw data'!IB147/'raw data'!IC147)</f>
        <v>0.16666666666666666</v>
      </c>
      <c r="EC126" s="615">
        <f>'raw data'!ID147</f>
        <v>1</v>
      </c>
      <c r="ED126" s="616">
        <f>'raw data'!IE147</f>
        <v>7</v>
      </c>
      <c r="EE126" s="617">
        <f>IF(ISERROR('raw data'!ID147/'raw data'!IE147),0,'raw data'!ID147/'raw data'!IE147)</f>
        <v>0.14285714285714285</v>
      </c>
      <c r="EF126" s="615">
        <f>'raw data'!IF147</f>
        <v>3</v>
      </c>
      <c r="EG126" s="616">
        <f>'raw data'!IG147</f>
        <v>8</v>
      </c>
      <c r="EH126" s="617">
        <f>IF(ISERROR('raw data'!IF147/'raw data'!IG147),0,'raw data'!IF147/'raw data'!IG147)</f>
        <v>0.375</v>
      </c>
      <c r="EI126" s="615">
        <f>'raw data'!IH147</f>
        <v>3</v>
      </c>
      <c r="EJ126" s="616">
        <f>'raw data'!II147</f>
        <v>10</v>
      </c>
      <c r="EK126" s="617">
        <f>IF(ISERROR('raw data'!IH147/'raw data'!II147),0,'raw data'!IH147/'raw data'!II147)</f>
        <v>0.3</v>
      </c>
      <c r="EL126" s="615">
        <f>'raw data'!IJ147</f>
        <v>5</v>
      </c>
      <c r="EM126" s="616">
        <f>'raw data'!IK147</f>
        <v>10</v>
      </c>
      <c r="EN126" s="617">
        <f>IF(ISERROR('raw data'!IJ147/'raw data'!IK147),0,'raw data'!IJ147/'raw data'!IK147)</f>
        <v>0.5</v>
      </c>
      <c r="EO126" s="615">
        <f>'raw data'!IL147</f>
        <v>3</v>
      </c>
      <c r="EP126" s="616">
        <f>'raw data'!IM147</f>
        <v>4</v>
      </c>
      <c r="EQ126" s="617">
        <f>IF(ISERROR('raw data'!IL147/'raw data'!IM147),0,'raw data'!IL147/'raw data'!IM147)</f>
        <v>0.75</v>
      </c>
      <c r="ER126" s="615">
        <f>'raw data'!IN147</f>
        <v>2</v>
      </c>
      <c r="ES126" s="616">
        <f>'raw data'!IO147</f>
        <v>6</v>
      </c>
      <c r="ET126" s="617">
        <f>IF(ISERROR('raw data'!IN147/'raw data'!IO147),0,'raw data'!IN147/'raw data'!IO147)</f>
        <v>0.33333333333333331</v>
      </c>
      <c r="EU126" s="615">
        <f>'raw data'!IP147</f>
        <v>4</v>
      </c>
      <c r="EV126" s="616">
        <f>'raw data'!IQ147</f>
        <v>6</v>
      </c>
      <c r="EW126" s="617">
        <f>IF(ISERROR('raw data'!IP147/'raw data'!IQ147),0,'raw data'!IP147/'raw data'!IQ147)</f>
        <v>0.66666666666666663</v>
      </c>
      <c r="EX126" s="615">
        <f>'raw data'!IR147</f>
        <v>4</v>
      </c>
      <c r="EY126" s="616">
        <f>'raw data'!IS147</f>
        <v>4</v>
      </c>
      <c r="EZ126" s="617">
        <f>IF(ISERROR('raw data'!IR147/'raw data'!IS147),0,'raw data'!IR147/'raw data'!IS147)</f>
        <v>1</v>
      </c>
      <c r="FA126" s="615">
        <f>'raw data'!IT147</f>
        <v>0</v>
      </c>
      <c r="FB126" s="616">
        <f>'raw data'!IU147</f>
        <v>8</v>
      </c>
      <c r="FC126" s="617">
        <f>IF(ISERROR('raw data'!IT147/'raw data'!IU147),0,'raw data'!IT147/'raw data'!IU147)</f>
        <v>0</v>
      </c>
      <c r="FD126" s="615">
        <f>'raw data'!IV147</f>
        <v>4</v>
      </c>
      <c r="FE126" s="616">
        <f>'raw data'!IW147</f>
        <v>9</v>
      </c>
      <c r="FF126" s="617">
        <f>IF(ISERROR('raw data'!IV147/'raw data'!IW147),0,'raw data'!IV147/'raw data'!IW147)</f>
        <v>0.44444444444444442</v>
      </c>
      <c r="FG126" s="615">
        <f>'raw data'!IX147</f>
        <v>2</v>
      </c>
      <c r="FH126" s="616">
        <f>'raw data'!IY147</f>
        <v>15</v>
      </c>
      <c r="FI126" s="617">
        <f>IF(ISERROR('raw data'!IX147/'raw data'!IY147),0,'raw data'!IX147/'raw data'!IY147)</f>
        <v>0.13333333333333333</v>
      </c>
      <c r="FJ126" s="615">
        <f>'raw data'!IZ147</f>
        <v>2</v>
      </c>
      <c r="FK126" s="616">
        <f>'raw data'!JA147</f>
        <v>11</v>
      </c>
      <c r="FL126" s="617">
        <f>IF(ISERROR('raw data'!IZ147/'raw data'!JA147),0,'raw data'!IZ147/'raw data'!JA147)</f>
        <v>0.18181818181818182</v>
      </c>
      <c r="FM126" s="615">
        <f>'raw data'!JB147</f>
        <v>1</v>
      </c>
      <c r="FN126" s="616">
        <f>'raw data'!JC147</f>
        <v>11</v>
      </c>
      <c r="FO126" s="617">
        <f>IF(ISERROR('raw data'!JB147/'raw data'!JC147),0,'raw data'!JB147/'raw data'!JC147)</f>
        <v>9.0909090909090912E-2</v>
      </c>
      <c r="FP126" s="615">
        <f>'raw data'!JD147</f>
        <v>4</v>
      </c>
      <c r="FQ126" s="616">
        <f>'raw data'!JE147</f>
        <v>12</v>
      </c>
      <c r="FR126" s="617">
        <f>IF(ISERROR('raw data'!JD147/'raw data'!JE147),0,'raw data'!JD147/'raw data'!JE147)</f>
        <v>0.33333333333333331</v>
      </c>
      <c r="FS126" s="469"/>
      <c r="FT126" s="619">
        <v>34</v>
      </c>
      <c r="FU126" s="620">
        <v>106</v>
      </c>
      <c r="FV126" s="621">
        <f t="shared" si="7"/>
        <v>0.32075471698113206</v>
      </c>
    </row>
    <row r="127" spans="1:178" ht="20" customHeight="1" x14ac:dyDescent="0.15">
      <c r="A127" s="613" t="s">
        <v>236</v>
      </c>
      <c r="B127" s="614" t="s">
        <v>237</v>
      </c>
      <c r="C127" s="614" t="s">
        <v>237</v>
      </c>
      <c r="D127" s="461"/>
      <c r="E127" s="462"/>
      <c r="F127" s="463"/>
      <c r="G127" s="461"/>
      <c r="H127" s="462"/>
      <c r="I127" s="463"/>
      <c r="J127" s="461"/>
      <c r="K127" s="462"/>
      <c r="L127" s="463"/>
      <c r="M127" s="461"/>
      <c r="N127" s="462"/>
      <c r="O127" s="463"/>
      <c r="P127" s="461"/>
      <c r="Q127" s="462"/>
      <c r="R127" s="463"/>
      <c r="S127" s="461"/>
      <c r="T127" s="462"/>
      <c r="U127" s="463"/>
      <c r="V127" s="461"/>
      <c r="W127" s="462"/>
      <c r="X127" s="463"/>
      <c r="Y127" s="461"/>
      <c r="Z127" s="462"/>
      <c r="AA127" s="463"/>
      <c r="AB127" s="461"/>
      <c r="AC127" s="462"/>
      <c r="AD127" s="463"/>
      <c r="AE127" s="461"/>
      <c r="AF127" s="462"/>
      <c r="AG127" s="463"/>
      <c r="AH127" s="461"/>
      <c r="AI127" s="462"/>
      <c r="AJ127" s="463"/>
      <c r="AK127" s="461"/>
      <c r="AL127" s="462"/>
      <c r="AM127" s="463"/>
      <c r="AN127" s="461"/>
      <c r="AO127" s="462"/>
      <c r="AP127" s="463"/>
      <c r="AQ127" s="461"/>
      <c r="AR127" s="462"/>
      <c r="AS127" s="463"/>
      <c r="AT127" s="461"/>
      <c r="AU127" s="462"/>
      <c r="AV127" s="463"/>
      <c r="AW127" s="461"/>
      <c r="AX127" s="462"/>
      <c r="AY127" s="463"/>
      <c r="AZ127" s="461"/>
      <c r="BA127" s="462"/>
      <c r="BB127" s="463"/>
      <c r="BC127" s="461"/>
      <c r="BD127" s="462"/>
      <c r="BE127" s="463"/>
      <c r="BF127" s="461"/>
      <c r="BG127" s="462"/>
      <c r="BH127" s="463"/>
      <c r="BI127" s="461"/>
      <c r="BJ127" s="462"/>
      <c r="BK127" s="463"/>
      <c r="BL127" s="461"/>
      <c r="BM127" s="462"/>
      <c r="BN127" s="463"/>
      <c r="BO127" s="461"/>
      <c r="BP127" s="462"/>
      <c r="BQ127" s="463"/>
      <c r="BR127" s="461"/>
      <c r="BS127" s="462"/>
      <c r="BT127" s="463"/>
      <c r="BU127" s="461"/>
      <c r="BV127" s="462"/>
      <c r="BW127" s="463"/>
      <c r="BX127" s="461"/>
      <c r="BY127" s="462"/>
      <c r="BZ127" s="463"/>
      <c r="CA127" s="461"/>
      <c r="CB127" s="462"/>
      <c r="CC127" s="463"/>
      <c r="CD127" s="461"/>
      <c r="CE127" s="462"/>
      <c r="CF127" s="463"/>
      <c r="CG127" s="461"/>
      <c r="CH127" s="462"/>
      <c r="CI127" s="463"/>
      <c r="CJ127" s="461"/>
      <c r="CK127" s="462"/>
      <c r="CL127" s="463"/>
      <c r="CM127" s="461"/>
      <c r="CN127" s="462"/>
      <c r="CO127" s="463"/>
      <c r="CP127" s="461"/>
      <c r="CQ127" s="462"/>
      <c r="CR127" s="463"/>
      <c r="CS127" s="461"/>
      <c r="CT127" s="462"/>
      <c r="CU127" s="463"/>
      <c r="CV127" s="461"/>
      <c r="CW127" s="462"/>
      <c r="CX127" s="463"/>
      <c r="CY127" s="461"/>
      <c r="CZ127" s="462"/>
      <c r="DA127" s="463"/>
      <c r="DB127" s="461"/>
      <c r="DC127" s="462"/>
      <c r="DD127" s="463"/>
      <c r="DE127" s="461"/>
      <c r="DF127" s="462"/>
      <c r="DG127" s="463"/>
      <c r="DH127" s="461"/>
      <c r="DI127" s="462"/>
      <c r="DJ127" s="463"/>
      <c r="DK127" s="615">
        <f>'raw data'!HR148</f>
        <v>0</v>
      </c>
      <c r="DL127" s="616">
        <f>'raw data'!HS148</f>
        <v>25</v>
      </c>
      <c r="DM127" s="617">
        <f>IF(ISERROR('raw data'!HR148/'raw data'!HS148),0,'raw data'!HR148/'raw data'!HS148)</f>
        <v>0</v>
      </c>
      <c r="DN127" s="408" t="str">
        <f>'raw data'!HT148</f>
        <v>Suspended</v>
      </c>
      <c r="DO127" s="409" t="str">
        <f>'raw data'!HU148</f>
        <v>Suspended</v>
      </c>
      <c r="DP127" s="414" t="s">
        <v>30</v>
      </c>
      <c r="DQ127" s="408" t="str">
        <f>'raw data'!HV148</f>
        <v>Suspended</v>
      </c>
      <c r="DR127" s="409" t="str">
        <f>'raw data'!HW148</f>
        <v>Suspended</v>
      </c>
      <c r="DS127" s="414" t="s">
        <v>30</v>
      </c>
      <c r="DT127" s="408" t="str">
        <f>'raw data'!HX148</f>
        <v>Suspended</v>
      </c>
      <c r="DU127" s="409" t="str">
        <f>'raw data'!HY148</f>
        <v>Suspended</v>
      </c>
      <c r="DV127" s="414" t="s">
        <v>30</v>
      </c>
      <c r="DW127" s="408" t="str">
        <f>'raw data'!HZ148</f>
        <v>Suspended</v>
      </c>
      <c r="DX127" s="409" t="str">
        <f>'raw data'!IA148</f>
        <v>Suspended</v>
      </c>
      <c r="DY127" s="414" t="s">
        <v>30</v>
      </c>
      <c r="DZ127" s="408" t="str">
        <f>'raw data'!IB148</f>
        <v>Suspended</v>
      </c>
      <c r="EA127" s="409" t="str">
        <f>'raw data'!IC148</f>
        <v>Suspended</v>
      </c>
      <c r="EB127" s="414" t="s">
        <v>30</v>
      </c>
      <c r="EC127" s="408" t="str">
        <f>'raw data'!ID148</f>
        <v>Suspended</v>
      </c>
      <c r="ED127" s="409" t="str">
        <f>'raw data'!IE148</f>
        <v>Suspended</v>
      </c>
      <c r="EE127" s="414" t="s">
        <v>30</v>
      </c>
      <c r="EF127" s="408" t="str">
        <f>'raw data'!IF148</f>
        <v>Suspended</v>
      </c>
      <c r="EG127" s="409" t="str">
        <f>'raw data'!IG148</f>
        <v>Suspended</v>
      </c>
      <c r="EH127" s="414" t="s">
        <v>30</v>
      </c>
      <c r="EI127" s="408" t="str">
        <f>'raw data'!IH148</f>
        <v>Suspended</v>
      </c>
      <c r="EJ127" s="409" t="str">
        <f>'raw data'!II148</f>
        <v>Suspended</v>
      </c>
      <c r="EK127" s="414" t="s">
        <v>30</v>
      </c>
      <c r="EL127" s="408" t="str">
        <f>'raw data'!IJ148</f>
        <v>Suspended</v>
      </c>
      <c r="EM127" s="409" t="str">
        <f>'raw data'!IK148</f>
        <v>Suspended</v>
      </c>
      <c r="EN127" s="414" t="s">
        <v>30</v>
      </c>
      <c r="EO127" s="408" t="str">
        <f>'raw data'!IL148</f>
        <v>Suspended</v>
      </c>
      <c r="EP127" s="409" t="str">
        <f>'raw data'!IM148</f>
        <v>Suspended</v>
      </c>
      <c r="EQ127" s="414" t="s">
        <v>30</v>
      </c>
      <c r="ER127" s="408" t="str">
        <f>'raw data'!IN148</f>
        <v>Suspended</v>
      </c>
      <c r="ES127" s="409" t="str">
        <f>'raw data'!IO148</f>
        <v>Suspended</v>
      </c>
      <c r="ET127" s="414" t="s">
        <v>30</v>
      </c>
      <c r="EU127" s="408" t="str">
        <f>'raw data'!IP148</f>
        <v>Suspended</v>
      </c>
      <c r="EV127" s="409" t="str">
        <f>'raw data'!IQ148</f>
        <v>Suspended</v>
      </c>
      <c r="EW127" s="414" t="s">
        <v>30</v>
      </c>
      <c r="EX127" s="408" t="str">
        <f>'raw data'!IR148</f>
        <v>Suspended</v>
      </c>
      <c r="EY127" s="409" t="str">
        <f>'raw data'!IS148</f>
        <v>Suspended</v>
      </c>
      <c r="EZ127" s="414" t="s">
        <v>30</v>
      </c>
      <c r="FA127" s="408" t="str">
        <f>'raw data'!IT148</f>
        <v>Suspended</v>
      </c>
      <c r="FB127" s="409" t="str">
        <f>'raw data'!IU148</f>
        <v>Suspended</v>
      </c>
      <c r="FC127" s="414" t="s">
        <v>30</v>
      </c>
      <c r="FD127" s="408" t="str">
        <f>'raw data'!IV148</f>
        <v>Suspended</v>
      </c>
      <c r="FE127" s="409" t="str">
        <f>'raw data'!IW148</f>
        <v>Suspended</v>
      </c>
      <c r="FF127" s="414" t="s">
        <v>30</v>
      </c>
      <c r="FG127" s="408" t="str">
        <f>'raw data'!IX148</f>
        <v>Suspended</v>
      </c>
      <c r="FH127" s="409" t="str">
        <f>'raw data'!IY148</f>
        <v>Suspended</v>
      </c>
      <c r="FI127" s="414" t="s">
        <v>30</v>
      </c>
      <c r="FJ127" s="408" t="str">
        <f>'raw data'!IZ148</f>
        <v>Suspended</v>
      </c>
      <c r="FK127" s="409" t="str">
        <f>'raw data'!JA148</f>
        <v>Suspended</v>
      </c>
      <c r="FL127" s="414" t="s">
        <v>30</v>
      </c>
      <c r="FM127" s="408" t="str">
        <f>'raw data'!JB148</f>
        <v>Suspended</v>
      </c>
      <c r="FN127" s="409" t="str">
        <f>'raw data'!JC148</f>
        <v>Suspended</v>
      </c>
      <c r="FO127" s="414" t="s">
        <v>30</v>
      </c>
      <c r="FP127" s="408" t="str">
        <f>'raw data'!JD148</f>
        <v>Suspended</v>
      </c>
      <c r="FQ127" s="409" t="str">
        <f>'raw data'!JE148</f>
        <v>Suspended</v>
      </c>
      <c r="FR127" s="414" t="s">
        <v>30</v>
      </c>
      <c r="FS127" s="469"/>
      <c r="FT127" s="619">
        <v>0</v>
      </c>
      <c r="FU127" s="620">
        <v>0</v>
      </c>
      <c r="FV127" s="621">
        <f t="shared" si="7"/>
        <v>0</v>
      </c>
    </row>
    <row r="128" spans="1:178" ht="14" x14ac:dyDescent="0.15">
      <c r="A128" s="415"/>
      <c r="B128" s="590" t="s">
        <v>256</v>
      </c>
      <c r="C128" s="622" t="s">
        <v>256</v>
      </c>
      <c r="D128" s="603">
        <f>SUM(D122:D127)</f>
        <v>458</v>
      </c>
      <c r="E128" s="604">
        <f>SUM(E122:E127)</f>
        <v>883</v>
      </c>
      <c r="F128" s="605">
        <f>IF(ISERROR('raw data'!ET149/'raw data'!EU149),0,'raw data'!ET149/'raw data'!EU149)</f>
        <v>0.51868629671574173</v>
      </c>
      <c r="G128" s="603">
        <f>SUM(G122:G127)</f>
        <v>473</v>
      </c>
      <c r="H128" s="604">
        <f>SUM(H122:H127)</f>
        <v>921</v>
      </c>
      <c r="I128" s="605">
        <f>IF(ISERROR('raw data'!EV149/'raw data'!EW149),0,'raw data'!EV149/'raw data'!EW149)</f>
        <v>0.51357220412595006</v>
      </c>
      <c r="J128" s="603">
        <f>SUM(J122:J127)</f>
        <v>306</v>
      </c>
      <c r="K128" s="604">
        <f>SUM(K122:K127)</f>
        <v>651</v>
      </c>
      <c r="L128" s="605">
        <f>IF(ISERROR('raw data'!EX149/'raw data'!EY149),0,'raw data'!EX149/'raw data'!EY149)</f>
        <v>0.47004608294930877</v>
      </c>
      <c r="M128" s="603">
        <f>SUM(M122:M127)</f>
        <v>376</v>
      </c>
      <c r="N128" s="604">
        <f>SUM(N122:N127)</f>
        <v>742</v>
      </c>
      <c r="O128" s="605">
        <f>IF(ISERROR('raw data'!EZ149/'raw data'!FA149),0,'raw data'!EZ149/'raw data'!FA149)</f>
        <v>0.50673854447439348</v>
      </c>
      <c r="P128" s="603">
        <f>SUM(P122:P127)</f>
        <v>674</v>
      </c>
      <c r="Q128" s="604">
        <f>SUM(Q122:Q127)</f>
        <v>1394</v>
      </c>
      <c r="R128" s="605">
        <f>IF(ISERROR('raw data'!FB149/'raw data'!FC149),0,'raw data'!FB149/'raw data'!FC149)</f>
        <v>0.4835007173601148</v>
      </c>
      <c r="S128" s="603">
        <f>SUM(S122:S127)</f>
        <v>698</v>
      </c>
      <c r="T128" s="604">
        <f>SUM(T122:T127)</f>
        <v>1499</v>
      </c>
      <c r="U128" s="605">
        <f>IF(ISERROR('raw data'!FD149/'raw data'!FE149),0,'raw data'!FD149/'raw data'!FE149)</f>
        <v>0.46564376250833889</v>
      </c>
      <c r="V128" s="603">
        <f>SUM(V122:V127)</f>
        <v>723</v>
      </c>
      <c r="W128" s="604">
        <f>SUM(W122:W127)</f>
        <v>1378</v>
      </c>
      <c r="X128" s="605">
        <f>IF(ISERROR('raw data'!FF149/'raw data'!FG149),0,'raw data'!FF149/'raw data'!FG149)</f>
        <v>0.52467343976777936</v>
      </c>
      <c r="Y128" s="603">
        <f>SUM(Y122:Y127)</f>
        <v>789</v>
      </c>
      <c r="Z128" s="604">
        <f>SUM(Z122:Z127)</f>
        <v>1479</v>
      </c>
      <c r="AA128" s="605">
        <f>IF(ISERROR('raw data'!FH149/'raw data'!FI149),0,'raw data'!FH149/'raw data'!FI149)</f>
        <v>0.53346855983772823</v>
      </c>
      <c r="AB128" s="603">
        <f>SUM(AB122:AB127)</f>
        <v>745</v>
      </c>
      <c r="AC128" s="604">
        <f>SUM(AC122:AC127)</f>
        <v>1532</v>
      </c>
      <c r="AD128" s="605">
        <f>IF(ISERROR('raw data'!FJ149/'raw data'!FM149),0,'raw data'!FJ149/'raw data'!FM149)</f>
        <v>0.48629242819843344</v>
      </c>
      <c r="AE128" s="603">
        <f>SUM(AE122:AE127)</f>
        <v>791</v>
      </c>
      <c r="AF128" s="604">
        <f>SUM(AF122:AF127)</f>
        <v>1617</v>
      </c>
      <c r="AG128" s="605">
        <f>IF(ISERROR('raw data'!FN149/'raw data'!FO149),0,'raw data'!FN149/'raw data'!FO149)</f>
        <v>0.48917748917748916</v>
      </c>
      <c r="AH128" s="603">
        <f>SUM(AH122:AH127)</f>
        <v>805</v>
      </c>
      <c r="AI128" s="604">
        <f>SUM(AI122:AI127)</f>
        <v>1522</v>
      </c>
      <c r="AJ128" s="605">
        <f>IF(ISERROR('raw data'!FP149/'raw data'!FQ149),0,'raw data'!FP149/'raw data'!FQ149)</f>
        <v>0.52890932982917216</v>
      </c>
      <c r="AK128" s="603">
        <f>SUM(AK122:AK127)</f>
        <v>626</v>
      </c>
      <c r="AL128" s="604">
        <f>SUM(AL122:AL127)</f>
        <v>1383</v>
      </c>
      <c r="AM128" s="605">
        <f>IF(ISERROR('raw data'!FR149/'raw data'!FS149),0,'raw data'!FR149/'raw data'!FS149)</f>
        <v>0.45263919016630516</v>
      </c>
      <c r="AN128" s="603">
        <f>SUM(AN122:AN127)</f>
        <v>611</v>
      </c>
      <c r="AO128" s="604">
        <f>SUM(AO122:AO127)</f>
        <v>1123</v>
      </c>
      <c r="AP128" s="605">
        <f>IF(ISERROR('raw data'!FT149/'raw data'!FU149),0,'raw data'!FT149/'raw data'!FU149)</f>
        <v>0.54407836153161171</v>
      </c>
      <c r="AQ128" s="603">
        <f>SUM(AQ122:AQ127)</f>
        <v>796</v>
      </c>
      <c r="AR128" s="604">
        <f>SUM(AR122:AR127)</f>
        <v>1407</v>
      </c>
      <c r="AS128" s="605">
        <f>IF(ISERROR('raw data'!FV149/'raw data'!FW149),0,'raw data'!FV149/'raw data'!FW149)</f>
        <v>0.56574271499644635</v>
      </c>
      <c r="AT128" s="603">
        <f>SUM(AT122:AT127)</f>
        <v>705</v>
      </c>
      <c r="AU128" s="604">
        <f>SUM(AU122:AU127)</f>
        <v>1347</v>
      </c>
      <c r="AV128" s="605">
        <f>IF(ISERROR('raw data'!FX149/'raw data'!FY149),0,'raw data'!FX149/'raw data'!FY149)</f>
        <v>0.52338530066815148</v>
      </c>
      <c r="AW128" s="603">
        <f>SUM(AW122:AW127)</f>
        <v>724</v>
      </c>
      <c r="AX128" s="604">
        <f>SUM(AX122:AX127)</f>
        <v>1331</v>
      </c>
      <c r="AY128" s="605">
        <f>IF(ISERROR('raw data'!FZ149/'raw data'!GA149),0,'raw data'!FZ149/'raw data'!GA149)</f>
        <v>0.54395191585274227</v>
      </c>
      <c r="AZ128" s="603">
        <f>SUM(AZ122:AZ127)</f>
        <v>895</v>
      </c>
      <c r="BA128" s="604">
        <f>SUM(BA122:BA127)</f>
        <v>1529</v>
      </c>
      <c r="BB128" s="605">
        <f>IF(ISERROR('raw data'!GB149/'raw data'!GC149),0,'raw data'!GB149/'raw data'!GC149)</f>
        <v>0.58534990189666447</v>
      </c>
      <c r="BC128" s="603">
        <f>SUM(BC122:BC127)</f>
        <v>888</v>
      </c>
      <c r="BD128" s="604">
        <f>SUM(BD122:BD127)</f>
        <v>1618</v>
      </c>
      <c r="BE128" s="605">
        <f>IF(ISERROR('raw data'!GD149/'raw data'!GE149),0,'raw data'!GD149/'raw data'!GE149)</f>
        <v>0.54882571075401732</v>
      </c>
      <c r="BF128" s="603">
        <f>SUM(BF122:BF127)</f>
        <v>721</v>
      </c>
      <c r="BG128" s="604">
        <f>SUM(BG122:BG127)</f>
        <v>1423</v>
      </c>
      <c r="BH128" s="605">
        <f>IF(ISERROR('raw data'!GF149/'raw data'!GG149),0,'raw data'!GF149/'raw data'!GG149)</f>
        <v>0.50667603654251581</v>
      </c>
      <c r="BI128" s="603">
        <f>SUM(BI122:BI127)</f>
        <v>729</v>
      </c>
      <c r="BJ128" s="604">
        <f>SUM(BJ122:BJ127)</f>
        <v>1139</v>
      </c>
      <c r="BK128" s="605">
        <f>IF(ISERROR('raw data'!GH149/'raw data'!GI149),0,'raw data'!GH149/'raw data'!GI149)</f>
        <v>0.64003511852502193</v>
      </c>
      <c r="BL128" s="603">
        <f>SUM(BL122:BL127)</f>
        <v>1399</v>
      </c>
      <c r="BM128" s="604">
        <f>SUM(BM122:BM127)</f>
        <v>3496</v>
      </c>
      <c r="BN128" s="605">
        <f>IF(ISERROR('raw data'!GJ149/'raw data'!GK149),0,'raw data'!GJ149/'raw data'!GK149)</f>
        <v>0.40017162471395878</v>
      </c>
      <c r="BO128" s="603">
        <f>SUM(BO122:BO127)</f>
        <v>906</v>
      </c>
      <c r="BP128" s="604">
        <f>SUM(BP122:BP127)</f>
        <v>1930</v>
      </c>
      <c r="BQ128" s="605">
        <f>IF(ISERROR('raw data'!GL149/'raw data'!GM149),0,'raw data'!GL149/'raw data'!GM149)</f>
        <v>0.46943005181347153</v>
      </c>
      <c r="BR128" s="603">
        <f>SUM(BR122:BR127)</f>
        <v>936</v>
      </c>
      <c r="BS128" s="604">
        <f>SUM(BS122:BS127)</f>
        <v>1804</v>
      </c>
      <c r="BT128" s="605">
        <f>IF(ISERROR('raw data'!GN149/'raw data'!GO149),0,'raw data'!GN149/'raw data'!GO149)</f>
        <v>0.51884700665188466</v>
      </c>
      <c r="BU128" s="603">
        <f>SUM(BU122:BU127)</f>
        <v>812</v>
      </c>
      <c r="BV128" s="604">
        <f>SUM(BV122:BV127)</f>
        <v>1669</v>
      </c>
      <c r="BW128" s="605">
        <f>IF(ISERROR('raw data'!GP149/'raw data'!GQ149),0,'raw data'!GP149/'raw data'!GQ149)</f>
        <v>0.48651887357699219</v>
      </c>
      <c r="BX128" s="603">
        <f>SUM(BX122:BX127)</f>
        <v>1310</v>
      </c>
      <c r="BY128" s="604">
        <f>SUM(BY122:BY127)</f>
        <v>2238</v>
      </c>
      <c r="BZ128" s="605">
        <f>IF(ISERROR('raw data'!GR149/'raw data'!GS149),0,'raw data'!GR149/'raw data'!GS149)</f>
        <v>0.58534405719392313</v>
      </c>
      <c r="CA128" s="603">
        <f>SUM(CA122:CA127)</f>
        <v>805</v>
      </c>
      <c r="CB128" s="604">
        <f>SUM(CB122:CB127)</f>
        <v>1765</v>
      </c>
      <c r="CC128" s="605">
        <f>IF(ISERROR('raw data'!GT149/'raw data'!GU149),0,'raw data'!GT149/'raw data'!GU149)</f>
        <v>0.45609065155807366</v>
      </c>
      <c r="CD128" s="603">
        <f>SUM(CD122:CD127)</f>
        <v>964</v>
      </c>
      <c r="CE128" s="604">
        <f>SUM(CE122:CE127)</f>
        <v>1565</v>
      </c>
      <c r="CF128" s="605">
        <f>IF(ISERROR('raw data'!GV149/'raw data'!GW149),0,'raw data'!GV149/'raw data'!GW149)</f>
        <v>0.61597444089456865</v>
      </c>
      <c r="CG128" s="603">
        <f>SUM(CG122:CG127)</f>
        <v>945</v>
      </c>
      <c r="CH128" s="604">
        <f>SUM(CH122:CH127)</f>
        <v>1628</v>
      </c>
      <c r="CI128" s="605">
        <f>IF(ISERROR('raw data'!GX149/'raw data'!GY149),0,'raw data'!GX149/'raw data'!GY149)</f>
        <v>0.58046683046683045</v>
      </c>
      <c r="CJ128" s="603">
        <f>SUM(CJ122:CJ127)</f>
        <v>1046</v>
      </c>
      <c r="CK128" s="604">
        <f>SUM(CK122:CK127)</f>
        <v>1700</v>
      </c>
      <c r="CL128" s="605">
        <f>IF(ISERROR('raw data'!GZ149/'raw data'!HA149),0,'raw data'!GZ149/'raw data'!HA149)</f>
        <v>0.61529411764705877</v>
      </c>
      <c r="CM128" s="603">
        <f>SUM(CM122:CM127)</f>
        <v>1304</v>
      </c>
      <c r="CN128" s="604">
        <f>SUM(CN122:CN127)</f>
        <v>1904</v>
      </c>
      <c r="CO128" s="605">
        <f>IF(ISERROR('raw data'!HB149/'raw data'!HC149),0,'raw data'!HB149/'raw data'!HC149)</f>
        <v>0.68487394957983194</v>
      </c>
      <c r="CP128" s="603">
        <f>SUM(CP122:CP127)</f>
        <v>1464</v>
      </c>
      <c r="CQ128" s="604">
        <f>SUM(CQ122:CQ127)</f>
        <v>1988</v>
      </c>
      <c r="CR128" s="605">
        <f>IF(ISERROR('raw data'!HD149/'raw data'!HE149),0,'raw data'!HD149/'raw data'!HE149)</f>
        <v>0.73641851106639844</v>
      </c>
      <c r="CS128" s="603">
        <f>SUM(CS122:CS127)</f>
        <v>1443</v>
      </c>
      <c r="CT128" s="604">
        <f>SUM(CT122:CT127)</f>
        <v>1826</v>
      </c>
      <c r="CU128" s="605">
        <f>IF(ISERROR('raw data'!HF149/'raw data'!HG149),0,'raw data'!HF149/'raw data'!HG149)</f>
        <v>0.79025191675794082</v>
      </c>
      <c r="CV128" s="603">
        <f>SUM(CV122:CV127)</f>
        <v>1265</v>
      </c>
      <c r="CW128" s="604">
        <f>SUM(CW122:CW127)</f>
        <v>1824</v>
      </c>
      <c r="CX128" s="605">
        <f>IF(ISERROR('raw data'!HH149/'raw data'!HI149),0,'raw data'!HH149/'raw data'!HI149)</f>
        <v>0.69353070175438591</v>
      </c>
      <c r="CY128" s="603">
        <f>SUM(CY122:CY127)</f>
        <v>1849</v>
      </c>
      <c r="CZ128" s="604">
        <f>SUM(CZ122:CZ127)</f>
        <v>2408</v>
      </c>
      <c r="DA128" s="605">
        <f>IF(ISERROR('raw data'!HJ149/'raw data'!HK149),0,'raw data'!HJ149/'raw data'!HK149)</f>
        <v>0.7678571428571429</v>
      </c>
      <c r="DB128" s="603">
        <f>SUM(DB122:DB127)</f>
        <v>1534</v>
      </c>
      <c r="DC128" s="604">
        <f>SUM(DC122:DC127)</f>
        <v>2050</v>
      </c>
      <c r="DD128" s="605">
        <f>IF(ISERROR('raw data'!HL149/'raw data'!HM149),0,'raw data'!HL149/'raw data'!HM149)</f>
        <v>0.74829268292682927</v>
      </c>
      <c r="DE128" s="603">
        <f>SUM(DE122:DE127)</f>
        <v>1307</v>
      </c>
      <c r="DF128" s="604">
        <f>SUM(DF122:DF127)</f>
        <v>1774</v>
      </c>
      <c r="DG128" s="605">
        <f>IF(ISERROR('raw data'!HN149/'raw data'!HO149),0,'raw data'!HN149/'raw data'!HO149)</f>
        <v>0.73675310033821872</v>
      </c>
      <c r="DH128" s="603">
        <f>SUM(DH122:DH127)</f>
        <v>1346</v>
      </c>
      <c r="DI128" s="604">
        <f>SUM(DI122:DI127)</f>
        <v>1790</v>
      </c>
      <c r="DJ128" s="605">
        <f>IF(ISERROR('raw data'!HP149/'raw data'!HQ149),0,'raw data'!HP149/'raw data'!HQ149)</f>
        <v>0.75195530726256987</v>
      </c>
      <c r="DK128" s="603">
        <f>SUM(DK122:DK127)</f>
        <v>1420</v>
      </c>
      <c r="DL128" s="604">
        <f>SUM(DL122:DL127)</f>
        <v>1892</v>
      </c>
      <c r="DM128" s="605">
        <f>IF(ISERROR('raw data'!HR149/'raw data'!HS149),0,'raw data'!HR149/'raw data'!HS149)</f>
        <v>0.7505285412262156</v>
      </c>
      <c r="DN128" s="603">
        <f>SUM(DN122:DN127)</f>
        <v>1951</v>
      </c>
      <c r="DO128" s="604">
        <f>SUM(DO122:DO127)</f>
        <v>2398</v>
      </c>
      <c r="DP128" s="605">
        <f>IF(ISERROR('raw data'!HT149/'raw data'!HU149),0,'raw data'!HT149/'raw data'!HU149)</f>
        <v>0.8135946622185154</v>
      </c>
      <c r="DQ128" s="603">
        <f>SUM(DQ122:DQ127)</f>
        <v>2298</v>
      </c>
      <c r="DR128" s="604">
        <f>SUM(DR122:DR127)</f>
        <v>2667</v>
      </c>
      <c r="DS128" s="605">
        <f>IF(ISERROR('raw data'!HV149/'raw data'!HW149),0,'raw data'!HV149/'raw data'!HW149)</f>
        <v>0.86164229471316089</v>
      </c>
      <c r="DT128" s="603">
        <f>SUM(DT122:DT127)</f>
        <v>1372</v>
      </c>
      <c r="DU128" s="604">
        <f>SUM(DU122:DU127)</f>
        <v>1652</v>
      </c>
      <c r="DV128" s="605">
        <f>IF(ISERROR('raw data'!HX149/'raw data'!HY149),0,'raw data'!HX149/'raw data'!HY149)</f>
        <v>0.83050847457627119</v>
      </c>
      <c r="DW128" s="603">
        <f>SUM(DW122:DW127)</f>
        <v>1318</v>
      </c>
      <c r="DX128" s="604">
        <f>SUM(DX122:DX127)</f>
        <v>1611</v>
      </c>
      <c r="DY128" s="605">
        <f>IF(ISERROR('raw data'!HZ149/'raw data'!IA149),0,'raw data'!HZ149/'raw data'!IA149)</f>
        <v>0.81812538795779022</v>
      </c>
      <c r="DZ128" s="603">
        <f>SUM(DZ122:DZ127)</f>
        <v>1171</v>
      </c>
      <c r="EA128" s="604">
        <f>SUM(EA122:EA127)</f>
        <v>1574</v>
      </c>
      <c r="EB128" s="605">
        <f>IF(ISERROR('raw data'!IB149/'raw data'!IC149),0,'raw data'!IB149/'raw data'!IC149)</f>
        <v>0.74396442185514611</v>
      </c>
      <c r="EC128" s="603">
        <f>SUM(EC122:EC127)</f>
        <v>815</v>
      </c>
      <c r="ED128" s="604">
        <f>SUM(ED122:ED127)</f>
        <v>1116</v>
      </c>
      <c r="EE128" s="605">
        <f>IF(ISERROR('raw data'!ID149/'raw data'!IE149),0,'raw data'!ID149/'raw data'!IE149)</f>
        <v>0.73028673835125446</v>
      </c>
      <c r="EF128" s="603">
        <f>SUM(EF122:EF127)</f>
        <v>678</v>
      </c>
      <c r="EG128" s="604">
        <f>SUM(EG122:EG127)</f>
        <v>1006</v>
      </c>
      <c r="EH128" s="605">
        <f>IF(ISERROR('raw data'!IF149/'raw data'!IG149),0,'raw data'!IF149/'raw data'!IG149)</f>
        <v>0.67395626242544726</v>
      </c>
      <c r="EI128" s="603">
        <f>SUM(EI122:EI127)</f>
        <v>934</v>
      </c>
      <c r="EJ128" s="604">
        <f>SUM(EJ122:EJ127)</f>
        <v>1381</v>
      </c>
      <c r="EK128" s="605">
        <f>IF(ISERROR('raw data'!IH149/'raw data'!II149),0,'raw data'!IH149/'raw data'!II149)</f>
        <v>0.67632150615496023</v>
      </c>
      <c r="EL128" s="603">
        <f>SUM(EL122:EL127)</f>
        <v>496</v>
      </c>
      <c r="EM128" s="604">
        <f>SUM(EM122:EM127)</f>
        <v>761</v>
      </c>
      <c r="EN128" s="605">
        <f>IF(ISERROR('raw data'!IJ149/'raw data'!IK149),0,'raw data'!IJ149/'raw data'!IK149)</f>
        <v>0.6517739816031537</v>
      </c>
      <c r="EO128" s="603">
        <f>SUM(EO122:EO127)</f>
        <v>619</v>
      </c>
      <c r="EP128" s="604">
        <f>SUM(EP122:EP127)</f>
        <v>845</v>
      </c>
      <c r="EQ128" s="605">
        <f>IF(ISERROR('raw data'!IL149/'raw data'!IM149),0,'raw data'!IL149/'raw data'!IM149)</f>
        <v>0.73254437869822486</v>
      </c>
      <c r="ER128" s="603">
        <f>SUM(ER122:ER127)</f>
        <v>763</v>
      </c>
      <c r="ES128" s="604">
        <f>SUM(ES122:ES127)</f>
        <v>1099</v>
      </c>
      <c r="ET128" s="605">
        <f>IF(ISERROR('raw data'!IN149/'raw data'!IO149),0,'raw data'!IN149/'raw data'!IO149)</f>
        <v>0.69426751592356684</v>
      </c>
      <c r="EU128" s="603">
        <f>SUM(EU122:EU127)</f>
        <v>981</v>
      </c>
      <c r="EV128" s="604">
        <f>SUM(EV122:EV127)</f>
        <v>1442</v>
      </c>
      <c r="EW128" s="605">
        <f>IF(ISERROR('raw data'!IP149/'raw data'!IQ149),0,'raw data'!IP149/'raw data'!IQ149)</f>
        <v>0.68030513176144247</v>
      </c>
      <c r="EX128" s="603">
        <f>SUM(EX122:EX127)</f>
        <v>967</v>
      </c>
      <c r="EY128" s="604">
        <f>SUM(EY122:EY127)</f>
        <v>1642</v>
      </c>
      <c r="EZ128" s="605">
        <f>IF(ISERROR('raw data'!IR149/'raw data'!IS149),0,'raw data'!IR149/'raw data'!IS149)</f>
        <v>0.58891595615103531</v>
      </c>
      <c r="FA128" s="603">
        <f>SUM(FA122:FA127)</f>
        <v>835</v>
      </c>
      <c r="FB128" s="604">
        <f>SUM(FB122:FB127)</f>
        <v>1457</v>
      </c>
      <c r="FC128" s="605">
        <f>IF(ISERROR('raw data'!IT149/'raw data'!IU149),0,'raw data'!IT149/'raw data'!IU149)</f>
        <v>0.57309540150995197</v>
      </c>
      <c r="FD128" s="603">
        <f>SUM(FD122:FD127)</f>
        <v>4479</v>
      </c>
      <c r="FE128" s="604">
        <f>SUM(FE122:FE127)</f>
        <v>5589</v>
      </c>
      <c r="FF128" s="605">
        <f>IF(ISERROR('raw data'!IV149/'raw data'!IW149),0,'raw data'!IV149/'raw data'!IW149)</f>
        <v>0.80139559849704778</v>
      </c>
      <c r="FG128" s="603">
        <f>SUM(FG122:FG127)</f>
        <v>1945</v>
      </c>
      <c r="FH128" s="604">
        <f>SUM(FH122:FH127)</f>
        <v>2625</v>
      </c>
      <c r="FI128" s="605">
        <f>IF(ISERROR('raw data'!IX149/'raw data'!IY149),0,'raw data'!IX149/'raw data'!IY149)</f>
        <v>0.74095238095238092</v>
      </c>
      <c r="FJ128" s="603">
        <f>SUM(FJ122:FJ127)</f>
        <v>1360</v>
      </c>
      <c r="FK128" s="604">
        <f>SUM(FK122:FK127)</f>
        <v>1951</v>
      </c>
      <c r="FL128" s="605">
        <f>IF(ISERROR('raw data'!IZ149/'raw data'!JA149),0,'raw data'!IZ149/'raw data'!JA149)</f>
        <v>0.69707842132239872</v>
      </c>
      <c r="FM128" s="603">
        <f>SUM(FM122:FM127)</f>
        <v>1191</v>
      </c>
      <c r="FN128" s="604">
        <f>SUM(FN122:FN127)</f>
        <v>1697</v>
      </c>
      <c r="FO128" s="605">
        <f>IF(ISERROR('raw data'!JB149/'raw data'!JC149),0,'raw data'!JB149/'raw data'!JC149)</f>
        <v>0.7018267530936948</v>
      </c>
      <c r="FP128" s="603">
        <f>SUM(FP122:FP127)</f>
        <v>1350</v>
      </c>
      <c r="FQ128" s="604">
        <f>SUM(FQ122:FQ127)</f>
        <v>1914</v>
      </c>
      <c r="FR128" s="605">
        <f>IF(ISERROR('raw data'!JD149/'raw data'!JE149),0,'raw data'!JD149/'raw data'!JE149)</f>
        <v>0.70532915360501569</v>
      </c>
      <c r="FS128" s="469"/>
      <c r="FT128" s="428">
        <f>SUM(FT122:FT127)</f>
        <v>15920</v>
      </c>
      <c r="FU128" s="604">
        <f>SUM(FU122:FU127)</f>
        <v>22403</v>
      </c>
      <c r="FV128" s="430">
        <f>IF(ISERROR(FT128/FU128),0,FT128/FU128)</f>
        <v>0.71061911351158324</v>
      </c>
    </row>
    <row r="129" spans="1:178" ht="14" x14ac:dyDescent="0.15">
      <c r="A129" s="623"/>
      <c r="B129" s="624" t="s">
        <v>257</v>
      </c>
      <c r="C129" s="625" t="s">
        <v>257</v>
      </c>
      <c r="D129" s="626">
        <f>SUM(D31,D58,D67,D74,D83,D105,D112,D121)</f>
        <v>283</v>
      </c>
      <c r="E129" s="627">
        <f>SUM(E31,E58,E67,E74,E83,E105,E112,E121)</f>
        <v>1681</v>
      </c>
      <c r="F129" s="628">
        <f>IF(ISERROR(D129/E129),0,D129/E129)</f>
        <v>0.1683521713265913</v>
      </c>
      <c r="G129" s="626">
        <f>SUM(G31,G58,G67,G74,G83,G105,G112,G121)</f>
        <v>235</v>
      </c>
      <c r="H129" s="627">
        <f>SUM(H31,H58,H67,H74,H83,H105,H112,H121)</f>
        <v>1494</v>
      </c>
      <c r="I129" s="628">
        <f>IF(ISERROR('raw data'!EV140/'raw data'!EW140),0,'raw data'!EV140/'raw data'!EW140)</f>
        <v>0.15729585006693442</v>
      </c>
      <c r="J129" s="626">
        <f>SUM(J31,J58,J67,J74,J83,J105,J112,J121)</f>
        <v>337</v>
      </c>
      <c r="K129" s="627">
        <f>SUM(K31,K58,K67,K74,K83,K105,K112,K121)</f>
        <v>2039</v>
      </c>
      <c r="L129" s="628">
        <f>IF(ISERROR('raw data'!EX140/'raw data'!EY140),0,'raw data'!EX140/'raw data'!EY140)</f>
        <v>0.16527709661598822</v>
      </c>
      <c r="M129" s="626">
        <f>SUM(M31,M58,M67,M74,M83,M105,M112,M121)</f>
        <v>252</v>
      </c>
      <c r="N129" s="627">
        <f>SUM(N31,N58,N67,N74,N83,N105,N112,N121)</f>
        <v>1443</v>
      </c>
      <c r="O129" s="628">
        <f>IF(ISERROR('raw data'!EZ140/'raw data'!FA140),0,'raw data'!EZ140/'raw data'!FA140)</f>
        <v>0.17463617463617465</v>
      </c>
      <c r="P129" s="626">
        <f>SUM(P31,P58,P67,P74,P83,P105,P112,P121)</f>
        <v>347</v>
      </c>
      <c r="Q129" s="627">
        <f>SUM(Q31,Q58,Q67,Q74,Q83,Q105,Q112,Q121)</f>
        <v>1784</v>
      </c>
      <c r="R129" s="628">
        <f>IF(ISERROR('raw data'!FB140/'raw data'!FC140),0,'raw data'!FB140/'raw data'!FC140)</f>
        <v>0.19450672645739911</v>
      </c>
      <c r="S129" s="626">
        <f>SUM(S31,S58,S67,S74,S83,S105,S112,S121)</f>
        <v>279</v>
      </c>
      <c r="T129" s="627">
        <f>SUM(T31,T58,T67,T74,T83,T105,T112,T121)</f>
        <v>1657</v>
      </c>
      <c r="U129" s="628">
        <f>IF(ISERROR('raw data'!FD140/'raw data'!FE140),0,'raw data'!FD140/'raw data'!FE140)</f>
        <v>0.1683765841882921</v>
      </c>
      <c r="V129" s="626">
        <f>SUM(V31,V58,V67,V74,V83,V105,V112,V121)</f>
        <v>337</v>
      </c>
      <c r="W129" s="627">
        <f>SUM(W31,W58,W67,W74,W83,W105,W112,W121)</f>
        <v>1726</v>
      </c>
      <c r="X129" s="628">
        <f>IF(ISERROR('raw data'!FF140/'raw data'!FG140),0,'raw data'!FF140/'raw data'!FG140)</f>
        <v>0.19524913093858634</v>
      </c>
      <c r="Y129" s="626">
        <f>SUM(Y31,Y58,Y67,Y74,Y83,Y105,Y112,Y121)</f>
        <v>321</v>
      </c>
      <c r="Z129" s="627">
        <f>SUM(Z31,Z58,Z67,Z74,Z83,Z105,Z112,Z121)</f>
        <v>1828</v>
      </c>
      <c r="AA129" s="628">
        <f>IF(ISERROR('raw data'!FH140/'raw data'!FI140),0,'raw data'!FH140/'raw data'!FI140)</f>
        <v>0.17560175054704596</v>
      </c>
      <c r="AB129" s="626">
        <f>SUM(AB31,AB58,AB67,AB74,AB83,AB105,AB112,AB121)</f>
        <v>281</v>
      </c>
      <c r="AC129" s="627">
        <f>SUM(AC31,AC58,AC67,AC74,AC83,AC105,AC112,AC121)</f>
        <v>1797</v>
      </c>
      <c r="AD129" s="628">
        <f>IF(ISERROR('raw data'!FJ140/'raw data'!FM140),0,'raw data'!FJ140/'raw data'!FM140)</f>
        <v>0.1563717306622148</v>
      </c>
      <c r="AE129" s="626">
        <f>SUM(AE31,AE58,AE67,AE74,AE83,AE105,AE112,AE121)</f>
        <v>370</v>
      </c>
      <c r="AF129" s="627">
        <f>SUM(AF31,AF58,AF67,AF74,AF83,AF105,AF112,AF121)</f>
        <v>1406</v>
      </c>
      <c r="AG129" s="628">
        <f>IF(ISERROR('raw data'!FN140/'raw data'!FO140),0,'raw data'!FN140/'raw data'!FO140)</f>
        <v>0.26315789473684209</v>
      </c>
      <c r="AH129" s="626">
        <f>SUM(AH31,AH58,AH67,AH74,AH83,AH105,AH112,AH121)</f>
        <v>283</v>
      </c>
      <c r="AI129" s="627">
        <f>SUM(AI31,AI58,AI67,AI74,AI83,AI105,AI112,AI121)</f>
        <v>1345</v>
      </c>
      <c r="AJ129" s="628">
        <f>IF(ISERROR('raw data'!FP140/'raw data'!FQ140),0,'raw data'!FP140/'raw data'!FQ140)</f>
        <v>0.2104089219330855</v>
      </c>
      <c r="AK129" s="626">
        <f>SUM(AK31,AK58,AK67,AK74,AK83,AK105,AK112,AK121)</f>
        <v>217</v>
      </c>
      <c r="AL129" s="627">
        <f>SUM(AL31,AL58,AL67,AL74,AL83,AL105,AL112,AL121)</f>
        <v>1177</v>
      </c>
      <c r="AM129" s="628">
        <f>IF(ISERROR('raw data'!FR140/'raw data'!FS140),0,'raw data'!FR140/'raw data'!FS140)</f>
        <v>0.18436703483432457</v>
      </c>
      <c r="AN129" s="626">
        <f>SUM(AN31,AN58,AN67,AN74,AN83,AN105,AN112,AN121)</f>
        <v>315</v>
      </c>
      <c r="AO129" s="627">
        <f>SUM(AO31,AO58,AO67,AO74,AO83,AO105,AO112,AO121)</f>
        <v>1524</v>
      </c>
      <c r="AP129" s="628">
        <f>IF(ISERROR('raw data'!FT140/'raw data'!FU140),0,'raw data'!FT140/'raw data'!FU140)</f>
        <v>0.20669291338582677</v>
      </c>
      <c r="AQ129" s="626">
        <f>SUM(AQ31,AQ58,AQ67,AQ74,AQ83,AQ105,AQ112,AQ121)</f>
        <v>272</v>
      </c>
      <c r="AR129" s="627">
        <f>SUM(AR31,AR58,AR67,AR74,AR83,AR105,AR112,AR121)</f>
        <v>1216</v>
      </c>
      <c r="AS129" s="629">
        <f>IF(ISERROR('raw data'!FV140/'raw data'!FW140),0,'raw data'!FV140/'raw data'!FW140)</f>
        <v>0.22368421052631579</v>
      </c>
      <c r="AT129" s="626">
        <f>SUM(AT31,AT58,AT67,AT74,AT83,AT105,AT112,AT121)</f>
        <v>297</v>
      </c>
      <c r="AU129" s="627">
        <f>SUM(AU31,AU58,AU67,AU74,AU83,AU105,AU112,AU121)</f>
        <v>1410</v>
      </c>
      <c r="AV129" s="629">
        <f>IF(ISERROR('raw data'!FX140/'raw data'!FY140),0,'raw data'!FX140/'raw data'!FY140)</f>
        <v>0.21063829787234042</v>
      </c>
      <c r="AW129" s="626">
        <f>SUM(AW31,AW58,AW67,AW74,AW83,AW105,AW112,AW121)</f>
        <v>224</v>
      </c>
      <c r="AX129" s="627">
        <f>SUM(AX31,AX58,AX67,AX74,AX83,AX105,AX112,AX121)</f>
        <v>1230</v>
      </c>
      <c r="AY129" s="629">
        <f>IF(ISERROR('raw data'!FZ140/'raw data'!GA140),0,'raw data'!FZ140/'raw data'!GA140)</f>
        <v>0.1821138211382114</v>
      </c>
      <c r="AZ129" s="626">
        <f>SUM(AZ31,AZ58,AZ67,AZ74,AZ83,AZ105,AZ112,AZ121)</f>
        <v>260</v>
      </c>
      <c r="BA129" s="627">
        <f>SUM(BA31,BA58,BA67,BA74,BA83,BA105,BA112,BA121)</f>
        <v>1390</v>
      </c>
      <c r="BB129" s="629">
        <f>IF(ISERROR('raw data'!GB140/'raw data'!GC140),0,'raw data'!GB140/'raw data'!GC140)</f>
        <v>0.18705035971223022</v>
      </c>
      <c r="BC129" s="626">
        <f>SUM(BC31,BC58,BC67,BC74,BC83,BC105,BC112,BC121)</f>
        <v>181</v>
      </c>
      <c r="BD129" s="627">
        <f>SUM(BD31,BD58,BD67,BD74,BD83,BD105,BD112,BD121)</f>
        <v>1322</v>
      </c>
      <c r="BE129" s="629">
        <f>IF(ISERROR('raw data'!GD140/'raw data'!GE140),0,'raw data'!GD140/'raw data'!GE140)</f>
        <v>0.13691376701966718</v>
      </c>
      <c r="BF129" s="626">
        <f>SUM(BF31,BF58,BF67,BF74,BF83,BF105,BF112,BF121)</f>
        <v>238</v>
      </c>
      <c r="BG129" s="627">
        <f>SUM(BG31,BG58,BG67,BG74,BG83,BG105,BG112,BG121)</f>
        <v>1108</v>
      </c>
      <c r="BH129" s="629">
        <f>IF(ISERROR('raw data'!GF140/'raw data'!GG140),0,'raw data'!GF140/'raw data'!GG140)</f>
        <v>0.2148014440433213</v>
      </c>
      <c r="BI129" s="626">
        <f>SUM(BI31,BI58,BI67,BI74,BI83,BI105,BI112,BI121)</f>
        <v>236</v>
      </c>
      <c r="BJ129" s="627">
        <f>SUM(BJ31,BJ58,BJ67,BJ74,BJ83,BJ105,BJ112,BJ121)</f>
        <v>1235</v>
      </c>
      <c r="BK129" s="629">
        <f>IF(ISERROR('raw data'!GH140/'raw data'!GI140),0,'raw data'!GH140/'raw data'!GI140)</f>
        <v>0.19109311740890689</v>
      </c>
      <c r="BL129" s="626">
        <f>SUM(BL31,BL58,BL67,BL74,BL83,BL105,BL112,BL121)</f>
        <v>168</v>
      </c>
      <c r="BM129" s="627">
        <f>SUM(BM31,BM58,BM67,BM74,BM83,BM105,BM112,BM121)</f>
        <v>958</v>
      </c>
      <c r="BN129" s="629">
        <f>IF(ISERROR('raw data'!GJ140/'raw data'!GK140),0,'raw data'!GJ140/'raw data'!GK140)</f>
        <v>0.17536534446764093</v>
      </c>
      <c r="BO129" s="626">
        <f>SUM(BO31,BO58,BO67,BO74,BO83,BO89,BO105,BO112,BO121)</f>
        <v>245</v>
      </c>
      <c r="BP129" s="627">
        <f>SUM(BP31,BP58,BP67,BP74,BP83,BP89,BP105,BP112,BP121)</f>
        <v>1392</v>
      </c>
      <c r="BQ129" s="629">
        <f>IF(ISERROR('raw data'!GL140/'raw data'!GM140),0,'raw data'!GL140/'raw data'!GM140)</f>
        <v>0.17600574712643677</v>
      </c>
      <c r="BR129" s="626">
        <f>SUM(BR31,BR58,BR67,BR74,BR83,BR89,BR105,BR112,BR121)</f>
        <v>249</v>
      </c>
      <c r="BS129" s="627">
        <f>SUM(BS31,BS58,BS67,BS74,BS83,BS89,BS105,BS112,BS121)</f>
        <v>1477</v>
      </c>
      <c r="BT129" s="629">
        <f>IF(ISERROR('raw data'!GN140/'raw data'!GO140),0,'raw data'!GN140/'raw data'!GO140)</f>
        <v>0.16858496953283683</v>
      </c>
      <c r="BU129" s="626">
        <f>SUM(BU31,BU58,BU67,BU74,BU83,BU89,BU105,BU112,BU121)</f>
        <v>223</v>
      </c>
      <c r="BV129" s="627">
        <f>SUM(BV31,BV58,BV67,BV74,BV83,BV89,BV105,BV112,BV121)</f>
        <v>1321</v>
      </c>
      <c r="BW129" s="629">
        <f>IF(ISERROR('raw data'!GP140/'raw data'!GQ140),0,'raw data'!GP140/'raw data'!GQ140)</f>
        <v>0.16881150643451931</v>
      </c>
      <c r="BX129" s="626">
        <f>SUM(BX31,BX58,BX67,BX74,BX83,BX89,BX105,BX112,BX121)</f>
        <v>240</v>
      </c>
      <c r="BY129" s="627">
        <f>SUM(BY31,BY58,BY67,BY74,BY83,BY89,BY105,BY112,BY121)</f>
        <v>1280</v>
      </c>
      <c r="BZ129" s="629">
        <f>IF(ISERROR('raw data'!GR140/'raw data'!GS140),0,'raw data'!GR140/'raw data'!GS140)</f>
        <v>0.1875</v>
      </c>
      <c r="CA129" s="626">
        <f>SUM(CA31,CA58,CA67,CA74,CA83,CA89,CA105,CA112,CA121)</f>
        <v>179</v>
      </c>
      <c r="CB129" s="627">
        <f>SUM(CB31,CB58,CB67,CB74,CB83,CB89,CB105,CB112,CB121)</f>
        <v>981</v>
      </c>
      <c r="CC129" s="629">
        <f>IF(ISERROR('raw data'!GT140/'raw data'!GU140),0,'raw data'!GT140/'raw data'!GU140)</f>
        <v>0.18246687054026503</v>
      </c>
      <c r="CD129" s="626">
        <f>SUM(CD31,CD58,CD67,CD74,CD83,CD89,CD105,CD112,CD121)</f>
        <v>310</v>
      </c>
      <c r="CE129" s="627">
        <f>SUM(CE31,CE58,CE67,CE74,CE83,CE89,CE105,CE112,CE121)</f>
        <v>1357</v>
      </c>
      <c r="CF129" s="629">
        <f>IF(ISERROR('raw data'!GV140/'raw data'!GW140),0,'raw data'!GV140/'raw data'!GW140)</f>
        <v>0.22844509948415623</v>
      </c>
      <c r="CG129" s="626">
        <f>SUM(CG31,CG58,CG67,CG74,CG83,CG89,CG105,CG112,CG121)</f>
        <v>277</v>
      </c>
      <c r="CH129" s="627">
        <f>SUM(CH31,CH58,CH67,CH74,CH83,CH89,CH105,CH112,CH121)</f>
        <v>1486</v>
      </c>
      <c r="CI129" s="629">
        <f>IF(ISERROR('raw data'!GX140/'raw data'!GY140),0,'raw data'!GX140/'raw data'!GY140)</f>
        <v>0.18640646029609689</v>
      </c>
      <c r="CJ129" s="626">
        <f>SUM(CJ31,CJ58,CJ67,CJ74,CJ83,CJ89,CJ105,CJ112,CJ121)</f>
        <v>262</v>
      </c>
      <c r="CK129" s="627">
        <f>SUM(CK31,CK58,CK67,CK74,CK83,CK89,CK105,CK112,CK121)</f>
        <v>1263</v>
      </c>
      <c r="CL129" s="629">
        <f>IF(ISERROR('raw data'!GZ140/'raw data'!HA140),0,'raw data'!GZ140/'raw data'!HA140)</f>
        <v>0.20744259699129058</v>
      </c>
      <c r="CM129" s="626">
        <f>SUM(CM31,CM58,CM67,CM74,CM83,CM89,CM95,CM100,CM105,CM112,CM121)</f>
        <v>260</v>
      </c>
      <c r="CN129" s="627">
        <f>SUM(CN31,CN58,CN67,CN74,CN83,CN89,CN95,CN100,CN105,CN112,CN121)</f>
        <v>1133</v>
      </c>
      <c r="CO129" s="629">
        <f>IF(ISERROR('raw data'!HB140/'raw data'!HC140),0,'raw data'!HB140/'raw data'!HC140)</f>
        <v>0.22947925860547219</v>
      </c>
      <c r="CP129" s="626">
        <f>SUM(CP31,CP58,CP67,CP74,CP83,CP89,CP95,CP100,CP105,CP112,CP121)</f>
        <v>259</v>
      </c>
      <c r="CQ129" s="627">
        <f>SUM(CQ31,CQ58,CQ67,CQ74,CQ83,CQ89,CQ95,CQ100,CQ105,CQ112,CQ121)</f>
        <v>1038</v>
      </c>
      <c r="CR129" s="629">
        <f>IF(ISERROR('raw data'!HD140/'raw data'!HE140),0,'raw data'!HD140/'raw data'!HE140)</f>
        <v>0.24951830443159922</v>
      </c>
      <c r="CS129" s="626">
        <f>SUM(CS31,CS58,CS67,CS74,CS83,CS89,CS95,CS100,CS105,CS112,CS121)</f>
        <v>261</v>
      </c>
      <c r="CT129" s="627">
        <f>SUM(CT31,CT58,CT67,CT74,CT83,CT89,CT95,CT100,CT105,CT112,CT121)</f>
        <v>975</v>
      </c>
      <c r="CU129" s="629">
        <f>IF(ISERROR('raw data'!HF140/'raw data'!HG140),0,'raw data'!HF140/'raw data'!HG140)</f>
        <v>0.26769230769230767</v>
      </c>
      <c r="CV129" s="626">
        <f>SUM(CV31,CV58,CV67,CV74,CV83,CV89,CV95,CV100,CV105,CV112,CV121)</f>
        <v>251</v>
      </c>
      <c r="CW129" s="627">
        <f>SUM(CW31,CW58,CW67,CW74,CW83,CW89,CW95,CW100,CW105,CW112,CW121)</f>
        <v>964</v>
      </c>
      <c r="CX129" s="629">
        <f>IF(ISERROR('raw data'!HH140/'raw data'!HI140),0,'raw data'!HH140/'raw data'!HI140)</f>
        <v>0.26037344398340251</v>
      </c>
      <c r="CY129" s="626">
        <f>SUM(CY31,CY58,CY67,CY74,CY83,CY89,CY95,CY100,CY105,CY112,CY121)</f>
        <v>233</v>
      </c>
      <c r="CZ129" s="627">
        <f>SUM(CZ31,CZ58,CZ67,CZ74,CZ83,CZ89,CZ95,CZ100,CZ105,CZ112,CZ121)</f>
        <v>827</v>
      </c>
      <c r="DA129" s="629">
        <f>IF(ISERROR('raw data'!HJ140/'raw data'!HK140),0,'raw data'!HJ140/'raw data'!HK140)</f>
        <v>0.28174123337363965</v>
      </c>
      <c r="DB129" s="626">
        <f>SUM(DB31,DB58,DB67,DB74,DB83,DB89,DB95,DB100,DB105,DB112,DB121)</f>
        <v>180</v>
      </c>
      <c r="DC129" s="627">
        <f>SUM(DC31,DC58,DC67,DC74,DC83,DC89,DC95,DC100,DC105,DC112,DC121)</f>
        <v>867</v>
      </c>
      <c r="DD129" s="629">
        <f>IF(ISERROR('raw data'!HL140/'raw data'!HM140),0,'raw data'!HL140/'raw data'!HM140)</f>
        <v>0.20761245674740483</v>
      </c>
      <c r="DE129" s="626">
        <f>SUM(DE31,DE58,DE67,DE74,DE83,DE89,DE95,DE100,DE105,DE112,DE121)</f>
        <v>241</v>
      </c>
      <c r="DF129" s="627">
        <f>SUM(DF31,DF58,DF67,DF74,DF83,DF89,DF95,DF100,DF105,DF112,DF121)</f>
        <v>874</v>
      </c>
      <c r="DG129" s="629">
        <f>IF(ISERROR('raw data'!HN140/'raw data'!HO140),0,'raw data'!HN140/'raw data'!HO140)</f>
        <v>0.27574370709382151</v>
      </c>
      <c r="DH129" s="626">
        <f>SUM(DH31,DH58,DH67,DH74,DH83,DH89,DH95,DH100,DH105,DH112,DH121)</f>
        <v>203</v>
      </c>
      <c r="DI129" s="627">
        <f>SUM(DI31,DI58,DI67,DI74,DI83,DI89,DI95,DI100,DI105,DI112,DI121)</f>
        <v>1030</v>
      </c>
      <c r="DJ129" s="629">
        <f>IF(ISERROR('raw data'!HP140/'raw data'!HQ140),0,'raw data'!HP140/'raw data'!HQ140)</f>
        <v>0.19708737864077669</v>
      </c>
      <c r="DK129" s="626">
        <f>SUM(DK31,DK58,DK67,DK74,DK83,DK89,DK95,DK100,DK105,DK112,DK121)</f>
        <v>198</v>
      </c>
      <c r="DL129" s="627">
        <f>SUM(DL31,DL58,DL67,DL74,DL83,DL89,DL95,DL100,DL105,DL112,DL121)</f>
        <v>767</v>
      </c>
      <c r="DM129" s="629">
        <f>IF(ISERROR('raw data'!HR140/'raw data'!HS140),0,'raw data'!HR140/'raw data'!HS140)</f>
        <v>0.25814863102998697</v>
      </c>
      <c r="DN129" s="626">
        <f>SUM(DN31,DN58,DN67,DN74,DN83,DN89,DN95,DN100,DN105,DN112,DN121)</f>
        <v>254</v>
      </c>
      <c r="DO129" s="627">
        <f>SUM(DO31,DO58,DO67,DO74,DO83,DO89,DO95,DO100,DO105,DO112,DO121)</f>
        <v>860</v>
      </c>
      <c r="DP129" s="629">
        <f>IF(ISERROR('raw data'!HT140/'raw data'!HU140),0,'raw data'!HT140/'raw data'!HU140)</f>
        <v>0.29534883720930233</v>
      </c>
      <c r="DQ129" s="626">
        <f>SUM(DQ31,DQ58,DQ67,DQ74,DQ83,DQ89,DQ95,DQ100,DQ105,DQ112,DQ121)</f>
        <v>311</v>
      </c>
      <c r="DR129" s="627">
        <f>SUM(DR31,DR58,DR67,DR74,DR83,DR89,DR95,DR100,DR105,DR112,DR121)</f>
        <v>1017</v>
      </c>
      <c r="DS129" s="629">
        <f>IF(ISERROR('raw data'!HV140/'raw data'!HW140),0,'raw data'!HV140/'raw data'!HW140)</f>
        <v>0.30580137659783679</v>
      </c>
      <c r="DT129" s="626">
        <f>SUM(DT31,DT58,DT67,DT74,DT83,DT89,DT95,DT100,DT105,DT112,DT121)</f>
        <v>341</v>
      </c>
      <c r="DU129" s="627">
        <f>SUM(DU31,DU58,DU67,DU74,DU83,DU89,DU95,DU100,DU105,DU112,DU121)</f>
        <v>1250</v>
      </c>
      <c r="DV129" s="629">
        <f>IF(ISERROR('raw data'!HX140/'raw data'!HY140),0,'raw data'!HX140/'raw data'!HY140)</f>
        <v>0.27279999999999999</v>
      </c>
      <c r="DW129" s="626">
        <f>SUM(DW31,DW58,DW67,DW74,DW83,DW89,DW95,DW100,DW105,DW112,DW121)</f>
        <v>370</v>
      </c>
      <c r="DX129" s="627">
        <f>SUM(DX31,DX58,DX67,DX74,DX83,DX89,DX95,DX100,DX105,DX112,DX121)</f>
        <v>1250</v>
      </c>
      <c r="DY129" s="629">
        <f>IF(ISERROR('raw data'!HZ140/'raw data'!IA140),0,'raw data'!HZ140/'raw data'!IA140)</f>
        <v>0.29599999999999999</v>
      </c>
      <c r="DZ129" s="626">
        <f>SUM(DZ31,DZ58,DZ67,DZ74,DZ83,DZ89,DZ95,DZ100,DZ105,DZ112,DZ121)</f>
        <v>487</v>
      </c>
      <c r="EA129" s="627">
        <f>SUM(EA31,EA58,EA67,EA74,EA83,EA89,EA95,EA100,EA105,EA112,EA121)</f>
        <v>1430</v>
      </c>
      <c r="EB129" s="629">
        <f>IF(ISERROR('raw data'!IB140/'raw data'!IC140),0,'raw data'!IB140/'raw data'!IC140)</f>
        <v>0.34055944055944054</v>
      </c>
      <c r="EC129" s="626">
        <f>SUM(EC31,EC58,EC67,EC74,EC83,EC89,EC95,EC100,EC105,EC112,EC121)</f>
        <v>416</v>
      </c>
      <c r="ED129" s="627">
        <f>SUM(ED31,ED58,ED67,ED74,ED83,ED89,ED95,ED100,ED105,ED112,ED121)</f>
        <v>1204</v>
      </c>
      <c r="EE129" s="629">
        <f>IF(ISERROR('raw data'!ID140/'raw data'!IE140),0,'raw data'!ID140/'raw data'!IE140)</f>
        <v>0.34551495016611294</v>
      </c>
      <c r="EF129" s="626">
        <f>SUM(EF31,EF58,EF67,EF74,EF83,EF89,EF95,EF100,EF105,EF112,EF121)</f>
        <v>400</v>
      </c>
      <c r="EG129" s="627">
        <f>SUM(EG31,EG58,EG67,EG74,EG83,EG89,EG95,EG100,EG105,EG112,EG121)</f>
        <v>1322</v>
      </c>
      <c r="EH129" s="629">
        <f>IF(ISERROR('raw data'!IF140/'raw data'!IG140),0,'raw data'!IF140/'raw data'!IG140)</f>
        <v>0.30257186081694404</v>
      </c>
      <c r="EI129" s="626">
        <f>SUM(EI31,EI58,EI67,EI74,EI83,EI89,EI95,EI100,EI105,EI112,EI121)</f>
        <v>481</v>
      </c>
      <c r="EJ129" s="627">
        <f>SUM(EJ31,EJ58,EJ67,EJ74,EJ83,EJ89,EJ95,EJ100,EJ105,EJ112,EJ121)</f>
        <v>1335</v>
      </c>
      <c r="EK129" s="629">
        <f>IF(ISERROR('raw data'!IH140/'raw data'!II140),0,'raw data'!IH140/'raw data'!II140)</f>
        <v>0.3602996254681648</v>
      </c>
      <c r="EL129" s="626">
        <f>SUM(EL31,EL58,EL67,EL74,EL83,EL89,EL95,EL100,EL105,EL112,EL121)</f>
        <v>617</v>
      </c>
      <c r="EM129" s="627">
        <f>SUM(EM31,EM58,EM67,EM74,EM83,EM89,EM95,EM100,EM105,EM112,EM121)</f>
        <v>1420</v>
      </c>
      <c r="EN129" s="629">
        <f>IF(ISERROR('raw data'!IJ140/'raw data'!IK140),0,'raw data'!IJ140/'raw data'!IK140)</f>
        <v>0.4345070422535211</v>
      </c>
      <c r="EO129" s="626">
        <f>SUM(EO31,EO58,EO67,EO74,EO83,EO89,EO95,EO100,EO105,EO112,EO121)</f>
        <v>609</v>
      </c>
      <c r="EP129" s="627">
        <f>SUM(EP31,EP58,EP67,EP74,EP83,EP89,EP95,EP100,EP105,EP112,EP121)</f>
        <v>1542</v>
      </c>
      <c r="EQ129" s="629">
        <f>IF(ISERROR('raw data'!IL140/'raw data'!IM140),0,'raw data'!IL140/'raw data'!IM140)</f>
        <v>0.39494163424124512</v>
      </c>
      <c r="ER129" s="626">
        <f>SUM(ER31,ER58,ER67,ER74,ER83,ER89,ER95,ER100,ER105,ER112,ER121)</f>
        <v>525</v>
      </c>
      <c r="ES129" s="627">
        <f>SUM(ES31,ES58,ES67,ES74,ES83,ES89,ES95,ES100,ES105,ES112,ES121)</f>
        <v>1214</v>
      </c>
      <c r="ET129" s="629">
        <f>IF(ISERROR('raw data'!IN140/'raw data'!IO140),0,'raw data'!IN140/'raw data'!IO140)</f>
        <v>0.43245469522240526</v>
      </c>
      <c r="EU129" s="626">
        <f>SUM(EU31,EU58,EU67,EU74,EU83,EU89,EU95,EU100,EU105,EU112,EU121)</f>
        <v>522</v>
      </c>
      <c r="EV129" s="627">
        <f>SUM(EV31,EV58,EV67,EV74,EV83,EV89,EV95,EV100,EV105,EV112,EV121)</f>
        <v>1152</v>
      </c>
      <c r="EW129" s="629">
        <f>IF(ISERROR('raw data'!IP140/'raw data'!IQ140),0,'raw data'!IP140/'raw data'!IQ140)</f>
        <v>0.453125</v>
      </c>
      <c r="EX129" s="626">
        <f>SUM(EX31,EX44,EX58,EX67,EX74,EX83,EX89,EX95,EX100,EX105,EX112,EX121)</f>
        <v>1035</v>
      </c>
      <c r="EY129" s="627">
        <f>SUM(EY31,EY44,EY58,EY67,EY74,EY83,EY89,EY95,EY100,EY105,EY112,EY121)</f>
        <v>2557</v>
      </c>
      <c r="EZ129" s="629">
        <f>IF(ISERROR('raw data'!IR140/'raw data'!IS140),0,'raw data'!IR140/'raw data'!IS140)</f>
        <v>0.40477121626906531</v>
      </c>
      <c r="FA129" s="626">
        <f>SUM(FA31,FA44,FA58,FA67,FA74,FA83,FA89,FA95,FA100,FA105,FA112,FA121)</f>
        <v>863</v>
      </c>
      <c r="FB129" s="627">
        <f>SUM(FB31,FB44,FB58,FB67,FB74,FB83,FB89,FB95,FB100,FB105,FB112,FB121)</f>
        <v>2247</v>
      </c>
      <c r="FC129" s="629">
        <f>IF(ISERROR('raw data'!IT140/'raw data'!IU140),0,'raw data'!IT140/'raw data'!IU140)</f>
        <v>0.38406764574988872</v>
      </c>
      <c r="FD129" s="626">
        <f>SUM(FD31,FD44,FD58,FD67,FD74,FD83,FD89,FD95,FD100,FD105,FD112,FD121)</f>
        <v>1204</v>
      </c>
      <c r="FE129" s="627">
        <f>SUM(FE31,FE44,FE58,FE67,FE74,FE83,FE89,FE95,FE100,FE105,FE112,FE121)</f>
        <v>2879</v>
      </c>
      <c r="FF129" s="629">
        <f>IF(ISERROR('raw data'!IV140/'raw data'!IW140),0,'raw data'!IV140/'raw data'!IW140)</f>
        <v>0.41820076415422019</v>
      </c>
      <c r="FG129" s="626">
        <f>SUM(FG31,FG44,FG58,FG67,FG74,FG83,FG89,FG95,FG100,FG105,FG112,FG121)</f>
        <v>1067</v>
      </c>
      <c r="FH129" s="627">
        <f>SUM(FH31,FH44,FH58,FH67,FH74,FH83,FH89,FH95,FH100,FH105,FH112,FH121)</f>
        <v>3436</v>
      </c>
      <c r="FI129" s="629">
        <f>IF(ISERROR('raw data'!IX140/'raw data'!IY140),0,'raw data'!IX140/'raw data'!IY140)</f>
        <v>0.31053550640279393</v>
      </c>
      <c r="FJ129" s="626">
        <f>SUM(FJ31,FJ44,FJ58,FJ67,FJ74,FJ83,FJ89,FJ95,FJ100,FJ105,FJ112,FJ121)</f>
        <v>1064</v>
      </c>
      <c r="FK129" s="627">
        <f>SUM(FK31,FK44,FK58,FK67,FK74,FK83,FK89,FK95,FK100,FK105,FK112,FK121)</f>
        <v>3264</v>
      </c>
      <c r="FL129" s="629">
        <f>IF(ISERROR('raw data'!IZ140/'raw data'!JA140),0,'raw data'!IZ140/'raw data'!JA140)</f>
        <v>0.32598039215686275</v>
      </c>
      <c r="FM129" s="626">
        <f>SUM(FM31,FM44,FM58,FM67,FM74,FM83,FM89,FM95,FM100,FM105,FM112,FM121)</f>
        <v>1002</v>
      </c>
      <c r="FN129" s="627">
        <f>SUM(FN31,FN44,FN58,FN67,FN74,FN83,FN89,FN95,FN100,FN105,FN112,FN121)</f>
        <v>3233</v>
      </c>
      <c r="FO129" s="629">
        <f>IF(ISERROR('raw data'!JB140/'raw data'!JC140),0,'raw data'!JB140/'raw data'!JC140)</f>
        <v>0.30992885864522118</v>
      </c>
      <c r="FP129" s="626">
        <f>SUM(FP31,FP44,FP58,FP67,FP74,FP83,FP89,FP95,FP100,FP105,FP112,FP121)</f>
        <v>749</v>
      </c>
      <c r="FQ129" s="627">
        <f>SUM(FQ31,FQ44,FQ58,FQ67,FQ74,FQ83,FQ89,FQ95,FQ100,FQ105,FQ112,FQ121)</f>
        <v>3297</v>
      </c>
      <c r="FR129" s="629">
        <f>IF(ISERROR('raw data'!JD140/'raw data'!JE140),0,'raw data'!JD140/'raw data'!JE140)</f>
        <v>0.22717622080679406</v>
      </c>
      <c r="FS129" s="630"/>
      <c r="FT129" s="631">
        <f>SUM(FT31,FT44,FT58,FT67,FT74,FT83,FT89,FT95,FT100,FT105,FT112,FT121)</f>
        <v>9738</v>
      </c>
      <c r="FU129" s="627">
        <f>SUM(FU31,FU44,FU58,FU67,FU74,FU83,FU89,FU95,FU100,FU105,FU112,FU121)</f>
        <v>27576</v>
      </c>
      <c r="FV129" s="632">
        <f>IF(ISERROR(FT129/FU129),0,FT129/FU129)</f>
        <v>0.35313315926892952</v>
      </c>
    </row>
    <row r="130" spans="1:178" ht="14" x14ac:dyDescent="0.15">
      <c r="A130" s="633"/>
      <c r="B130" s="634" t="s">
        <v>267</v>
      </c>
      <c r="C130" s="635" t="s">
        <v>267</v>
      </c>
      <c r="D130" s="636">
        <f>D129+D128</f>
        <v>741</v>
      </c>
      <c r="E130" s="637">
        <f>E129+E128</f>
        <v>2564</v>
      </c>
      <c r="F130" s="638">
        <f>IF(ISERROR(D130/E130),0,D130/E130)</f>
        <v>0.28900156006240252</v>
      </c>
      <c r="G130" s="636">
        <f>G129+G128</f>
        <v>708</v>
      </c>
      <c r="H130" s="637">
        <f>H129+H128</f>
        <v>2415</v>
      </c>
      <c r="I130" s="638">
        <f>IF(ISERROR(G130/H130),0,G130/H130)</f>
        <v>0.29316770186335406</v>
      </c>
      <c r="J130" s="636">
        <f>J129+J128</f>
        <v>643</v>
      </c>
      <c r="K130" s="637">
        <f>K129+K128</f>
        <v>2690</v>
      </c>
      <c r="L130" s="638">
        <f>IF(ISERROR(J130/K130),0,J130/K130)</f>
        <v>0.23903345724907063</v>
      </c>
      <c r="M130" s="636">
        <f>M129+M128</f>
        <v>628</v>
      </c>
      <c r="N130" s="637">
        <f>N129+N128</f>
        <v>2185</v>
      </c>
      <c r="O130" s="638">
        <f>IF(ISERROR(M130/N130),0,M130/N130)</f>
        <v>0.28741418764302057</v>
      </c>
      <c r="P130" s="636">
        <f>P129+P128</f>
        <v>1021</v>
      </c>
      <c r="Q130" s="637">
        <f>Q129+Q128</f>
        <v>3178</v>
      </c>
      <c r="R130" s="638">
        <f>IF(ISERROR(P130/Q130),0,P130/Q130)</f>
        <v>0.32127123977344241</v>
      </c>
      <c r="S130" s="636">
        <f>S129+S128</f>
        <v>977</v>
      </c>
      <c r="T130" s="637">
        <f>T129+T128</f>
        <v>3156</v>
      </c>
      <c r="U130" s="638">
        <f>IF(ISERROR(S130/T130),0,S130/T130)</f>
        <v>0.30956907477820023</v>
      </c>
      <c r="V130" s="636">
        <f>V129+V128</f>
        <v>1060</v>
      </c>
      <c r="W130" s="637">
        <f>W129+W128</f>
        <v>3104</v>
      </c>
      <c r="X130" s="638">
        <f>IF(ISERROR(V130/W130),0,V130/W130)</f>
        <v>0.34149484536082475</v>
      </c>
      <c r="Y130" s="636">
        <f>Y129+Y128</f>
        <v>1110</v>
      </c>
      <c r="Z130" s="637">
        <f>Z129+Z128</f>
        <v>3307</v>
      </c>
      <c r="AA130" s="638">
        <f>IF(ISERROR(Y130/Z130),0,Y130/Z130)</f>
        <v>0.33565164801935288</v>
      </c>
      <c r="AB130" s="636">
        <f>AB129+AB128</f>
        <v>1026</v>
      </c>
      <c r="AC130" s="637">
        <f>AC129+AC128</f>
        <v>3329</v>
      </c>
      <c r="AD130" s="638">
        <f>IF(ISERROR(AB130/AC130),0,AB130/AC130)</f>
        <v>0.30820066085911685</v>
      </c>
      <c r="AE130" s="636">
        <f>AE129+AE128</f>
        <v>1161</v>
      </c>
      <c r="AF130" s="637">
        <f>AF129+AF128</f>
        <v>3023</v>
      </c>
      <c r="AG130" s="638">
        <f>IF(ISERROR(AE130/AF130),0,AE130/AF130)</f>
        <v>0.38405557393317896</v>
      </c>
      <c r="AH130" s="636">
        <f>AH129+AH128</f>
        <v>1088</v>
      </c>
      <c r="AI130" s="637">
        <f>AI129+AI128</f>
        <v>2867</v>
      </c>
      <c r="AJ130" s="638">
        <f>IF(ISERROR(AH130/AI130),0,AH130/AI130)</f>
        <v>0.37949075688873385</v>
      </c>
      <c r="AK130" s="636">
        <f>AK129+AK128</f>
        <v>843</v>
      </c>
      <c r="AL130" s="637">
        <f>AL129+AL128</f>
        <v>2560</v>
      </c>
      <c r="AM130" s="638">
        <f>IF(ISERROR(AK130/AL130),0,AK130/AL130)</f>
        <v>0.32929687499999999</v>
      </c>
      <c r="AN130" s="636">
        <f>AN129+AN128</f>
        <v>926</v>
      </c>
      <c r="AO130" s="637">
        <f>AO129+AO128</f>
        <v>2647</v>
      </c>
      <c r="AP130" s="638">
        <f>IF(ISERROR(AN130/AO130),0,AN130/AO130)</f>
        <v>0.34982999622213828</v>
      </c>
      <c r="AQ130" s="636">
        <f>AQ129+AQ128</f>
        <v>1068</v>
      </c>
      <c r="AR130" s="637">
        <f>AR129+AR128</f>
        <v>2623</v>
      </c>
      <c r="AS130" s="638">
        <f>IF(ISERROR(AQ130/AR130),0,AQ130/AR130)</f>
        <v>0.40716736561189476</v>
      </c>
      <c r="AT130" s="636">
        <f>AT129+AT128</f>
        <v>1002</v>
      </c>
      <c r="AU130" s="637">
        <f>AU129+AU128</f>
        <v>2757</v>
      </c>
      <c r="AV130" s="638">
        <f>IF(ISERROR(AT130/AU130),0,AT130/AU130)</f>
        <v>0.3634385201305767</v>
      </c>
      <c r="AW130" s="636">
        <f>AW129+AW128</f>
        <v>948</v>
      </c>
      <c r="AX130" s="637">
        <f>AX129+AX128</f>
        <v>2561</v>
      </c>
      <c r="AY130" s="638">
        <f>IF(ISERROR(AW130/AX130),0,AW130/AX130)</f>
        <v>0.37016790316282699</v>
      </c>
      <c r="AZ130" s="636">
        <f>AZ129+AZ128</f>
        <v>1155</v>
      </c>
      <c r="BA130" s="637">
        <f>BA129+BA128</f>
        <v>2919</v>
      </c>
      <c r="BB130" s="638">
        <f>IF(ISERROR(AZ130/BA130),0,AZ130/BA130)</f>
        <v>0.39568345323741005</v>
      </c>
      <c r="BC130" s="636">
        <f>BC129+BC128</f>
        <v>1069</v>
      </c>
      <c r="BD130" s="637">
        <f>BD129+BD128</f>
        <v>2940</v>
      </c>
      <c r="BE130" s="638">
        <f>IF(ISERROR(BC130/BD130),0,BC130/BD130)</f>
        <v>0.36360544217687074</v>
      </c>
      <c r="BF130" s="636">
        <f>BF129+BF128</f>
        <v>959</v>
      </c>
      <c r="BG130" s="637">
        <f>BG129+BG128</f>
        <v>2531</v>
      </c>
      <c r="BH130" s="638">
        <f>IF(ISERROR(BF130/BG130),0,BF130/BG130)</f>
        <v>0.37890161991307786</v>
      </c>
      <c r="BI130" s="636">
        <f>BI129+BI128</f>
        <v>965</v>
      </c>
      <c r="BJ130" s="637">
        <f>BJ129+BJ128</f>
        <v>2374</v>
      </c>
      <c r="BK130" s="638">
        <f>IF(ISERROR(BI130/BJ130),0,BI130/BJ130)</f>
        <v>0.40648694187026119</v>
      </c>
      <c r="BL130" s="636">
        <f>BL129+BL128</f>
        <v>1567</v>
      </c>
      <c r="BM130" s="637">
        <f>BM129+BM128</f>
        <v>4454</v>
      </c>
      <c r="BN130" s="638">
        <f>IF(ISERROR(BL130/BM130),0,BL130/BM130)</f>
        <v>0.3518185900314324</v>
      </c>
      <c r="BO130" s="636">
        <f>BO129+BO128</f>
        <v>1151</v>
      </c>
      <c r="BP130" s="637">
        <f>BP129+BP128</f>
        <v>3322</v>
      </c>
      <c r="BQ130" s="638">
        <f>IF(ISERROR(BO130/BP130),0,BO130/BP130)</f>
        <v>0.34647802528597232</v>
      </c>
      <c r="BR130" s="636">
        <f>BR129+BR128</f>
        <v>1185</v>
      </c>
      <c r="BS130" s="637">
        <f>BS129+BS128</f>
        <v>3281</v>
      </c>
      <c r="BT130" s="638">
        <f>IF(ISERROR(BR130/BS130),0,BR130/BS130)</f>
        <v>0.36117037488570558</v>
      </c>
      <c r="BU130" s="636">
        <f>BU129+BU128</f>
        <v>1035</v>
      </c>
      <c r="BV130" s="637">
        <f>BV129+BV128</f>
        <v>2990</v>
      </c>
      <c r="BW130" s="638">
        <f>IF(ISERROR(BU130/BV130),0,BU130/BV130)</f>
        <v>0.34615384615384615</v>
      </c>
      <c r="BX130" s="636">
        <f>BX129+BX128</f>
        <v>1550</v>
      </c>
      <c r="BY130" s="637">
        <f>BY129+BY128</f>
        <v>3518</v>
      </c>
      <c r="BZ130" s="638">
        <f>IF(ISERROR(BX130/BY130),0,BX130/BY130)</f>
        <v>0.44059124502558272</v>
      </c>
      <c r="CA130" s="636">
        <f>CA129+CA128</f>
        <v>984</v>
      </c>
      <c r="CB130" s="637">
        <f>CB129+CB128</f>
        <v>2746</v>
      </c>
      <c r="CC130" s="638">
        <f>IF(ISERROR(CA130/CB130),0,CA130/CB130)</f>
        <v>0.35833940276766207</v>
      </c>
      <c r="CD130" s="636">
        <f>CD129+CD128</f>
        <v>1274</v>
      </c>
      <c r="CE130" s="637">
        <f>CE129+CE128</f>
        <v>2922</v>
      </c>
      <c r="CF130" s="638">
        <f>IF(ISERROR(CD130/CE130),0,CD130/CE130)</f>
        <v>0.43600273785078714</v>
      </c>
      <c r="CG130" s="636">
        <f>CG129+CG128</f>
        <v>1222</v>
      </c>
      <c r="CH130" s="637">
        <f>CH129+CH128</f>
        <v>3114</v>
      </c>
      <c r="CI130" s="638">
        <f>IF(ISERROR(CG130/CH130),0,CG130/CH130)</f>
        <v>0.39242132305716121</v>
      </c>
      <c r="CJ130" s="636">
        <f>CJ129+CJ128</f>
        <v>1308</v>
      </c>
      <c r="CK130" s="637">
        <f>CK129+CK128</f>
        <v>2963</v>
      </c>
      <c r="CL130" s="638">
        <f>IF(ISERROR(CJ130/CK130),0,CJ130/CK130)</f>
        <v>0.44144448194397568</v>
      </c>
      <c r="CM130" s="636">
        <f>CM129+CM128</f>
        <v>1564</v>
      </c>
      <c r="CN130" s="637">
        <f>CN129+CN128</f>
        <v>3037</v>
      </c>
      <c r="CO130" s="638">
        <f>IF(ISERROR(CM130/CN130),0,CM130/CN130)</f>
        <v>0.51498189002304906</v>
      </c>
      <c r="CP130" s="636">
        <f>CP129+CP128</f>
        <v>1723</v>
      </c>
      <c r="CQ130" s="637">
        <f>CQ129+CQ128</f>
        <v>3026</v>
      </c>
      <c r="CR130" s="638">
        <f>IF(ISERROR(CP130/CQ130),0,CP130/CQ130)</f>
        <v>0.56939854593522798</v>
      </c>
      <c r="CS130" s="636">
        <f>CS129+CS128</f>
        <v>1704</v>
      </c>
      <c r="CT130" s="637">
        <f>CT129+CT128</f>
        <v>2801</v>
      </c>
      <c r="CU130" s="638">
        <f>IF(ISERROR(CS130/CT130),0,CS130/CT130)</f>
        <v>0.60835415922884684</v>
      </c>
      <c r="CV130" s="636">
        <f>CV129+CV128</f>
        <v>1516</v>
      </c>
      <c r="CW130" s="637">
        <f>CW129+CW128</f>
        <v>2788</v>
      </c>
      <c r="CX130" s="638">
        <f>IF(ISERROR(CV130/CW130),0,CV130/CW130)</f>
        <v>0.54375896700143467</v>
      </c>
      <c r="CY130" s="636">
        <f>CY129+CY128</f>
        <v>2082</v>
      </c>
      <c r="CZ130" s="637">
        <f>CZ129+CZ128</f>
        <v>3235</v>
      </c>
      <c r="DA130" s="638">
        <f>IF(ISERROR(CY130/CZ130),0,CY130/CZ130)</f>
        <v>0.6435857805255023</v>
      </c>
      <c r="DB130" s="636">
        <f>DB129+DB128</f>
        <v>1714</v>
      </c>
      <c r="DC130" s="637">
        <f>DC129+DC128</f>
        <v>2917</v>
      </c>
      <c r="DD130" s="638">
        <f>IF(ISERROR(DB130/DC130),0,DB130/DC130)</f>
        <v>0.58758998971546106</v>
      </c>
      <c r="DE130" s="636">
        <f>DE129+DE128</f>
        <v>1548</v>
      </c>
      <c r="DF130" s="637">
        <f>DF129+DF128</f>
        <v>2648</v>
      </c>
      <c r="DG130" s="638">
        <f>IF(ISERROR(DE130/DF130),0,DE130/DF130)</f>
        <v>0.5845921450151057</v>
      </c>
      <c r="DH130" s="636">
        <f>DH129+DH128</f>
        <v>1549</v>
      </c>
      <c r="DI130" s="637">
        <f>DI129+DI128</f>
        <v>2820</v>
      </c>
      <c r="DJ130" s="638">
        <f>IF(ISERROR(DH130/DI130),0,DH130/DI130)</f>
        <v>0.54929078014184396</v>
      </c>
      <c r="DK130" s="636">
        <f>DK129+DK128</f>
        <v>1618</v>
      </c>
      <c r="DL130" s="637">
        <f>DL129+DL128</f>
        <v>2659</v>
      </c>
      <c r="DM130" s="638">
        <f>IF(ISERROR(DK130/DL130),0,DK130/DL130)</f>
        <v>0.6084994358781497</v>
      </c>
      <c r="DN130" s="636">
        <f>DN129+DN128</f>
        <v>2205</v>
      </c>
      <c r="DO130" s="637">
        <f>DO129+DO128</f>
        <v>3258</v>
      </c>
      <c r="DP130" s="638">
        <f>IF(ISERROR(DN130/DO130),0,DN130/DO130)</f>
        <v>0.67679558011049723</v>
      </c>
      <c r="DQ130" s="636">
        <f>DQ129+DQ128</f>
        <v>2609</v>
      </c>
      <c r="DR130" s="637">
        <f>DR129+DR128</f>
        <v>3684</v>
      </c>
      <c r="DS130" s="638">
        <f>IF(ISERROR(DQ130/DR130),0,DQ130/DR130)</f>
        <v>0.70819761129207381</v>
      </c>
      <c r="DT130" s="636">
        <f>DT129+DT128</f>
        <v>1713</v>
      </c>
      <c r="DU130" s="637">
        <f>DU129+DU128</f>
        <v>2902</v>
      </c>
      <c r="DV130" s="638">
        <f>IF(ISERROR(DT130/DU130),0,DT130/DU130)</f>
        <v>0.59028256374913857</v>
      </c>
      <c r="DW130" s="636">
        <f>DW129+DW128</f>
        <v>1688</v>
      </c>
      <c r="DX130" s="637">
        <f>DX129+DX128</f>
        <v>2861</v>
      </c>
      <c r="DY130" s="638">
        <f>IF(ISERROR(DW130/DX130),0,DW130/DX130)</f>
        <v>0.59000349528137019</v>
      </c>
      <c r="DZ130" s="636">
        <f>DZ129+DZ128</f>
        <v>1658</v>
      </c>
      <c r="EA130" s="637">
        <f>EA129+EA128</f>
        <v>3004</v>
      </c>
      <c r="EB130" s="638">
        <f>IF(ISERROR(DZ130/EA130),0,DZ130/EA130)</f>
        <v>0.55193075898801602</v>
      </c>
      <c r="EC130" s="636">
        <f>EC129+EC128</f>
        <v>1231</v>
      </c>
      <c r="ED130" s="637">
        <f>ED129+ED128</f>
        <v>2320</v>
      </c>
      <c r="EE130" s="638">
        <f>IF(ISERROR(EC130/ED130),0,EC130/ED130)</f>
        <v>0.53060344827586203</v>
      </c>
      <c r="EF130" s="636">
        <f>EF129+EF128</f>
        <v>1078</v>
      </c>
      <c r="EG130" s="637">
        <f>EG129+EG128</f>
        <v>2328</v>
      </c>
      <c r="EH130" s="638">
        <f>IF(ISERROR(EF130/EG130),0,EF130/EG130)</f>
        <v>0.46305841924398627</v>
      </c>
      <c r="EI130" s="636">
        <f>EI129+EI128</f>
        <v>1415</v>
      </c>
      <c r="EJ130" s="637">
        <f>EJ129+EJ128</f>
        <v>2716</v>
      </c>
      <c r="EK130" s="638">
        <f>IF(ISERROR(EI130/EJ130),0,EI130/EJ130)</f>
        <v>0.52098674521354937</v>
      </c>
      <c r="EL130" s="636">
        <f>EL129+EL128</f>
        <v>1113</v>
      </c>
      <c r="EM130" s="637">
        <f>EM129+EM128</f>
        <v>2181</v>
      </c>
      <c r="EN130" s="638">
        <f>IF(ISERROR(EL130/EM130),0,EL130/EM130)</f>
        <v>0.51031636863823937</v>
      </c>
      <c r="EO130" s="636">
        <f>EO129+EO128</f>
        <v>1228</v>
      </c>
      <c r="EP130" s="637">
        <f>EP129+EP128</f>
        <v>2387</v>
      </c>
      <c r="EQ130" s="638">
        <f>IF(ISERROR(EO130/EP130),0,EO130/EP130)</f>
        <v>0.51445328864683704</v>
      </c>
      <c r="ER130" s="636">
        <f>ER129+ER128</f>
        <v>1288</v>
      </c>
      <c r="ES130" s="637">
        <f>ES129+ES128</f>
        <v>2313</v>
      </c>
      <c r="ET130" s="638">
        <f>IF(ISERROR(ER130/ES130),0,ER130/ES130)</f>
        <v>0.55685257241677477</v>
      </c>
      <c r="EU130" s="636">
        <f>EU129+EU128</f>
        <v>1503</v>
      </c>
      <c r="EV130" s="637">
        <f>EV129+EV128</f>
        <v>2594</v>
      </c>
      <c r="EW130" s="638">
        <f>IF(ISERROR(EU130/EV130),0,EU130/EV130)</f>
        <v>0.57941403238242095</v>
      </c>
      <c r="EX130" s="636">
        <f>EX129+EX128</f>
        <v>2002</v>
      </c>
      <c r="EY130" s="637">
        <f>EY129+EY128</f>
        <v>4199</v>
      </c>
      <c r="EZ130" s="638">
        <f>IF(ISERROR(EX130/EY130),0,EX130/EY130)</f>
        <v>0.47678018575851394</v>
      </c>
      <c r="FA130" s="636">
        <f>FA129+FA128</f>
        <v>1698</v>
      </c>
      <c r="FB130" s="637">
        <f>FB129+FB128</f>
        <v>3704</v>
      </c>
      <c r="FC130" s="638">
        <f>IF(ISERROR(FA130/FB130),0,FA130/FB130)</f>
        <v>0.45842332613390929</v>
      </c>
      <c r="FD130" s="636">
        <f>FD129+FD128</f>
        <v>5683</v>
      </c>
      <c r="FE130" s="637">
        <f>FE129+FE128</f>
        <v>8468</v>
      </c>
      <c r="FF130" s="638">
        <f>IF(ISERROR(FD130/FE130),0,FD130/FE130)</f>
        <v>0.67111478507321687</v>
      </c>
      <c r="FG130" s="636">
        <f>FG129+FG128</f>
        <v>3012</v>
      </c>
      <c r="FH130" s="637">
        <f>FH129+FH128</f>
        <v>6061</v>
      </c>
      <c r="FI130" s="638">
        <f>IF(ISERROR(FG130/FH130),0,FG130/FH130)</f>
        <v>0.49694769839960401</v>
      </c>
      <c r="FJ130" s="636">
        <f>FJ129+FJ128</f>
        <v>2424</v>
      </c>
      <c r="FK130" s="637">
        <f>FK129+FK128</f>
        <v>5215</v>
      </c>
      <c r="FL130" s="638">
        <f>IF(ISERROR(FJ130/FK130),0,FJ130/FK130)</f>
        <v>0.4648130393096836</v>
      </c>
      <c r="FM130" s="636">
        <f>FM129+FM128</f>
        <v>2193</v>
      </c>
      <c r="FN130" s="637">
        <f>FN129+FN128</f>
        <v>4930</v>
      </c>
      <c r="FO130" s="638">
        <f>IF(ISERROR(FM130/FN130),0,FM130/FN130)</f>
        <v>0.44482758620689655</v>
      </c>
      <c r="FP130" s="636">
        <f>FP129+FP128</f>
        <v>2099</v>
      </c>
      <c r="FQ130" s="637">
        <f>FQ129+FQ128</f>
        <v>5211</v>
      </c>
      <c r="FR130" s="638">
        <f>IF(ISERROR(FP130/FQ130),0,FP130/FQ130)</f>
        <v>0.402801765496066</v>
      </c>
      <c r="FS130" s="630"/>
      <c r="FT130" s="639">
        <f>FT129+FT128</f>
        <v>25658</v>
      </c>
      <c r="FU130" s="637">
        <f>FU129+FU128</f>
        <v>49979</v>
      </c>
      <c r="FV130" s="638">
        <f>IF(ISERROR(FT130/FU130),0,FT130/FU130)</f>
        <v>0.51337561775945895</v>
      </c>
    </row>
  </sheetData>
  <mergeCells count="57">
    <mergeCell ref="AK1:AM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BU1:BW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BO1:BQ1"/>
    <mergeCell ref="BR1:BT1"/>
    <mergeCell ref="DE1:DG1"/>
    <mergeCell ref="BX1:BZ1"/>
    <mergeCell ref="CA1:CC1"/>
    <mergeCell ref="CD1:CF1"/>
    <mergeCell ref="CG1:CI1"/>
    <mergeCell ref="CJ1:CL1"/>
    <mergeCell ref="CM1:CO1"/>
    <mergeCell ref="CP1:CR1"/>
    <mergeCell ref="CS1:CU1"/>
    <mergeCell ref="CV1:CX1"/>
    <mergeCell ref="CY1:DA1"/>
    <mergeCell ref="DB1:DD1"/>
    <mergeCell ref="EO1:EQ1"/>
    <mergeCell ref="DH1:DJ1"/>
    <mergeCell ref="DK1:DM1"/>
    <mergeCell ref="DN1:DP1"/>
    <mergeCell ref="DQ1:DS1"/>
    <mergeCell ref="DT1:DV1"/>
    <mergeCell ref="DW1:DY1"/>
    <mergeCell ref="DZ1:EB1"/>
    <mergeCell ref="EC1:EE1"/>
    <mergeCell ref="EF1:EH1"/>
    <mergeCell ref="EI1:EK1"/>
    <mergeCell ref="EL1:EN1"/>
    <mergeCell ref="FJ1:FL1"/>
    <mergeCell ref="FM1:FO1"/>
    <mergeCell ref="FP1:FR1"/>
    <mergeCell ref="ER1:ET1"/>
    <mergeCell ref="EU1:EW1"/>
    <mergeCell ref="EX1:EZ1"/>
    <mergeCell ref="FA1:FC1"/>
    <mergeCell ref="FD1:FF1"/>
    <mergeCell ref="FG1:FI1"/>
  </mergeCells>
  <pageMargins left="0.74803149606299213" right="0.74803149606299213" top="0.98425196850393704" bottom="0.98425196850393704" header="0.51181102362204722" footer="0.51181102362204722"/>
  <pageSetup paperSize="9"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raw data</vt:lpstr>
      <vt:lpstr>rates</vt:lpstr>
      <vt:lpstr>Rates + Volumes</vt:lpstr>
      <vt:lpstr>rawdata</vt:lpstr>
      <vt:lpstr>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Tina-Louise Timmings</dc:creator>
  <cp:lastModifiedBy>Ian Marley</cp:lastModifiedBy>
  <dcterms:created xsi:type="dcterms:W3CDTF">2021-11-01T19:22:03Z</dcterms:created>
  <dcterms:modified xsi:type="dcterms:W3CDTF">2025-09-30T08:22:50Z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580bde-ac20-459a-927b-e4b49b924bfc_Enabled">
    <vt:lpwstr>true</vt:lpwstr>
  </property>
  <property fmtid="{D5CDD505-2E9C-101B-9397-08002B2CF9AE}" pid="3" name="MSIP_Label_08580bde-ac20-459a-927b-e4b49b924bfc_SetDate">
    <vt:lpwstr>2021-11-01T19:22:09Z</vt:lpwstr>
  </property>
  <property fmtid="{D5CDD505-2E9C-101B-9397-08002B2CF9AE}" pid="4" name="MSIP_Label_08580bde-ac20-459a-927b-e4b49b924bfc_Method">
    <vt:lpwstr>Privileged</vt:lpwstr>
  </property>
  <property fmtid="{D5CDD505-2E9C-101B-9397-08002B2CF9AE}" pid="5" name="MSIP_Label_08580bde-ac20-459a-927b-e4b49b924bfc_Name">
    <vt:lpwstr>NBS Confidential - No Visible Label</vt:lpwstr>
  </property>
  <property fmtid="{D5CDD505-2E9C-101B-9397-08002B2CF9AE}" pid="6" name="MSIP_Label_08580bde-ac20-459a-927b-e4b49b924bfc_SiteId">
    <vt:lpwstr>18ed93f5-e470-4996-b0ef-9554af985d50</vt:lpwstr>
  </property>
  <property fmtid="{D5CDD505-2E9C-101B-9397-08002B2CF9AE}" pid="7" name="MSIP_Label_08580bde-ac20-459a-927b-e4b49b924bfc_ActionId">
    <vt:lpwstr>c2c5100b-62e9-4f9e-8238-631189a87887</vt:lpwstr>
  </property>
  <property fmtid="{D5CDD505-2E9C-101B-9397-08002B2CF9AE}" pid="8" name="MSIP_Label_08580bde-ac20-459a-927b-e4b49b924bfc_ContentBits">
    <vt:lpwstr>0</vt:lpwstr>
  </property>
</Properties>
</file>