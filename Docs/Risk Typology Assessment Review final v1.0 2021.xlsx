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13"/>
  <workbookPr/>
  <mc:AlternateContent xmlns:mc="http://schemas.openxmlformats.org/markup-compatibility/2006">
    <mc:Choice Requires="x15">
      <x15ac:absPath xmlns:x15ac="http://schemas.microsoft.com/office/spreadsheetml/2010/11/ac" url="/Users/ianmarley/Desktop/Transaction Review Tool/"/>
    </mc:Choice>
  </mc:AlternateContent>
  <xr:revisionPtr revIDLastSave="0" documentId="8_{33AF2839-ED0D-0844-9C1D-FDD31EB89E93}" xr6:coauthVersionLast="47" xr6:coauthVersionMax="47" xr10:uidLastSave="{00000000-0000-0000-0000-000000000000}"/>
  <bookViews>
    <workbookView xWindow="0" yWindow="740" windowWidth="29400" windowHeight="18380" activeTab="1" xr2:uid="{00000000-000D-0000-FFFF-FFFF00000000}"/>
  </bookViews>
  <sheets>
    <sheet name="R&amp;CA - New 2021" sheetId="12" r:id="rId1"/>
    <sheet name="Rules List" sheetId="11" r:id="rId2"/>
    <sheet name="R&amp;CA - Amendments Record" sheetId="7" r:id="rId3"/>
    <sheet name="R&amp;CA - Original 2020" sheetId="4" r:id="rId4"/>
    <sheet name="Descoped TM Rules - 2021" sheetId="13" r:id="rId5"/>
  </sheets>
  <definedNames>
    <definedName name="_xlnm._FilterDatabase" localSheetId="2" hidden="1">'R&amp;CA - Amendments Record'!$A$6:$Y$74</definedName>
    <definedName name="_xlnm._FilterDatabase" localSheetId="0" hidden="1">'R&amp;CA - New 2021'!$A$6:$T$6</definedName>
    <definedName name="_xlnm._FilterDatabase" localSheetId="3" hidden="1">'R&amp;CA - Original 2020'!$V$5:$AA$118</definedName>
    <definedName name="_xlnm._FilterDatabase" localSheetId="1" hidden="1">'Rules List'!$B$5:$O$63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E50" i="4" l="1"/>
  <c r="AE118" i="4" l="1"/>
  <c r="AE117" i="4"/>
  <c r="AE116" i="4"/>
  <c r="AE115" i="4"/>
  <c r="AE114" i="4"/>
  <c r="AE113" i="4"/>
  <c r="AE112" i="4"/>
  <c r="AE111" i="4"/>
  <c r="AE110" i="4"/>
  <c r="AE109" i="4"/>
  <c r="AE108" i="4"/>
  <c r="AE107" i="4"/>
  <c r="AE106" i="4"/>
  <c r="AE105" i="4"/>
  <c r="AE104" i="4"/>
  <c r="AE103" i="4"/>
  <c r="AE102" i="4"/>
  <c r="AE101" i="4"/>
  <c r="AE100" i="4"/>
  <c r="AE99" i="4"/>
  <c r="AE98" i="4"/>
  <c r="AE97" i="4"/>
  <c r="AE96" i="4"/>
  <c r="AE95" i="4"/>
  <c r="AE94" i="4"/>
  <c r="AE93" i="4"/>
  <c r="AE92" i="4"/>
  <c r="AE91" i="4"/>
  <c r="AE90" i="4"/>
  <c r="AE89" i="4"/>
  <c r="AF89" i="4" l="1"/>
  <c r="AF109" i="4"/>
  <c r="AF111" i="4"/>
  <c r="AE88" i="4"/>
  <c r="AE87" i="4"/>
  <c r="AF87" i="4" s="1"/>
  <c r="AE86" i="4" l="1"/>
  <c r="AE85" i="4"/>
  <c r="AE84" i="4"/>
  <c r="AE83" i="4"/>
  <c r="AF83" i="4" l="1"/>
  <c r="AE81" i="4"/>
  <c r="AE80" i="4"/>
  <c r="AE79" i="4"/>
  <c r="AF79" i="4" s="1"/>
  <c r="AE78" i="4"/>
  <c r="AF78" i="4" s="1"/>
  <c r="AE77" i="4"/>
  <c r="AE76" i="4"/>
  <c r="AE75" i="4"/>
  <c r="AE74" i="4"/>
  <c r="AE72" i="4"/>
  <c r="AE73" i="4"/>
  <c r="AE71" i="4"/>
  <c r="AE70" i="4"/>
  <c r="AE69" i="4"/>
  <c r="AE68" i="4"/>
  <c r="AE67" i="4"/>
  <c r="AE66" i="4"/>
  <c r="AE65" i="4"/>
  <c r="AE64" i="4"/>
  <c r="AE63" i="4"/>
  <c r="AE61" i="4"/>
  <c r="AE62" i="4"/>
  <c r="AE60" i="4"/>
  <c r="AE59" i="4"/>
  <c r="AE58" i="4"/>
  <c r="AF58" i="4" s="1"/>
  <c r="AE54" i="4"/>
  <c r="AE55" i="4"/>
  <c r="AE56" i="4"/>
  <c r="AE57" i="4"/>
  <c r="AE53" i="4"/>
  <c r="AE52" i="4"/>
  <c r="AE51" i="4"/>
  <c r="AE49" i="4"/>
  <c r="AE48" i="4"/>
  <c r="AE47" i="4"/>
  <c r="AE46" i="4"/>
  <c r="AE44" i="4"/>
  <c r="AE45" i="4"/>
  <c r="AE43" i="4"/>
  <c r="AE42" i="4"/>
  <c r="AE41" i="4"/>
  <c r="AE40" i="4"/>
  <c r="AE39" i="4"/>
  <c r="AE38" i="4"/>
  <c r="AE32" i="4"/>
  <c r="AE33" i="4"/>
  <c r="AE35" i="4"/>
  <c r="AE37" i="4"/>
  <c r="AE36" i="4"/>
  <c r="AE34" i="4"/>
  <c r="AE30" i="4"/>
  <c r="AE31" i="4"/>
  <c r="AE28" i="4"/>
  <c r="AE29" i="4"/>
  <c r="AE26" i="4"/>
  <c r="AE27" i="4"/>
  <c r="AE25" i="4"/>
  <c r="AE24" i="4"/>
  <c r="AE23" i="4"/>
  <c r="AF23" i="4" s="1"/>
  <c r="AF50" i="4" l="1"/>
  <c r="AF48" i="4"/>
  <c r="AF24" i="4"/>
  <c r="AF36" i="4"/>
  <c r="AF42" i="4"/>
  <c r="AF59" i="4"/>
  <c r="AF67" i="4"/>
  <c r="AF33" i="4"/>
  <c r="AF53" i="4"/>
  <c r="AF80" i="4"/>
  <c r="AE21" i="4"/>
  <c r="AE22" i="4"/>
  <c r="AE18" i="4"/>
  <c r="AE19" i="4"/>
  <c r="AE20" i="4"/>
  <c r="AE17" i="4"/>
  <c r="AE16" i="4"/>
  <c r="L15" i="4"/>
  <c r="J15" i="4"/>
  <c r="K15" i="4"/>
  <c r="I15" i="4"/>
  <c r="H15" i="4"/>
  <c r="AF16" i="4" l="1"/>
  <c r="M15" i="4"/>
  <c r="N15" i="4"/>
  <c r="O15" i="4"/>
  <c r="P15" i="4"/>
  <c r="Q15" i="4"/>
  <c r="R15" i="4"/>
  <c r="S15" i="4"/>
  <c r="T15" i="4"/>
  <c r="U15" i="4"/>
</calcChain>
</file>

<file path=xl/sharedStrings.xml><?xml version="1.0" encoding="utf-8"?>
<sst xmlns="http://schemas.openxmlformats.org/spreadsheetml/2006/main" count="3261" uniqueCount="721">
  <si>
    <t xml:space="preserve">Deposit values are inconsistent with customer's prior account activity </t>
  </si>
  <si>
    <t>• JMLIT 
• NCA
• JSTAC</t>
  </si>
  <si>
    <t>Deposits are made a long distance from where the account was originally opened and/or the address registered on the account</t>
  </si>
  <si>
    <t xml:space="preserve">Transactions with VASP make up the majority of the activity on the account </t>
  </si>
  <si>
    <t xml:space="preserve">Deposits received from VASP are often followed by cash withdrawals or electronic transfers of a similar value </t>
  </si>
  <si>
    <t>• FATF</t>
  </si>
  <si>
    <t>Customer receives high value deposits into their account from gambling outlets</t>
  </si>
  <si>
    <t xml:space="preserve">Repayments are greater than the total income of the individual </t>
  </si>
  <si>
    <t xml:space="preserve">Repayments are structured and more frequent than the agreed schedule </t>
  </si>
  <si>
    <t xml:space="preserve">Cash </t>
  </si>
  <si>
    <t xml:space="preserve">Unexplained payments from a third party </t>
  </si>
  <si>
    <t>New gambling - high volume and value with no previous gambling on the account</t>
  </si>
  <si>
    <t xml:space="preserve">Weapon purchases </t>
  </si>
  <si>
    <t xml:space="preserve">High value transfers with references to wildlife </t>
  </si>
  <si>
    <t xml:space="preserve">Inbound payments with lottery related narratives in the payment reference: raffle, thunderball, lotto etc. </t>
  </si>
  <si>
    <t>Purchase of military items or technology</t>
  </si>
  <si>
    <t xml:space="preserve">Substantial flow of cash or wire transfers into or out of the PEPs account </t>
  </si>
  <si>
    <t xml:space="preserve">PEPs account shows substantial activity in a short span of time after a long dormant period </t>
  </si>
  <si>
    <t xml:space="preserve">PEPs carrying out wire transfers that lack beneficiary information </t>
  </si>
  <si>
    <t xml:space="preserve">Overpayment of credit products </t>
  </si>
  <si>
    <t xml:space="preserve">Credit balance refunds </t>
  </si>
  <si>
    <t>Direct or indirect transactions with darknet marketplaces</t>
  </si>
  <si>
    <t xml:space="preserve">Discrepancies between IP addresses associated with the customer's profile and the IP addresses from which transactions are being initiated </t>
  </si>
  <si>
    <t xml:space="preserve">A customer is significantly older than the average age of VASP users and has a significant volume of transactions involving VASPs, indicating vulnerability </t>
  </si>
  <si>
    <t>Customer purchases a significant amount of virtual currencies not substantiated by wealth or consistent with their historical profile</t>
  </si>
  <si>
    <t xml:space="preserve">Transactions with VASPs that have previously been linked to criminal activity </t>
  </si>
  <si>
    <t xml:space="preserve">Unusual or changing trends in processing volumes and value from account opening estimates </t>
  </si>
  <si>
    <t xml:space="preserve">unusual pattern of transactions for customers high risk of ML/TF </t>
  </si>
  <si>
    <t xml:space="preserve">Source </t>
  </si>
  <si>
    <t xml:space="preserve">Early Redemption </t>
  </si>
  <si>
    <t>• Peter German &amp; Associates Inc.'Dirty Money' article</t>
  </si>
  <si>
    <t>• The Wolfsberg Group</t>
  </si>
  <si>
    <t>• Financial Intelligence Unit, 
Belize</t>
  </si>
  <si>
    <t>• JMLSG</t>
  </si>
  <si>
    <t xml:space="preserve">• UK National Risk Assessment </t>
  </si>
  <si>
    <t>• SAS</t>
  </si>
  <si>
    <t xml:space="preserve">• CLC - Property Law Regulator </t>
  </si>
  <si>
    <t>• Financial Intelligence Unit, Belize</t>
  </si>
  <si>
    <t>• Asia/Pacific Group on ML</t>
  </si>
  <si>
    <t>• FinCen</t>
  </si>
  <si>
    <t xml:space="preserve">• The Gambling Commission </t>
  </si>
  <si>
    <t>• ACAMS</t>
  </si>
  <si>
    <t xml:space="preserve">• FCA Decision Note: Standard Chartered </t>
  </si>
  <si>
    <t xml:space="preserve">• US Treasury -  National Risk Assessment </t>
  </si>
  <si>
    <t>• MLRegs</t>
  </si>
  <si>
    <t>High Risk Customers</t>
  </si>
  <si>
    <t xml:space="preserve">Early repayment </t>
  </si>
  <si>
    <t xml:space="preserve">Lump sum repayments outside the agreed repayment pattern </t>
  </si>
  <si>
    <t>Overpayments</t>
  </si>
  <si>
    <t>Loan repayments in cash</t>
  </si>
  <si>
    <t>Payments from third parties</t>
  </si>
  <si>
    <t>• SAS
• FinCen
• Financial Intelligence Unit, 
Belize
• JMLIT 
• NCA
• JSTAC</t>
  </si>
  <si>
    <t>Payments from multiple third parties</t>
  </si>
  <si>
    <t xml:space="preserve">Third party inbound payments with no geographical link and unrelated to customer </t>
  </si>
  <si>
    <t xml:space="preserve">Payments to third parties </t>
  </si>
  <si>
    <t xml:space="preserve">High value payments from third party/parties </t>
  </si>
  <si>
    <t>High volume of payments from third party/parties</t>
  </si>
  <si>
    <t xml:space="preserve">Unexplained payments to a third party/parties  </t>
  </si>
  <si>
    <t xml:space="preserve">High value payments to third party/parties </t>
  </si>
  <si>
    <t>High volume of payments to third party/parties</t>
  </si>
  <si>
    <t>Cross-boarder transactions with VASPs</t>
  </si>
  <si>
    <t>• FinCen
• JMLIT 
• NCA
• JSTAC</t>
  </si>
  <si>
    <t>Transactions involving countries that are high risk</t>
  </si>
  <si>
    <t xml:space="preserve">New accounts transacting in higher volumes than expected over a short period of time </t>
  </si>
  <si>
    <t>Deposits, withdrawals, transfers of high volumes and small value involving numerous accounts</t>
  </si>
  <si>
    <t>Vulnerable customers</t>
  </si>
  <si>
    <t xml:space="preserve">Geographical </t>
  </si>
  <si>
    <t xml:space="preserve">High Risk Industries </t>
  </si>
  <si>
    <t xml:space="preserve">• 5MLD </t>
  </si>
  <si>
    <t>Transactions involving pre-paid cards</t>
  </si>
  <si>
    <t xml:space="preserve">Customers topping up pre-paid cards for over £150 </t>
  </si>
  <si>
    <t xml:space="preserve">Online money transfer services </t>
  </si>
  <si>
    <t xml:space="preserve">• Internal sources </t>
  </si>
  <si>
    <t xml:space="preserve">New Accounts </t>
  </si>
  <si>
    <t xml:space="preserve">Customer unexpectedly becomes active </t>
  </si>
  <si>
    <t>Behavioural</t>
  </si>
  <si>
    <t xml:space="preserve">Transactions inconsistent with KYC information </t>
  </si>
  <si>
    <t>Activity indicative of supporting illicit activity</t>
  </si>
  <si>
    <t xml:space="preserve">Purchase of high risk or illicit goods/services </t>
  </si>
  <si>
    <t>Dormant accounts</t>
  </si>
  <si>
    <t>Politically Exposed Persons</t>
  </si>
  <si>
    <t>• MLRegs
• FinCen</t>
  </si>
  <si>
    <t>Special Interest/High risk customers</t>
  </si>
  <si>
    <t>Payments to multiple third parties Include payments for rounded amounts e.g. £300, £400</t>
  </si>
  <si>
    <t>Location discrepancies</t>
  </si>
  <si>
    <t xml:space="preserve">• Internal </t>
  </si>
  <si>
    <t>HIGH</t>
  </si>
  <si>
    <t>STANDARD</t>
  </si>
  <si>
    <t>•  FCA Decision Note: Standard Chartered 
• JMLIT 
• NCA
• JSTAC</t>
  </si>
  <si>
    <r>
      <rPr>
        <b/>
        <sz val="10"/>
        <color theme="1"/>
        <rFont val="NBS Light"/>
        <family val="2"/>
      </rPr>
      <t xml:space="preserve">Rule 1.7 </t>
    </r>
    <r>
      <rPr>
        <sz val="10"/>
        <color theme="1"/>
        <rFont val="NBS Light"/>
        <family val="2"/>
      </rPr>
      <t xml:space="preserve">- Child accounts with &gt;1 (CR,CQ) and at least 1 debit (WA,WD,TW,W4), each £1k+, totalling at least £2k in &amp; £2.5 out last month </t>
    </r>
  </si>
  <si>
    <t>Money Mules</t>
  </si>
  <si>
    <t xml:space="preserve">Third Party </t>
  </si>
  <si>
    <t xml:space="preserve">Account activity inconsistent with KYC information </t>
  </si>
  <si>
    <t xml:space="preserve">• Internal  </t>
  </si>
  <si>
    <t xml:space="preserve">Following rapid overpayment/repayment, customer borrows more funds from mortgage account and subsequently pays the funds back quickly </t>
  </si>
  <si>
    <t xml:space="preserve">Matching of payments out with credits paid in cash on the same or previous day </t>
  </si>
  <si>
    <t>Fraud</t>
  </si>
  <si>
    <t>RISK ASSESSMENT</t>
  </si>
  <si>
    <t xml:space="preserve">Cash deposits/withdrawals in disparate locations </t>
  </si>
  <si>
    <t>Account activity is majority/all  cash based</t>
  </si>
  <si>
    <t>High volume of cash deposits/withdrawals in small amounts</t>
  </si>
  <si>
    <t>• JMLSG
• SAS</t>
  </si>
  <si>
    <t xml:space="preserve">Rapid increase in customers volume of cash transactions </t>
  </si>
  <si>
    <t>Cash Activity</t>
  </si>
  <si>
    <t>Unusual transactions with VASPs</t>
  </si>
  <si>
    <t>Suspicious funding of virtual currency purchases</t>
  </si>
  <si>
    <t>• UK National Risk Assessment 
• FATF</t>
  </si>
  <si>
    <t>Large cash withdrawals from account that received an unusually  large credit from overseas</t>
  </si>
  <si>
    <t xml:space="preserve">Large volume/value of payments to budget airlines in combination with other suspicious red flags </t>
  </si>
  <si>
    <t xml:space="preserve">High turnover </t>
  </si>
  <si>
    <t xml:space="preserve">Rapid movement of funds </t>
  </si>
  <si>
    <t>Structuring</t>
  </si>
  <si>
    <t>Gambling</t>
  </si>
  <si>
    <t>Gabling Activities</t>
  </si>
  <si>
    <t>Complex transactions for PEPs, FMs, KCAs</t>
  </si>
  <si>
    <t xml:space="preserve">Anonymous transactions or significant volume of payments received from  third parties into the PEP, FM, KCAs account </t>
  </si>
  <si>
    <t xml:space="preserve">Complex transactions carried out by customers high risk of ML/TF </t>
  </si>
  <si>
    <t xml:space="preserve">Unusually large transactions carried out by customers high risk of ML/TF </t>
  </si>
  <si>
    <t>HRC sends/receives payments to/from any country identified as presenting a greater financial crime threat</t>
  </si>
  <si>
    <t>Virtual Assets</t>
  </si>
  <si>
    <t>Account activity inconsistent with peers with a similar profile</t>
  </si>
  <si>
    <r>
      <rPr>
        <b/>
        <sz val="10"/>
        <rFont val="NBS Light"/>
        <family val="2"/>
      </rPr>
      <t>Rule 1.18 -</t>
    </r>
    <r>
      <rPr>
        <sz val="10"/>
        <rFont val="NBS Light"/>
        <family val="2"/>
      </rPr>
      <t xml:space="preserve"> Flex accounts receiving &gt;=30 LAs (each £100+) last month</t>
    </r>
  </si>
  <si>
    <r>
      <rPr>
        <b/>
        <sz val="10"/>
        <rFont val="NBS Light"/>
        <family val="2"/>
      </rPr>
      <t>Rule 1.21 -</t>
    </r>
    <r>
      <rPr>
        <sz val="10"/>
        <rFont val="NBS Light"/>
        <family val="2"/>
      </rPr>
      <t xml:space="preserve"> Flexaccounts with 40 or more bill payments (WP), totalling £4.5k or more, last month.</t>
    </r>
  </si>
  <si>
    <t>Significant deviation from peer group activity based on volume or value of transactions</t>
  </si>
  <si>
    <t>Significant deviation from peer group in most common transaction type (i.e. cash or international payment) transactions</t>
  </si>
  <si>
    <t xml:space="preserve">Current Controls </t>
  </si>
  <si>
    <t>Details of current rules/controls</t>
  </si>
  <si>
    <t>Control Effectiveness</t>
  </si>
  <si>
    <t>Yes</t>
  </si>
  <si>
    <t>No</t>
  </si>
  <si>
    <t>Is the current rule(s)/control(s) effectively mitigating the risk Yes/No?</t>
  </si>
  <si>
    <t xml:space="preserve">Is there currently a rule(s)/control(s) in place to mitigate this risk scenario Yes/No? </t>
  </si>
  <si>
    <t>Significant deviation from peer group in most used product type (i.e.  credit card usage)</t>
  </si>
  <si>
    <t>CONTROL ASSESSMENT - CURRENT STATE</t>
  </si>
  <si>
    <t xml:space="preserve"> RECOMMENDATIONS - FUTURE STATE</t>
  </si>
  <si>
    <t xml:space="preserve">Actions </t>
  </si>
  <si>
    <t xml:space="preserve">No </t>
  </si>
  <si>
    <t xml:space="preserve">Gaps/Limitations with existing rule/control:
1. Logic Gaps
2. Threshold Limitations
3. Product Application </t>
  </si>
  <si>
    <r>
      <rPr>
        <b/>
        <sz val="10"/>
        <color theme="1"/>
        <rFont val="NBS Light"/>
        <family val="2"/>
      </rPr>
      <t xml:space="preserve">1. Logic Gaps: </t>
    </r>
    <r>
      <rPr>
        <sz val="10"/>
        <color theme="1"/>
        <rFont val="NBS Light"/>
        <family val="2"/>
      </rPr>
      <t xml:space="preserve">
</t>
    </r>
    <r>
      <rPr>
        <b/>
        <sz val="10"/>
        <color theme="1"/>
        <rFont val="NBS Light"/>
        <family val="2"/>
      </rPr>
      <t xml:space="preserve">• </t>
    </r>
    <r>
      <rPr>
        <sz val="10"/>
        <color theme="1"/>
        <rFont val="NBS Light"/>
        <family val="2"/>
      </rPr>
      <t xml:space="preserve">Only applies to cash/cheque transactions
•  Excludes anything reported in the previous 3 months on same rule and have an RRP review of retain in past 6 months  
</t>
    </r>
    <r>
      <rPr>
        <b/>
        <sz val="10"/>
        <color theme="1"/>
        <rFont val="NBS Light"/>
        <family val="2"/>
      </rPr>
      <t xml:space="preserve">2. Threshold Limitations: </t>
    </r>
    <r>
      <rPr>
        <sz val="10"/>
        <color theme="1"/>
        <rFont val="NBS Light"/>
        <family val="2"/>
      </rPr>
      <t xml:space="preserve">
•  Singular thresholds applied to all customers 
</t>
    </r>
    <r>
      <rPr>
        <b/>
        <sz val="10"/>
        <color theme="1"/>
        <rFont val="NBS Light"/>
        <family val="2"/>
      </rPr>
      <t xml:space="preserve">3. Product Application: 
</t>
    </r>
    <r>
      <rPr>
        <sz val="10"/>
        <color theme="1"/>
        <rFont val="NBS Light"/>
        <family val="2"/>
      </rPr>
      <t xml:space="preserve">•  Only includes child accounts. Does not take into account age and does not apply to student accounts </t>
    </r>
  </si>
  <si>
    <t>CURRENT ACCOUNTS</t>
  </si>
  <si>
    <t>CREDIT CARDS</t>
  </si>
  <si>
    <t>PERSONAL LOANS</t>
  </si>
  <si>
    <t>SAVINGS ACCOUNTS</t>
  </si>
  <si>
    <r>
      <t xml:space="preserve">LIMITED ACCESS 
 WITH CARD
</t>
    </r>
    <r>
      <rPr>
        <sz val="10"/>
        <color theme="0"/>
        <rFont val="NBS Medium"/>
        <family val="2"/>
      </rPr>
      <t>• Limited Access Savers
• Triple Access Savers</t>
    </r>
  </si>
  <si>
    <r>
      <t>LIMITED ACCESS 
 NO CARD
•</t>
    </r>
    <r>
      <rPr>
        <sz val="10"/>
        <color theme="0"/>
        <rFont val="NBS Medium"/>
        <family val="2"/>
      </rPr>
      <t xml:space="preserve"> Limited Access Saver Online 
• Limited Access Book
• Save to Buy Book
• E-Savings Plus</t>
    </r>
  </si>
  <si>
    <r>
      <t xml:space="preserve">CHILD
</t>
    </r>
    <r>
      <rPr>
        <b/>
        <sz val="10"/>
        <color theme="0"/>
        <rFont val="NBS Medium"/>
        <family val="2"/>
      </rPr>
      <t xml:space="preserve">• Child Trust Fund
• FlexOne Saver 
</t>
    </r>
    <r>
      <rPr>
        <sz val="10"/>
        <color theme="0"/>
        <rFont val="NBS Medium"/>
        <family val="2"/>
      </rPr>
      <t>• Future Saver - book
• Smart - book 
• Smart - card
• Smart Limited Access - book
• Smart Saver - boo</t>
    </r>
    <r>
      <rPr>
        <b/>
        <sz val="10"/>
        <color theme="0"/>
        <rFont val="NBS Medium"/>
        <family val="2"/>
      </rPr>
      <t xml:space="preserve">k </t>
    </r>
  </si>
  <si>
    <r>
      <t xml:space="preserve">INSTANT ACCESS 
NO CARD
</t>
    </r>
    <r>
      <rPr>
        <b/>
        <sz val="10"/>
        <color theme="0"/>
        <rFont val="NBS Medium"/>
        <family val="2"/>
      </rPr>
      <t xml:space="preserve">• </t>
    </r>
    <r>
      <rPr>
        <sz val="10"/>
        <color theme="0"/>
        <rFont val="NBS Medium"/>
        <family val="2"/>
      </rPr>
      <t>CashBuilder - Book
• Direct Easy Access - Book/No token
• Direct Saver
• Easy Access - Book
• Employee Flex Saver - Book
• Flex Online Savers
• Flexclusive Savers - Book/No token
• Instant Access Saver - Book/ No token
• Loyalty Savers Book
•  E-Savings
• Regular Saver 
• Monthly Income 60+ - Book</t>
    </r>
  </si>
  <si>
    <r>
      <t xml:space="preserve">FLEXACCOUNTS
</t>
    </r>
    <r>
      <rPr>
        <sz val="10"/>
        <color theme="0"/>
        <rFont val="NBS Medium"/>
        <family val="2"/>
      </rPr>
      <t>• FlexAccount
•  FlexPlus 
• FlexDirect  
• FlexBasic</t>
    </r>
    <r>
      <rPr>
        <b/>
        <sz val="11"/>
        <color theme="0"/>
        <rFont val="NBS Medium"/>
        <family val="2"/>
      </rPr>
      <t xml:space="preserve"> 
</t>
    </r>
    <r>
      <rPr>
        <sz val="10"/>
        <color theme="0"/>
        <rFont val="NBS Medium"/>
        <family val="2"/>
      </rPr>
      <t>• Cash Card Account</t>
    </r>
  </si>
  <si>
    <r>
      <t xml:space="preserve">STUDENT
</t>
    </r>
    <r>
      <rPr>
        <sz val="10"/>
        <color theme="0"/>
        <rFont val="NBS Medium"/>
        <family val="2"/>
      </rPr>
      <t>• FlexStudent
• Flex Graduate</t>
    </r>
  </si>
  <si>
    <r>
      <t xml:space="preserve">CHILD
</t>
    </r>
    <r>
      <rPr>
        <sz val="10"/>
        <color theme="0"/>
        <rFont val="NBS Medium"/>
        <family val="2"/>
      </rPr>
      <t>• FlexOne</t>
    </r>
  </si>
  <si>
    <t>• Personal Loan</t>
  </si>
  <si>
    <t>Relatively large deposits paid into student, young persons' or recent migrants accounts via cash or wire transfer (higher risk if transferred via MSBs). 
A debit of a similar (smaller) value, often with a 'processing fee' deducted, is made within a few days of the deposit.</t>
  </si>
  <si>
    <t xml:space="preserve">Concealing Business Activity </t>
  </si>
  <si>
    <t>Tax Evasion</t>
  </si>
  <si>
    <t>Accounts activity indicates business use, however no payments to HMRC</t>
  </si>
  <si>
    <t xml:space="preserve">Purchasing goods with the intent to avoid duty </t>
  </si>
  <si>
    <t>Customers travelling to Europe to purchase large quantities of alcohol/tobacco with intent to avoid paying duty/tax on products in the UK.</t>
  </si>
  <si>
    <t xml:space="preserve">Yes </t>
  </si>
  <si>
    <r>
      <rPr>
        <b/>
        <sz val="10"/>
        <color theme="1"/>
        <rFont val="NBS Light"/>
        <family val="2"/>
      </rPr>
      <t xml:space="preserve">2. Threshold Limitations: </t>
    </r>
    <r>
      <rPr>
        <sz val="10"/>
        <color theme="1"/>
        <rFont val="NBS Light"/>
        <family val="2"/>
      </rPr>
      <t xml:space="preserve">
• Singular thresholds applied to all customers</t>
    </r>
  </si>
  <si>
    <r>
      <rPr>
        <b/>
        <sz val="10"/>
        <rFont val="NBS Light"/>
        <family val="2"/>
      </rPr>
      <t>1. Logic Gaps:</t>
    </r>
    <r>
      <rPr>
        <sz val="10"/>
        <rFont val="NBS Light"/>
        <family val="2"/>
      </rPr>
      <t xml:space="preserve"> 
•  Customer relationship is 16+ years  and is Female 
</t>
    </r>
    <r>
      <rPr>
        <b/>
        <sz val="10"/>
        <rFont val="NBS Light"/>
        <family val="2"/>
      </rPr>
      <t xml:space="preserve">2. Threshold Limitations: </t>
    </r>
    <r>
      <rPr>
        <sz val="10"/>
        <rFont val="NBS Light"/>
        <family val="2"/>
      </rPr>
      <t xml:space="preserve">
• Singular thresholds applied to all customers 
• Threshold implemented to manage business use 
</t>
    </r>
    <r>
      <rPr>
        <b/>
        <sz val="10"/>
        <rFont val="NBS Light"/>
        <family val="2"/>
      </rPr>
      <t>3. Product Application:</t>
    </r>
    <r>
      <rPr>
        <sz val="10"/>
        <rFont val="NBS Light"/>
        <family val="2"/>
      </rPr>
      <t xml:space="preserve">
• Only applies to current accounts </t>
    </r>
  </si>
  <si>
    <r>
      <rPr>
        <b/>
        <sz val="10"/>
        <color theme="1"/>
        <rFont val="NBS Light"/>
        <family val="2"/>
      </rPr>
      <t xml:space="preserve">Rule 1.18 </t>
    </r>
    <r>
      <rPr>
        <sz val="10"/>
        <color theme="1"/>
        <rFont val="NBS Light"/>
        <family val="2"/>
      </rPr>
      <t xml:space="preserve">- Flex accounts receiving &gt;=30 LAs (each £100+) last month
</t>
    </r>
    <r>
      <rPr>
        <b/>
        <sz val="10"/>
        <color theme="1"/>
        <rFont val="NBS Light"/>
        <family val="2"/>
      </rPr>
      <t>Rule 1.29 -</t>
    </r>
    <r>
      <rPr>
        <sz val="10"/>
        <color theme="1"/>
        <rFont val="NBS Light"/>
        <family val="2"/>
      </rPr>
      <t xml:space="preserve"> Accounts with a £40k+ turnover, of which with total debits constitute 45-55%, receiving 20+ credits (each £900+) last month</t>
    </r>
  </si>
  <si>
    <r>
      <rPr>
        <b/>
        <sz val="10"/>
        <color theme="1"/>
        <rFont val="NBS Light"/>
        <family val="2"/>
      </rPr>
      <t xml:space="preserve">1. Logic Gaps: </t>
    </r>
    <r>
      <rPr>
        <sz val="10"/>
        <color theme="1"/>
        <rFont val="NBS Light"/>
        <family val="2"/>
      </rPr>
      <t xml:space="preserve">
 • Exclude alerts where there are &lt;=6 credits AND the customer has no previous reported cases in FCRM AND customer aged &gt;=50
</t>
    </r>
    <r>
      <rPr>
        <b/>
        <sz val="10"/>
        <color theme="1"/>
        <rFont val="NBS Light"/>
        <family val="2"/>
      </rPr>
      <t xml:space="preserve">2. Threshold Limitations: </t>
    </r>
    <r>
      <rPr>
        <sz val="10"/>
        <color theme="1"/>
        <rFont val="NBS Light"/>
        <family val="2"/>
      </rPr>
      <t xml:space="preserve">
• Singular thresholds applied to all customers  - no peer-based comparison
</t>
    </r>
    <r>
      <rPr>
        <b/>
        <sz val="10"/>
        <color theme="1"/>
        <rFont val="NBS Light"/>
        <family val="2"/>
      </rPr>
      <t>3. Product Application:</t>
    </r>
    <r>
      <rPr>
        <sz val="10"/>
        <color theme="1"/>
        <rFont val="NBS Light"/>
        <family val="2"/>
      </rPr>
      <t xml:space="preserve">
• Only applies to current accounts </t>
    </r>
  </si>
  <si>
    <r>
      <rPr>
        <b/>
        <sz val="10"/>
        <color theme="1"/>
        <rFont val="NBS Light"/>
        <family val="2"/>
      </rPr>
      <t xml:space="preserve">Rule 1.18 
1. Logic Gaps: </t>
    </r>
    <r>
      <rPr>
        <sz val="10"/>
        <color theme="1"/>
        <rFont val="NBS Light"/>
        <family val="2"/>
      </rPr>
      <t xml:space="preserve">
•  Customer relationship is 16+ years and either has a total LA volume of &lt;=39 OR has a total LA volume of &gt;39 and is Female  16+ years 
</t>
    </r>
    <r>
      <rPr>
        <b/>
        <sz val="10"/>
        <color theme="1"/>
        <rFont val="NBS Light"/>
        <family val="2"/>
      </rPr>
      <t xml:space="preserve">2. Threshold Limitations: </t>
    </r>
    <r>
      <rPr>
        <sz val="10"/>
        <color theme="1"/>
        <rFont val="NBS Light"/>
        <family val="2"/>
      </rPr>
      <t xml:space="preserve">
• Singular thresholds applied to all customers 
• Threshold implemented to manage business use 
</t>
    </r>
    <r>
      <rPr>
        <b/>
        <sz val="10"/>
        <color theme="1"/>
        <rFont val="NBS Light"/>
        <family val="2"/>
      </rPr>
      <t>3. Product Application:</t>
    </r>
    <r>
      <rPr>
        <sz val="10"/>
        <color theme="1"/>
        <rFont val="NBS Light"/>
        <family val="2"/>
      </rPr>
      <t xml:space="preserve">
• Only applies to current accounts 
</t>
    </r>
    <r>
      <rPr>
        <b/>
        <sz val="10"/>
        <color theme="1"/>
        <rFont val="NBS Light"/>
        <family val="2"/>
      </rPr>
      <t>Rule 1.29</t>
    </r>
    <r>
      <rPr>
        <sz val="10"/>
        <color theme="1"/>
        <rFont val="NBS Light"/>
        <family val="2"/>
      </rPr>
      <t xml:space="preserve">
</t>
    </r>
    <r>
      <rPr>
        <b/>
        <sz val="10"/>
        <color theme="1"/>
        <rFont val="NBS Light"/>
        <family val="2"/>
      </rPr>
      <t xml:space="preserve">2. Threshold Limitations: </t>
    </r>
    <r>
      <rPr>
        <sz val="10"/>
        <color theme="1"/>
        <rFont val="NBS Light"/>
        <family val="2"/>
      </rPr>
      <t xml:space="preserve">
• Singular thresholds applied to all customers - no peer-based comparison </t>
    </r>
  </si>
  <si>
    <r>
      <rPr>
        <b/>
        <sz val="10"/>
        <color theme="1"/>
        <rFont val="NBS Light"/>
        <family val="2"/>
      </rPr>
      <t>Rule 1.29 -</t>
    </r>
    <r>
      <rPr>
        <sz val="10"/>
        <color theme="1"/>
        <rFont val="NBS Light"/>
        <family val="2"/>
      </rPr>
      <t xml:space="preserve"> Accounts with a £40k+ turnover, of which with total debits constitute 45-55%, receiving 20+ credits (each £900+) last month</t>
    </r>
  </si>
  <si>
    <r>
      <rPr>
        <b/>
        <sz val="10"/>
        <color theme="1"/>
        <rFont val="NBS Light"/>
        <family val="2"/>
      </rPr>
      <t xml:space="preserve">Rule 1.29 - </t>
    </r>
    <r>
      <rPr>
        <sz val="10"/>
        <color theme="1"/>
        <rFont val="NBS Light"/>
        <family val="2"/>
      </rPr>
      <t>Accounts with a £40k+ turnover, of which with total debits constitute 45-55%, receiving 20+ credits (each £900+) last month</t>
    </r>
  </si>
  <si>
    <r>
      <rPr>
        <b/>
        <sz val="10"/>
        <color theme="1"/>
        <rFont val="NBS Light"/>
        <family val="2"/>
      </rPr>
      <t xml:space="preserve">2. Threshold Limitations: </t>
    </r>
    <r>
      <rPr>
        <sz val="10"/>
        <color theme="1"/>
        <rFont val="NBS Light"/>
        <family val="2"/>
      </rPr>
      <t xml:space="preserve">
• Singular thresholds applied to all customers </t>
    </r>
  </si>
  <si>
    <t>246
93</t>
  </si>
  <si>
    <t>33.05%
15.46%</t>
  </si>
  <si>
    <t>N/A</t>
  </si>
  <si>
    <t>Rule Suspended/Deactivated</t>
  </si>
  <si>
    <r>
      <rPr>
        <b/>
        <sz val="10"/>
        <color theme="1"/>
        <rFont val="NBS Light"/>
        <family val="2"/>
      </rPr>
      <t xml:space="preserve">1. Logic Gaps  </t>
    </r>
    <r>
      <rPr>
        <sz val="10"/>
        <color theme="1"/>
        <rFont val="NBS Light"/>
        <family val="2"/>
      </rPr>
      <t xml:space="preserve">
Must be combined with another high risk factor such as existing FCRM case or funds originate from high risk jurisdiction or in in cash
</t>
    </r>
    <r>
      <rPr>
        <b/>
        <sz val="10"/>
        <color theme="1"/>
        <rFont val="NBS Light"/>
        <family val="2"/>
      </rPr>
      <t xml:space="preserve">2. Threshold Limitations: </t>
    </r>
    <r>
      <rPr>
        <sz val="10"/>
        <color theme="1"/>
        <rFont val="NBS Light"/>
        <family val="2"/>
      </rPr>
      <t xml:space="preserve">
•  Singular thresholds applied to all customers 
</t>
    </r>
    <r>
      <rPr>
        <b/>
        <sz val="10"/>
        <color theme="1"/>
        <rFont val="NBS Light"/>
        <family val="2"/>
      </rPr>
      <t>3. Product Application:</t>
    </r>
    <r>
      <rPr>
        <sz val="10"/>
        <color theme="1"/>
        <rFont val="NBS Light"/>
        <family val="2"/>
      </rPr>
      <t xml:space="preserve">
•  Only applies to prime mortgages, not personal loans or TMW 
• All other early redemption rules suspended</t>
    </r>
  </si>
  <si>
    <r>
      <rPr>
        <b/>
        <sz val="10"/>
        <color theme="1"/>
        <rFont val="NBS Light"/>
        <family val="2"/>
      </rPr>
      <t>Rule 4.3 -</t>
    </r>
    <r>
      <rPr>
        <sz val="10"/>
        <color theme="1"/>
        <rFont val="NBS Light"/>
        <family val="2"/>
      </rPr>
      <t xml:space="preserve"> Credit Card with &gt;£10k positive balance for past three months. </t>
    </r>
  </si>
  <si>
    <r>
      <rPr>
        <b/>
        <sz val="10"/>
        <color theme="1"/>
        <rFont val="NBS Light"/>
        <family val="2"/>
      </rPr>
      <t xml:space="preserve">1. Logic Gaps  </t>
    </r>
    <r>
      <rPr>
        <sz val="10"/>
        <color theme="1"/>
        <rFont val="NBS Light"/>
        <family val="2"/>
      </rPr>
      <t xml:space="preserve">
•  Rule looks for positive balances in general rather than credit refunds
</t>
    </r>
    <r>
      <rPr>
        <b/>
        <sz val="10"/>
        <color theme="1"/>
        <rFont val="NBS Light"/>
        <family val="2"/>
      </rPr>
      <t xml:space="preserve">2. Threshold Limitations: </t>
    </r>
    <r>
      <rPr>
        <sz val="10"/>
        <color theme="1"/>
        <rFont val="NBS Light"/>
        <family val="2"/>
      </rPr>
      <t xml:space="preserve">
•  Singular thresholds applied to all customers 
</t>
    </r>
  </si>
  <si>
    <r>
      <rPr>
        <b/>
        <sz val="10"/>
        <color theme="1"/>
        <rFont val="NBS Light"/>
        <family val="2"/>
      </rPr>
      <t>Rule 1.25 -</t>
    </r>
    <r>
      <rPr>
        <sz val="10"/>
        <color theme="1"/>
        <rFont val="NBS Light"/>
        <family val="2"/>
      </rPr>
      <t xml:space="preserve"> 'Debit card purchase (£300+ per transaction and £2.5k+ in total) of large amount of booze/fags - Europe over past 3 months.
</t>
    </r>
    <r>
      <rPr>
        <b/>
        <sz val="10"/>
        <color theme="1"/>
        <rFont val="NBS Light"/>
        <family val="2"/>
      </rPr>
      <t>Rule 4.5 -</t>
    </r>
    <r>
      <rPr>
        <sz val="10"/>
        <color theme="1"/>
        <rFont val="NBS Light"/>
        <family val="2"/>
      </rPr>
      <t xml:space="preserve"> Credit Card purchases, totalling £3k+ in past 3 months, at tobacconists, supermarkets and duty free stores in Europe. </t>
    </r>
  </si>
  <si>
    <r>
      <rPr>
        <b/>
        <sz val="10"/>
        <color theme="1"/>
        <rFont val="NBS Light"/>
        <family val="2"/>
      </rPr>
      <t xml:space="preserve">
2. Threshold Limitations: </t>
    </r>
    <r>
      <rPr>
        <sz val="10"/>
        <color theme="1"/>
        <rFont val="NBS Light"/>
        <family val="2"/>
      </rPr>
      <t xml:space="preserve">
• Singular thresholds applied to all customers
</t>
    </r>
  </si>
  <si>
    <t>53.33%
34.22%</t>
  </si>
  <si>
    <t>1
16</t>
  </si>
  <si>
    <t>No rule</t>
  </si>
  <si>
    <r>
      <rPr>
        <b/>
        <sz val="10"/>
        <color theme="1"/>
        <rFont val="NBS Light"/>
        <family val="2"/>
      </rPr>
      <t xml:space="preserve">
1, Logic Gaps 
</t>
    </r>
    <r>
      <rPr>
        <sz val="10"/>
        <color theme="1"/>
        <rFont val="NBS Light"/>
        <family val="2"/>
      </rPr>
      <t xml:space="preserve">• Not documented what countries this rule applies to
</t>
    </r>
    <r>
      <rPr>
        <b/>
        <sz val="10"/>
        <color theme="1"/>
        <rFont val="NBS Light"/>
        <family val="2"/>
      </rPr>
      <t xml:space="preserve">2. Threshold Limitations: </t>
    </r>
    <r>
      <rPr>
        <sz val="10"/>
        <color theme="1"/>
        <rFont val="NBS Light"/>
        <family val="2"/>
      </rPr>
      <t xml:space="preserve">
• Singular thresholds applied to all customers
</t>
    </r>
    <r>
      <rPr>
        <b/>
        <sz val="10"/>
        <color theme="1"/>
        <rFont val="NBS Light"/>
        <family val="2"/>
      </rPr>
      <t>3. Product Application</t>
    </r>
    <r>
      <rPr>
        <sz val="10"/>
        <color theme="1"/>
        <rFont val="NBS Light"/>
        <family val="2"/>
      </rPr>
      <t xml:space="preserve">
• Only applies to personal loans</t>
    </r>
  </si>
  <si>
    <r>
      <rPr>
        <b/>
        <sz val="10"/>
        <color theme="1"/>
        <rFont val="NBS Light"/>
        <family val="2"/>
      </rPr>
      <t xml:space="preserve">1. Logic Gaps  </t>
    </r>
    <r>
      <rPr>
        <sz val="10"/>
        <color theme="1"/>
        <rFont val="NBS Light"/>
        <family val="2"/>
      </rPr>
      <t xml:space="preserve">
Must be combined with another high risk factor such as existing FCRM case or funds originate from high risk jurisdiction or in in cash
</t>
    </r>
    <r>
      <rPr>
        <b/>
        <sz val="10"/>
        <color theme="1"/>
        <rFont val="NBS Light"/>
        <family val="2"/>
      </rPr>
      <t xml:space="preserve">2. Threshold Limitations: </t>
    </r>
    <r>
      <rPr>
        <sz val="10"/>
        <color theme="1"/>
        <rFont val="NBS Light"/>
        <family val="2"/>
      </rPr>
      <t xml:space="preserve">
•  Singular thresholds applied to all customers 
</t>
    </r>
    <r>
      <rPr>
        <b/>
        <sz val="10"/>
        <color theme="1"/>
        <rFont val="NBS Light"/>
        <family val="2"/>
      </rPr>
      <t>3. Product Application:</t>
    </r>
    <r>
      <rPr>
        <sz val="10"/>
        <color theme="1"/>
        <rFont val="NBS Light"/>
        <family val="2"/>
      </rPr>
      <t xml:space="preserve">
•  Only applies to prime mortgages and TMW, not personal loans
• All other early redemption rules suspended</t>
    </r>
  </si>
  <si>
    <r>
      <rPr>
        <b/>
        <sz val="10"/>
        <color theme="1"/>
        <rFont val="NBS Light"/>
        <family val="2"/>
      </rPr>
      <t xml:space="preserve">Rule 3.12 </t>
    </r>
    <r>
      <rPr>
        <sz val="10"/>
        <color theme="1"/>
        <rFont val="NBS Light"/>
        <family val="2"/>
      </rPr>
      <t xml:space="preserve">- Early redemption of a prime mortgage, together with another high risk factor, to indicate potential money laundering through mortgage products
</t>
    </r>
    <r>
      <rPr>
        <b/>
        <sz val="10"/>
        <color theme="1"/>
        <rFont val="NBS Light"/>
        <family val="2"/>
      </rPr>
      <t>Rule 6.5 -</t>
    </r>
    <r>
      <rPr>
        <sz val="10"/>
        <color theme="1"/>
        <rFont val="NBS Light"/>
        <family val="2"/>
      </rPr>
      <t xml:space="preserve"> Early redemption of a BTL mortgage, together with another high risk factor, to indicate potential money laundering through mortgage products</t>
    </r>
  </si>
  <si>
    <t>4
1</t>
  </si>
  <si>
    <t>37.5%
0%</t>
  </si>
  <si>
    <r>
      <rPr>
        <b/>
        <sz val="10"/>
        <color theme="1"/>
        <rFont val="NBS Light"/>
        <family val="2"/>
      </rPr>
      <t>Rule 3.13 -</t>
    </r>
    <r>
      <rPr>
        <sz val="10"/>
        <color theme="1"/>
        <rFont val="NBS Light"/>
        <family val="2"/>
      </rPr>
      <t xml:space="preserve"> Large overpayment of a prime mortgage, together with another high risk factor, to indicate potential money laundering through mortgage products
</t>
    </r>
    <r>
      <rPr>
        <b/>
        <sz val="10"/>
        <color theme="1"/>
        <rFont val="NBS Light"/>
        <family val="2"/>
      </rPr>
      <t>Rule 6.6 -</t>
    </r>
    <r>
      <rPr>
        <sz val="10"/>
        <color theme="1"/>
        <rFont val="NBS Light"/>
        <family val="2"/>
      </rPr>
      <t xml:space="preserve"> Large overpayment of a BTL mortgage, together with another high risk factor, to indicate potential money laundering through mortgage products</t>
    </r>
  </si>
  <si>
    <r>
      <rPr>
        <b/>
        <sz val="10"/>
        <color theme="1"/>
        <rFont val="NBS Light"/>
        <family val="2"/>
      </rPr>
      <t xml:space="preserve">1. Logic Gaps  </t>
    </r>
    <r>
      <rPr>
        <sz val="10"/>
        <color theme="1"/>
        <rFont val="NBS Light"/>
        <family val="2"/>
      </rPr>
      <t xml:space="preserve">
• Must be combined with another high risk factor such as existing FCRM case or funds originate from high risk jurisdiction or in in cash
</t>
    </r>
    <r>
      <rPr>
        <b/>
        <sz val="10"/>
        <color theme="1"/>
        <rFont val="NBS Light"/>
        <family val="2"/>
      </rPr>
      <t xml:space="preserve">2. Threshold Limitations: </t>
    </r>
    <r>
      <rPr>
        <sz val="10"/>
        <color theme="1"/>
        <rFont val="NBS Light"/>
        <family val="2"/>
      </rPr>
      <t xml:space="preserve">
•  Singular thresholds applied to all customers 
</t>
    </r>
    <r>
      <rPr>
        <b/>
        <sz val="10"/>
        <color theme="1"/>
        <rFont val="NBS Light"/>
        <family val="2"/>
      </rPr>
      <t>3. Product Application:</t>
    </r>
    <r>
      <rPr>
        <sz val="10"/>
        <color theme="1"/>
        <rFont val="NBS Light"/>
        <family val="2"/>
      </rPr>
      <t xml:space="preserve">
•  Only applies to prime mortgages and TMW, not personal loans 
• All other early redemption rules suspended</t>
    </r>
  </si>
  <si>
    <t>52
5</t>
  </si>
  <si>
    <t>9.37%
11.8%</t>
  </si>
  <si>
    <t>Laundering the proceeds of benefit fraud</t>
  </si>
  <si>
    <t xml:space="preserve">Member in receipt of Income Support and holds a balance which may impact their eligibility </t>
  </si>
  <si>
    <t xml:space="preserve">Member in receipt of Job Seekers Allowance and holds a savings account which may effect their eligibility </t>
  </si>
  <si>
    <t xml:space="preserve">Member in receipt of child benefit and has a foreign address </t>
  </si>
  <si>
    <t>•  DWP</t>
  </si>
  <si>
    <t>Rules Required</t>
  </si>
  <si>
    <r>
      <rPr>
        <b/>
        <sz val="10"/>
        <color theme="1"/>
        <rFont val="NBS Light"/>
        <family val="2"/>
      </rPr>
      <t>Rule DWP4 -</t>
    </r>
    <r>
      <rPr>
        <sz val="10"/>
        <color theme="1"/>
        <rFont val="NBS Light"/>
        <family val="2"/>
      </rPr>
      <t xml:space="preserve"> Foreign address recorded &gt;=6 months ago, and account receiving benefits (JSA/CHB)</t>
    </r>
  </si>
  <si>
    <r>
      <rPr>
        <b/>
        <sz val="10"/>
        <color theme="1"/>
        <rFont val="NBS Light"/>
        <family val="2"/>
      </rPr>
      <t>Rule DWP5 -</t>
    </r>
    <r>
      <rPr>
        <sz val="10"/>
        <color theme="1"/>
        <rFont val="NBS Light"/>
        <family val="2"/>
      </rPr>
      <t xml:space="preserve"> Customer in receipt of JSA for &gt;=7 months and has B&amp;S account balances totalling £17k+.</t>
    </r>
  </si>
  <si>
    <t>No gaps, however possibility to combine into one rule</t>
  </si>
  <si>
    <t>CoC - total alerts = 3044
56
11
5
25</t>
  </si>
  <si>
    <t>CoC - total alerts reported = 299
20.45%
11.13%
16.46%
19.32%</t>
  </si>
  <si>
    <r>
      <rPr>
        <b/>
        <sz val="10"/>
        <color theme="1"/>
        <rFont val="NBS Light"/>
        <family val="2"/>
      </rPr>
      <t xml:space="preserve">Country of Concern Rules - </t>
    </r>
    <r>
      <rPr>
        <sz val="10"/>
        <color theme="1"/>
        <rFont val="NBS Light"/>
        <family val="2"/>
      </rPr>
      <t>based on scorecard criteria</t>
    </r>
    <r>
      <rPr>
        <b/>
        <sz val="10"/>
        <color theme="1"/>
        <rFont val="NBS Light"/>
        <family val="2"/>
      </rPr>
      <t xml:space="preserve"> 
Rule CT6 - </t>
    </r>
    <r>
      <rPr>
        <sz val="10"/>
        <color theme="1"/>
        <rFont val="NBS Light"/>
        <family val="2"/>
      </rPr>
      <t>Customer has either IP activity, VISA spend, CHAPS In/Out from Syria</t>
    </r>
    <r>
      <rPr>
        <b/>
        <sz val="10"/>
        <color theme="1"/>
        <rFont val="NBS Light"/>
        <family val="2"/>
      </rPr>
      <t xml:space="preserve">
Rule CT7 - </t>
    </r>
    <r>
      <rPr>
        <sz val="10"/>
        <color theme="1"/>
        <rFont val="NBS Light"/>
        <family val="2"/>
      </rPr>
      <t xml:space="preserve">Customer has either IP activity, VISA spend, CHAPS In/Out from Yemen
</t>
    </r>
    <r>
      <rPr>
        <b/>
        <sz val="10"/>
        <color theme="1"/>
        <rFont val="NBS Light"/>
        <family val="2"/>
      </rPr>
      <t>Rule CT8 -</t>
    </r>
    <r>
      <rPr>
        <sz val="10"/>
        <color theme="1"/>
        <rFont val="NBS Light"/>
        <family val="2"/>
      </rPr>
      <t xml:space="preserve">  Customer has either IP activity, VISA spend, CHAPS In/Out from Libya</t>
    </r>
  </si>
  <si>
    <r>
      <rPr>
        <b/>
        <sz val="10"/>
        <color theme="1"/>
        <rFont val="NBS Light"/>
        <family val="2"/>
      </rPr>
      <t xml:space="preserve">Country of Concern Rules 
1. Logic Gaps: 
•  </t>
    </r>
    <r>
      <rPr>
        <sz val="10"/>
        <color theme="1"/>
        <rFont val="NBS Light"/>
        <family val="2"/>
      </rPr>
      <t>Complex scorecard</t>
    </r>
    <r>
      <rPr>
        <b/>
        <sz val="10"/>
        <color theme="1"/>
        <rFont val="NBS Light"/>
        <family val="2"/>
      </rPr>
      <t xml:space="preserve">
2. Threshold Limitations:
•  </t>
    </r>
    <r>
      <rPr>
        <sz val="10"/>
        <color theme="1"/>
        <rFont val="NBS Light"/>
        <family val="2"/>
      </rPr>
      <t xml:space="preserve">Complex scorecard 
</t>
    </r>
    <r>
      <rPr>
        <b/>
        <sz val="10"/>
        <color theme="1"/>
        <rFont val="NBS Light"/>
        <family val="2"/>
      </rPr>
      <t>Rules CT6,7&amp;8
1. Logic Gaps</t>
    </r>
    <r>
      <rPr>
        <sz val="10"/>
        <color theme="1"/>
        <rFont val="NBS Light"/>
        <family val="2"/>
      </rPr>
      <t>:
• Only includes touchpoint with Syria, Libya and Yemen, no other countries</t>
    </r>
  </si>
  <si>
    <t>CoC - total alerts = 3044
11
5
25</t>
  </si>
  <si>
    <t>CoC - total alerts reported = 299
11.13%
16.46%
19.32%</t>
  </si>
  <si>
    <r>
      <rPr>
        <b/>
        <sz val="10"/>
        <color theme="1"/>
        <rFont val="NBS Light"/>
        <family val="2"/>
      </rPr>
      <t xml:space="preserve">Country of Concern Rules - </t>
    </r>
    <r>
      <rPr>
        <sz val="10"/>
        <color theme="1"/>
        <rFont val="NBS Light"/>
        <family val="2"/>
      </rPr>
      <t xml:space="preserve">based on scorecard criteria </t>
    </r>
    <r>
      <rPr>
        <b/>
        <sz val="10"/>
        <color theme="1"/>
        <rFont val="NBS Light"/>
        <family val="2"/>
      </rPr>
      <t xml:space="preserve">
Rule 1.22 -</t>
    </r>
    <r>
      <rPr>
        <sz val="10"/>
        <color theme="1"/>
        <rFont val="NBS Light"/>
        <family val="2"/>
      </rPr>
      <t xml:space="preserve"> Multiple (4+) Chaps/Swifts received totalling £10k or more.</t>
    </r>
  </si>
  <si>
    <r>
      <rPr>
        <b/>
        <sz val="10"/>
        <color theme="1"/>
        <rFont val="NBS Light"/>
        <family val="2"/>
      </rPr>
      <t xml:space="preserve">Country of Concern Rules 
1. Logic Gaps: 
</t>
    </r>
    <r>
      <rPr>
        <sz val="10"/>
        <color theme="1"/>
        <rFont val="NBS Light"/>
        <family val="2"/>
      </rPr>
      <t>•  Complex scorecard</t>
    </r>
    <r>
      <rPr>
        <b/>
        <sz val="10"/>
        <color theme="1"/>
        <rFont val="NBS Light"/>
        <family val="2"/>
      </rPr>
      <t xml:space="preserve">
2. Threshold Limitations:
</t>
    </r>
    <r>
      <rPr>
        <sz val="10"/>
        <color theme="1"/>
        <rFont val="NBS Light"/>
        <family val="2"/>
      </rPr>
      <t>•  Complex scorecard</t>
    </r>
    <r>
      <rPr>
        <b/>
        <sz val="10"/>
        <color theme="1"/>
        <rFont val="NBS Light"/>
        <family val="2"/>
      </rPr>
      <t xml:space="preserve"> 
1. Logic Gaps:</t>
    </r>
    <r>
      <rPr>
        <sz val="10"/>
        <color theme="1"/>
        <rFont val="NBS Light"/>
        <family val="2"/>
      </rPr>
      <t xml:space="preserve">
• Blanket approach to all countries. Doesn't target high risk countries specifically
• Excludes where a customer has a Nationwide relationship of &gt;=75 months AND is aged &gt;=30 AND has a marital status of married or not present
</t>
    </r>
    <r>
      <rPr>
        <b/>
        <sz val="10"/>
        <color theme="1"/>
        <rFont val="NBS Light"/>
        <family val="2"/>
      </rPr>
      <t xml:space="preserve">2. Threshold Limitations: </t>
    </r>
    <r>
      <rPr>
        <sz val="10"/>
        <color theme="1"/>
        <rFont val="NBS Light"/>
        <family val="2"/>
      </rPr>
      <t xml:space="preserve">
•  Singular thresholds applied to all customers 
</t>
    </r>
  </si>
  <si>
    <t>CoC - total alerts = 3044
56</t>
  </si>
  <si>
    <t>CoC - total alerts reported = 299
20.45%</t>
  </si>
  <si>
    <r>
      <rPr>
        <b/>
        <sz val="10"/>
        <color theme="1"/>
        <rFont val="NBS Light"/>
        <family val="2"/>
      </rPr>
      <t xml:space="preserve">2. Threshold Limitations: </t>
    </r>
    <r>
      <rPr>
        <sz val="10"/>
        <color theme="1"/>
        <rFont val="NBS Light"/>
        <family val="2"/>
      </rPr>
      <t xml:space="preserve">
• Singular thresholds applied to all customers
</t>
    </r>
    <r>
      <rPr>
        <b/>
        <sz val="10"/>
        <color theme="1"/>
        <rFont val="NBS Light"/>
        <family val="2"/>
      </rPr>
      <t>3. Product Application</t>
    </r>
    <r>
      <rPr>
        <sz val="10"/>
        <color theme="1"/>
        <rFont val="NBS Light"/>
        <family val="2"/>
      </rPr>
      <t xml:space="preserve">
• Only applies to flex and savings </t>
    </r>
  </si>
  <si>
    <r>
      <rPr>
        <b/>
        <sz val="10"/>
        <color theme="1"/>
        <rFont val="NBS Light"/>
        <family val="2"/>
      </rPr>
      <t>Rule HRC2 -</t>
    </r>
    <r>
      <rPr>
        <sz val="10"/>
        <color theme="1"/>
        <rFont val="NBS Light"/>
        <family val="2"/>
      </rPr>
      <t xml:space="preserve"> All customers triggering a Net Reveal rating of High , then identifies unique visits to branch split out by area (London/Non London) in rolling 2 week period.  London triggers on 5+ visits cumulative value £3k+ , Outside London 3+ visits £3k cumulative value.  When a customer has carried out &gt;= 1 txn outside of London they will be classed as outside of London irrespective of the number of London visits.</t>
    </r>
  </si>
  <si>
    <r>
      <rPr>
        <b/>
        <sz val="10"/>
        <color theme="1"/>
        <rFont val="NBS Light"/>
        <family val="2"/>
      </rPr>
      <t>Rule 2.5 -</t>
    </r>
    <r>
      <rPr>
        <sz val="10"/>
        <color theme="1"/>
        <rFont val="NBS Light"/>
        <family val="2"/>
      </rPr>
      <t xml:space="preserve"> Fraud or Suspect in SIRA or Payment from high risk countries/tax havens into customer’s accounts, within 30 days
</t>
    </r>
    <r>
      <rPr>
        <b/>
        <sz val="10"/>
        <color theme="1"/>
        <rFont val="NBS Light"/>
        <family val="2"/>
      </rPr>
      <t xml:space="preserve">Rule HRC3in </t>
    </r>
    <r>
      <rPr>
        <sz val="10"/>
        <color theme="1"/>
        <rFont val="NBS Light"/>
        <family val="2"/>
      </rPr>
      <t xml:space="preserve">- HRC in Net Reveal + Payment from high risk country over £10k
</t>
    </r>
    <r>
      <rPr>
        <b/>
        <sz val="10"/>
        <color theme="1"/>
        <rFont val="NBS Light"/>
        <family val="2"/>
      </rPr>
      <t>Rul2 HRC3out -</t>
    </r>
    <r>
      <rPr>
        <sz val="10"/>
        <color theme="1"/>
        <rFont val="NBS Light"/>
        <family val="2"/>
      </rPr>
      <t xml:space="preserve"> HRC in Net Reveal + Payment to high risk country over £10k</t>
    </r>
  </si>
  <si>
    <t>1
1
1</t>
  </si>
  <si>
    <t>0%
0%
0%</t>
  </si>
  <si>
    <r>
      <rPr>
        <b/>
        <sz val="10"/>
        <color theme="1"/>
        <rFont val="NBS Light"/>
        <family val="2"/>
      </rPr>
      <t>Rule HRC1 -</t>
    </r>
    <r>
      <rPr>
        <sz val="10"/>
        <color theme="1"/>
        <rFont val="NBS Light"/>
        <family val="2"/>
      </rPr>
      <t xml:space="preserve"> HRC + £10k in cash deposits in one month, by at least 3 occasions
</t>
    </r>
    <r>
      <rPr>
        <b/>
        <sz val="10"/>
        <color theme="1"/>
        <rFont val="NBS Light"/>
        <family val="2"/>
      </rPr>
      <t xml:space="preserve">Rule HRC2 </t>
    </r>
    <r>
      <rPr>
        <sz val="10"/>
        <color theme="1"/>
        <rFont val="NBS Light"/>
        <family val="2"/>
      </rPr>
      <t xml:space="preserve">- All customers triggering a Net Reveal rating of High , then identifies unique visits to branch split out by area (London/Non London) in rolling 2 week period.  London triggers on 5+ visits cumulative value £3k+ , Outside London 3+ visits £3k cumulative value.  When a customer has carried out &gt;= 1 txn outside of London they will be classed as outside of London irrespective of the number of London visits.
</t>
    </r>
    <r>
      <rPr>
        <b/>
        <sz val="10"/>
        <color theme="1"/>
        <rFont val="NBS Light"/>
        <family val="2"/>
      </rPr>
      <t xml:space="preserve">Rule HRC4 - </t>
    </r>
    <r>
      <rPr>
        <sz val="10"/>
        <color theme="1"/>
        <rFont val="NBS Light"/>
        <family val="2"/>
      </rPr>
      <t>HRC in Net Reveal + £30k transactions in in a month in more than 200 payments</t>
    </r>
  </si>
  <si>
    <t>9
10
41</t>
  </si>
  <si>
    <t>15.36%
10%
6.66%</t>
  </si>
  <si>
    <t>9
41
2</t>
  </si>
  <si>
    <t>15.36%
6.66%
0%</t>
  </si>
  <si>
    <t xml:space="preserve">Human Trafficking/Modern Slavery </t>
  </si>
  <si>
    <t xml:space="preserve">Accounts used to facilitate human trafficking/modern slavery </t>
  </si>
  <si>
    <t>When attending the branch to open the account or to provide ID for an account opened online they are accompanied by a third party, who acts as the interpreter</t>
  </si>
  <si>
    <t xml:space="preserve">The same interpreter will often accompany multiple victims to the same organisation.  </t>
  </si>
  <si>
    <t xml:space="preserve">	There will be multiple people living at the same property, often in East London, which defies the size of the property.  </t>
  </si>
  <si>
    <t xml:space="preserve">The controller is likely to receive multiple credits from employers / recruitment agencies / payroll services into one account, which is often a personal account used for business activity. Sums will be for common wage sums, often with the employer’s name. </t>
  </si>
  <si>
    <t xml:space="preserve">	The controller will also see wage receipts from companies in different industry sectors (construction, cleaning and hospitality) as they diversify the victims and exploit both males and females. </t>
  </si>
  <si>
    <t>The controllers account will then disseminate funds to several individuals, often for a round amount, for example £500 or £300.</t>
  </si>
  <si>
    <t>The payment remitted may have a reference that suggests that they have originated from a different location such as the construction company which is often withdrawn in cash</t>
  </si>
  <si>
    <t>The controller will look to withdraw funds via ATMs from multiple victim’s accounts at the same time.</t>
  </si>
  <si>
    <t>The same person is opening lots of accounts with other banks at the same time, they may have documents suggesting this, indicating potential mule activity.</t>
  </si>
  <si>
    <t>There will be direct debits for multiple mobile phone contracts, with the first payments being returned unpaid</t>
  </si>
  <si>
    <t>The credit facilities obtained by the victim will quickly default.</t>
  </si>
  <si>
    <t>Funds from the victim’s credit facility will be quickly transferred to a third-party account or withdrawn in cash</t>
  </si>
  <si>
    <t>The only other credits on the account will be benefit payments or from employment agencies, where the Lithuanian identity is being used by a third party.</t>
  </si>
  <si>
    <t xml:space="preserve">The controller is likely to receive multiple credits from different accounts. 	</t>
  </si>
  <si>
    <t>The controller will look to withdraw funds via ATM’s from multiple victim’s accounts at the same time.</t>
  </si>
  <si>
    <t xml:space="preserve">County Lines </t>
  </si>
  <si>
    <t>DETECTING/PREVENTING MONEY LAUNDERING/TERRORIST FINANCING</t>
  </si>
  <si>
    <t>Identifying potential victims of country lines operations</t>
  </si>
  <si>
    <t>Location of deposits are at least 50 miles away from customers address</t>
  </si>
  <si>
    <t>• Internal &amp; External research</t>
  </si>
  <si>
    <t>Organised Crime/Terrorism</t>
  </si>
  <si>
    <t xml:space="preserve">Travel expenses to and transactions carried out within conflict zones, indicating that the customer is in that country </t>
  </si>
  <si>
    <r>
      <rPr>
        <b/>
        <sz val="9"/>
        <color theme="1"/>
        <rFont val="NBS Light"/>
        <family val="2"/>
      </rPr>
      <t>County Lines Rule -</t>
    </r>
    <r>
      <rPr>
        <sz val="9"/>
        <color theme="1"/>
        <rFont val="NBS Light"/>
        <family val="2"/>
      </rPr>
      <t xml:space="preserve"> Must be between the age of 8 &amp; 18
Must have deposited any value of cash, 3 or more times, at least 50 miles or more from either of their last two addresses in the past month</t>
    </r>
  </si>
  <si>
    <t>Since Oct-19 
41</t>
  </si>
  <si>
    <t>Since Oct-19
9</t>
  </si>
  <si>
    <r>
      <rPr>
        <b/>
        <sz val="9"/>
        <color theme="1"/>
        <rFont val="NBS Light"/>
        <family val="2"/>
      </rPr>
      <t xml:space="preserve">Rule HTMS1 - </t>
    </r>
    <r>
      <rPr>
        <sz val="9"/>
        <color theme="1"/>
        <rFont val="NBS Light"/>
        <family val="2"/>
      </rPr>
      <t xml:space="preserve">
To identify possible victims of human trafficking or modern slavery (HTMS) Labour Exploitation</t>
    </r>
  </si>
  <si>
    <r>
      <rPr>
        <b/>
        <sz val="9"/>
        <color theme="1"/>
        <rFont val="NBS Light"/>
        <family val="2"/>
      </rPr>
      <t>Rule HTMS2 -</t>
    </r>
    <r>
      <rPr>
        <sz val="9"/>
        <color theme="1"/>
        <rFont val="NBS Light"/>
        <family val="2"/>
      </rPr>
      <t xml:space="preserve"> To identify possible offenders involved in Human Trafficking or Modern Slavery (HTMS) Labour Exploitation</t>
    </r>
  </si>
  <si>
    <r>
      <rPr>
        <b/>
        <sz val="9"/>
        <color theme="1"/>
        <rFont val="NBS Light"/>
        <family val="2"/>
      </rPr>
      <t xml:space="preserve">Rule HTMS1 - </t>
    </r>
    <r>
      <rPr>
        <sz val="9"/>
        <color theme="1"/>
        <rFont val="NBS Light"/>
        <family val="2"/>
      </rPr>
      <t xml:space="preserve">
To identify possible victims of human trafficking or modern slavery (HTMS) Labour Exploitation
</t>
    </r>
    <r>
      <rPr>
        <b/>
        <sz val="9"/>
        <color theme="1"/>
        <rFont val="NBS Light"/>
        <family val="2"/>
      </rPr>
      <t>Rule HTMS 3 -</t>
    </r>
    <r>
      <rPr>
        <sz val="9"/>
        <color theme="1"/>
        <rFont val="NBS Light"/>
        <family val="2"/>
      </rPr>
      <t xml:space="preserve"> To identify possible victims and perpetrators of potential forced criminality relating to Human Trafficking or Modern Slavery (HTMS) Forced Criminality</t>
    </r>
  </si>
  <si>
    <r>
      <rPr>
        <b/>
        <sz val="9"/>
        <color theme="1"/>
        <rFont val="NBS Light"/>
        <family val="2"/>
      </rPr>
      <t>Rule HTMS2 -</t>
    </r>
    <r>
      <rPr>
        <sz val="9"/>
        <color theme="1"/>
        <rFont val="NBS Light"/>
        <family val="2"/>
      </rPr>
      <t xml:space="preserve"> To identify possible offenders involved in Human Trafficking or Modern Slavery (HTMS) Labour Exploitation
</t>
    </r>
    <r>
      <rPr>
        <b/>
        <sz val="9"/>
        <color theme="1"/>
        <rFont val="NBS Light"/>
        <family val="2"/>
      </rPr>
      <t xml:space="preserve">Rule HTMS 3 - </t>
    </r>
    <r>
      <rPr>
        <sz val="9"/>
        <color theme="1"/>
        <rFont val="NBS Light"/>
        <family val="2"/>
      </rPr>
      <t>To identify possible victims and perpetrators of potential forced criminality relating to Human Trafficking or Modern Slavery (HTMS) Forced Criminality</t>
    </r>
  </si>
  <si>
    <r>
      <rPr>
        <b/>
        <sz val="9"/>
        <color theme="1"/>
        <rFont val="NBS Light"/>
        <family val="2"/>
      </rPr>
      <t xml:space="preserve">Rule HTMS1 - </t>
    </r>
    <r>
      <rPr>
        <sz val="9"/>
        <color theme="1"/>
        <rFont val="NBS Light"/>
        <family val="2"/>
      </rPr>
      <t xml:space="preserve">
To identify possible victims of human trafficking or modern slavery (HTMS) Labour Exploitation
</t>
    </r>
    <r>
      <rPr>
        <b/>
        <sz val="9"/>
        <color theme="1"/>
        <rFont val="NBS Light"/>
        <family val="2"/>
      </rPr>
      <t xml:space="preserve">Rule HTMS 3 - </t>
    </r>
    <r>
      <rPr>
        <sz val="9"/>
        <color theme="1"/>
        <rFont val="NBS Light"/>
        <family val="2"/>
      </rPr>
      <t>To identify possible victims and perpetrators of potential forced criminality relating to Human Trafficking or Modern Slavery (HTMS) Forced Criminality</t>
    </r>
  </si>
  <si>
    <r>
      <rPr>
        <b/>
        <sz val="9"/>
        <color theme="1"/>
        <rFont val="NBS Light"/>
        <family val="2"/>
      </rPr>
      <t xml:space="preserve">Rule HTMS 3 - </t>
    </r>
    <r>
      <rPr>
        <sz val="9"/>
        <color theme="1"/>
        <rFont val="NBS Light"/>
        <family val="2"/>
      </rPr>
      <t>To identify possible victims and perpetrators of potential forced criminality relating to Human Trafficking or Modern Slavery (HTMS) Forced Criminality</t>
    </r>
  </si>
  <si>
    <t>22
1</t>
  </si>
  <si>
    <t>94.22%
100%</t>
  </si>
  <si>
    <t>3
1</t>
  </si>
  <si>
    <t>0%
100%</t>
  </si>
  <si>
    <t>DWP5</t>
  </si>
  <si>
    <t>TOTAL VOLUME OF TRANSACTIONS  (2019)</t>
  </si>
  <si>
    <t>TOTAL VALUE OF TRANSACTIONS  (2019)</t>
  </si>
  <si>
    <r>
      <t xml:space="preserve">PRODUCT RISK RATING - </t>
    </r>
    <r>
      <rPr>
        <i/>
        <sz val="11"/>
        <color theme="0"/>
        <rFont val="NBS Medium"/>
        <family val="2"/>
      </rPr>
      <t>taken from Annual Risk Based Approach document 2018</t>
    </r>
  </si>
  <si>
    <t>DETECTING/PREVENTING CRIMINAL ACTIVITY</t>
  </si>
  <si>
    <t>Repayment of loans unexpectedly (earlier than required)</t>
  </si>
  <si>
    <t>• Loan is repaid x% early</t>
  </si>
  <si>
    <t>• Number of repayments in a period are greater than xx</t>
  </si>
  <si>
    <t>• Loan repayments made in cash greater than value and volume thresholds</t>
  </si>
  <si>
    <t>• Excessive credit balance refunds within a xx period</t>
  </si>
  <si>
    <t>• Payment is 1.5 times larger than stated income</t>
  </si>
  <si>
    <t>• Value of third party payments above personal and peer group thresholds
• Number of distinct third parties within a period is greater than personal and peer group thresholds</t>
  </si>
  <si>
    <t>Total alerts worked in 2019 = 2650</t>
  </si>
  <si>
    <t>Total alerts reported in 2019 =
449</t>
  </si>
  <si>
    <r>
      <rPr>
        <b/>
        <sz val="10"/>
        <rFont val="NBS Light"/>
        <family val="2"/>
      </rPr>
      <t xml:space="preserve">2. Threshold Limitations: </t>
    </r>
    <r>
      <rPr>
        <sz val="10"/>
        <rFont val="NBS Light"/>
        <family val="2"/>
      </rPr>
      <t xml:space="preserve">
•  Singular thresholds applied to all customers
•  Complex scorecard only focused on cash </t>
    </r>
  </si>
  <si>
    <t>•  Volume of third party payments above personal and peer group thresholds
•   Number of distinct third parties within a period is greater than personal and peer group thresholds</t>
  </si>
  <si>
    <t>• Number of distinct third parties within a period is greater than personal and peer group thresholds</t>
  </si>
  <si>
    <t>• Customer transacting with a country above their Customer risk rating (low or medium risk customers transacting with high risk jurisdictions)
• Customer account is older than X years/months and receives payments from a new jurisdiction above Value / volume threshold</t>
  </si>
  <si>
    <t>• X payments to X different  third parties.  Include X payments for rounded amounts e.g. £300, £400</t>
  </si>
  <si>
    <t xml:space="preserve">Higher risk third parties </t>
  </si>
  <si>
    <t>• Customers toping up pre-paid cards for values over £150</t>
  </si>
  <si>
    <t>• Volume / Value of payments to online MT above peer / personal threshold</t>
  </si>
  <si>
    <t>•  Volume of cash deposits within X time period above peer/personal threshold and in X different locations (based on peer threshold)</t>
  </si>
  <si>
    <t>• High volume of cash deposits/withdrawals in small amounts (based on peer thresholds)</t>
  </si>
  <si>
    <t xml:space="preserve"> • Number of cash deposits for a customer has increased 2.5 times within a xx month period</t>
  </si>
  <si>
    <t xml:space="preserve">Cash based behavioural rule - scorecard </t>
  </si>
  <si>
    <t>• CLC - Property Law Regulator 
• Financial Intelligence Unit, Belize</t>
  </si>
  <si>
    <t xml:space="preserve">High value cash deposits/withdrawals  
- including at night when no branch staff are around 
- including where this activity occurs across multiple accounts  </t>
  </si>
  <si>
    <t>• Virtual currency purchase 1.5 greater than income</t>
  </si>
  <si>
    <t>Excessive or unusual number of third-party transfer payments or cash deposits that are used to purchase virtual currencies</t>
  </si>
  <si>
    <t xml:space="preserve">• Transactions involving VASPS above personal/ peer group threshold </t>
  </si>
  <si>
    <t xml:space="preserve">• Transactions with VASPS on a black list/have been criminally convicted </t>
  </si>
  <si>
    <t xml:space="preserve"> • Deposits received from VASP are often followed by cash withdrawals or electronic transfers of a similar value (based on peer group threshold)</t>
  </si>
  <si>
    <t>Virtual currency transaction is carried out with a VASP, or multiple VASPs, operating in a high risk jurisdiction(s)</t>
  </si>
  <si>
    <t xml:space="preserve"> • Transactions with VASP(s) operating in a high risk jurisdiction(s) (based on  peer group threshold)</t>
  </si>
  <si>
    <t>• FATF
• JMLSG
• 5MLD
• ACAMS
•  Transparency International</t>
  </si>
  <si>
    <t xml:space="preserve"> • High volume of payments to / from jurisdictions high risk in relation to terrorism (based on  peer group threshold) 
 • High value payments to / from jurisdictions high risk in relation to terrorism (based on  peer group threshold)  
 • High volume/value of cash withdrawals and visa spend in  jurisdiction high risk in relation to terrorism</t>
  </si>
  <si>
    <t>Payments to/from and transactions carried out within any country identified as presenting a greater financial crime threat</t>
  </si>
  <si>
    <t>Payments to/from and transactions carried out within countries associated with terrorist organisations or surrounding regions of countries associated with terrorist organisations</t>
  </si>
  <si>
    <t xml:space="preserve"> • High volume of payments to / from  high risk jurisdictions  (based on  peer group threshold) 
 • High value payments to / from high risk jurisdictions (based on  peer group threshold)  
 • High volume/value of cash withdrawals and visa spend in  high risk jurisdictions </t>
  </si>
  <si>
    <t>Transactions involving countries that are high risk in relation to terrorism</t>
  </si>
  <si>
    <t xml:space="preserve">Event/Typologies </t>
  </si>
  <si>
    <t xml:space="preserve">Cause/Scenarios </t>
  </si>
  <si>
    <t>Moderate/Likely</t>
  </si>
  <si>
    <t>Moderate/Possible</t>
  </si>
  <si>
    <t xml:space="preserve">Minor/Likely </t>
  </si>
  <si>
    <t>Moderate/Highly Likely</t>
  </si>
  <si>
    <t xml:space="preserve">Major/Unlikely </t>
  </si>
  <si>
    <t>Minor/Unlikely</t>
  </si>
  <si>
    <t xml:space="preserve">Major/Highly Likely </t>
  </si>
  <si>
    <t>Major/Rare</t>
  </si>
  <si>
    <r>
      <rPr>
        <b/>
        <sz val="10"/>
        <color theme="1"/>
        <rFont val="NBS Light"/>
        <family val="2"/>
      </rPr>
      <t xml:space="preserve">Country of Concern Rules 
1. Logic Gaps: 
</t>
    </r>
    <r>
      <rPr>
        <sz val="10"/>
        <color theme="1"/>
        <rFont val="NBS Light"/>
        <family val="2"/>
      </rPr>
      <t>•  Complex scorecard</t>
    </r>
    <r>
      <rPr>
        <b/>
        <sz val="10"/>
        <color theme="1"/>
        <rFont val="NBS Light"/>
        <family val="2"/>
      </rPr>
      <t xml:space="preserve">
2. Threshold Limitations:
</t>
    </r>
    <r>
      <rPr>
        <sz val="10"/>
        <color theme="1"/>
        <rFont val="NBS Light"/>
        <family val="2"/>
      </rPr>
      <t xml:space="preserve">•  Singular thresholds applied to all customers
</t>
    </r>
    <r>
      <rPr>
        <b/>
        <sz val="10"/>
        <color theme="1"/>
        <rFont val="NBS Light"/>
        <family val="2"/>
      </rPr>
      <t>Rule 1.22
1. Logic Gaps:</t>
    </r>
    <r>
      <rPr>
        <sz val="10"/>
        <color theme="1"/>
        <rFont val="NBS Light"/>
        <family val="2"/>
      </rPr>
      <t xml:space="preserve">
• Blanket approach to all countries. Doesn't target high risk countries specifically
• Excludes where a customer has a Nationwide relationship of &gt;=75 months AND is aged &gt;=30 AND has a marital status of married or not present
</t>
    </r>
    <r>
      <rPr>
        <b/>
        <sz val="10"/>
        <color theme="1"/>
        <rFont val="NBS Light"/>
        <family val="2"/>
      </rPr>
      <t xml:space="preserve">2. Threshold Limitations: </t>
    </r>
    <r>
      <rPr>
        <sz val="10"/>
        <color theme="1"/>
        <rFont val="NBS Light"/>
        <family val="2"/>
      </rPr>
      <t xml:space="preserve">
•  Singular thresholds applied to all customers 
</t>
    </r>
    <r>
      <rPr>
        <b/>
        <sz val="10"/>
        <color theme="1"/>
        <rFont val="NBS Light"/>
        <family val="2"/>
      </rPr>
      <t xml:space="preserve">Rule CT6/7 
1. Logic Gaps:
</t>
    </r>
    <r>
      <rPr>
        <sz val="10"/>
        <color theme="1"/>
        <rFont val="NBS Light"/>
        <family val="2"/>
      </rPr>
      <t xml:space="preserve">• Only includes touchpoint with Syria, Libya &amp; Yemen, no other countries
</t>
    </r>
  </si>
  <si>
    <t xml:space="preserve">OVERALL PRODUCT/TRANSACTION SCORE </t>
  </si>
  <si>
    <t xml:space="preserve">TRANSACTION SCORE </t>
  </si>
  <si>
    <t>PRODUCTS/TRANSACTIONS</t>
  </si>
  <si>
    <r>
      <rPr>
        <b/>
        <sz val="10"/>
        <color theme="1"/>
        <rFont val="NBS Light"/>
        <family val="2"/>
      </rPr>
      <t xml:space="preserve">Rule 1.14 - </t>
    </r>
    <r>
      <rPr>
        <sz val="10"/>
        <color theme="1"/>
        <rFont val="NBS Light"/>
        <family val="2"/>
      </rPr>
      <t xml:space="preserve">Flex Accs where 5 or 6 branches used (CR) and transactions total £2k or more
</t>
    </r>
    <r>
      <rPr>
        <b/>
        <sz val="10"/>
        <color theme="1"/>
        <rFont val="NBS Light"/>
        <family val="2"/>
      </rPr>
      <t xml:space="preserve">Rule 1.15 </t>
    </r>
    <r>
      <rPr>
        <sz val="10"/>
        <color theme="1"/>
        <rFont val="NBS Light"/>
        <family val="2"/>
      </rPr>
      <t xml:space="preserve">- Savings account where 5 or 6 branches used (CRs) last month 
</t>
    </r>
    <r>
      <rPr>
        <b/>
        <sz val="10"/>
        <color theme="1"/>
        <rFont val="NBS Light"/>
        <family val="2"/>
      </rPr>
      <t xml:space="preserve">Rule 1.3 - </t>
    </r>
    <r>
      <rPr>
        <sz val="10"/>
        <color theme="1"/>
        <rFont val="NBS Light"/>
        <family val="2"/>
      </rPr>
      <t xml:space="preserve">Flexaccount visiting multiple branches in a month (7+)
</t>
    </r>
    <r>
      <rPr>
        <b/>
        <sz val="10"/>
        <color theme="1"/>
        <rFont val="NBS Light"/>
        <family val="2"/>
      </rPr>
      <t xml:space="preserve">Rule 1.4 - </t>
    </r>
    <r>
      <rPr>
        <sz val="10"/>
        <color theme="1"/>
        <rFont val="NBS Light"/>
        <family val="2"/>
      </rPr>
      <t>Savings account visiting multiple branches in a month (7+)</t>
    </r>
  </si>
  <si>
    <r>
      <rPr>
        <b/>
        <sz val="10"/>
        <color theme="1"/>
        <rFont val="NBS Light"/>
        <family val="2"/>
      </rPr>
      <t xml:space="preserve">1. Logic Gaps: </t>
    </r>
    <r>
      <rPr>
        <sz val="10"/>
        <color theme="1"/>
        <rFont val="NBS Light"/>
        <family val="2"/>
      </rPr>
      <t xml:space="preserve">
• Excludes anything reported in the previous 3 months on 1.3, 1.4, 1.14, 1.15 and have an RRP review of retain in past 6 months
</t>
    </r>
    <r>
      <rPr>
        <b/>
        <sz val="10"/>
        <color theme="1"/>
        <rFont val="NBS Light"/>
        <family val="2"/>
      </rPr>
      <t xml:space="preserve">2. Threshold Limitations: </t>
    </r>
    <r>
      <rPr>
        <sz val="10"/>
        <color theme="1"/>
        <rFont val="NBS Light"/>
        <family val="2"/>
      </rPr>
      <t xml:space="preserve">
•  Singular thresholds applied to all customers 
</t>
    </r>
    <r>
      <rPr>
        <b/>
        <sz val="10"/>
        <color theme="1"/>
        <rFont val="NBS Light"/>
        <family val="2"/>
      </rPr>
      <t>3. Product Application:</t>
    </r>
    <r>
      <rPr>
        <sz val="10"/>
        <color theme="1"/>
        <rFont val="NBS Light"/>
        <family val="2"/>
      </rPr>
      <t xml:space="preserve">
• Only applies to current accounts and savings 
</t>
    </r>
    <r>
      <rPr>
        <b/>
        <sz val="10"/>
        <color theme="1"/>
        <rFont val="NBS Light"/>
        <family val="2"/>
      </rPr>
      <t xml:space="preserve">1. Logic Gaps: </t>
    </r>
    <r>
      <rPr>
        <sz val="10"/>
        <color theme="1"/>
        <rFont val="NBS Light"/>
        <family val="2"/>
      </rPr>
      <t xml:space="preserve">
• Account level and not customer level
• Excludes accounts open for more than 12 months and account holder is age 59+
• Excludes anything reported in the previous 3 months on 1.3, 1.4, 1.14, 1.15 and have an RRP review of retain in past 6 months
</t>
    </r>
    <r>
      <rPr>
        <b/>
        <sz val="10"/>
        <color theme="1"/>
        <rFont val="NBS Light"/>
        <family val="2"/>
      </rPr>
      <t xml:space="preserve">2. Threshold Limitations: </t>
    </r>
    <r>
      <rPr>
        <sz val="10"/>
        <color theme="1"/>
        <rFont val="NBS Light"/>
        <family val="2"/>
      </rPr>
      <t xml:space="preserve">
•  Singular thresholds applied to all customers 
</t>
    </r>
    <r>
      <rPr>
        <b/>
        <sz val="10"/>
        <color theme="1"/>
        <rFont val="NBS Light"/>
        <family val="2"/>
      </rPr>
      <t>3. Product Application:</t>
    </r>
    <r>
      <rPr>
        <sz val="10"/>
        <color theme="1"/>
        <rFont val="NBS Light"/>
        <family val="2"/>
      </rPr>
      <t xml:space="preserve">
• Only applies to current accounts and savings only
</t>
    </r>
  </si>
  <si>
    <t>15
3
1
11</t>
  </si>
  <si>
    <t>28.9%
82.08%
87.5%
17.06%</t>
  </si>
  <si>
    <r>
      <rPr>
        <b/>
        <sz val="10"/>
        <color theme="1"/>
        <rFont val="NBS Light"/>
        <family val="2"/>
      </rPr>
      <t>Rule 1.1</t>
    </r>
    <r>
      <rPr>
        <sz val="10"/>
        <color theme="1"/>
        <rFont val="NBS Light"/>
        <family val="2"/>
      </rPr>
      <t xml:space="preserve"> - Flex accounts with &gt;=2 cash credits (CR) &amp; at least 1 withdrawal (WD) in same day (occurred at least three times last month).
</t>
    </r>
    <r>
      <rPr>
        <b/>
        <sz val="10"/>
        <color theme="1"/>
        <rFont val="NBS Light"/>
        <family val="2"/>
      </rPr>
      <t>Rule 1.2</t>
    </r>
    <r>
      <rPr>
        <sz val="10"/>
        <color theme="1"/>
        <rFont val="NBS Light"/>
        <family val="2"/>
      </rPr>
      <t xml:space="preserve"> - Savings accounts with &gt;=2 cash credits (CR) &amp; at least 1 withdrawal (WD) in same day (occurred at least three times last month).
</t>
    </r>
    <r>
      <rPr>
        <b/>
        <sz val="10"/>
        <color theme="1"/>
        <rFont val="NBS Light"/>
        <family val="2"/>
      </rPr>
      <t>Rule 1.13 -</t>
    </r>
    <r>
      <rPr>
        <sz val="10"/>
        <color theme="1"/>
        <rFont val="NBS Light"/>
        <family val="2"/>
      </rPr>
      <t xml:space="preserve"> Flexaccounts receiving 5 or more £3k+ cash credits last month </t>
    </r>
  </si>
  <si>
    <r>
      <rPr>
        <b/>
        <sz val="10"/>
        <color theme="1"/>
        <rFont val="NBS Light"/>
        <family val="2"/>
      </rPr>
      <t xml:space="preserve">1. Logic Gaps: </t>
    </r>
    <r>
      <rPr>
        <sz val="10"/>
        <color theme="1"/>
        <rFont val="NBS Light"/>
        <family val="2"/>
      </rPr>
      <t xml:space="preserve">
• Rule runs at account level, not customer level
• Anything reported in the previous 3 months on same rule and has an RRP review of retain in past 6 months is suppressed
</t>
    </r>
    <r>
      <rPr>
        <b/>
        <sz val="10"/>
        <color theme="1"/>
        <rFont val="NBS Light"/>
        <family val="2"/>
      </rPr>
      <t xml:space="preserve">2. Threshold Limitations: </t>
    </r>
    <r>
      <rPr>
        <sz val="10"/>
        <color theme="1"/>
        <rFont val="NBS Light"/>
        <family val="2"/>
      </rPr>
      <t xml:space="preserve">
•  Singular thresholds applied to all customers 
</t>
    </r>
    <r>
      <rPr>
        <b/>
        <sz val="10"/>
        <color theme="1"/>
        <rFont val="NBS Light"/>
        <family val="2"/>
      </rPr>
      <t>3. Product Application:</t>
    </r>
    <r>
      <rPr>
        <sz val="10"/>
        <color theme="1"/>
        <rFont val="NBS Light"/>
        <family val="2"/>
      </rPr>
      <t xml:space="preserve">
• Only applies to current accounts and savings 
</t>
    </r>
    <r>
      <rPr>
        <b/>
        <sz val="10"/>
        <color theme="1"/>
        <rFont val="NBS Light"/>
        <family val="2"/>
      </rPr>
      <t xml:space="preserve">1. Logic Gaps: </t>
    </r>
    <r>
      <rPr>
        <sz val="10"/>
        <color theme="1"/>
        <rFont val="NBS Light"/>
        <family val="2"/>
      </rPr>
      <t xml:space="preserve">
• Anything reported in the previous 3 months on same rule and have an RRP review of retain in past 6 months
</t>
    </r>
    <r>
      <rPr>
        <b/>
        <sz val="10"/>
        <color theme="1"/>
        <rFont val="NBS Light"/>
        <family val="2"/>
      </rPr>
      <t xml:space="preserve">2. Threshold Limitations: </t>
    </r>
    <r>
      <rPr>
        <sz val="10"/>
        <color theme="1"/>
        <rFont val="NBS Light"/>
        <family val="2"/>
      </rPr>
      <t xml:space="preserve">
•  Singular thresholds applied to all customers 
</t>
    </r>
    <r>
      <rPr>
        <b/>
        <sz val="10"/>
        <color theme="1"/>
        <rFont val="NBS Light"/>
        <family val="2"/>
      </rPr>
      <t xml:space="preserve">3. Product Applications: </t>
    </r>
    <r>
      <rPr>
        <sz val="10"/>
        <color theme="1"/>
        <rFont val="NBS Light"/>
        <family val="2"/>
      </rPr>
      <t xml:space="preserve">
•  Only applies to current accounts</t>
    </r>
  </si>
  <si>
    <t>6
0
15</t>
  </si>
  <si>
    <t>38.06%
100%
20.36%</t>
  </si>
  <si>
    <r>
      <rPr>
        <b/>
        <sz val="10"/>
        <rFont val="NBS Light"/>
        <family val="2"/>
      </rPr>
      <t xml:space="preserve">Rule 1.16 - </t>
    </r>
    <r>
      <rPr>
        <sz val="10"/>
        <rFont val="NBS Light"/>
        <family val="2"/>
      </rPr>
      <t xml:space="preserve">Flex Accounts receiving £40k+ last month by at least 2 cash credits (CR).
</t>
    </r>
    <r>
      <rPr>
        <b/>
        <sz val="10"/>
        <rFont val="NBS Light"/>
        <family val="2"/>
      </rPr>
      <t>Rule 1.13 -</t>
    </r>
    <r>
      <rPr>
        <sz val="10"/>
        <rFont val="NBS Light"/>
        <family val="2"/>
      </rPr>
      <t xml:space="preserve"> Flexaccounts receiving 5 or more £3k+ cash credits last month 
</t>
    </r>
    <r>
      <rPr>
        <b/>
        <sz val="10"/>
        <rFont val="NBS Light"/>
        <family val="2"/>
      </rPr>
      <t xml:space="preserve">Rule 1.1 - </t>
    </r>
    <r>
      <rPr>
        <sz val="10"/>
        <rFont val="NBS Light"/>
        <family val="2"/>
      </rPr>
      <t xml:space="preserve">Flex accounts with &gt;=2 cash credits (CR) &amp; at least 1 withdrawal (WD) in same day (occurred at least three times last month).
</t>
    </r>
    <r>
      <rPr>
        <b/>
        <sz val="10"/>
        <rFont val="NBS Light"/>
        <family val="2"/>
      </rPr>
      <t xml:space="preserve">Rule 1.2 - </t>
    </r>
    <r>
      <rPr>
        <sz val="10"/>
        <rFont val="NBS Light"/>
        <family val="2"/>
      </rPr>
      <t>Savings accounts with &gt;=2 cash credits (CR) &amp; at least 1 withdrawal (WD) in same day (occurred at least three times last month).</t>
    </r>
  </si>
  <si>
    <r>
      <rPr>
        <b/>
        <sz val="10"/>
        <rFont val="NBS Light"/>
        <family val="2"/>
      </rPr>
      <t xml:space="preserve">1. Logic Gaps: 
</t>
    </r>
    <r>
      <rPr>
        <sz val="10"/>
        <rFont val="NBS Light"/>
        <family val="2"/>
      </rPr>
      <t xml:space="preserve">•  Anything reported in the previous 3 months on same rule and have an RRP review of retain in past 6 months
</t>
    </r>
    <r>
      <rPr>
        <b/>
        <sz val="10"/>
        <rFont val="NBS Light"/>
        <family val="2"/>
      </rPr>
      <t xml:space="preserve">2. Threshold Limitations: </t>
    </r>
    <r>
      <rPr>
        <sz val="10"/>
        <rFont val="NBS Light"/>
        <family val="2"/>
      </rPr>
      <t xml:space="preserve">
•  Singular thresholds applied to all customers 
</t>
    </r>
    <r>
      <rPr>
        <b/>
        <sz val="10"/>
        <rFont val="NBS Light"/>
        <family val="2"/>
      </rPr>
      <t xml:space="preserve">3. Product Applications: </t>
    </r>
    <r>
      <rPr>
        <sz val="10"/>
        <rFont val="NBS Light"/>
        <family val="2"/>
      </rPr>
      <t xml:space="preserve">
•  Only applies to current accounts
</t>
    </r>
    <r>
      <rPr>
        <b/>
        <sz val="10"/>
        <rFont val="NBS Light"/>
        <family val="2"/>
      </rPr>
      <t xml:space="preserve">1. Logic Gaps: </t>
    </r>
    <r>
      <rPr>
        <sz val="10"/>
        <rFont val="NBS Light"/>
        <family val="2"/>
      </rPr>
      <t xml:space="preserve">
• Anything reported in the previous 3 months on same rule and have an RRP review of retain in past 6 months
</t>
    </r>
    <r>
      <rPr>
        <b/>
        <sz val="10"/>
        <rFont val="NBS Light"/>
        <family val="2"/>
      </rPr>
      <t xml:space="preserve">2. Threshold Limitations: </t>
    </r>
    <r>
      <rPr>
        <sz val="10"/>
        <rFont val="NBS Light"/>
        <family val="2"/>
      </rPr>
      <t xml:space="preserve">
•  Singular thresholds applied to all customers 
3. Product Applications: 
•  Only applies to current accounts
</t>
    </r>
    <r>
      <rPr>
        <b/>
        <sz val="10"/>
        <rFont val="NBS Light"/>
        <family val="2"/>
      </rPr>
      <t>1. Logic Gaps:</t>
    </r>
    <r>
      <rPr>
        <sz val="10"/>
        <rFont val="NBS Light"/>
        <family val="2"/>
      </rPr>
      <t xml:space="preserve"> 
• Rule runs at account level, not customer level
• Anything reported in the previous 3 months on same rule and has an RRP review of retain in past 6 months is suppressed
</t>
    </r>
    <r>
      <rPr>
        <b/>
        <sz val="10"/>
        <rFont val="NBS Light"/>
        <family val="2"/>
      </rPr>
      <t xml:space="preserve">2. Threshold Limitations: </t>
    </r>
    <r>
      <rPr>
        <sz val="10"/>
        <rFont val="NBS Light"/>
        <family val="2"/>
      </rPr>
      <t xml:space="preserve">
•  Singular thresholds applied to all customers 
</t>
    </r>
    <r>
      <rPr>
        <b/>
        <sz val="10"/>
        <rFont val="NBS Light"/>
        <family val="2"/>
      </rPr>
      <t>3. Product Application:</t>
    </r>
    <r>
      <rPr>
        <sz val="10"/>
        <rFont val="NBS Light"/>
        <family val="2"/>
      </rPr>
      <t xml:space="preserve">
• Only applies to current accounts and sav</t>
    </r>
  </si>
  <si>
    <t>13
15
6
0</t>
  </si>
  <si>
    <t>21.83%
20.36%
38.06%
100%</t>
  </si>
  <si>
    <t>Major/Possible</t>
  </si>
  <si>
    <t xml:space="preserve">Major/Possible </t>
  </si>
  <si>
    <t>• JMLSG
•  SAS
• FinCen
• Financial Intelligence Unit, 
Belize
• JMLIT 
• NCA
• JSTAC</t>
  </si>
  <si>
    <t xml:space="preserve">Moderate/possible </t>
  </si>
  <si>
    <t xml:space="preserve">• Rapid flow through of funds - deposits followed by similar sized transfer to another customer/counterparty within xx days (based on peer group threshold) </t>
  </si>
  <si>
    <t xml:space="preserve">• High volumes of small value transactions that breach a threshold within a given period (based on peer group threshold) </t>
  </si>
  <si>
    <t>• X% of transactions on the account are cash deposits/withdrawals</t>
  </si>
  <si>
    <t xml:space="preserve">Deposits from gambling outlets with no debits at all </t>
  </si>
  <si>
    <t xml:space="preserve">• Deposits from gambling outlets with no debits at all </t>
  </si>
  <si>
    <t xml:space="preserve">No rule </t>
  </si>
  <si>
    <t xml:space="preserve">• high value deposit originating from a gambling outlet (based on peer group threshold) </t>
  </si>
  <si>
    <t xml:space="preserve">• high value / volume transactions to / from gambling outlets with no previous gambling history (based on peer group threshold) </t>
  </si>
  <si>
    <t>• payment reference on transaction hits on list of high-risk words</t>
  </si>
  <si>
    <t xml:space="preserve">Minor/unlikely </t>
  </si>
  <si>
    <t>High Risk Jurisdictions</t>
  </si>
  <si>
    <t xml:space="preserve">• Cash deposits are made X miles away from where the account was originally opened and/or the address registered on the account (based on peer group threshold) </t>
  </si>
  <si>
    <t>Change in customer behaviour</t>
  </si>
  <si>
    <t>• Significant deviation from prior deposit activity</t>
  </si>
  <si>
    <t>• Build up of deposits in account in a short period greater than 1.5 times income amount</t>
  </si>
  <si>
    <t>• The total cash deposits are outside the known income of the customer</t>
  </si>
  <si>
    <t xml:space="preserve">The total cash deposits are outside the known income of the customer and/or inconsistent with customer's line of business </t>
  </si>
  <si>
    <t>• JMLSG
• MLRegs</t>
  </si>
  <si>
    <t xml:space="preserve">Funds exceeding profile of customer and build up of large balances over a short period of time not consistent with the known turnover of the customer's account </t>
  </si>
  <si>
    <t>• Significant deviation from peer group activity based on volume or value of transactions</t>
  </si>
  <si>
    <t>• Significant deviation from peer group in most used product type (i.e.  credit card usage)</t>
  </si>
  <si>
    <t>• Significant deviation from peer group in most common transaction type (i.e. cash or international payment) transactions</t>
  </si>
  <si>
    <t xml:space="preserve">• PEPs carrying out wire transfers that lack beneficiary information </t>
  </si>
  <si>
    <t xml:space="preserve">• Anonymous transactions or significant volume of payments received from  third parties into the PEP, FM, KCAs account </t>
  </si>
  <si>
    <t>• SIP/HRC account carrying out multiple transactions in a short period of time that include at least 2 of the following: multiple counterparties, jurisdictions and financial institutions</t>
  </si>
  <si>
    <t>Rule ID</t>
  </si>
  <si>
    <t>• Risk mitigated by rule 47</t>
  </si>
  <si>
    <t xml:space="preserve">SIP/HRC meets the following criteria - 
• High volume of payments to / from  high risk jurisdictions  
• High value payments to / from high risk jurisdictions 
• High volume/value of cash withdrawals and visa spend in  high risk jurisdictions </t>
  </si>
  <si>
    <t xml:space="preserve">Transactions involving high risk industries </t>
  </si>
  <si>
    <t>Purchases and payments to/from these industries: Oil 
Arms
Precious Metals
Tobacco
Cultural Artefacts 
Archaeological Artefacts
Historical Artefacts
Cultural Artefacts
Religious Artefacts
Scientific Artefacts
Protected Species Artefacts</t>
  </si>
  <si>
    <t xml:space="preserve">Dormant accounts suddenly transacting in high volumes over a short period of time, in particular where transactions involve cash or payments to high risk countries </t>
  </si>
  <si>
    <t xml:space="preserve">• value / volume of activity on account is above the dormant account thresholds for weekly / monthly activity
• Risk mitigated by rules 48 and 34 (based on peer group threshold) </t>
  </si>
  <si>
    <t xml:space="preserve">• High volume/value of transactions involving the industries listed below, using SIC codes to identify (based on peer group threshold) </t>
  </si>
  <si>
    <t>Minor/Possible</t>
  </si>
  <si>
    <t>• Risk mitigated by rule 48</t>
  </si>
  <si>
    <t>• Risk mitigated by rule 45</t>
  </si>
  <si>
    <t xml:space="preserve">RECOMMENDATIONS - FUTURE STATE </t>
  </si>
  <si>
    <t>• Risk mitigated by rule 43</t>
  </si>
  <si>
    <t>• Refer to Fraud</t>
  </si>
  <si>
    <t>DWP3</t>
  </si>
  <si>
    <t>DWP4</t>
  </si>
  <si>
    <t>Monthly Volume of Alerts for 2019 (median)</t>
  </si>
  <si>
    <t>• Activity indicative of business use without HMRC payments</t>
  </si>
  <si>
    <t xml:space="preserve">• Keep current rule, however re-tune thresholds to fit with segmentation </t>
  </si>
  <si>
    <t xml:space="preserve">• Keep current rules </t>
  </si>
  <si>
    <t>• Enhance current rules for HTMS</t>
  </si>
  <si>
    <t>• Risk mitigated by rule 34</t>
  </si>
  <si>
    <t>• Transactions involving high-risk vendors i.e. list of dark web market place</t>
  </si>
  <si>
    <t xml:space="preserve">• Include on list of high risk words to monitor for in payment messages </t>
  </si>
  <si>
    <t xml:space="preserve">• Create list of high risk words to monitor for in payment messages. Include on list of high risk words to monitor for in payment messages </t>
  </si>
  <si>
    <t xml:space="preserve">• X number of payments at X value to airline companies in X period of time </t>
  </si>
  <si>
    <t>• Risk mitigated by rules 33/34</t>
  </si>
  <si>
    <t>33/34</t>
  </si>
  <si>
    <t>ISA
• Direct Cash ISA 
• Easy Access ISA
• Easy Cash ISA
• Easy Saver ISA
• FRISA
• Fixed Term ISA Maturity 
• Flexclusive ISA
• Help to Buy ISA
• ISA Loyalty
• ISA Maturity account
• Inheritance ISA
• Instant Access ISA 
• Instant ISA 
• Instant ISA Saver
• LTY Single Access ISA
• Loyalty ISA
• Online ISA
• Save to Buy ISA
• Single Access ISA
• Smart Junior ISA 
• Tracker ISA
• Triple Access ISA/Online
• Web ISA
• E_ISA</t>
  </si>
  <si>
    <t>Bonds
• Fixed Rate Bonds
• e-bond
• Fixed Term Bond
• Fixed Term e-Bond
• Mature Bond Holding Account 
• Smart Fixed Rate Bonds</t>
  </si>
  <si>
    <t xml:space="preserve">
• Nationwide credit card - members only</t>
  </si>
  <si>
    <t>MORTGAGES</t>
  </si>
  <si>
    <r>
      <rPr>
        <sz val="10"/>
        <color theme="0"/>
        <rFont val="NBS Medium"/>
        <family val="2"/>
      </rPr>
      <t>• NBS Residential Mortgages</t>
    </r>
    <r>
      <rPr>
        <b/>
        <sz val="10"/>
        <color theme="0"/>
        <rFont val="NBS Medium"/>
        <family val="2"/>
      </rPr>
      <t xml:space="preserve"> (Prime)</t>
    </r>
    <r>
      <rPr>
        <b/>
        <sz val="11"/>
        <color theme="0"/>
        <rFont val="NBS Medium"/>
        <family val="2"/>
      </rPr>
      <t xml:space="preserve">
</t>
    </r>
  </si>
  <si>
    <t xml:space="preserve"> Risk - Impact/Likelihood</t>
  </si>
  <si>
    <r>
      <t xml:space="preserve">
Impact – score 1-5 
</t>
    </r>
    <r>
      <rPr>
        <sz val="11"/>
        <color theme="0"/>
        <rFont val="NBS Medium"/>
        <family val="2"/>
      </rPr>
      <t xml:space="preserve">Critical 5
Severe 4
Major 3
Moderate 2 
Minor 1
</t>
    </r>
    <r>
      <rPr>
        <b/>
        <sz val="11"/>
        <color theme="0"/>
        <rFont val="NBS Medium"/>
        <family val="2"/>
      </rPr>
      <t xml:space="preserve">Likelihood score 1 -5 
</t>
    </r>
    <r>
      <rPr>
        <sz val="11"/>
        <color theme="0"/>
        <rFont val="NBS Medium"/>
        <family val="2"/>
      </rPr>
      <t xml:space="preserve">Highly likely 5 
Likely 4 
Possible 3 
Unlikely 2
Rare 1 </t>
    </r>
  </si>
  <si>
    <t>• Value of repayment amount is equivalent to xx the size of normal repayment amount</t>
  </si>
  <si>
    <t xml:space="preserve">Individual Scenario Score </t>
  </si>
  <si>
    <t>Scoring</t>
  </si>
  <si>
    <t xml:space="preserve">Priority </t>
  </si>
  <si>
    <t>• Credit product is repaid xx percent faster then redemption period</t>
  </si>
  <si>
    <t>• Quick turnaround of a long term product (mortgage) i.e. 90 percent quicker</t>
  </si>
  <si>
    <t xml:space="preserve">• Third Party identified as high risk, one off payment, and lack of narrative included on outbound payments over XX </t>
  </si>
  <si>
    <t>Anonymity</t>
  </si>
  <si>
    <t>PEP, FM, KCA sends/receives Payments to/from any country identified as presenting a greater financial crime threat</t>
  </si>
  <si>
    <t xml:space="preserve">Risk Category </t>
  </si>
  <si>
    <r>
      <t xml:space="preserve">INSTANT ACCESS 
 WITH CARD
</t>
    </r>
    <r>
      <rPr>
        <sz val="10"/>
        <color theme="0"/>
        <rFont val="NBS Medium"/>
        <family val="2"/>
      </rPr>
      <t>• CashBuilder Card
• Easy Access Card 
• Flexclusive Savers
• Instant Access Savers
• Invest Direct 
• Regular Saver</t>
    </r>
    <r>
      <rPr>
        <b/>
        <sz val="10"/>
        <color theme="0"/>
        <rFont val="NBS Medium"/>
        <family val="2"/>
      </rPr>
      <t xml:space="preserve">
</t>
    </r>
    <r>
      <rPr>
        <b/>
        <sz val="11"/>
        <color theme="0"/>
        <rFont val="NBS Medium"/>
        <family val="2"/>
      </rPr>
      <t xml:space="preserve">  </t>
    </r>
  </si>
  <si>
    <t>Average Performance for 2019 (SAR conversion rate)</t>
  </si>
  <si>
    <t xml:space="preserve">Overall Risk Category Score </t>
  </si>
  <si>
    <t xml:space="preserve">Borrow backs </t>
  </si>
  <si>
    <t>High value borrow backs</t>
  </si>
  <si>
    <t xml:space="preserve">• Third Party identified as high risk, one off payment, and lack of narrative include on inbound payments over XX </t>
  </si>
  <si>
    <t>• UK National Risk Assessment 
• CIFAS
• BBC 
• Telegram</t>
  </si>
  <si>
    <t>• High value deposit followed by similar sized withdrawal within xx days</t>
  </si>
  <si>
    <t>Significant volume and/or value of payments to/from online money transfer companies (i.e. PayPal)</t>
  </si>
  <si>
    <t>Major/Unlikely</t>
  </si>
  <si>
    <t xml:space="preserve"> • Value of cash deposit / withdrawal above personal / peer group threshold
 •  value of cash deposit / withdrawal above personal / peer group threshold within specified time range (i.e. 6pm - 6am)
 • Include across multiple accounts </t>
  </si>
  <si>
    <t>• High value deposit from high risk country  followed by similar sized cash withdrawal within xx days</t>
  </si>
  <si>
    <t xml:space="preserve">• Excessive or unusual number of third-party transfer payments or cash deposits, or payments from high risk jurisdictions, compared to peer group, that are used to purchase virtual currencies
</t>
  </si>
  <si>
    <t xml:space="preserve"> • High value deposit followed by similar sized withdrawal within xx days (based on peer group threshold)</t>
  </si>
  <si>
    <t>Following deposit, funds are rapidly  transferred to another customers account</t>
  </si>
  <si>
    <t xml:space="preserve">Outbound payments with indicative lottery related narratives in the payment reference: congratulations, winner, prize etc.  </t>
  </si>
  <si>
    <t xml:space="preserve">Activity inconsistent with the customers profile:
- unusually larger transactions for that customer 
- unusual pattern of transaction for that customer </t>
  </si>
  <si>
    <t>• Significant deviation from historical profile based on value of transactions within [3] months
• Significant deviation from historical profile based on volume of transactions within [3] months
• Significant deviation from historical profile based on geography of transactions within [3] months
• Significant deviation from historical profile based on value of transactions within [3] months
• Significant deviation from historical profile based on peak activity within 12 month.</t>
  </si>
  <si>
    <t>• FinCen
• Law Gazette 
• JMLSG</t>
  </si>
  <si>
    <t>Significant deviation from peer group in volume or value of counter parties (Payments to/from counter parties such as DD).</t>
  </si>
  <si>
    <t>• Significant deviation from peer group in volume or value of counter parties (Payments to/from counter parties such as DD).</t>
  </si>
  <si>
    <t>Unusually large or unusual pattern of  transactions carried out by PEP, FM, KCA</t>
  </si>
  <si>
    <r>
      <rPr>
        <b/>
        <sz val="10"/>
        <color theme="1"/>
        <rFont val="NBS Light"/>
        <family val="2"/>
      </rPr>
      <t>Rule HRC1 -</t>
    </r>
    <r>
      <rPr>
        <sz val="10"/>
        <color theme="1"/>
        <rFont val="NBS Light"/>
        <family val="2"/>
      </rPr>
      <t xml:space="preserve"> HRC + £10k in cash deposits in one month, by at least 3 occasions
</t>
    </r>
    <r>
      <rPr>
        <b/>
        <sz val="10"/>
        <color theme="1"/>
        <rFont val="NBS Light"/>
        <family val="2"/>
      </rPr>
      <t>Rule HRC4 -</t>
    </r>
    <r>
      <rPr>
        <sz val="10"/>
        <color theme="1"/>
        <rFont val="NBS Light"/>
        <family val="2"/>
      </rPr>
      <t xml:space="preserve"> HRC in Net Reveal + £30k transactions in in a month in more than 200 payments
</t>
    </r>
    <r>
      <rPr>
        <b/>
        <sz val="10"/>
        <color theme="1"/>
        <rFont val="NBS Light"/>
        <family val="2"/>
      </rPr>
      <t>Rule HRC 5 -</t>
    </r>
    <r>
      <rPr>
        <sz val="10"/>
        <color theme="1"/>
        <rFont val="NBS Light"/>
        <family val="2"/>
      </rPr>
      <t xml:space="preserve"> HRC in Net Reveal + £100k payment received.</t>
    </r>
  </si>
  <si>
    <r>
      <rPr>
        <b/>
        <sz val="10"/>
        <color theme="1"/>
        <rFont val="NBS Light"/>
        <family val="2"/>
      </rPr>
      <t xml:space="preserve">Rule DWP3 - </t>
    </r>
    <r>
      <rPr>
        <sz val="10"/>
        <color theme="1"/>
        <rFont val="NBS Light"/>
        <family val="2"/>
      </rPr>
      <t>Receives IS and has B&amp;S account balances totalling £17k+</t>
    </r>
  </si>
  <si>
    <t>Most common victims for labour exploitation: Albanian, Vietnamese, Chinese, Romanian, Lithuanian, Ukrainian</t>
  </si>
  <si>
    <t>Most common offenders in the UK are: British, Romanian, Albanian, Vietnamese, Lithuanian, Ukrainian</t>
  </si>
  <si>
    <t>Exception ID used, similar types multiple times, e.g. a letter from same employer.</t>
  </si>
  <si>
    <t>High volume/value of payments to/from countries of origin of potential victims linked to human trafficking - Lithuania, Poland, Latvia, Romania, Hungary, Slovakia, Czech republic, India, Vietnam, Bulgaria</t>
  </si>
  <si>
    <t xml:space="preserve">Frequent payments to Adult Service Websites - primarily adult works and Viv street </t>
  </si>
  <si>
    <t>Young persons between 8 and 18 with significant volume of any value cash deposits</t>
  </si>
  <si>
    <t xml:space="preserve">Use of language in payment message fields indicative of the transactions being conducted in support of illicit activity or purchase of illicit goods </t>
  </si>
  <si>
    <t>• IP addresses in high risk jurisdictions to be captured as part of rules 33/34</t>
  </si>
  <si>
    <t xml:space="preserve">DWP3 - Implemented as a pilot in 2013.  Recommended that rule remains with options for future state, such as automation, to be reviewed separately. </t>
  </si>
  <si>
    <t xml:space="preserve">Some Improvement Required </t>
  </si>
  <si>
    <t xml:space="preserve">Some Improvement Required  </t>
  </si>
  <si>
    <t>Needs Significant Improvement</t>
  </si>
  <si>
    <t>Score 
Good 1 
Some Improvement Required  2 
Needs Significant Improvement 3 
Control Required 3</t>
  </si>
  <si>
    <t xml:space="preserve">Control Required </t>
  </si>
  <si>
    <t xml:space="preserve">Some Improvement Required   </t>
  </si>
  <si>
    <t xml:space="preserve">Control Required  </t>
  </si>
  <si>
    <t>Good</t>
  </si>
  <si>
    <t xml:space="preserve">Good </t>
  </si>
  <si>
    <r>
      <t xml:space="preserve"> 
</t>
    </r>
    <r>
      <rPr>
        <sz val="10"/>
        <color theme="0"/>
        <rFont val="NBS Medium"/>
        <family val="2"/>
      </rPr>
      <t xml:space="preserve">• TMW Mortgages
Not included in txn vol/val - 
• Bank of Ireland Residential 
• DHL/ E-Mex
• UCB Home Loans
</t>
    </r>
  </si>
  <si>
    <t>New rule</t>
  </si>
  <si>
    <t xml:space="preserve">New rule </t>
  </si>
  <si>
    <t>2. Thresol Limitations: 
• Singualr threshold applied to all customers that are PEPs</t>
  </si>
  <si>
    <t>New rule - 
•‘valcashcred_Month’ &gt;= £10,000 (Low/Medium risk) OR &gt;= £5000 (High risk)</t>
  </si>
  <si>
    <t>•‘New rules - ‘Credits_Month’ &gt;= £20,000 &amp; ‘Credits_Ratio’ &gt;= 5 (Low/Medium risk PEPs) OR &gt;=3 (High-risk)
**x9 hits *
AND
•‘‘Credits_prev3’ &lt;£1 &amp; ‘Credits_Month’ &gt;=£20,000
•‘CntCredit_Month’ &gt;= 25</t>
  </si>
  <si>
    <t xml:space="preserve">•‘New rules - ‘Credits_Month’ &gt;= £20,000 &amp; ‘Credits_Ratio’ &gt;= 5 (Low/Medium risk PEPs) OR &gt;=3 (High-risk)
**x9 hits *
AND
•‘‘Credits_prev3’ &lt;£1 &amp; ‘Credits_Month’ &gt;=£20,000
•‘CntCredit_Month’ &gt;= 25
</t>
  </si>
  <si>
    <t>New Rules - 
• Payment received from a ‘High’ or ‘Very-high’ country of concerns [as per the CoC matrix] from which a payment hasn’t been received before in the last 3 months.  
• Payment sent to a ‘High’ or ‘Very-high’ country of concerns [as per the CoC matrix] from which a payment hasn’t been made before in the last 3 months.
•  ‘totc7cred_Ratio’ &gt;=5 (Low/Medium risk) OR &gt;=2 (High)
•  ‘totc7cred_prev3’ &lt;£1 &amp;’ totc7cred_Month’ &gt;=£10,000</t>
  </si>
  <si>
    <t xml:space="preserve">Enahnce current rules in line with required rules. 
PEP, FM or KCA meets the following criteria - 
• High volume of payments to / from  high risk jurisdictions  
• High value payments to / from high risk jurisdictions 
• High volume/value of cash withdrawals and visa spend in  high risk jurisdictions </t>
  </si>
  <si>
    <t>Enahnce current rules in line with required rules. 
• Rapid flow through of funds on a high-risk customer / account (all transactions in and out in a short period of time)</t>
  </si>
  <si>
    <t>Enahnce current rules in line with required rules. 
• Value / volume of activity on account is above the dormant account thresholds for weekly / monthly activity</t>
  </si>
  <si>
    <t>Enahnce current rules in line with required rules. 
• Risk mitigated by rule 47</t>
  </si>
  <si>
    <t>Enahnce current rules in line with required rules. 
• PEP, FM, KCAs account carrying out multiple transactions in a short period of time that include at least 2 of the following: multiple counterparties, jurisdictions and financial institutions</t>
  </si>
  <si>
    <r>
      <rPr>
        <b/>
        <sz val="10"/>
        <color theme="1"/>
        <rFont val="NBS Light"/>
        <family val="2"/>
      </rPr>
      <t xml:space="preserve">Country of Concern Rules - </t>
    </r>
    <r>
      <rPr>
        <sz val="10"/>
        <color theme="1"/>
        <rFont val="NBS Light"/>
        <family val="2"/>
      </rPr>
      <t xml:space="preserve">based on scorecard criteria </t>
    </r>
    <r>
      <rPr>
        <b/>
        <sz val="10"/>
        <color theme="1"/>
        <rFont val="NBS Light"/>
        <family val="2"/>
      </rPr>
      <t xml:space="preserve">
Rule 1.22 -</t>
    </r>
    <r>
      <rPr>
        <sz val="10"/>
        <color theme="1"/>
        <rFont val="NBS Light"/>
        <family val="2"/>
      </rPr>
      <t xml:space="preserve"> Multiple (4+) Chaps/Swifts received totalling £10k or more.
</t>
    </r>
    <r>
      <rPr>
        <b/>
        <sz val="10"/>
        <color theme="1"/>
        <rFont val="NBS Light"/>
        <family val="2"/>
      </rPr>
      <t xml:space="preserve">Rule CT6 - </t>
    </r>
    <r>
      <rPr>
        <sz val="10"/>
        <color theme="1"/>
        <rFont val="NBS Light"/>
        <family val="2"/>
      </rPr>
      <t xml:space="preserve">Customer has either IP activity, VISA spend, CHAPS In/Out from Syria
</t>
    </r>
    <r>
      <rPr>
        <b/>
        <sz val="10"/>
        <color theme="1"/>
        <rFont val="NBS Light"/>
        <family val="2"/>
      </rPr>
      <t>Rule CT7 -</t>
    </r>
    <r>
      <rPr>
        <sz val="10"/>
        <color theme="1"/>
        <rFont val="NBS Light"/>
        <family val="2"/>
      </rPr>
      <t xml:space="preserve"> Customer has either IP activity, VISA spend, CHAPS In/Out from Yemen
</t>
    </r>
    <r>
      <rPr>
        <b/>
        <sz val="10"/>
        <color theme="1"/>
        <rFont val="NBS Light"/>
        <family val="2"/>
      </rPr>
      <t xml:space="preserve">Rule CT8 - </t>
    </r>
    <r>
      <rPr>
        <sz val="10"/>
        <color theme="1"/>
        <rFont val="NBS Light"/>
        <family val="2"/>
      </rPr>
      <t xml:space="preserve"> Customer has either IP activity, VISA spend, CHAPS In/Out from Libya
</t>
    </r>
    <r>
      <rPr>
        <b/>
        <sz val="10"/>
        <color theme="1"/>
        <rFont val="NBS Light"/>
        <family val="2"/>
      </rPr>
      <t>5 MLD rule</t>
    </r>
    <r>
      <rPr>
        <sz val="10"/>
        <color theme="1"/>
        <rFont val="NBS Light"/>
        <family val="2"/>
      </rPr>
      <t xml:space="preserve"> 
EDD on payments to/from  countries that are high risk </t>
    </r>
  </si>
  <si>
    <r>
      <rPr>
        <b/>
        <sz val="10"/>
        <color theme="1"/>
        <rFont val="NBS Light"/>
        <family val="2"/>
      </rPr>
      <t xml:space="preserve">Country of Concern Rules - </t>
    </r>
    <r>
      <rPr>
        <sz val="10"/>
        <color theme="1"/>
        <rFont val="NBS Light"/>
        <family val="2"/>
      </rPr>
      <t xml:space="preserve">based on scorecard criteria </t>
    </r>
    <r>
      <rPr>
        <b/>
        <sz val="10"/>
        <color theme="1"/>
        <rFont val="NBS Light"/>
        <family val="2"/>
      </rPr>
      <t xml:space="preserve">
Rule 1.22 -</t>
    </r>
    <r>
      <rPr>
        <sz val="10"/>
        <color theme="1"/>
        <rFont val="NBS Light"/>
        <family val="2"/>
      </rPr>
      <t xml:space="preserve"> Multiple (4+) Chaps/Swifts received totalling £10k or more.
</t>
    </r>
    <r>
      <rPr>
        <b/>
        <sz val="10"/>
        <color theme="1"/>
        <rFont val="NBS Light"/>
        <family val="2"/>
      </rPr>
      <t xml:space="preserve">5 MLD rule </t>
    </r>
    <r>
      <rPr>
        <sz val="10"/>
        <color theme="1"/>
        <rFont val="NBS Light"/>
        <family val="2"/>
      </rPr>
      <t xml:space="preserve">
EDD on payments to/from  countries that are high risk </t>
    </r>
  </si>
  <si>
    <t>Rule</t>
  </si>
  <si>
    <t xml:space="preserve">Risk  </t>
  </si>
  <si>
    <t>Typology</t>
  </si>
  <si>
    <t>What Control Manages This Risk?</t>
  </si>
  <si>
    <t xml:space="preserve">Action Required </t>
  </si>
  <si>
    <t>Rationale</t>
  </si>
  <si>
    <t xml:space="preserve">Remove </t>
  </si>
  <si>
    <t xml:space="preserve"> CONTROL ENVIRONMENT </t>
  </si>
  <si>
    <t>Remove/Combine</t>
  </si>
  <si>
    <t xml:space="preserve">Proposal: Remove rule 14 and combine with rules 12. Rule 12 to be amended to capture inbound and outbound third party activity 
</t>
  </si>
  <si>
    <t>Amend</t>
  </si>
  <si>
    <t xml:space="preserve">Retain </t>
  </si>
  <si>
    <t xml:space="preserve">Retain rule 13 </t>
  </si>
  <si>
    <t>Rule 13 - X payments to X different  third parties.  Include X payments for rounded amounts e.g. £300, £400</t>
  </si>
  <si>
    <t xml:space="preserve">Proposal: Amend  rule 12 to include inbound and outbound third party activity </t>
  </si>
  <si>
    <t xml:space="preserve">Rule 12 - Third Party identified as high risk, one off payment inbound/outbound, and lack of narrative include on inbound payments over XX </t>
  </si>
  <si>
    <t xml:space="preserve">Third party payments with no geographical link and unrelated to customer </t>
  </si>
  <si>
    <t xml:space="preserve">Customer has touchpoints with a country, or surrounding regions, that are considered high risk in relation to terrorism </t>
  </si>
  <si>
    <t>Proposal: Remove rule 33 
Rationale: CTF rules currently manage this risk and are out of scope of the TM Project. CTF rules to be reviewed separately to assess whether they are fit for purpose.</t>
  </si>
  <si>
    <t xml:space="preserve">CTF Rules - CT6, CT7, CT8 </t>
  </si>
  <si>
    <t>Transactions involving any country identified as presenting a greater financial crime threat</t>
  </si>
  <si>
    <t xml:space="preserve">Amended </t>
  </si>
  <si>
    <t xml:space="preserve">Proposal: Remove multiplier and determine the most suitable multiplier based on data no opinion.
Rationale: more objective and accurate </t>
  </si>
  <si>
    <t>Rule 45 - Build up of deposits in account in a short period greater than X times income amount</t>
  </si>
  <si>
    <t>Rule 44 - Significant deviation from prior deposit activity</t>
  </si>
  <si>
    <t>Rule 46 - The total cash deposits are outside the known income of the customer</t>
  </si>
  <si>
    <t>Amended</t>
  </si>
  <si>
    <r>
      <t>Rule 47(a) - Significant deviation from historical profile based on value of transactions within [3] months
Rule 47 (b) - Significant deviation from historical profile based on volume of transactions within [3] months
Rule 47 (c) -</t>
    </r>
    <r>
      <rPr>
        <b/>
        <sz val="11"/>
        <color theme="1"/>
        <rFont val="Calibri"/>
        <family val="2"/>
        <scheme val="minor"/>
      </rPr>
      <t xml:space="preserve"> </t>
    </r>
    <r>
      <rPr>
        <sz val="11"/>
        <color theme="1"/>
        <rFont val="Calibri"/>
        <family val="2"/>
        <scheme val="minor"/>
      </rPr>
      <t xml:space="preserve">Significant deviation from historical profile based on geography of transactions within [3] months
</t>
    </r>
  </si>
  <si>
    <t>Split rules out into different sections. Remove  'Significant deviation from historical profile based on peak activity within 12 month'.  Rationale for removal has been documented in the TM Working Group pack.</t>
  </si>
  <si>
    <t xml:space="preserve"> Remove value  - Volume of counterparties is more benficial for identifying money laundering and significantly high value transactions will be detected by rule 48 </t>
  </si>
  <si>
    <t xml:space="preserve">Using advanced analytics to identify high value transactions and high volume transactions individually as well as a combination of value and volume together. This provides a wider risk coverage as a customer could exhibit one of these transactional behaviours or both and still be detected by the rule </t>
  </si>
  <si>
    <t>Rule 48 - Significant deviation from peer group activity based on volume or value of transactions</t>
  </si>
  <si>
    <t xml:space="preserve">Removed </t>
  </si>
  <si>
    <t>Rule 49 - Significant deviation from peer group in volume of counter parties</t>
  </si>
  <si>
    <t>This rule has been removed because the risk is minimalist to Nationwide due to the product range offered and therefore minimal benefit would be derived from having this rule.  See TM Working Group documentation for details</t>
  </si>
  <si>
    <t xml:space="preserve">Amend </t>
  </si>
  <si>
    <t>Move</t>
  </si>
  <si>
    <t>Move to High risk Jurisdictions as  more appropriate risk category</t>
  </si>
  <si>
    <t>Proposal: Remove rule 10 
Rationale: Rule 49 will manage this risk and rule 10 is a direct duplicate of this rule. The distinct third parties element of this rule can be combined with rule 12</t>
  </si>
  <si>
    <t xml:space="preserve">Include distinct thrid parties elements from rules 9 and 10 </t>
  </si>
  <si>
    <t>Rule 11 - Number of distinct third parties within a period is greater than personal and peer group thresholds</t>
  </si>
  <si>
    <t>Rule 49 - Significant deviation from peer group in volume of counter parties
Rule 11 - Number of distinct third parties within a period is greater than personal and peer group thresholds</t>
  </si>
  <si>
    <t>Proposal: Remove rule 15
Rationale: Value of counter party payments will be detected within rule 48, which is looking at deviation from peer group in relation to value and volume of transactions. Whilst this is every txn type, it will include payments to/from third parties and therefore this part of the rule is not required. The distinct third parties element of this rule can be combined with rule 11</t>
  </si>
  <si>
    <t>Proposal: Remove rule 9 
Rationale: Value of counter party payments will be detected within rule 48, which is looking at deviation from peer group in relation to value and volume of transactions. Whilst this is every txn type, it will include payments to/from third parties and therefore this part of the rule is not required. The distinct third parties element of this rule can be combined with rule 11</t>
  </si>
  <si>
    <t>Proposal: Remove rule 16
Rationale: Rule 49 will manage this risk and rule 16 is a direct duplicate of this rule. The distinct third parties element of this rule can be combined with rule 11</t>
  </si>
  <si>
    <t xml:space="preserve">Payments with no geographical link and unrelated to customer </t>
  </si>
  <si>
    <t>Rule 17 (a) - Customer transacting with a country above their Customer risk rating (low or medium risk customers transacting with high risk jurisdictions)
Rule 17 (b) - Customer account is older than X years/months and receives payments from a new jurisdiction above Value / volume threshold</t>
  </si>
  <si>
    <t xml:space="preserve">Moved from third party section </t>
  </si>
  <si>
    <t xml:space="preserve">Amended to look at specific high risk transaction types </t>
  </si>
  <si>
    <t xml:space="preserve">High Value &amp; Volume Transactions </t>
  </si>
  <si>
    <t xml:space="preserve">High Risk Transaction Types </t>
  </si>
  <si>
    <t>•  Volume and value of cash deposits within X time period above peer/personal threshold and in X different locations (based on peer threshold)</t>
  </si>
  <si>
    <t xml:space="preserve">Include value and focus on location element of this rule </t>
  </si>
  <si>
    <t>Rule 21 - Volume and value of cash deposits within X time period above peer/personal threshold and in X different locations</t>
  </si>
  <si>
    <t xml:space="preserve"> • Number of cash deposits for a customer has increased  X times within a xx month period</t>
  </si>
  <si>
    <t>Retain</t>
  </si>
  <si>
    <t>Rule 23 - Number of cash deposits for a customer has increased  X times within a xx month period</t>
  </si>
  <si>
    <t>Focus on value and volume thresholds only, not time</t>
  </si>
  <si>
    <t xml:space="preserve">Rule 24 - Value and/or volume of cash deposit / withdrawal above personal / peer group threshold
</t>
  </si>
  <si>
    <t xml:space="preserve">Risk managed by Rule 51 . Rule 51  focused on high risk transaction types, which includes cash </t>
  </si>
  <si>
    <t>Risk managed by Rule 51 . Rule 51  focused on high risk transaction types, which includes cash and SWIFT txns</t>
  </si>
  <si>
    <t>• Virtual currency purchase X greater than income</t>
  </si>
  <si>
    <t>Rule 28 - Virtual currency purchase X greater than income</t>
  </si>
  <si>
    <t>Rule 27 - Excessive or unusual number of third-party transfer payments or cash deposits, or payments from high risk jurisdictions, compared to peer group, that are used to purchase virtual currencies</t>
  </si>
  <si>
    <t xml:space="preserve">Nationwide is generating a list of VASP providers that present a higher risk according to NBS risk appetite. These providers will be captured within this list and the risk will be mitigated by rule 29 </t>
  </si>
  <si>
    <t xml:space="preserve">Rule 29 - Transactions involving VASPS above personal/ peer group threshold </t>
  </si>
  <si>
    <t xml:space="preserve"> • Deposits received from VASP are often followed by cash withdrawals or electronic transfers of a similar value</t>
  </si>
  <si>
    <t>Rule 31 -  Deposits received from VASP are often followed by cash withdrawals or electronic transfers of a similar value</t>
  </si>
  <si>
    <t xml:space="preserve">Rule 21 - Volume and value of cash deposits within X time period above peer/personal threshold and in X different locations
Rule 47 (c) - Significant deviation from historical profile based on geography of transactions within [3] months
County Lines Rules </t>
  </si>
  <si>
    <t xml:space="preserve">Risk mitigated by rule 48  </t>
  </si>
  <si>
    <t xml:space="preserve">Risk mitigated by all behaviour rules </t>
  </si>
  <si>
    <t>• Payment is X times larger than stated income</t>
  </si>
  <si>
    <t xml:space="preserve">Combine rules 41 and 42 to combine inbound and outbound transactions. Separate rules not required. </t>
  </si>
  <si>
    <t>Rule 41 - payment reference on transaction hits on list of high-risk words</t>
  </si>
  <si>
    <t xml:space="preserve">Gambling activity funded through high risk transactions types  </t>
  </si>
  <si>
    <t>Internal</t>
  </si>
  <si>
    <t xml:space="preserve">• Gambling activity funded by high risk transactions types </t>
  </si>
  <si>
    <t xml:space="preserve">New </t>
  </si>
  <si>
    <t xml:space="preserve">Rule 68 - Gambling activity funded by high risk transactions types </t>
  </si>
  <si>
    <t xml:space="preserve">Additional rule required to target gambling activity indicative of money laundering </t>
  </si>
  <si>
    <t>• high value / volume transactions to / from gambling outlets with no previous gambling history (include new customers)</t>
  </si>
  <si>
    <t xml:space="preserve">Rule38 - Deposits from gambling outlets with no debits at all </t>
  </si>
  <si>
    <t>Rule 40 - high value / volume transactions to / from gambling outlets with no previous gambling history (include new customers)</t>
  </si>
  <si>
    <t xml:space="preserve">Duplicate of rule 35 in high turnover category. </t>
  </si>
  <si>
    <t>Rule 35 -  High value deposit followed by similar sized withdrawal within xx days</t>
  </si>
  <si>
    <t xml:space="preserve"> • High value deposit followed by similar sized withdrawal within xx days </t>
  </si>
  <si>
    <t xml:space="preserve">• Deposits followed by similar sized transfer to another customer/counterparty within xx days </t>
  </si>
  <si>
    <t xml:space="preserve">Remove/Combine </t>
  </si>
  <si>
    <t xml:space="preserve">Include rule 18, which was a duplicate of rule 35  and include rule 36 - to combine all transactions types for deposit and withdrawal to provide a fuller picture of the risk </t>
  </si>
  <si>
    <t xml:space="preserve">Combine with rule 35 to combine all transactions types for deposit and withdrawal to provide a fuller picture of the risk </t>
  </si>
  <si>
    <t>Rule 35 -  High value deposit followed by similar sized withdrawals (single or multiple) within xx days</t>
  </si>
  <si>
    <t xml:space="preserve">Risk mitigated by rules 22, 35, 47, 48, 49 and 51. </t>
  </si>
  <si>
    <t xml:space="preserve">Rule 61 - High volume/value of transactions involving the industries listed below, using SIC codes to identify (based on peer group threshold) </t>
  </si>
  <si>
    <t>Rule 8 - Quick turnaround of a long term product (mortgage) i.e. 90 percent quicker</t>
  </si>
  <si>
    <t>Rule 19 - Customers toping up pre-paid cards for values over £150</t>
  </si>
  <si>
    <t>Rule 20 -  Volume / Value of payments to online MT above peer / personal threshold</t>
  </si>
  <si>
    <t xml:space="preserve">Enhance current rules in line with required rules. 
PEP, FM or KCA meets the following criteria - 
• High volume of payments to / from  high risk jurisdictions  
• High value payments to / from high risk jurisdictions 
• High volume/value of cash withdrawals and visa spend in  high risk jurisdictions </t>
  </si>
  <si>
    <t>Enhance current rules in line with required rules. 
• Rapid flow through of funds on a high-risk customer / account (all transactions in and out in a short period of time)</t>
  </si>
  <si>
    <t>Enhance current rules in line with required rules. 
• Value / volume of activity on account is above the dormant account thresholds for weekly / monthly activity</t>
  </si>
  <si>
    <t>Enhance current rules in line with required rules. 
• Risk mitigated by rule 47</t>
  </si>
  <si>
    <t>Enhance current rules in line with required rules. 
• PEP, FM, KCAs account carrying out multiple transactions in a short period of time that include at least 2 of the following: multiple counterparties, jurisdictions and financial institutions</t>
  </si>
  <si>
    <t>Rule 1 -  Loan is repaid x% early</t>
  </si>
  <si>
    <t>Rule 4 - Loan repayments made in cash greater than value and volume thresholds</t>
  </si>
  <si>
    <t>Rule 6 -  Excessive credit balance refunds within a xx period</t>
  </si>
  <si>
    <t xml:space="preserve">Risk mitigated by rule 48 . Dormant accounts will have their own set threshold for value and volume, this will include all high risk customers.  </t>
  </si>
  <si>
    <t>Rule 52 - Enhance current rules in line with required rules. 
PEP, FM or KCA meets the following criteria - 
• High volume of payments to / from  high risk jurisdictions  
• High value payments to / from high risk jurisdictions 
• High volume/value of cash withdrawals and visa spend in  high risk jurisdictions</t>
  </si>
  <si>
    <t xml:space="preserve">Rule 55 - PEPs carrying out wire transfers that lack beneficiary information </t>
  </si>
  <si>
    <t xml:space="preserve">Rule 56 - Anonymous transactions or significant volume of payments received from  third parties into the PEP, FM, KCAs account </t>
  </si>
  <si>
    <t xml:space="preserve">replicate 48 but for HRC </t>
  </si>
  <si>
    <t xml:space="preserve">replicate 51 but for HRC </t>
  </si>
  <si>
    <t xml:space="preserve">replicate 51  but for HRC </t>
  </si>
  <si>
    <t xml:space="preserve">Rule 60 - SIP/HRC meets the following criteria - 
• High volume of payments to / from  high risk jurisdictions  
• High value payments to / from high risk jurisdictions 
• High volume/value of cash withdrawals and visa spend in  high risk jurisdictions </t>
  </si>
  <si>
    <t>Significant deviation from PEP peer group activity based on volume or value of transactions</t>
  </si>
  <si>
    <t>Rule 69 - Significant deviation from PEP peer group activity based on volume or value of transactions</t>
  </si>
  <si>
    <t xml:space="preserve">Rule 51 - Significant deviation from peer group in volume and value of high risk transaction types </t>
  </si>
  <si>
    <t xml:space="preserve">Rule 70 - Significant deviation from PEP peer group in volume and value of high risk transaction types </t>
  </si>
  <si>
    <t xml:space="preserve">Rule 71 - Significant deviation from SIP/HRC peer group in volume and value of high risk transaction types </t>
  </si>
  <si>
    <t>Rule 72 -Significant deviation from SIP/HRC  peer group activity based on volume or value of transactions</t>
  </si>
  <si>
    <t>Combine</t>
  </si>
  <si>
    <t xml:space="preserve">Combine with rule 72 </t>
  </si>
  <si>
    <t>Product Category</t>
  </si>
  <si>
    <t>Status</t>
  </si>
  <si>
    <t>Behaviour</t>
  </si>
  <si>
    <t>Significant deviation from prior deposit activity</t>
  </si>
  <si>
    <t>Banking &amp; Savings</t>
  </si>
  <si>
    <t>Under Development</t>
  </si>
  <si>
    <t>The total cash deposits are outside the known income of the customer</t>
  </si>
  <si>
    <t>47 (a)</t>
  </si>
  <si>
    <t xml:space="preserve">Significant deviation from historical profile based on value of transactions within [3] months.  </t>
  </si>
  <si>
    <t>47 (b)</t>
  </si>
  <si>
    <t>Significant deviation from historical profile based on volume of transactions within [3] months</t>
  </si>
  <si>
    <t xml:space="preserve">47 (c) </t>
  </si>
  <si>
    <t>Significant deviation from historical profile based on geography of transactions within [3]  months</t>
  </si>
  <si>
    <t>Backlog Item</t>
  </si>
  <si>
    <t xml:space="preserve"> X payments to X different  third parties.  Include X payments for rounded amounts e.g. £300, £400</t>
  </si>
  <si>
    <t>17 (a)</t>
  </si>
  <si>
    <t>Customer transacting with a country above their Customer risk rating (low or medium risk customers transacting with high risk jurisdictions)</t>
  </si>
  <si>
    <t>17 (b)</t>
  </si>
  <si>
    <t>Customer account is older than X years/months and receives payments from a new jurisdiction above Value / volume threshold</t>
  </si>
  <si>
    <t>Excessive or unusual number of third-party transfer payments or cash deposits, or payments from high risk jurisdictions, 
compared to peer group, that are used to purchase virtual currencies</t>
  </si>
  <si>
    <t>Transactions involving VASPS above personal/ peer group threshold</t>
  </si>
  <si>
    <t>High Risk Industries</t>
  </si>
  <si>
    <t>High volume/value of transactions involving the industries listed below, using SIC codes to identify (based on peer group threshold)</t>
  </si>
  <si>
    <t>Deposits from gambling outlets with no debits at all</t>
  </si>
  <si>
    <t>Payment reference on transaction hits on list of high-risk words</t>
  </si>
  <si>
    <t>Customers toping up pre-paid cards for values over £150</t>
  </si>
  <si>
    <t>High Turnover</t>
  </si>
  <si>
    <t>Early Redemption</t>
  </si>
  <si>
    <t>Loan is repaid x% early</t>
  </si>
  <si>
    <t>Mortgages</t>
  </si>
  <si>
    <t>Value of repayment amount is equivalent to xx the size of normal repayment amount</t>
  </si>
  <si>
    <t>Loan repayments made in cash greater than value and volume thresholds</t>
  </si>
  <si>
    <t>Borrow backs - Quick turnaround of a long term product (mortgage) i.e. 90 percent quicker</t>
  </si>
  <si>
    <t>Excessive credit balance refunds within a xx period</t>
  </si>
  <si>
    <t>Credit Cards</t>
  </si>
  <si>
    <t>High Risk Customer</t>
  </si>
  <si>
    <t>PEPs carrying out wire transfers that lack beneficiary information</t>
  </si>
  <si>
    <t>Cash</t>
  </si>
  <si>
    <t>Monitoring Type</t>
  </si>
  <si>
    <t>Rule-based</t>
  </si>
  <si>
    <t xml:space="preserve">Build up of deposits in account in a short period greater than X times income amount </t>
  </si>
  <si>
    <t>Historical change in behaviour</t>
  </si>
  <si>
    <t>Anticipatory behaviour</t>
  </si>
  <si>
    <t>Peer-based</t>
  </si>
  <si>
    <t>High Risk Transaction Types</t>
  </si>
  <si>
    <t>Virtual currency purchase X greater than income</t>
  </si>
  <si>
    <t xml:space="preserve">Significant deviation from peer group in volume and value of high risk transaction types </t>
  </si>
  <si>
    <t xml:space="preserve">Third Party identified as high risk, one off payment inbound/outbound, and lack of narrative include on inbound payments over XX </t>
  </si>
  <si>
    <t>Rule 48 - Significant deviation from peer group activity based on volume and/or value of transactions
Rule 11  - Number of distinct third parties within a period is greater than personal and peer group thresholds</t>
  </si>
  <si>
    <t>Rule 48 - Significant deviation from peer group activity based on volume and/or value of transactions</t>
  </si>
  <si>
    <t>High Risk Jurisdiction</t>
  </si>
  <si>
    <t>Virtual Assets , Anticipatory behaviour</t>
  </si>
  <si>
    <t>Virtual Assets, Third Party,  High Risk Jurisdictions</t>
  </si>
  <si>
    <t xml:space="preserve"> • Transactions with VASP(s) operating in a high risk jurisdiction(s) </t>
  </si>
  <si>
    <t>Virtual Asset, Cash, Third Party, High Turnover</t>
  </si>
  <si>
    <t xml:space="preserve">NATIONWIDE BUILDING SOCIETY
AML TRANSACTION MONIOTORING RULES - PROJECT BACKLOG </t>
  </si>
  <si>
    <t xml:space="preserve">Proposal: Amend typolgoy to expand to 'transactions' rather than just payments so that visa spend can also be included 
Rationale: to include more risky activity </t>
  </si>
  <si>
    <t>High volume and/or value of inbound/outbound  payments, VISA spend and cash withdrawals involving high risk jurisdictions</t>
  </si>
  <si>
    <t>Risk Typologies</t>
  </si>
  <si>
    <t xml:space="preserve">Gambling activity funded by high risk transactions types </t>
  </si>
  <si>
    <t>Remove/Combine with rule 40</t>
  </si>
  <si>
    <t>high value / volume transactions to / from gambling outlets with no previous gambling history (include new customers)</t>
  </si>
  <si>
    <t xml:space="preserve">Gambling </t>
  </si>
  <si>
    <t xml:space="preserve">Rule 47 (c) -  Significant deviation from historical profile based on geography of transactions within [3] months - looks at deviation in geographic location and the county lines rules include depositing funds in different locations. Rule 21 will also look at geographical risk through multiple branch visits. </t>
  </si>
  <si>
    <t xml:space="preserve">Anonymity </t>
  </si>
  <si>
    <t>High Volume / Value of payments to online MT above peer / personal threshold</t>
  </si>
  <si>
    <t xml:space="preserve">High Volume / Value of payments to online MT </t>
  </si>
  <si>
    <t>High value deposit followed by similar sized withdrawals (single or multiple) within xx days</t>
  </si>
  <si>
    <t xml:space="preserve">Rule 51 -Significant deviation from peer group in volume and value of high risk transaction types </t>
  </si>
  <si>
    <t>Volume and value of cash deposits within X time period above peer/personal threshold and in X different locations</t>
  </si>
  <si>
    <t xml:space="preserve">Rule 22 - High volume of cash deposits/withdrawals in small amounts </t>
  </si>
  <si>
    <t xml:space="preserve">High volume of cash deposits/withdrawals in small amounts </t>
  </si>
  <si>
    <t>Number of cash deposits for a customer has increased  X times within a xx month period</t>
  </si>
  <si>
    <t xml:space="preserve">Change in Behaviour, Cash </t>
  </si>
  <si>
    <t>Value and/or volume of cash deposit / withdrawal above personal / peer group threshold</t>
  </si>
  <si>
    <t>PEP, FM or KCA meets the following criteria - 
• High volume of payments to / from  high risk jurisdictions  
• High value payments to / from high risk jurisdictions 
• High volume/value of cash withdrawals and visa spend in  high risk jurisdictions</t>
  </si>
  <si>
    <t>High Risk Customer, High Risk Jurisdictions, Cash</t>
  </si>
  <si>
    <t>Rapid flow through of funds on a PEP account (all transactions in and out in a short period of time)</t>
  </si>
  <si>
    <t>High Risk Customer, High Turnover</t>
  </si>
  <si>
    <t xml:space="preserve">Significant volume of payments received from  third parties into the PEP, FM, KCAs account </t>
  </si>
  <si>
    <t>High Risk Customer, Third Party</t>
  </si>
  <si>
    <t xml:space="preserve">High Risk Customer, High Value and Volume Transactions </t>
  </si>
  <si>
    <t xml:space="preserve">Significant deviation from PEP peer group in volume and value of high risk transaction types </t>
  </si>
  <si>
    <t xml:space="preserve"> Significant deviation from SIP/HRC peer group in volume and value of high risk transaction types </t>
  </si>
  <si>
    <t>Significant deviation from SIP/HRC  peer group activity based on volume or value of transactions</t>
  </si>
  <si>
    <t>High Risk Customer, High Risk Transaction Types</t>
  </si>
  <si>
    <t xml:space="preserve">Typology </t>
  </si>
  <si>
    <t>CONTROL ENVIRONMENT</t>
  </si>
  <si>
    <t>Rules</t>
  </si>
  <si>
    <t>Controls to manage the risk typologies</t>
  </si>
  <si>
    <t>√</t>
  </si>
  <si>
    <t>48,11</t>
  </si>
  <si>
    <t>49/11</t>
  </si>
  <si>
    <t>48/11</t>
  </si>
  <si>
    <t>Rule 24 - Value and/or volume of cash deposit / withdrawal above personal / peer group threshold</t>
  </si>
  <si>
    <t xml:space="preserve">High value cash deposits/withdrawals  </t>
  </si>
  <si>
    <t>CT6,CT7,CT8</t>
  </si>
  <si>
    <t>Rule 34 -  High volume and/or value of inbound/outbound  payments, VISA spend and cash withdrawals involving high risk jurisdictions</t>
  </si>
  <si>
    <t xml:space="preserve">Rule 34 -  High volume and/or value of inbound/outbound  payments, VISA spend and cash withdrawals involving high risk jurisdictions
</t>
  </si>
  <si>
    <t xml:space="preserve">Rule 22 - High volume of cash deposits/withdrawals in small amounts 
Rule 35 -  High value deposit followed by similar sized withdrawals (single or multiple) within xx days
Rule 48 - Significant deviation from peer group activity based on volume and/or value of transactions
Rule 47(a) - Significant deviation from historical profile based on value of transactions within [3] months
Rule 47 (b) - Significant deviation from historical profile based on volume of transactions within [3] months
Rule 47 (c) - Significant deviation from historical profile based on geography of transactions within [3] months
Rule 49 - Significant deviation from peer group in volume of counter parties
Rule 51 - Significant deviation from peer group in volume and value of high risk transaction types </t>
  </si>
  <si>
    <t>22,35,48,47,49,51</t>
  </si>
  <si>
    <t>21,47,County Lines</t>
  </si>
  <si>
    <t>Historical Change in Behaviour</t>
  </si>
  <si>
    <t>Anticipatory Behaviour</t>
  </si>
  <si>
    <t>Rule 47(a) - Significant deviation from historical profile based on value of transactions within [3] months
Rule 47 (b) - Significant deviation from historical profile based on volume of transactions within [3] months
Rule 47 (c) - Significant deviation from historical profile based on geography of transactions within [3] months</t>
  </si>
  <si>
    <t>Rule 52 - 
PEP, FM or KCA meets the following criteria - 
• High volume of payments to / from  high risk jurisdictions  
• High value payments to / from high risk jurisdictions 
• High volume/value of cash withdrawals and visa spend in  high risk jurisdictions</t>
  </si>
  <si>
    <t>Rule 53 - 
• Rapid flow through of funds on a high-risk customer / account (all transactions in and out in a short period of time)</t>
  </si>
  <si>
    <t>44,47,48,49,51</t>
  </si>
  <si>
    <t xml:space="preserve">Rule 44 - Significant deviation from prior deposit activity
Rule 47(a) - Significant deviation from historical profile based on value of transactions within [3] months
Rule 47 (b) - Significant deviation from historical profile based on volume of transactions within [3] months
Rule 47 (c) - Significant deviation from historical profile based on geography of transactions within [3] months
Rule 48 - Significant deviation from peer group activity based on volume or value of transactions
Rule 49 - Significant deviation from peer group in volume of counter parties
Rule 51 -Significant deviation from peer group in volume and value of high risk transaction types </t>
  </si>
  <si>
    <t>Rule removed as risk considered minimal to NBS and control not required.</t>
  </si>
  <si>
    <t xml:space="preserve">D&amp;A currently producing a business use model to identify customers using their account for business purposes. Following deployment of this model, a decision on whether business specific rules are required will be made. </t>
  </si>
  <si>
    <t>• Risk mitigated by rules 34</t>
  </si>
  <si>
    <t>• IP addresses in high risk jurisdictions to be captured as part of rules 34</t>
  </si>
  <si>
    <t xml:space="preserve">Future Considerations - • Create list of high risk words to monitor for in payment messages. Include on list of high risk words to monitor for in payment messages </t>
  </si>
  <si>
    <t>Future Considerations - • Transactions involving high-risk vendors i.e. list of dark web market place</t>
  </si>
  <si>
    <t xml:space="preserve">Future Considerations - • Include on list of high risk words to monitor for in payment messages </t>
  </si>
  <si>
    <t xml:space="preserve">Future Considerations - • X number of payments at X value to airline companies in X period of time </t>
  </si>
  <si>
    <t>Personal Loans</t>
  </si>
  <si>
    <t>Payment is X times larger than stated income</t>
  </si>
  <si>
    <t>Volume of repayments in a period are greater than xx</t>
  </si>
  <si>
    <t>Historical Change in Behaviour, Early Redemption</t>
  </si>
  <si>
    <t xml:space="preserve">49/11, 73 </t>
  </si>
  <si>
    <t>Significant deviation from peer group in volume and value of third party payments</t>
  </si>
  <si>
    <t xml:space="preserve">Rule 45 - Build up of deposits in account in a short period greater than X times income amount
</t>
  </si>
  <si>
    <t>Early Redemption, Anticipatory behaviour</t>
  </si>
  <si>
    <t>Rule 4 - Loan repayments made in cash greater than value and volume thresholds (Mortgages)
Rule 76 - Loan repayments made in cash greater than value and volume thresholds (Credit Cards)
Rule 81 - Loan repayments made in cash greater than value and volume thresholds (Personal Loan)</t>
  </si>
  <si>
    <t>Rule 7 - Payment is X times larger than stated income (Mortgages)
Rule 77 - Payment is X times larger than stated income (Credit Cards)
Rule 82 - Payment is X times larger than stated income (Personal Loan)</t>
  </si>
  <si>
    <t>Rule 49 - Significant deviation from peer group in volume of counter parties
Rule 11 - Number of distinct third parties within a period is greater than personal and peer group thresholds
Rule 73 - Significant deviation from peer group in volume and value of third party payments (Mortgages)
Significant deviation from peer group in volume and value of third party payments (Credit Cards)
Rule 83 - Significant deviation from peer group in volume and value of third party payments ( Personal Loans)</t>
  </si>
  <si>
    <t xml:space="preserve">
Rule 48 - Significant deviation from peer group activity based on volume and/or value of transactions
Rule 11  - Number of distinct third parties within a period is greater than personal and peer group thresholds
Rule 73 - Significant deviation from peer group in volume and value of third party payments (Mortgages)
Rule 83 - Significant deviation from peer group in volume and value of third party payments ( Personal Loans)</t>
  </si>
  <si>
    <t>High Value &amp; Volume, Dormant Accounts, New Accounts</t>
  </si>
  <si>
    <t>Gambling, High Risk Transaction Types</t>
  </si>
  <si>
    <t>Cash, Geographical</t>
  </si>
  <si>
    <t>Historical change in behaviour, Geographical</t>
  </si>
  <si>
    <t>Borrow backs</t>
  </si>
  <si>
    <t>Anticipatory behaviour, Cash</t>
  </si>
  <si>
    <t>Rule 74 -Value of repayment amount is equivalent to xx the size of normal repayment amount (Credit Cards)
rule 75 - Volume of repayments in a period are greater than xx (Credit Cards)</t>
  </si>
  <si>
    <t>Rule 2 - Value of repayment amount is equivalent to xx the size of normal repayment amount (Mortgages)
Rule 79 - Value of repayment amount is equivalent to xx the size of normal repayment amount (Personal Loans)</t>
  </si>
  <si>
    <t>Rule 3 - Volume of repayments in a period are greater than xx (Mortgages)
Rule 80 - Volume of repayments in a period are greater than xx (Personal Loans)</t>
  </si>
  <si>
    <t>Overpayments, Anticipatory behaviour</t>
  </si>
  <si>
    <t>Historical Change in Behaviour, Overpayments</t>
  </si>
  <si>
    <t>Rule 2 - Value of repayment amount is equivalent to xx the size of normal repayment amount
Rule 79 - Value of repayment amount is equivalent to xx the size of normal repayment amount (Personal Loans)</t>
  </si>
  <si>
    <t xml:space="preserve">Retain and add additional rule </t>
  </si>
  <si>
    <t>Rule 3 - Number of repayments in a period are greater than xx
Rule 80 - Volume of repayments in a period are greater than xx (Personal Loans)</t>
  </si>
  <si>
    <t>Retain - move to cash risk</t>
  </si>
  <si>
    <t>Remove/Add</t>
  </si>
  <si>
    <t xml:space="preserve">Remove and add additional rules </t>
  </si>
  <si>
    <t>Rule 7 - Payment is X times larger than stated income
Rule 7 - Payment is X times larger than stated income (Mortgages)
Rule 77 - Payment is X times larger than stated income (Credit Cards)
Rule 82 - Payment is X times larger than stated income (Personal Loan)</t>
  </si>
  <si>
    <t>Phase</t>
  </si>
  <si>
    <t>High value payments to/from third parties within a period is greater than personal and peer group thresholds</t>
  </si>
  <si>
    <t>Significant deviation from peer group in volume of distinct counter parties (Payments to/from  counter parties such as DD)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</si>
</sst>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Red]\-&quot;£&quot;#,##0"/>
    <numFmt numFmtId="165" formatCode="&quot;£&quot;#,##0"/>
    <numFmt numFmtId="166" formatCode="#,##0_ ;[Red]\-#,##0\ "/>
  </numFmts>
  <fonts count="32">
    <font>
      <sz val="11"/>
      <color theme="1"/>
      <name val="Calibri"/>
      <family val="2"/>
      <scheme val="minor"/>
    </font>
    <font>
      <sz val="9"/>
      <name val="NBS Light"/>
      <family val="2"/>
    </font>
    <font>
      <sz val="9"/>
      <color theme="1"/>
      <name val="NBS Light"/>
      <family val="2"/>
    </font>
    <font>
      <sz val="10"/>
      <color theme="1"/>
      <name val="NBS Light"/>
      <family val="2"/>
    </font>
    <font>
      <sz val="10"/>
      <name val="NBS Light"/>
      <family val="2"/>
    </font>
    <font>
      <sz val="10"/>
      <color rgb="FF282827"/>
      <name val="NBS Light"/>
      <family val="2"/>
    </font>
    <font>
      <b/>
      <sz val="10"/>
      <color theme="1"/>
      <name val="NBS Light"/>
      <family val="2"/>
    </font>
    <font>
      <b/>
      <sz val="10"/>
      <name val="NBS Light"/>
      <family val="2"/>
    </font>
    <font>
      <b/>
      <sz val="11"/>
      <color theme="0"/>
      <name val="NBS Medium"/>
      <family val="2"/>
    </font>
    <font>
      <sz val="11"/>
      <color theme="0"/>
      <name val="NBS Medium"/>
      <family val="2"/>
    </font>
    <font>
      <b/>
      <sz val="11"/>
      <color theme="1"/>
      <name val="NBS Medium"/>
      <family val="2"/>
    </font>
    <font>
      <sz val="11"/>
      <color theme="1"/>
      <name val="NBS Light"/>
      <family val="2"/>
    </font>
    <font>
      <sz val="10"/>
      <color theme="0"/>
      <name val="NBS Medium"/>
      <family val="2"/>
    </font>
    <font>
      <sz val="10"/>
      <color theme="1"/>
      <name val="NBS Medium"/>
      <family val="2"/>
    </font>
    <font>
      <sz val="10"/>
      <name val="NBS Medium"/>
      <family val="2"/>
    </font>
    <font>
      <b/>
      <sz val="9"/>
      <color theme="1"/>
      <name val="NBS Light"/>
      <family val="2"/>
    </font>
    <font>
      <b/>
      <sz val="10"/>
      <color theme="0"/>
      <name val="NBS Medium"/>
      <family val="2"/>
    </font>
    <font>
      <b/>
      <sz val="11"/>
      <color theme="0"/>
      <name val="NBS Light"/>
      <family val="2"/>
    </font>
    <font>
      <sz val="8"/>
      <name val="Calibri"/>
      <family val="2"/>
      <scheme val="minor"/>
    </font>
    <font>
      <b/>
      <sz val="10"/>
      <color theme="0"/>
      <name val="NBS Light"/>
      <family val="2"/>
    </font>
    <font>
      <sz val="11"/>
      <name val="NBS Light"/>
      <family val="2"/>
    </font>
    <font>
      <i/>
      <sz val="11"/>
      <color theme="0"/>
      <name val="NBS Medium"/>
      <family val="2"/>
    </font>
    <font>
      <sz val="14"/>
      <color theme="0"/>
      <name val="Elephant"/>
      <family val="1"/>
    </font>
    <font>
      <sz val="9"/>
      <color rgb="FF000000"/>
      <name val="NBS Light"/>
      <family val="2"/>
    </font>
    <font>
      <b/>
      <sz val="11"/>
      <color theme="0"/>
      <name val="Calibri"/>
      <family val="2"/>
      <scheme val="minor"/>
    </font>
    <font>
      <b/>
      <sz val="11"/>
      <color theme="1"/>
      <name val="Calibri"/>
      <family val="2"/>
      <scheme val="minor"/>
    </font>
    <font>
      <sz val="8"/>
      <color theme="0"/>
      <name val="NBS Medium"/>
      <family val="2"/>
    </font>
    <font>
      <b/>
      <sz val="8"/>
      <color theme="0"/>
      <name val="NBS Medium"/>
      <family val="2"/>
    </font>
    <font>
      <sz val="8"/>
      <color theme="1"/>
      <name val="NBS Medium"/>
      <family val="2"/>
    </font>
    <font>
      <sz val="8"/>
      <name val="NBS Medium"/>
      <family val="2"/>
    </font>
    <font>
      <b/>
      <sz val="16"/>
      <color theme="1"/>
      <name val="NBS Medium"/>
      <family val="2"/>
    </font>
    <font>
      <b/>
      <sz val="14"/>
      <color theme="1"/>
      <name val="Calibri"/>
      <family val="2"/>
    </font>
  </fonts>
  <fills count="12">
    <fill>
      <patternFill patternType="none"/>
    </fill>
    <fill>
      <patternFill patternType="gray125"/>
    </fill>
    <fill>
      <patternFill patternType="solid">
        <fgColor theme="0"/>
        <bgColor indexed="64"/>
      </patternFill>
    </fill>
    <fill>
      <patternFill patternType="solid">
        <fgColor theme="4" tint="-0.499984740745262"/>
        <bgColor indexed="64"/>
      </patternFill>
    </fill>
    <fill>
      <patternFill patternType="solid">
        <fgColor rgb="FFC00000"/>
        <bgColor indexed="64"/>
      </patternFill>
    </fill>
    <fill>
      <patternFill patternType="solid">
        <fgColor rgb="FFFFC000"/>
        <bgColor indexed="64"/>
      </patternFill>
    </fill>
    <fill>
      <patternFill patternType="solid">
        <fgColor theme="2"/>
        <bgColor indexed="64"/>
      </patternFill>
    </fill>
    <fill>
      <patternFill patternType="solid">
        <fgColor rgb="FF7030A0"/>
        <bgColor indexed="64"/>
      </patternFill>
    </fill>
    <fill>
      <patternFill patternType="solid">
        <fgColor rgb="FF92D050"/>
        <bgColor indexed="64"/>
      </patternFill>
    </fill>
    <fill>
      <patternFill patternType="solid">
        <fgColor theme="8" tint="-0.249977111117893"/>
        <bgColor indexed="64"/>
      </patternFill>
    </fill>
    <fill>
      <patternFill patternType="solid">
        <fgColor rgb="FFFFFFFF"/>
        <bgColor indexed="64"/>
      </patternFill>
    </fill>
    <fill>
      <patternFill patternType="solid">
        <fgColor rgb="FF002060"/>
        <bgColor indexed="64"/>
      </patternFill>
    </fill>
  </fills>
  <borders count="85">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style="hair">
        <color indexed="64"/>
      </left>
      <right/>
      <top/>
      <bottom style="hair">
        <color indexed="64"/>
      </bottom>
      <diagonal/>
    </border>
    <border>
      <left style="hair">
        <color indexed="64"/>
      </left>
      <right/>
      <top style="hair">
        <color indexed="64"/>
      </top>
      <bottom style="hair">
        <color indexed="64"/>
      </bottom>
      <diagonal/>
    </border>
    <border>
      <left style="hair">
        <color indexed="64"/>
      </left>
      <right/>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style="hair">
        <color indexed="64"/>
      </right>
      <top/>
      <bottom/>
      <diagonal/>
    </border>
    <border>
      <left/>
      <right style="hair">
        <color indexed="64"/>
      </right>
      <top style="hair">
        <color indexed="64"/>
      </top>
      <bottom style="hair">
        <color indexed="64"/>
      </bottom>
      <diagonal/>
    </border>
    <border>
      <left/>
      <right style="hair">
        <color indexed="64"/>
      </right>
      <top/>
      <bottom style="hair">
        <color indexed="64"/>
      </bottom>
      <diagonal/>
    </border>
    <border>
      <left/>
      <right/>
      <top style="hair">
        <color indexed="64"/>
      </top>
      <bottom style="hair">
        <color indexed="64"/>
      </bottom>
      <diagonal/>
    </border>
    <border>
      <left/>
      <right style="hair">
        <color indexed="64"/>
      </right>
      <top style="hair">
        <color indexed="64"/>
      </top>
      <bottom/>
      <diagonal/>
    </border>
    <border>
      <left/>
      <right/>
      <top/>
      <bottom style="hair">
        <color indexed="64"/>
      </bottom>
      <diagonal/>
    </border>
    <border>
      <left style="medium">
        <color indexed="64"/>
      </left>
      <right/>
      <top style="medium">
        <color indexed="64"/>
      </top>
      <bottom/>
      <diagonal/>
    </border>
    <border>
      <left style="hair">
        <color indexed="64"/>
      </left>
      <right style="hair">
        <color indexed="64"/>
      </right>
      <top style="medium">
        <color indexed="64"/>
      </top>
      <bottom/>
      <diagonal/>
    </border>
    <border>
      <left style="hair">
        <color indexed="64"/>
      </left>
      <right style="hair">
        <color indexed="64"/>
      </right>
      <top style="medium">
        <color indexed="64"/>
      </top>
      <bottom style="hair">
        <color indexed="64"/>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hair">
        <color indexed="64"/>
      </left>
      <right style="hair">
        <color indexed="64"/>
      </right>
      <top style="hair">
        <color indexed="64"/>
      </top>
      <bottom style="medium">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style="medium">
        <color indexed="64"/>
      </left>
      <right style="hair">
        <color indexed="64"/>
      </right>
      <top style="hair">
        <color indexed="64"/>
      </top>
      <bottom/>
      <diagonal/>
    </border>
    <border>
      <left style="hair">
        <color indexed="64"/>
      </left>
      <right style="medium">
        <color indexed="64"/>
      </right>
      <top/>
      <bottom/>
      <diagonal/>
    </border>
    <border>
      <left style="medium">
        <color indexed="64"/>
      </left>
      <right style="hair">
        <color indexed="64"/>
      </right>
      <top/>
      <bottom/>
      <diagonal/>
    </border>
    <border>
      <left style="medium">
        <color indexed="64"/>
      </left>
      <right style="hair">
        <color indexed="64"/>
      </right>
      <top/>
      <bottom style="hair">
        <color indexed="64"/>
      </bottom>
      <diagonal/>
    </border>
    <border>
      <left style="medium">
        <color indexed="64"/>
      </left>
      <right/>
      <top style="hair">
        <color indexed="64"/>
      </top>
      <bottom/>
      <diagonal/>
    </border>
    <border>
      <left style="medium">
        <color indexed="64"/>
      </left>
      <right/>
      <top/>
      <bottom style="hair">
        <color indexed="64"/>
      </bottom>
      <diagonal/>
    </border>
    <border>
      <left style="hair">
        <color indexed="64"/>
      </left>
      <right style="medium">
        <color indexed="64"/>
      </right>
      <top/>
      <bottom style="medium">
        <color indexed="64"/>
      </bottom>
      <diagonal/>
    </border>
    <border>
      <left/>
      <right style="medium">
        <color indexed="64"/>
      </right>
      <top style="medium">
        <color indexed="64"/>
      </top>
      <bottom style="hair">
        <color indexed="64"/>
      </bottom>
      <diagonal/>
    </border>
    <border>
      <left style="hair">
        <color indexed="64"/>
      </left>
      <right style="medium">
        <color indexed="64"/>
      </right>
      <top style="hair">
        <color indexed="64"/>
      </top>
      <bottom style="hair">
        <color indexed="64"/>
      </bottom>
      <diagonal/>
    </border>
    <border>
      <left/>
      <right style="medium">
        <color indexed="64"/>
      </right>
      <top style="hair">
        <color indexed="64"/>
      </top>
      <bottom/>
      <diagonal/>
    </border>
    <border>
      <left/>
      <right style="medium">
        <color indexed="64"/>
      </right>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style="medium">
        <color indexed="64"/>
      </left>
      <right style="hair">
        <color indexed="64"/>
      </right>
      <top style="hair">
        <color indexed="64"/>
      </top>
      <bottom style="hair">
        <color indexed="64"/>
      </bottom>
      <diagonal/>
    </border>
    <border>
      <left/>
      <right style="medium">
        <color indexed="64"/>
      </right>
      <top style="hair">
        <color indexed="64"/>
      </top>
      <bottom style="hair">
        <color indexed="64"/>
      </bottom>
      <diagonal/>
    </border>
    <border>
      <left style="hair">
        <color indexed="64"/>
      </left>
      <right style="medium">
        <color indexed="64"/>
      </right>
      <top style="hair">
        <color indexed="64"/>
      </top>
      <bottom style="medium">
        <color indexed="64"/>
      </bottom>
      <diagonal/>
    </border>
    <border>
      <left/>
      <right/>
      <top style="medium">
        <color indexed="64"/>
      </top>
      <bottom/>
      <diagonal/>
    </border>
    <border>
      <left style="hair">
        <color indexed="64"/>
      </left>
      <right style="medium">
        <color indexed="64"/>
      </right>
      <top style="hair">
        <color indexed="64"/>
      </top>
      <bottom/>
      <diagonal/>
    </border>
    <border>
      <left style="medium">
        <color indexed="64"/>
      </left>
      <right style="hair">
        <color indexed="64"/>
      </right>
      <top style="medium">
        <color indexed="64"/>
      </top>
      <bottom/>
      <diagonal/>
    </border>
    <border>
      <left style="medium">
        <color indexed="64"/>
      </left>
      <right style="hair">
        <color indexed="64"/>
      </right>
      <top style="hair">
        <color indexed="64"/>
      </top>
      <bottom style="medium">
        <color indexed="64"/>
      </bottom>
      <diagonal/>
    </border>
    <border>
      <left style="hair">
        <color indexed="64"/>
      </left>
      <right style="medium">
        <color indexed="64"/>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hair">
        <color indexed="64"/>
      </right>
      <top/>
      <bottom style="medium">
        <color indexed="64"/>
      </bottom>
      <diagonal/>
    </border>
    <border>
      <left style="medium">
        <color indexed="64"/>
      </left>
      <right style="hair">
        <color indexed="64"/>
      </right>
      <top style="thin">
        <color indexed="64"/>
      </top>
      <bottom/>
      <diagonal/>
    </border>
    <border>
      <left style="hair">
        <color indexed="64"/>
      </left>
      <right style="hair">
        <color indexed="64"/>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right/>
      <top/>
      <bottom style="medium">
        <color indexed="64"/>
      </bottom>
      <diagonal/>
    </border>
    <border>
      <left/>
      <right style="thin">
        <color theme="0" tint="-4.9989318521683403E-2"/>
      </right>
      <top style="medium">
        <color indexed="64"/>
      </top>
      <bottom style="thin">
        <color theme="0" tint="-4.9989318521683403E-2"/>
      </bottom>
      <diagonal/>
    </border>
    <border>
      <left style="thin">
        <color theme="0" tint="-4.9989318521683403E-2"/>
      </left>
      <right style="thin">
        <color theme="0" tint="-4.9989318521683403E-2"/>
      </right>
      <top style="medium">
        <color indexed="64"/>
      </top>
      <bottom style="thin">
        <color theme="0" tint="-4.9989318521683403E-2"/>
      </bottom>
      <diagonal/>
    </border>
    <border>
      <left style="thin">
        <color theme="0" tint="-4.9989318521683403E-2"/>
      </left>
      <right/>
      <top style="medium">
        <color indexed="64"/>
      </top>
      <bottom/>
      <diagonal/>
    </border>
    <border>
      <left/>
      <right style="thin">
        <color theme="0" tint="-4.9989318521683403E-2"/>
      </right>
      <top style="thin">
        <color theme="0" tint="-4.9989318521683403E-2"/>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0" tint="-4.9989318521683403E-2"/>
      </left>
      <right/>
      <top/>
      <bottom style="thin">
        <color theme="0" tint="-4.9989318521683403E-2"/>
      </bottom>
      <diagonal/>
    </border>
    <border>
      <left/>
      <right/>
      <top/>
      <bottom style="thin">
        <color theme="0" tint="-4.9989318521683403E-2"/>
      </bottom>
      <diagonal/>
    </border>
    <border>
      <left/>
      <right style="thin">
        <color theme="0" tint="-4.9989318521683403E-2"/>
      </right>
      <top/>
      <bottom style="thin">
        <color theme="0" tint="-4.9989318521683403E-2"/>
      </bottom>
      <diagonal/>
    </border>
    <border>
      <left/>
      <right style="medium">
        <color indexed="64"/>
      </right>
      <top/>
      <bottom style="thin">
        <color theme="0" tint="-4.9989318521683403E-2"/>
      </bottom>
      <diagonal/>
    </border>
    <border>
      <left/>
      <right/>
      <top style="thin">
        <color theme="0" tint="-4.9989318521683403E-2"/>
      </top>
      <bottom style="thin">
        <color theme="0" tint="-4.9989318521683403E-2"/>
      </bottom>
      <diagonal/>
    </border>
    <border>
      <left style="thin">
        <color theme="0" tint="-4.9989318521683403E-2"/>
      </left>
      <right/>
      <top style="thin">
        <color theme="0" tint="-4.9989318521683403E-2"/>
      </top>
      <bottom style="thin">
        <color theme="0" tint="-4.9989318521683403E-2"/>
      </bottom>
      <diagonal/>
    </border>
    <border>
      <left/>
      <right style="thin">
        <color theme="0" tint="-4.9989318521683403E-2"/>
      </right>
      <top style="thin">
        <color theme="0" tint="-4.9989318521683403E-2"/>
      </top>
      <bottom style="thin">
        <color theme="0" tint="-4.9989318521683403E-2"/>
      </bottom>
      <diagonal/>
    </border>
    <border>
      <left style="thin">
        <color theme="0" tint="-4.9989318521683403E-2"/>
      </left>
      <right/>
      <top style="thin">
        <color theme="0" tint="-4.9989318521683403E-2"/>
      </top>
      <bottom/>
      <diagonal/>
    </border>
    <border>
      <left/>
      <right style="medium">
        <color indexed="64"/>
      </right>
      <top style="thin">
        <color theme="0" tint="-4.9989318521683403E-2"/>
      </top>
      <bottom/>
      <diagonal/>
    </border>
    <border>
      <left/>
      <right style="medium">
        <color indexed="64"/>
      </right>
      <top style="thin">
        <color theme="0" tint="-4.9989318521683403E-2"/>
      </top>
      <bottom style="thin">
        <color theme="0" tint="-4.9989318521683403E-2"/>
      </bottom>
      <diagonal/>
    </border>
    <border>
      <left style="thin">
        <color theme="0" tint="-4.9989318521683403E-2"/>
      </left>
      <right/>
      <top/>
      <bottom/>
      <diagonal/>
    </border>
    <border>
      <left style="thin">
        <color theme="0" tint="-4.9989318521683403E-2"/>
      </left>
      <right style="thin">
        <color theme="0" tint="-4.9989318521683403E-2"/>
      </right>
      <top style="thin">
        <color theme="0" tint="-4.9989318521683403E-2"/>
      </top>
      <bottom/>
      <diagonal/>
    </border>
    <border>
      <left style="thin">
        <color theme="0" tint="-4.9989318521683403E-2"/>
      </left>
      <right style="thin">
        <color theme="0" tint="-4.9989318521683403E-2"/>
      </right>
      <top/>
      <bottom style="thin">
        <color theme="0" tint="-4.9989318521683403E-2"/>
      </bottom>
      <diagonal/>
    </border>
    <border>
      <left/>
      <right style="thin">
        <color theme="0" tint="-4.9989318521683403E-2"/>
      </right>
      <top/>
      <bottom/>
      <diagonal/>
    </border>
    <border>
      <left style="medium">
        <color indexed="64"/>
      </left>
      <right style="medium">
        <color indexed="64"/>
      </right>
      <top style="medium">
        <color indexed="64"/>
      </top>
      <bottom style="medium">
        <color indexed="64"/>
      </bottom>
      <diagonal/>
    </border>
    <border>
      <left style="hair">
        <color indexed="64"/>
      </left>
      <right style="medium">
        <color indexed="64"/>
      </right>
      <top/>
      <bottom style="hair">
        <color indexed="64"/>
      </bottom>
      <diagonal/>
    </border>
    <border>
      <left style="medium">
        <color indexed="64"/>
      </left>
      <right style="hair">
        <color indexed="64"/>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hair">
        <color indexed="64"/>
      </left>
      <right/>
      <top style="hair">
        <color indexed="64"/>
      </top>
      <bottom style="medium">
        <color indexed="64"/>
      </bottom>
      <diagonal/>
    </border>
    <border>
      <left style="hair">
        <color indexed="64"/>
      </left>
      <right/>
      <top style="medium">
        <color indexed="64"/>
      </top>
      <bottom style="hair">
        <color indexed="64"/>
      </bottom>
      <diagonal/>
    </border>
    <border>
      <left style="hair">
        <color indexed="64"/>
      </left>
      <right/>
      <top style="medium">
        <color indexed="64"/>
      </top>
      <bottom/>
      <diagonal/>
    </border>
    <border>
      <left style="hair">
        <color indexed="64"/>
      </left>
      <right/>
      <top style="medium">
        <color indexed="64"/>
      </top>
      <bottom style="medium">
        <color indexed="64"/>
      </bottom>
      <diagonal/>
    </border>
  </borders>
  <cellStyleXfs count="1">
    <xf numFmtId="0" fontId="0" fillId="0" borderId="0"/>
  </cellStyleXfs>
  <cellXfs count="467">
    <xf numFmtId="0" fontId="0" fillId="0" borderId="0" xfId="0"/>
    <xf numFmtId="0" fontId="2" fillId="0" borderId="0" xfId="0" applyFont="1" applyAlignment="1">
      <alignment horizontal="left" vertical="center" wrapText="1"/>
    </xf>
    <xf numFmtId="0" fontId="3" fillId="0" borderId="1" xfId="0" applyFont="1" applyBorder="1" applyAlignment="1">
      <alignment wrapText="1"/>
    </xf>
    <xf numFmtId="0" fontId="4" fillId="0" borderId="1" xfId="0" applyFont="1" applyBorder="1" applyAlignment="1">
      <alignment vertical="center" wrapText="1"/>
    </xf>
    <xf numFmtId="0" fontId="3" fillId="0" borderId="1" xfId="0" applyFont="1" applyBorder="1" applyAlignment="1">
      <alignment vertical="center" wrapText="1"/>
    </xf>
    <xf numFmtId="0" fontId="5" fillId="0" borderId="1" xfId="0" applyFont="1" applyBorder="1" applyAlignment="1">
      <alignment horizontal="left" vertical="center" wrapText="1"/>
    </xf>
    <xf numFmtId="0" fontId="4" fillId="0" borderId="1" xfId="0" applyFont="1" applyBorder="1" applyAlignment="1">
      <alignment wrapText="1"/>
    </xf>
    <xf numFmtId="0" fontId="0" fillId="0" borderId="1" xfId="0" applyBorder="1"/>
    <xf numFmtId="0" fontId="0" fillId="0" borderId="1" xfId="0" applyBorder="1" applyAlignment="1">
      <alignment horizontal="center"/>
    </xf>
    <xf numFmtId="0" fontId="3" fillId="6" borderId="1" xfId="0" applyFont="1" applyFill="1" applyBorder="1" applyAlignment="1">
      <alignment horizontal="center" vertical="center" wrapText="1"/>
    </xf>
    <xf numFmtId="0" fontId="3" fillId="6"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10" fontId="3" fillId="6" borderId="1" xfId="0" applyNumberFormat="1" applyFont="1" applyFill="1" applyBorder="1" applyAlignment="1">
      <alignment horizontal="center" vertical="center" wrapText="1"/>
    </xf>
    <xf numFmtId="10" fontId="4" fillId="6" borderId="1" xfId="0" applyNumberFormat="1" applyFont="1" applyFill="1" applyBorder="1" applyAlignment="1">
      <alignment horizontal="center" vertical="center" wrapText="1"/>
    </xf>
    <xf numFmtId="0" fontId="3" fillId="0" borderId="1" xfId="0" applyFont="1" applyBorder="1" applyAlignment="1">
      <alignment horizontal="center" wrapText="1"/>
    </xf>
    <xf numFmtId="0" fontId="3" fillId="0" borderId="1" xfId="0" applyFont="1" applyBorder="1" applyAlignment="1">
      <alignment horizontal="left" vertical="center" wrapText="1"/>
    </xf>
    <xf numFmtId="0" fontId="8" fillId="3" borderId="1" xfId="0" applyFont="1" applyFill="1" applyBorder="1" applyAlignment="1">
      <alignment horizontal="center" vertical="center" wrapText="1"/>
    </xf>
    <xf numFmtId="0" fontId="10" fillId="4" borderId="14" xfId="0" applyFont="1" applyFill="1" applyBorder="1" applyAlignment="1">
      <alignment horizontal="center" vertical="center" wrapText="1"/>
    </xf>
    <xf numFmtId="0" fontId="10" fillId="5" borderId="1" xfId="0" applyFont="1" applyFill="1" applyBorder="1" applyAlignment="1">
      <alignment horizontal="center" vertical="center" wrapText="1"/>
    </xf>
    <xf numFmtId="0" fontId="2" fillId="0" borderId="0" xfId="0" applyFont="1" applyAlignment="1">
      <alignment horizontal="center" vertical="center" wrapText="1"/>
    </xf>
    <xf numFmtId="0" fontId="3" fillId="0" borderId="7" xfId="0" applyFont="1" applyBorder="1" applyAlignment="1">
      <alignment vertical="center" wrapText="1"/>
    </xf>
    <xf numFmtId="0" fontId="11" fillId="6" borderId="1" xfId="0" applyFont="1" applyFill="1" applyBorder="1" applyAlignment="1">
      <alignment horizontal="center" vertical="center"/>
    </xf>
    <xf numFmtId="3" fontId="14" fillId="6" borderId="1" xfId="0" applyNumberFormat="1" applyFont="1" applyFill="1" applyBorder="1" applyAlignment="1">
      <alignment horizontal="center" vertical="center" wrapText="1"/>
    </xf>
    <xf numFmtId="0" fontId="8" fillId="3" borderId="1" xfId="0" applyFont="1" applyFill="1" applyBorder="1" applyAlignment="1">
      <alignment horizontal="center" vertical="center"/>
    </xf>
    <xf numFmtId="164" fontId="13" fillId="6" borderId="9" xfId="0" applyNumberFormat="1" applyFont="1" applyFill="1" applyBorder="1" applyAlignment="1">
      <alignment horizontal="center" vertical="center" wrapText="1"/>
    </xf>
    <xf numFmtId="165" fontId="13" fillId="6" borderId="9" xfId="0" applyNumberFormat="1" applyFont="1" applyFill="1" applyBorder="1" applyAlignment="1">
      <alignment horizontal="center" vertical="center" wrapText="1"/>
    </xf>
    <xf numFmtId="164" fontId="13" fillId="6" borderId="1" xfId="0" applyNumberFormat="1" applyFont="1" applyFill="1" applyBorder="1" applyAlignment="1">
      <alignment horizontal="center" vertical="center" wrapText="1"/>
    </xf>
    <xf numFmtId="164" fontId="14" fillId="6" borderId="1" xfId="0" applyNumberFormat="1" applyFont="1" applyFill="1" applyBorder="1" applyAlignment="1">
      <alignment horizontal="center" vertical="center" wrapText="1"/>
    </xf>
    <xf numFmtId="0" fontId="15" fillId="0" borderId="0" xfId="0" applyFont="1" applyAlignment="1">
      <alignment horizontal="left" vertical="center" wrapText="1"/>
    </xf>
    <xf numFmtId="0" fontId="8" fillId="3" borderId="1" xfId="0" applyFont="1" applyFill="1" applyBorder="1" applyAlignment="1">
      <alignment horizontal="center" vertical="top" wrapText="1"/>
    </xf>
    <xf numFmtId="0" fontId="12" fillId="3" borderId="1" xfId="0" applyFont="1" applyFill="1" applyBorder="1" applyAlignment="1">
      <alignment horizontal="center" vertical="center" wrapText="1"/>
    </xf>
    <xf numFmtId="0" fontId="11" fillId="0" borderId="1" xfId="0" applyFont="1" applyBorder="1" applyAlignment="1">
      <alignment horizontal="left" vertical="center" wrapText="1"/>
    </xf>
    <xf numFmtId="9" fontId="3" fillId="6" borderId="1" xfId="0" applyNumberFormat="1" applyFont="1" applyFill="1" applyBorder="1" applyAlignment="1">
      <alignment horizontal="center" vertical="center" wrapText="1"/>
    </xf>
    <xf numFmtId="0" fontId="3" fillId="6" borderId="1" xfId="0" applyFont="1" applyFill="1" applyBorder="1" applyAlignment="1">
      <alignment horizontal="center" vertical="center"/>
    </xf>
    <xf numFmtId="0" fontId="11" fillId="0" borderId="0" xfId="0" applyFont="1" applyAlignment="1">
      <alignment horizontal="center" vertical="center"/>
    </xf>
    <xf numFmtId="0" fontId="0" fillId="0" borderId="7" xfId="0" applyBorder="1" applyAlignment="1">
      <alignment horizontal="center"/>
    </xf>
    <xf numFmtId="0" fontId="0" fillId="0" borderId="7" xfId="0" applyBorder="1"/>
    <xf numFmtId="0" fontId="3" fillId="6" borderId="7" xfId="0" applyFont="1" applyFill="1" applyBorder="1" applyAlignment="1">
      <alignment horizontal="left" vertical="center" wrapText="1"/>
    </xf>
    <xf numFmtId="10" fontId="3" fillId="6" borderId="7" xfId="0" applyNumberFormat="1" applyFont="1" applyFill="1" applyBorder="1" applyAlignment="1">
      <alignment horizontal="center" vertical="center" wrapText="1"/>
    </xf>
    <xf numFmtId="0" fontId="2" fillId="6" borderId="1" xfId="0" applyFont="1" applyFill="1" applyBorder="1" applyAlignment="1">
      <alignment horizontal="left" vertical="center" wrapText="1"/>
    </xf>
    <xf numFmtId="0" fontId="2" fillId="6" borderId="1" xfId="0" applyFont="1" applyFill="1" applyBorder="1" applyAlignment="1">
      <alignment horizontal="center" vertical="center" wrapText="1"/>
    </xf>
    <xf numFmtId="10" fontId="2" fillId="6" borderId="1" xfId="0" applyNumberFormat="1" applyFont="1" applyFill="1" applyBorder="1" applyAlignment="1">
      <alignment horizontal="center" vertical="center" wrapText="1"/>
    </xf>
    <xf numFmtId="9" fontId="2" fillId="6" borderId="1" xfId="0" applyNumberFormat="1" applyFont="1" applyFill="1" applyBorder="1" applyAlignment="1">
      <alignment horizontal="center" vertical="center" wrapText="1"/>
    </xf>
    <xf numFmtId="0" fontId="11" fillId="0" borderId="7" xfId="0" applyFont="1" applyBorder="1" applyAlignment="1">
      <alignment horizontal="left" vertical="center" wrapText="1"/>
    </xf>
    <xf numFmtId="0" fontId="11" fillId="0" borderId="0" xfId="0" applyFont="1" applyAlignment="1">
      <alignment horizontal="left" vertical="center" wrapText="1"/>
    </xf>
    <xf numFmtId="0" fontId="0" fillId="0" borderId="7" xfId="0" applyBorder="1" applyAlignment="1">
      <alignment horizontal="center" vertical="center"/>
    </xf>
    <xf numFmtId="0" fontId="0" fillId="2" borderId="0" xfId="0" applyFill="1"/>
    <xf numFmtId="0" fontId="10" fillId="4" borderId="1" xfId="0" applyFont="1" applyFill="1" applyBorder="1" applyAlignment="1">
      <alignment horizontal="center" vertical="center" wrapText="1"/>
    </xf>
    <xf numFmtId="0" fontId="4" fillId="0" borderId="7" xfId="0" applyFont="1" applyBorder="1" applyAlignment="1">
      <alignment vertical="center" wrapText="1"/>
    </xf>
    <xf numFmtId="0" fontId="4" fillId="2" borderId="1" xfId="0" applyFont="1" applyFill="1" applyBorder="1" applyAlignment="1">
      <alignment horizontal="center" vertical="center" wrapText="1"/>
    </xf>
    <xf numFmtId="0" fontId="3" fillId="0" borderId="7" xfId="0" applyFont="1" applyBorder="1" applyAlignment="1">
      <alignment horizontal="left" vertical="center" wrapText="1"/>
    </xf>
    <xf numFmtId="0" fontId="4" fillId="6" borderId="7" xfId="0" applyFont="1" applyFill="1" applyBorder="1" applyAlignment="1">
      <alignment horizontal="left" vertical="center" wrapText="1"/>
    </xf>
    <xf numFmtId="0" fontId="4" fillId="6" borderId="7" xfId="0" applyFont="1" applyFill="1" applyBorder="1" applyAlignment="1">
      <alignment horizontal="center" vertical="center" wrapText="1"/>
    </xf>
    <xf numFmtId="10" fontId="4" fillId="6" borderId="7" xfId="0" applyNumberFormat="1" applyFont="1" applyFill="1" applyBorder="1" applyAlignment="1">
      <alignment horizontal="center" vertical="center" wrapText="1"/>
    </xf>
    <xf numFmtId="0" fontId="3" fillId="6" borderId="7" xfId="0" applyFont="1" applyFill="1" applyBorder="1" applyAlignment="1">
      <alignment horizontal="center" vertical="center" wrapText="1"/>
    </xf>
    <xf numFmtId="0" fontId="11" fillId="6" borderId="7" xfId="0" applyFont="1" applyFill="1" applyBorder="1" applyAlignment="1">
      <alignment horizontal="center" vertical="center"/>
    </xf>
    <xf numFmtId="3" fontId="20" fillId="6" borderId="1" xfId="0" applyNumberFormat="1" applyFont="1" applyFill="1" applyBorder="1" applyAlignment="1">
      <alignment horizontal="center" vertical="center" wrapText="1"/>
    </xf>
    <xf numFmtId="164" fontId="3" fillId="6" borderId="1" xfId="0" applyNumberFormat="1" applyFont="1" applyFill="1" applyBorder="1" applyAlignment="1">
      <alignment horizontal="center" vertical="center" wrapText="1"/>
    </xf>
    <xf numFmtId="166" fontId="13" fillId="6" borderId="13" xfId="0" applyNumberFormat="1" applyFont="1" applyFill="1" applyBorder="1" applyAlignment="1">
      <alignment horizontal="center" vertical="center" wrapText="1"/>
    </xf>
    <xf numFmtId="0" fontId="0" fillId="0" borderId="0" xfId="0" applyAlignment="1">
      <alignment horizontal="center" vertical="center"/>
    </xf>
    <xf numFmtId="0" fontId="0" fillId="0" borderId="1" xfId="0" applyBorder="1" applyAlignment="1">
      <alignment horizontal="center" vertical="center"/>
    </xf>
    <xf numFmtId="0" fontId="4" fillId="0" borderId="1" xfId="0" applyFont="1" applyBorder="1" applyAlignment="1">
      <alignment horizontal="left" vertical="center" wrapText="1"/>
    </xf>
    <xf numFmtId="0" fontId="4" fillId="0" borderId="7" xfId="0" applyFont="1" applyBorder="1" applyAlignment="1">
      <alignment horizontal="left" vertical="center" wrapText="1"/>
    </xf>
    <xf numFmtId="0" fontId="4" fillId="0" borderId="7" xfId="0" applyFont="1" applyBorder="1" applyAlignment="1">
      <alignment horizontal="center" vertical="center" wrapText="1"/>
    </xf>
    <xf numFmtId="166" fontId="13" fillId="6" borderId="2" xfId="0" applyNumberFormat="1" applyFont="1" applyFill="1" applyBorder="1" applyAlignment="1">
      <alignment horizontal="center" vertical="center" wrapText="1"/>
    </xf>
    <xf numFmtId="0" fontId="0" fillId="0" borderId="18" xfId="0" applyBorder="1"/>
    <xf numFmtId="0" fontId="0" fillId="0" borderId="18" xfId="0" applyBorder="1" applyAlignment="1">
      <alignment horizontal="center" vertical="center"/>
    </xf>
    <xf numFmtId="0" fontId="0" fillId="0" borderId="18" xfId="0" applyBorder="1" applyAlignment="1">
      <alignment horizontal="center"/>
    </xf>
    <xf numFmtId="0" fontId="11" fillId="6" borderId="18" xfId="0" applyFont="1" applyFill="1" applyBorder="1" applyAlignment="1">
      <alignment horizontal="center" vertical="center"/>
    </xf>
    <xf numFmtId="0" fontId="3" fillId="6" borderId="18" xfId="0" applyFont="1" applyFill="1" applyBorder="1" applyAlignment="1">
      <alignment horizontal="left" vertical="center" wrapText="1"/>
    </xf>
    <xf numFmtId="0" fontId="3" fillId="6" borderId="18" xfId="0" applyFont="1" applyFill="1" applyBorder="1" applyAlignment="1">
      <alignment horizontal="center" vertical="center" wrapText="1"/>
    </xf>
    <xf numFmtId="10" fontId="3" fillId="6" borderId="18" xfId="0" applyNumberFormat="1" applyFont="1" applyFill="1" applyBorder="1" applyAlignment="1">
      <alignment horizontal="center" vertical="center" wrapText="1"/>
    </xf>
    <xf numFmtId="0" fontId="11" fillId="0" borderId="18" xfId="0" applyFont="1" applyBorder="1" applyAlignment="1">
      <alignment horizontal="left" vertical="center" wrapText="1"/>
    </xf>
    <xf numFmtId="0" fontId="4" fillId="0" borderId="22" xfId="0" applyFont="1" applyBorder="1" applyAlignment="1">
      <alignment horizontal="left" vertical="center" wrapText="1"/>
    </xf>
    <xf numFmtId="0" fontId="0" fillId="0" borderId="22" xfId="0" applyBorder="1" applyAlignment="1">
      <alignment horizontal="center"/>
    </xf>
    <xf numFmtId="0" fontId="11" fillId="6" borderId="22" xfId="0" applyFont="1" applyFill="1" applyBorder="1" applyAlignment="1">
      <alignment horizontal="center" vertical="center"/>
    </xf>
    <xf numFmtId="0" fontId="3" fillId="6" borderId="22" xfId="0" applyFont="1" applyFill="1" applyBorder="1" applyAlignment="1">
      <alignment horizontal="center" vertical="center" wrapText="1"/>
    </xf>
    <xf numFmtId="0" fontId="11" fillId="0" borderId="22" xfId="0" applyFont="1" applyBorder="1" applyAlignment="1">
      <alignment horizontal="left" vertical="center" wrapText="1"/>
    </xf>
    <xf numFmtId="0" fontId="8" fillId="3" borderId="39" xfId="0" applyFont="1" applyFill="1" applyBorder="1" applyAlignment="1">
      <alignment horizontal="center" vertical="center" wrapText="1"/>
    </xf>
    <xf numFmtId="0" fontId="8" fillId="3" borderId="33" xfId="0" applyFont="1" applyFill="1" applyBorder="1" applyAlignment="1">
      <alignment horizontal="center" vertical="center" wrapText="1"/>
    </xf>
    <xf numFmtId="0" fontId="10" fillId="4" borderId="25" xfId="0" applyFont="1" applyFill="1" applyBorder="1" applyAlignment="1">
      <alignment horizontal="center" vertical="center" wrapText="1"/>
    </xf>
    <xf numFmtId="0" fontId="10" fillId="5" borderId="33" xfId="0" applyFont="1" applyFill="1" applyBorder="1" applyAlignment="1">
      <alignment horizontal="center" vertical="center" wrapText="1"/>
    </xf>
    <xf numFmtId="0" fontId="10" fillId="4" borderId="39" xfId="0" applyFont="1" applyFill="1" applyBorder="1" applyAlignment="1">
      <alignment horizontal="center" vertical="center" wrapText="1"/>
    </xf>
    <xf numFmtId="3" fontId="14" fillId="6" borderId="39" xfId="0" applyNumberFormat="1" applyFont="1" applyFill="1" applyBorder="1" applyAlignment="1">
      <alignment horizontal="center" vertical="center" wrapText="1"/>
    </xf>
    <xf numFmtId="3" fontId="14" fillId="6" borderId="33" xfId="0" applyNumberFormat="1" applyFont="1" applyFill="1" applyBorder="1" applyAlignment="1">
      <alignment horizontal="center" vertical="center" wrapText="1"/>
    </xf>
    <xf numFmtId="164" fontId="13" fillId="6" borderId="28" xfId="0" applyNumberFormat="1" applyFont="1" applyFill="1" applyBorder="1" applyAlignment="1">
      <alignment horizontal="center" vertical="center" wrapText="1"/>
    </xf>
    <xf numFmtId="164" fontId="13" fillId="6" borderId="33" xfId="0" applyNumberFormat="1" applyFont="1" applyFill="1" applyBorder="1" applyAlignment="1">
      <alignment horizontal="center" vertical="center" wrapText="1"/>
    </xf>
    <xf numFmtId="166" fontId="13" fillId="6" borderId="38" xfId="0" applyNumberFormat="1" applyFont="1" applyFill="1" applyBorder="1" applyAlignment="1">
      <alignment horizontal="center" vertical="center" wrapText="1"/>
    </xf>
    <xf numFmtId="166" fontId="13" fillId="6" borderId="40" xfId="0" applyNumberFormat="1" applyFont="1" applyFill="1" applyBorder="1" applyAlignment="1">
      <alignment horizontal="center" vertical="center" wrapText="1"/>
    </xf>
    <xf numFmtId="0" fontId="3" fillId="0" borderId="18" xfId="0" applyFont="1" applyBorder="1" applyAlignment="1">
      <alignment horizontal="left" vertical="center" wrapText="1"/>
    </xf>
    <xf numFmtId="0" fontId="0" fillId="0" borderId="17" xfId="0" applyBorder="1" applyAlignment="1">
      <alignment horizontal="center"/>
    </xf>
    <xf numFmtId="0" fontId="3" fillId="0" borderId="17" xfId="0" applyFont="1" applyBorder="1" applyAlignment="1">
      <alignment horizontal="left" vertical="center" wrapText="1"/>
    </xf>
    <xf numFmtId="0" fontId="4" fillId="0" borderId="17" xfId="0" applyFont="1" applyBorder="1" applyAlignment="1">
      <alignment horizontal="left" vertical="center" wrapText="1"/>
    </xf>
    <xf numFmtId="0" fontId="4" fillId="0" borderId="17" xfId="0" applyFont="1" applyBorder="1" applyAlignment="1">
      <alignment horizontal="center" vertical="center" wrapText="1"/>
    </xf>
    <xf numFmtId="0" fontId="0" fillId="0" borderId="17" xfId="0" applyBorder="1" applyAlignment="1">
      <alignment horizontal="center" vertical="center"/>
    </xf>
    <xf numFmtId="0" fontId="11" fillId="6" borderId="17" xfId="0" applyFont="1" applyFill="1" applyBorder="1" applyAlignment="1">
      <alignment horizontal="center" vertical="center"/>
    </xf>
    <xf numFmtId="0" fontId="3" fillId="6" borderId="17" xfId="0" applyFont="1" applyFill="1" applyBorder="1" applyAlignment="1">
      <alignment horizontal="left" vertical="center" wrapText="1"/>
    </xf>
    <xf numFmtId="0" fontId="3" fillId="6" borderId="17" xfId="0" applyFont="1" applyFill="1" applyBorder="1" applyAlignment="1">
      <alignment horizontal="center" vertical="center" wrapText="1"/>
    </xf>
    <xf numFmtId="0" fontId="11" fillId="0" borderId="17" xfId="0" applyFont="1" applyBorder="1" applyAlignment="1">
      <alignment horizontal="left" vertical="center" wrapText="1"/>
    </xf>
    <xf numFmtId="0" fontId="3" fillId="0" borderId="17" xfId="0" applyFont="1" applyBorder="1" applyAlignment="1">
      <alignment vertical="center" wrapText="1"/>
    </xf>
    <xf numFmtId="0" fontId="4" fillId="0" borderId="17" xfId="0" applyFont="1" applyBorder="1" applyAlignment="1">
      <alignment vertical="center" wrapText="1"/>
    </xf>
    <xf numFmtId="0" fontId="4" fillId="0" borderId="18" xfId="0" applyFont="1" applyBorder="1" applyAlignment="1">
      <alignment horizontal="left" vertical="center" wrapText="1"/>
    </xf>
    <xf numFmtId="0" fontId="3" fillId="0" borderId="18" xfId="0" applyFont="1" applyBorder="1" applyAlignment="1">
      <alignment vertical="center" wrapText="1"/>
    </xf>
    <xf numFmtId="0" fontId="4" fillId="0" borderId="1" xfId="0" applyFont="1" applyBorder="1" applyAlignment="1">
      <alignment horizontal="center" vertical="center" wrapText="1"/>
    </xf>
    <xf numFmtId="0" fontId="4" fillId="2" borderId="1" xfId="0" applyFont="1" applyFill="1" applyBorder="1" applyAlignment="1">
      <alignment horizontal="left" vertical="center" wrapText="1"/>
    </xf>
    <xf numFmtId="0" fontId="4" fillId="2" borderId="7" xfId="0" applyFont="1" applyFill="1" applyBorder="1" applyAlignment="1">
      <alignment horizontal="left" vertical="center" wrapText="1"/>
    </xf>
    <xf numFmtId="0" fontId="4" fillId="2" borderId="18" xfId="0" applyFont="1" applyFill="1" applyBorder="1" applyAlignment="1">
      <alignment horizontal="left" vertical="center" wrapText="1"/>
    </xf>
    <xf numFmtId="0" fontId="3" fillId="2" borderId="18" xfId="0" applyFont="1" applyFill="1" applyBorder="1" applyAlignment="1">
      <alignment horizontal="left" vertical="center" wrapText="1"/>
    </xf>
    <xf numFmtId="0" fontId="4" fillId="6" borderId="22" xfId="0" applyFont="1" applyFill="1" applyBorder="1" applyAlignment="1">
      <alignment horizontal="center" vertical="center" wrapText="1"/>
    </xf>
    <xf numFmtId="0" fontId="11" fillId="0" borderId="1" xfId="0" applyFont="1" applyBorder="1" applyAlignment="1">
      <alignment vertical="center" wrapText="1"/>
    </xf>
    <xf numFmtId="166" fontId="13" fillId="6" borderId="29" xfId="0" applyNumberFormat="1" applyFont="1" applyFill="1" applyBorder="1" applyAlignment="1">
      <alignment horizontal="center" vertical="center" wrapText="1"/>
    </xf>
    <xf numFmtId="166" fontId="13" fillId="6" borderId="43" xfId="0" applyNumberFormat="1" applyFont="1" applyFill="1" applyBorder="1" applyAlignment="1">
      <alignment horizontal="center" vertical="center" wrapText="1"/>
    </xf>
    <xf numFmtId="0" fontId="11" fillId="0" borderId="18" xfId="0" applyFont="1" applyBorder="1" applyAlignment="1">
      <alignment vertical="center" wrapText="1"/>
    </xf>
    <xf numFmtId="0" fontId="4" fillId="6" borderId="18" xfId="0" applyFont="1" applyFill="1" applyBorder="1" applyAlignment="1">
      <alignment horizontal="left" vertical="center" wrapText="1"/>
    </xf>
    <xf numFmtId="0" fontId="3" fillId="0" borderId="22" xfId="0" applyFont="1" applyBorder="1" applyAlignment="1">
      <alignment horizontal="left" vertical="center" wrapText="1"/>
    </xf>
    <xf numFmtId="0" fontId="7" fillId="0" borderId="44" xfId="0" applyFont="1" applyBorder="1" applyAlignment="1">
      <alignment horizontal="left" vertical="center" wrapText="1"/>
    </xf>
    <xf numFmtId="0" fontId="4" fillId="6" borderId="17" xfId="0" applyFont="1" applyFill="1" applyBorder="1" applyAlignment="1">
      <alignment horizontal="left" vertical="center" wrapText="1"/>
    </xf>
    <xf numFmtId="0" fontId="4" fillId="0" borderId="18" xfId="0" applyFont="1" applyBorder="1" applyAlignment="1">
      <alignment horizontal="center" vertical="center" wrapText="1"/>
    </xf>
    <xf numFmtId="0" fontId="3" fillId="0" borderId="1" xfId="0" applyFont="1" applyBorder="1" applyAlignment="1">
      <alignment horizontal="center" vertical="center" wrapText="1"/>
    </xf>
    <xf numFmtId="0" fontId="3" fillId="0" borderId="22" xfId="0" applyFont="1" applyBorder="1" applyAlignment="1">
      <alignment horizontal="center" vertical="center" wrapText="1"/>
    </xf>
    <xf numFmtId="0" fontId="3" fillId="0" borderId="18"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7" xfId="0" applyFont="1" applyBorder="1" applyAlignment="1">
      <alignment horizontal="center" vertical="center" wrapText="1"/>
    </xf>
    <xf numFmtId="0" fontId="2" fillId="0" borderId="1" xfId="0" applyFont="1" applyBorder="1" applyAlignment="1">
      <alignment horizontal="center" vertical="center" wrapText="1"/>
    </xf>
    <xf numFmtId="0" fontId="5" fillId="0" borderId="7" xfId="0" applyFont="1" applyBorder="1" applyAlignment="1">
      <alignment horizontal="left" vertical="center" wrapText="1"/>
    </xf>
    <xf numFmtId="9" fontId="3" fillId="6" borderId="7" xfId="0" applyNumberFormat="1" applyFont="1" applyFill="1" applyBorder="1" applyAlignment="1">
      <alignment horizontal="center" vertical="center" wrapText="1"/>
    </xf>
    <xf numFmtId="0" fontId="6" fillId="0" borderId="44" xfId="0" applyFont="1" applyBorder="1" applyAlignment="1">
      <alignment horizontal="left" vertical="center" wrapText="1"/>
    </xf>
    <xf numFmtId="0" fontId="4" fillId="6" borderId="17" xfId="0" applyFont="1" applyFill="1" applyBorder="1" applyAlignment="1">
      <alignment horizontal="center" vertical="center" wrapText="1"/>
    </xf>
    <xf numFmtId="0" fontId="4" fillId="6" borderId="18" xfId="0" applyFont="1" applyFill="1" applyBorder="1" applyAlignment="1">
      <alignment horizontal="center" vertical="center" wrapText="1"/>
    </xf>
    <xf numFmtId="0" fontId="3" fillId="6" borderId="18" xfId="0" applyFont="1" applyFill="1" applyBorder="1" applyAlignment="1">
      <alignment horizontal="center" vertical="center"/>
    </xf>
    <xf numFmtId="1" fontId="3" fillId="6" borderId="7" xfId="0" applyNumberFormat="1" applyFont="1" applyFill="1" applyBorder="1" applyAlignment="1">
      <alignment horizontal="center" vertical="center" wrapText="1"/>
    </xf>
    <xf numFmtId="0" fontId="2" fillId="6" borderId="18" xfId="0" applyFont="1" applyFill="1" applyBorder="1" applyAlignment="1">
      <alignment horizontal="left" vertical="center" wrapText="1"/>
    </xf>
    <xf numFmtId="0" fontId="2" fillId="6" borderId="18" xfId="0" applyFont="1" applyFill="1" applyBorder="1" applyAlignment="1">
      <alignment horizontal="center" vertical="center" wrapText="1"/>
    </xf>
    <xf numFmtId="10" fontId="2" fillId="6" borderId="18" xfId="0" applyNumberFormat="1" applyFont="1" applyFill="1" applyBorder="1" applyAlignment="1">
      <alignment horizontal="center" vertical="center" wrapText="1"/>
    </xf>
    <xf numFmtId="0" fontId="2" fillId="0" borderId="18" xfId="0" applyFont="1" applyBorder="1" applyAlignment="1">
      <alignment horizontal="center" vertical="center" wrapText="1"/>
    </xf>
    <xf numFmtId="0" fontId="2" fillId="0" borderId="18" xfId="0" applyFont="1" applyBorder="1" applyAlignment="1">
      <alignment horizontal="left" vertical="center" wrapText="1"/>
    </xf>
    <xf numFmtId="0" fontId="2" fillId="0" borderId="7" xfId="0" applyFont="1" applyBorder="1" applyAlignment="1">
      <alignment horizontal="left" vertical="center" wrapText="1"/>
    </xf>
    <xf numFmtId="0" fontId="2" fillId="6" borderId="7" xfId="0" applyFont="1" applyFill="1" applyBorder="1" applyAlignment="1">
      <alignment horizontal="left" vertical="center" wrapText="1"/>
    </xf>
    <xf numFmtId="0" fontId="2" fillId="6" borderId="7" xfId="0" applyFont="1" applyFill="1" applyBorder="1" applyAlignment="1">
      <alignment horizontal="center" vertical="center" wrapText="1"/>
    </xf>
    <xf numFmtId="0" fontId="2" fillId="0" borderId="7" xfId="0" applyFont="1" applyBorder="1" applyAlignment="1">
      <alignment horizontal="center" vertical="center" wrapText="1"/>
    </xf>
    <xf numFmtId="0" fontId="2" fillId="6" borderId="22" xfId="0" applyFont="1" applyFill="1" applyBorder="1" applyAlignment="1">
      <alignment horizontal="left" vertical="center" wrapText="1"/>
    </xf>
    <xf numFmtId="0" fontId="2" fillId="6" borderId="22" xfId="0" applyFont="1" applyFill="1" applyBorder="1" applyAlignment="1">
      <alignment horizontal="center" vertical="center" wrapText="1"/>
    </xf>
    <xf numFmtId="10" fontId="2" fillId="6" borderId="7" xfId="0" applyNumberFormat="1" applyFont="1" applyFill="1" applyBorder="1" applyAlignment="1">
      <alignment horizontal="center" vertical="center" wrapText="1"/>
    </xf>
    <xf numFmtId="10" fontId="2" fillId="6" borderId="22" xfId="0" applyNumberFormat="1" applyFont="1" applyFill="1" applyBorder="1" applyAlignment="1">
      <alignment horizontal="center" vertical="center" wrapText="1"/>
    </xf>
    <xf numFmtId="0" fontId="1" fillId="0" borderId="7" xfId="0" applyFont="1" applyBorder="1" applyAlignment="1">
      <alignment horizontal="left" vertical="center" wrapText="1"/>
    </xf>
    <xf numFmtId="0" fontId="0" fillId="0" borderId="17" xfId="0" applyBorder="1"/>
    <xf numFmtId="0" fontId="1" fillId="0" borderId="17" xfId="0" applyFont="1" applyBorder="1" applyAlignment="1">
      <alignment horizontal="left" vertical="center" wrapText="1"/>
    </xf>
    <xf numFmtId="0" fontId="2" fillId="0" borderId="17" xfId="0" applyFont="1" applyBorder="1" applyAlignment="1">
      <alignment horizontal="left" vertical="center" wrapText="1"/>
    </xf>
    <xf numFmtId="0" fontId="4" fillId="0" borderId="18" xfId="0" applyFont="1" applyBorder="1" applyAlignment="1">
      <alignment vertical="center" wrapText="1"/>
    </xf>
    <xf numFmtId="0" fontId="11" fillId="0" borderId="7" xfId="0" quotePrefix="1" applyFont="1" applyBorder="1" applyAlignment="1">
      <alignment horizontal="left" vertical="center" wrapText="1"/>
    </xf>
    <xf numFmtId="0" fontId="11" fillId="2" borderId="18" xfId="0" applyFont="1" applyFill="1" applyBorder="1" applyAlignment="1">
      <alignment horizontal="left" vertical="center" wrapText="1"/>
    </xf>
    <xf numFmtId="0" fontId="11" fillId="0" borderId="46" xfId="0" applyFont="1" applyBorder="1" applyAlignment="1">
      <alignment horizontal="center" vertical="center"/>
    </xf>
    <xf numFmtId="0" fontId="11" fillId="0" borderId="0" xfId="0" applyFont="1"/>
    <xf numFmtId="166" fontId="11" fillId="0" borderId="18" xfId="0" applyNumberFormat="1" applyFont="1" applyBorder="1" applyAlignment="1">
      <alignment horizontal="center" vertical="center"/>
    </xf>
    <xf numFmtId="166" fontId="11" fillId="0" borderId="1" xfId="0" applyNumberFormat="1" applyFont="1" applyBorder="1" applyAlignment="1">
      <alignment horizontal="center" vertical="center"/>
    </xf>
    <xf numFmtId="166" fontId="11" fillId="0" borderId="7" xfId="0" applyNumberFormat="1" applyFont="1" applyBorder="1" applyAlignment="1">
      <alignment horizontal="center" vertical="center"/>
    </xf>
    <xf numFmtId="166" fontId="11" fillId="0" borderId="17" xfId="0" applyNumberFormat="1" applyFont="1" applyBorder="1" applyAlignment="1">
      <alignment horizontal="center" vertical="center"/>
    </xf>
    <xf numFmtId="0" fontId="11" fillId="0" borderId="18" xfId="0" applyFont="1" applyBorder="1" applyAlignment="1">
      <alignment horizontal="center" vertical="center"/>
    </xf>
    <xf numFmtId="0" fontId="11" fillId="0" borderId="1" xfId="0" applyFont="1" applyBorder="1" applyAlignment="1">
      <alignment horizontal="center" vertical="center"/>
    </xf>
    <xf numFmtId="0" fontId="11" fillId="0" borderId="7" xfId="0" applyFont="1" applyBorder="1" applyAlignment="1">
      <alignment horizontal="center" vertical="center"/>
    </xf>
    <xf numFmtId="0" fontId="11" fillId="2" borderId="18" xfId="0" applyFont="1" applyFill="1" applyBorder="1" applyAlignment="1">
      <alignment horizontal="center" vertical="center"/>
    </xf>
    <xf numFmtId="0" fontId="11" fillId="0" borderId="17" xfId="0" applyFont="1" applyBorder="1" applyAlignment="1">
      <alignment horizontal="center" vertical="center"/>
    </xf>
    <xf numFmtId="0" fontId="11" fillId="0" borderId="22" xfId="0" applyFont="1" applyBorder="1" applyAlignment="1">
      <alignment horizontal="center" vertical="center"/>
    </xf>
    <xf numFmtId="0" fontId="23" fillId="10" borderId="47" xfId="0" applyFont="1" applyFill="1" applyBorder="1" applyAlignment="1">
      <alignment horizontal="left" vertical="center" wrapText="1" readingOrder="1"/>
    </xf>
    <xf numFmtId="0" fontId="3" fillId="6" borderId="18" xfId="0" applyFont="1" applyFill="1" applyBorder="1" applyAlignment="1">
      <alignment horizontal="left" wrapText="1"/>
    </xf>
    <xf numFmtId="0" fontId="3" fillId="6" borderId="1" xfId="0" applyFont="1" applyFill="1" applyBorder="1" applyAlignment="1">
      <alignment horizontal="left" vertical="top" wrapText="1"/>
    </xf>
    <xf numFmtId="0" fontId="4" fillId="0" borderId="1" xfId="0" applyFont="1" applyBorder="1" applyAlignment="1">
      <alignment horizontal="left" vertical="top" wrapText="1"/>
    </xf>
    <xf numFmtId="0" fontId="3" fillId="0" borderId="9" xfId="0" applyFont="1" applyBorder="1" applyAlignment="1">
      <alignment horizontal="center" vertical="center" wrapText="1"/>
    </xf>
    <xf numFmtId="0" fontId="11" fillId="0" borderId="9" xfId="0" applyFont="1" applyBorder="1" applyAlignment="1">
      <alignment horizontal="left" vertical="center" wrapText="1"/>
    </xf>
    <xf numFmtId="0" fontId="0" fillId="0" borderId="0" xfId="0" applyAlignment="1">
      <alignment vertical="center"/>
    </xf>
    <xf numFmtId="0" fontId="0" fillId="0" borderId="0" xfId="0" applyAlignment="1">
      <alignment vertical="center" wrapText="1"/>
    </xf>
    <xf numFmtId="0" fontId="11" fillId="2" borderId="0" xfId="0" applyFont="1" applyFill="1" applyAlignment="1">
      <alignment horizontal="center" vertical="center"/>
    </xf>
    <xf numFmtId="0" fontId="0" fillId="0" borderId="0" xfId="0" applyAlignment="1">
      <alignment wrapText="1"/>
    </xf>
    <xf numFmtId="0" fontId="0" fillId="0" borderId="0" xfId="0" applyAlignment="1">
      <alignment horizontal="left" vertical="center"/>
    </xf>
    <xf numFmtId="0" fontId="11" fillId="0" borderId="48" xfId="0" applyFont="1" applyBorder="1" applyAlignment="1">
      <alignment horizontal="center" vertical="center"/>
    </xf>
    <xf numFmtId="0" fontId="0" fillId="0" borderId="48" xfId="0" applyBorder="1" applyAlignment="1">
      <alignment vertical="center" wrapText="1"/>
    </xf>
    <xf numFmtId="0" fontId="0" fillId="0" borderId="0" xfId="0" applyAlignment="1">
      <alignment horizontal="left" vertical="center" wrapText="1"/>
    </xf>
    <xf numFmtId="0" fontId="0" fillId="0" borderId="0" xfId="0" applyAlignment="1">
      <alignment horizontal="left" wrapText="1"/>
    </xf>
    <xf numFmtId="0" fontId="11" fillId="0" borderId="0" xfId="0" applyFont="1" applyAlignment="1">
      <alignment horizontal="left" vertical="center"/>
    </xf>
    <xf numFmtId="0" fontId="6" fillId="0" borderId="27" xfId="0" applyFont="1" applyBorder="1" applyAlignment="1">
      <alignment horizontal="left" vertical="center" wrapText="1"/>
    </xf>
    <xf numFmtId="0" fontId="3" fillId="0" borderId="8" xfId="0" applyFont="1" applyBorder="1" applyAlignment="1">
      <alignment vertical="center" wrapText="1"/>
    </xf>
    <xf numFmtId="0" fontId="0" fillId="0" borderId="8" xfId="0" applyBorder="1" applyAlignment="1">
      <alignment horizontal="center"/>
    </xf>
    <xf numFmtId="0" fontId="3" fillId="0" borderId="8" xfId="0" applyFont="1" applyBorder="1" applyAlignment="1">
      <alignment horizontal="center" vertical="center" wrapText="1"/>
    </xf>
    <xf numFmtId="0" fontId="11" fillId="0" borderId="8" xfId="0" applyFont="1" applyBorder="1" applyAlignment="1">
      <alignment horizontal="left" vertical="center" wrapText="1"/>
    </xf>
    <xf numFmtId="0" fontId="4" fillId="0" borderId="52" xfId="0" applyFont="1" applyBorder="1" applyAlignment="1">
      <alignment horizontal="left" vertical="center" wrapText="1"/>
    </xf>
    <xf numFmtId="0" fontId="3" fillId="0" borderId="52" xfId="0" applyFont="1" applyBorder="1" applyAlignment="1">
      <alignment horizontal="left" vertical="center" wrapText="1"/>
    </xf>
    <xf numFmtId="0" fontId="3" fillId="0" borderId="52" xfId="0" applyFont="1" applyBorder="1" applyAlignment="1">
      <alignment horizontal="center" vertical="center" wrapText="1"/>
    </xf>
    <xf numFmtId="0" fontId="11" fillId="0" borderId="52" xfId="0" applyFont="1" applyBorder="1" applyAlignment="1">
      <alignment horizontal="left" vertical="center" wrapText="1"/>
    </xf>
    <xf numFmtId="0" fontId="4" fillId="0" borderId="8" xfId="0" applyFont="1" applyBorder="1" applyAlignment="1">
      <alignment horizontal="left" vertical="center" wrapText="1"/>
    </xf>
    <xf numFmtId="0" fontId="4" fillId="0" borderId="0" xfId="0" applyFont="1" applyAlignment="1">
      <alignment horizontal="left" vertical="center" wrapText="1"/>
    </xf>
    <xf numFmtId="0" fontId="3" fillId="0" borderId="0" xfId="0" applyFont="1" applyAlignment="1">
      <alignment vertical="center" wrapText="1"/>
    </xf>
    <xf numFmtId="0" fontId="0" fillId="0" borderId="0" xfId="0" applyAlignment="1">
      <alignment horizontal="center"/>
    </xf>
    <xf numFmtId="0" fontId="3" fillId="0" borderId="0" xfId="0" applyFont="1" applyAlignment="1">
      <alignment horizontal="center" vertical="center" wrapText="1"/>
    </xf>
    <xf numFmtId="0" fontId="11" fillId="0" borderId="53" xfId="0" applyFont="1" applyBorder="1" applyAlignment="1">
      <alignment horizontal="center" vertical="center"/>
    </xf>
    <xf numFmtId="0" fontId="0" fillId="0" borderId="53" xfId="0" applyBorder="1" applyAlignment="1">
      <alignment vertical="center" wrapText="1"/>
    </xf>
    <xf numFmtId="0" fontId="4" fillId="0" borderId="9" xfId="0" applyFont="1" applyBorder="1" applyAlignment="1">
      <alignment horizontal="left" vertical="center" wrapText="1"/>
    </xf>
    <xf numFmtId="0" fontId="3" fillId="0" borderId="9" xfId="0" applyFont="1" applyBorder="1" applyAlignment="1">
      <alignment horizontal="left" vertical="center" wrapText="1"/>
    </xf>
    <xf numFmtId="0" fontId="0" fillId="0" borderId="9" xfId="0" applyBorder="1" applyAlignment="1">
      <alignment horizontal="center"/>
    </xf>
    <xf numFmtId="0" fontId="0" fillId="0" borderId="9" xfId="0" applyBorder="1" applyAlignment="1">
      <alignment horizontal="center" vertical="center"/>
    </xf>
    <xf numFmtId="0" fontId="0" fillId="0" borderId="9" xfId="0" applyBorder="1"/>
    <xf numFmtId="0" fontId="4" fillId="0" borderId="0" xfId="0" applyFont="1" applyAlignment="1">
      <alignment vertical="center" wrapText="1"/>
    </xf>
    <xf numFmtId="0" fontId="4" fillId="0" borderId="0" xfId="0" applyFont="1" applyAlignment="1">
      <alignment horizontal="center" vertical="center" wrapText="1"/>
    </xf>
    <xf numFmtId="0" fontId="4" fillId="2" borderId="48" xfId="0" applyFont="1" applyFill="1" applyBorder="1" applyAlignment="1">
      <alignment horizontal="left" vertical="center" wrapText="1"/>
    </xf>
    <xf numFmtId="0" fontId="3" fillId="2" borderId="48" xfId="0" applyFont="1" applyFill="1" applyBorder="1" applyAlignment="1">
      <alignment horizontal="left" vertical="center" wrapText="1"/>
    </xf>
    <xf numFmtId="0" fontId="0" fillId="0" borderId="48" xfId="0" applyBorder="1" applyAlignment="1">
      <alignment horizontal="center"/>
    </xf>
    <xf numFmtId="0" fontId="3" fillId="0" borderId="48" xfId="0" applyFont="1" applyBorder="1" applyAlignment="1">
      <alignment horizontal="center" vertical="center" wrapText="1"/>
    </xf>
    <xf numFmtId="0" fontId="11" fillId="2" borderId="48" xfId="0" applyFont="1" applyFill="1" applyBorder="1" applyAlignment="1">
      <alignment horizontal="center" vertical="center"/>
    </xf>
    <xf numFmtId="0" fontId="4" fillId="0" borderId="48" xfId="0" applyFont="1" applyBorder="1" applyAlignment="1">
      <alignment horizontal="left" vertical="center" wrapText="1"/>
    </xf>
    <xf numFmtId="0" fontId="3" fillId="0" borderId="48" xfId="0" applyFont="1" applyBorder="1" applyAlignment="1">
      <alignment horizontal="left" vertical="center" wrapText="1"/>
    </xf>
    <xf numFmtId="0" fontId="0" fillId="0" borderId="48" xfId="0" applyBorder="1"/>
    <xf numFmtId="0" fontId="11" fillId="0" borderId="48" xfId="0" applyFont="1" applyBorder="1" applyAlignment="1">
      <alignment horizontal="left" vertical="center" wrapText="1"/>
    </xf>
    <xf numFmtId="0" fontId="4" fillId="0" borderId="48" xfId="0" applyFont="1" applyBorder="1" applyAlignment="1">
      <alignment vertical="center" wrapText="1"/>
    </xf>
    <xf numFmtId="0" fontId="4" fillId="0" borderId="48" xfId="0" applyFont="1" applyBorder="1" applyAlignment="1">
      <alignment horizontal="center" vertical="center" wrapText="1"/>
    </xf>
    <xf numFmtId="0" fontId="0" fillId="2" borderId="48" xfId="0" applyFill="1" applyBorder="1" applyAlignment="1">
      <alignment wrapText="1"/>
    </xf>
    <xf numFmtId="0" fontId="0" fillId="0" borderId="48" xfId="0" applyBorder="1" applyAlignment="1">
      <alignment wrapText="1"/>
    </xf>
    <xf numFmtId="0" fontId="11" fillId="0" borderId="0" xfId="0" applyFont="1" applyAlignment="1">
      <alignment vertical="center"/>
    </xf>
    <xf numFmtId="0" fontId="0" fillId="6" borderId="0" xfId="0" applyFill="1"/>
    <xf numFmtId="0" fontId="0" fillId="6" borderId="55" xfId="0" applyFill="1" applyBorder="1"/>
    <xf numFmtId="0" fontId="27" fillId="11" borderId="57" xfId="0" applyFont="1" applyFill="1" applyBorder="1" applyAlignment="1">
      <alignment horizontal="left"/>
    </xf>
    <xf numFmtId="0" fontId="27" fillId="11" borderId="42" xfId="0" applyFont="1" applyFill="1" applyBorder="1" applyAlignment="1">
      <alignment horizontal="center"/>
    </xf>
    <xf numFmtId="0" fontId="28" fillId="2" borderId="56" xfId="0" applyFont="1" applyFill="1" applyBorder="1" applyAlignment="1">
      <alignment horizontal="center" vertical="center"/>
    </xf>
    <xf numFmtId="0" fontId="28" fillId="0" borderId="60" xfId="0" applyFont="1" applyBorder="1" applyAlignment="1">
      <alignment horizontal="center"/>
    </xf>
    <xf numFmtId="0" fontId="28" fillId="0" borderId="62" xfId="0" applyFont="1" applyBorder="1" applyAlignment="1">
      <alignment horizontal="center" vertical="center"/>
    </xf>
    <xf numFmtId="0" fontId="28" fillId="2" borderId="65" xfId="0" applyFont="1" applyFill="1" applyBorder="1" applyAlignment="1">
      <alignment horizontal="center" vertical="center"/>
    </xf>
    <xf numFmtId="0" fontId="28" fillId="0" borderId="66" xfId="0" applyFont="1" applyBorder="1" applyAlignment="1">
      <alignment horizontal="center"/>
    </xf>
    <xf numFmtId="0" fontId="28" fillId="2" borderId="60" xfId="0" applyFont="1" applyFill="1" applyBorder="1" applyAlignment="1">
      <alignment horizontal="center" vertical="center"/>
    </xf>
    <xf numFmtId="0" fontId="28" fillId="0" borderId="0" xfId="0" applyFont="1" applyAlignment="1">
      <alignment horizontal="center"/>
    </xf>
    <xf numFmtId="0" fontId="28" fillId="0" borderId="72" xfId="0" applyFont="1" applyBorder="1" applyAlignment="1">
      <alignment horizontal="center"/>
    </xf>
    <xf numFmtId="0" fontId="28" fillId="2" borderId="72" xfId="0" applyFont="1" applyFill="1" applyBorder="1" applyAlignment="1">
      <alignment horizontal="center" vertical="center"/>
    </xf>
    <xf numFmtId="0" fontId="28" fillId="0" borderId="73" xfId="0" applyFont="1" applyBorder="1" applyAlignment="1">
      <alignment horizontal="center"/>
    </xf>
    <xf numFmtId="0" fontId="28" fillId="2" borderId="73" xfId="0" applyFont="1" applyFill="1" applyBorder="1" applyAlignment="1">
      <alignment horizontal="center" vertical="center"/>
    </xf>
    <xf numFmtId="0" fontId="28" fillId="2" borderId="59" xfId="0" applyFont="1" applyFill="1" applyBorder="1" applyAlignment="1">
      <alignment horizontal="center" vertical="center"/>
    </xf>
    <xf numFmtId="0" fontId="28" fillId="2" borderId="67" xfId="0" applyFont="1" applyFill="1" applyBorder="1" applyAlignment="1">
      <alignment horizontal="center" vertical="center"/>
    </xf>
    <xf numFmtId="0" fontId="28" fillId="2" borderId="74" xfId="0" applyFont="1" applyFill="1" applyBorder="1" applyAlignment="1">
      <alignment horizontal="center" vertical="center"/>
    </xf>
    <xf numFmtId="0" fontId="28" fillId="0" borderId="62" xfId="0" applyFont="1" applyBorder="1" applyAlignment="1">
      <alignment horizontal="center" vertical="center" wrapText="1"/>
    </xf>
    <xf numFmtId="0" fontId="30" fillId="0" borderId="18" xfId="0" applyFont="1" applyBorder="1" applyAlignment="1">
      <alignment horizontal="center"/>
    </xf>
    <xf numFmtId="0" fontId="30" fillId="0" borderId="1" xfId="0" applyFont="1" applyBorder="1" applyAlignment="1">
      <alignment horizontal="center"/>
    </xf>
    <xf numFmtId="0" fontId="3" fillId="0" borderId="8" xfId="0" applyFont="1" applyBorder="1" applyAlignment="1">
      <alignment horizontal="left" vertical="center" wrapText="1"/>
    </xf>
    <xf numFmtId="0" fontId="3" fillId="0" borderId="6" xfId="0" applyFont="1" applyBorder="1" applyAlignment="1">
      <alignment horizontal="left" vertical="center" wrapText="1"/>
    </xf>
    <xf numFmtId="0" fontId="0" fillId="0" borderId="10" xfId="0" applyBorder="1" applyAlignment="1">
      <alignment horizontal="center"/>
    </xf>
    <xf numFmtId="0" fontId="26" fillId="11" borderId="75" xfId="0" applyFont="1" applyFill="1" applyBorder="1"/>
    <xf numFmtId="0" fontId="28" fillId="0" borderId="0" xfId="0" applyFont="1" applyAlignment="1">
      <alignment horizontal="center" vertical="center"/>
    </xf>
    <xf numFmtId="0" fontId="30" fillId="0" borderId="22" xfId="0" applyFont="1" applyBorder="1" applyAlignment="1">
      <alignment horizontal="center"/>
    </xf>
    <xf numFmtId="0" fontId="0" fillId="0" borderId="22" xfId="0" applyBorder="1"/>
    <xf numFmtId="0" fontId="4" fillId="0" borderId="22" xfId="0" applyFont="1" applyBorder="1" applyAlignment="1">
      <alignment vertical="center" wrapText="1"/>
    </xf>
    <xf numFmtId="0" fontId="3" fillId="0" borderId="22" xfId="0" applyFont="1" applyBorder="1" applyAlignment="1">
      <alignment vertical="center" wrapText="1"/>
    </xf>
    <xf numFmtId="0" fontId="7" fillId="0" borderId="77" xfId="0" applyFont="1" applyBorder="1" applyAlignment="1">
      <alignment horizontal="left" vertical="center" wrapText="1"/>
    </xf>
    <xf numFmtId="0" fontId="4" fillId="0" borderId="78" xfId="0" applyFont="1" applyBorder="1" applyAlignment="1">
      <alignment horizontal="left" vertical="center" wrapText="1"/>
    </xf>
    <xf numFmtId="0" fontId="4" fillId="0" borderId="78" xfId="0" applyFont="1" applyBorder="1" applyAlignment="1">
      <alignment vertical="center" wrapText="1"/>
    </xf>
    <xf numFmtId="0" fontId="30" fillId="0" borderId="78" xfId="0" applyFont="1" applyBorder="1" applyAlignment="1">
      <alignment horizontal="center"/>
    </xf>
    <xf numFmtId="0" fontId="3" fillId="0" borderId="78" xfId="0" applyFont="1" applyBorder="1" applyAlignment="1">
      <alignment vertical="center" wrapText="1"/>
    </xf>
    <xf numFmtId="0" fontId="15" fillId="0" borderId="80" xfId="0" applyFont="1" applyBorder="1" applyAlignment="1">
      <alignment horizontal="left" vertical="center" wrapText="1"/>
    </xf>
    <xf numFmtId="0" fontId="5" fillId="0" borderId="78" xfId="0" applyFont="1" applyBorder="1" applyAlignment="1">
      <alignment horizontal="left" vertical="center" wrapText="1"/>
    </xf>
    <xf numFmtId="0" fontId="6" fillId="0" borderId="77" xfId="0" applyFont="1" applyBorder="1" applyAlignment="1">
      <alignment horizontal="left" vertical="center" wrapText="1"/>
    </xf>
    <xf numFmtId="0" fontId="3" fillId="0" borderId="78" xfId="0" applyFont="1" applyBorder="1" applyAlignment="1">
      <alignment horizontal="left" vertical="center" wrapText="1"/>
    </xf>
    <xf numFmtId="0" fontId="0" fillId="0" borderId="78" xfId="0" applyBorder="1" applyAlignment="1">
      <alignment horizontal="center"/>
    </xf>
    <xf numFmtId="0" fontId="3" fillId="0" borderId="5" xfId="0" applyFont="1" applyBorder="1" applyAlignment="1">
      <alignment horizontal="center" vertical="center" wrapText="1"/>
    </xf>
    <xf numFmtId="0" fontId="3" fillId="0" borderId="82" xfId="0" applyFont="1" applyBorder="1" applyAlignment="1">
      <alignment horizontal="center" vertical="center" wrapText="1"/>
    </xf>
    <xf numFmtId="0" fontId="3" fillId="0" borderId="2" xfId="0" applyFont="1" applyBorder="1" applyAlignment="1">
      <alignment horizontal="center" vertical="center" wrapText="1"/>
    </xf>
    <xf numFmtId="0" fontId="3" fillId="0" borderId="83" xfId="0" applyFont="1" applyBorder="1" applyAlignment="1">
      <alignment horizontal="center" vertical="center" wrapText="1"/>
    </xf>
    <xf numFmtId="0" fontId="3" fillId="0" borderId="81" xfId="0" applyFont="1" applyBorder="1" applyAlignment="1">
      <alignment horizontal="center" vertical="center" wrapText="1"/>
    </xf>
    <xf numFmtId="0" fontId="4" fillId="0" borderId="5" xfId="0" applyFont="1" applyBorder="1" applyAlignment="1">
      <alignment horizontal="center" vertical="center" wrapText="1"/>
    </xf>
    <xf numFmtId="0" fontId="4" fillId="0" borderId="81" xfId="0" applyFont="1" applyBorder="1" applyAlignment="1">
      <alignment horizontal="center" vertical="center" wrapText="1"/>
    </xf>
    <xf numFmtId="0" fontId="3" fillId="0" borderId="4" xfId="0" applyFont="1" applyBorder="1" applyAlignment="1">
      <alignment horizontal="center" vertical="center" wrapText="1"/>
    </xf>
    <xf numFmtId="0" fontId="3" fillId="0" borderId="84" xfId="0" applyFont="1" applyBorder="1" applyAlignment="1">
      <alignment horizontal="center" vertical="center" wrapText="1"/>
    </xf>
    <xf numFmtId="0" fontId="0" fillId="0" borderId="26" xfId="0" applyBorder="1" applyAlignment="1">
      <alignment horizontal="left" wrapText="1"/>
    </xf>
    <xf numFmtId="0" fontId="11" fillId="0" borderId="37" xfId="0" applyFont="1" applyBorder="1" applyAlignment="1">
      <alignment horizontal="left" vertical="center" wrapText="1"/>
    </xf>
    <xf numFmtId="0" fontId="11" fillId="0" borderId="33" xfId="0" applyFont="1" applyBorder="1" applyAlignment="1">
      <alignment horizontal="left" vertical="center" wrapText="1"/>
    </xf>
    <xf numFmtId="0" fontId="0" fillId="0" borderId="26" xfId="0" applyBorder="1" applyAlignment="1">
      <alignment horizontal="left" vertical="center" wrapText="1"/>
    </xf>
    <xf numFmtId="0" fontId="11" fillId="0" borderId="37" xfId="0" applyFont="1" applyBorder="1" applyAlignment="1">
      <alignment vertical="center" wrapText="1"/>
    </xf>
    <xf numFmtId="0" fontId="11" fillId="0" borderId="33" xfId="0" applyFont="1" applyBorder="1" applyAlignment="1">
      <alignment vertical="center" wrapText="1"/>
    </xf>
    <xf numFmtId="0" fontId="11" fillId="0" borderId="43" xfId="0" quotePrefix="1" applyFont="1" applyBorder="1" applyAlignment="1">
      <alignment horizontal="left" vertical="center" wrapText="1"/>
    </xf>
    <xf numFmtId="0" fontId="11" fillId="0" borderId="43" xfId="0" applyFont="1" applyBorder="1" applyAlignment="1">
      <alignment horizontal="left" vertical="center" wrapText="1"/>
    </xf>
    <xf numFmtId="0" fontId="11" fillId="2" borderId="37" xfId="0" applyFont="1" applyFill="1" applyBorder="1" applyAlignment="1">
      <alignment horizontal="left" vertical="center" wrapText="1"/>
    </xf>
    <xf numFmtId="0" fontId="11" fillId="0" borderId="76" xfId="0" applyFont="1" applyBorder="1" applyAlignment="1">
      <alignment horizontal="left" vertical="center" wrapText="1"/>
    </xf>
    <xf numFmtId="0" fontId="11" fillId="0" borderId="46" xfId="0" applyFont="1" applyBorder="1" applyAlignment="1">
      <alignment horizontal="left" vertical="center" wrapText="1"/>
    </xf>
    <xf numFmtId="0" fontId="11" fillId="0" borderId="41" xfId="0" applyFont="1" applyBorder="1" applyAlignment="1">
      <alignment horizontal="left" vertical="center" wrapText="1"/>
    </xf>
    <xf numFmtId="0" fontId="0" fillId="0" borderId="46" xfId="0" applyBorder="1" applyAlignment="1">
      <alignment horizontal="left" wrapText="1"/>
    </xf>
    <xf numFmtId="0" fontId="0" fillId="0" borderId="79" xfId="0" applyBorder="1" applyAlignment="1">
      <alignment horizontal="left" wrapText="1"/>
    </xf>
    <xf numFmtId="0" fontId="11" fillId="0" borderId="79" xfId="0" applyFont="1" applyBorder="1" applyAlignment="1">
      <alignment horizontal="left" vertical="center" wrapText="1"/>
    </xf>
    <xf numFmtId="0" fontId="31" fillId="0" borderId="1" xfId="0" applyFont="1" applyBorder="1" applyAlignment="1">
      <alignment horizontal="center"/>
    </xf>
    <xf numFmtId="0" fontId="10" fillId="5" borderId="7" xfId="0" applyFont="1" applyFill="1" applyBorder="1" applyAlignment="1">
      <alignment horizontal="center" vertical="center" wrapText="1"/>
    </xf>
    <xf numFmtId="0" fontId="31" fillId="0" borderId="18" xfId="0" applyFont="1" applyBorder="1" applyAlignment="1">
      <alignment horizontal="center"/>
    </xf>
    <xf numFmtId="0" fontId="31" fillId="0" borderId="7" xfId="0" applyFont="1" applyBorder="1" applyAlignment="1">
      <alignment horizontal="center"/>
    </xf>
    <xf numFmtId="0" fontId="0" fillId="0" borderId="42" xfId="0" applyBorder="1"/>
    <xf numFmtId="0" fontId="30" fillId="0" borderId="7" xfId="0" applyFont="1" applyBorder="1" applyAlignment="1">
      <alignment horizontal="center"/>
    </xf>
    <xf numFmtId="0" fontId="0" fillId="0" borderId="22" xfId="0" applyBorder="1" applyAlignment="1">
      <alignment horizontal="center" vertical="center"/>
    </xf>
    <xf numFmtId="0" fontId="1" fillId="0" borderId="22" xfId="0" applyFont="1" applyBorder="1" applyAlignment="1">
      <alignment horizontal="left" vertical="center" wrapText="1"/>
    </xf>
    <xf numFmtId="0" fontId="2" fillId="0" borderId="22" xfId="0" applyFont="1" applyBorder="1" applyAlignment="1">
      <alignment horizontal="left" vertical="center" wrapText="1"/>
    </xf>
    <xf numFmtId="0" fontId="0" fillId="0" borderId="31" xfId="0" applyBorder="1" applyAlignment="1">
      <alignment horizontal="left" wrapText="1"/>
    </xf>
    <xf numFmtId="0" fontId="8" fillId="3" borderId="38" xfId="0" applyFont="1" applyFill="1" applyBorder="1" applyAlignment="1">
      <alignment horizontal="center" vertical="center"/>
    </xf>
    <xf numFmtId="0" fontId="8" fillId="3" borderId="13" xfId="0" applyFont="1" applyFill="1" applyBorder="1" applyAlignment="1">
      <alignment horizontal="center" vertical="center"/>
    </xf>
    <xf numFmtId="0" fontId="8" fillId="3" borderId="11" xfId="0" applyFont="1" applyFill="1" applyBorder="1" applyAlignment="1">
      <alignment horizontal="center" vertical="center"/>
    </xf>
    <xf numFmtId="0" fontId="8" fillId="3" borderId="5" xfId="0" applyFont="1" applyFill="1" applyBorder="1" applyAlignment="1">
      <alignment horizontal="center" vertical="center"/>
    </xf>
    <xf numFmtId="0" fontId="8" fillId="3" borderId="40" xfId="0" applyFont="1" applyFill="1" applyBorder="1" applyAlignment="1">
      <alignment horizontal="center" vertical="center"/>
    </xf>
    <xf numFmtId="0" fontId="8" fillId="8" borderId="39" xfId="0" applyFont="1" applyFill="1" applyBorder="1" applyAlignment="1">
      <alignment horizontal="center" vertical="center" wrapText="1"/>
    </xf>
    <xf numFmtId="0" fontId="8" fillId="8" borderId="1" xfId="0" applyFont="1" applyFill="1" applyBorder="1" applyAlignment="1">
      <alignment horizontal="center" vertical="center" wrapText="1"/>
    </xf>
    <xf numFmtId="0" fontId="2" fillId="0" borderId="0" xfId="0" applyFont="1" applyAlignment="1">
      <alignment horizontal="center" vertical="center" wrapText="1"/>
    </xf>
    <xf numFmtId="0" fontId="22" fillId="3" borderId="23" xfId="0" applyFont="1" applyFill="1" applyBorder="1" applyAlignment="1">
      <alignment horizontal="center" vertical="center" wrapText="1"/>
    </xf>
    <xf numFmtId="0" fontId="22" fillId="3" borderId="24" xfId="0" applyFont="1" applyFill="1" applyBorder="1" applyAlignment="1">
      <alignment horizontal="center" vertical="center" wrapText="1"/>
    </xf>
    <xf numFmtId="0" fontId="22" fillId="3" borderId="32" xfId="0" applyFont="1" applyFill="1" applyBorder="1" applyAlignment="1">
      <alignment horizontal="center" vertical="center" wrapText="1"/>
    </xf>
    <xf numFmtId="0" fontId="22" fillId="3" borderId="36" xfId="0" applyFont="1" applyFill="1" applyBorder="1" applyAlignment="1">
      <alignment horizontal="center" vertical="center"/>
    </xf>
    <xf numFmtId="0" fontId="22" fillId="3" borderId="18" xfId="0" applyFont="1" applyFill="1" applyBorder="1" applyAlignment="1">
      <alignment horizontal="center" vertical="center"/>
    </xf>
    <xf numFmtId="0" fontId="22" fillId="3" borderId="37" xfId="0" applyFont="1" applyFill="1" applyBorder="1" applyAlignment="1">
      <alignment horizontal="center" vertical="center"/>
    </xf>
    <xf numFmtId="0" fontId="22" fillId="8" borderId="16" xfId="0" applyFont="1" applyFill="1" applyBorder="1" applyAlignment="1">
      <alignment horizontal="center" vertical="center" wrapText="1"/>
    </xf>
    <xf numFmtId="0" fontId="22" fillId="8" borderId="42" xfId="0" applyFont="1" applyFill="1" applyBorder="1" applyAlignment="1">
      <alignment horizontal="center" vertical="center" wrapText="1"/>
    </xf>
    <xf numFmtId="0" fontId="8" fillId="3" borderId="25" xfId="0" applyFont="1" applyFill="1" applyBorder="1" applyAlignment="1">
      <alignment horizontal="left" vertical="center" wrapText="1"/>
    </xf>
    <xf numFmtId="0" fontId="8" fillId="3" borderId="27" xfId="0" applyFont="1" applyFill="1" applyBorder="1" applyAlignment="1">
      <alignment horizontal="left" vertical="center" wrapText="1"/>
    </xf>
    <xf numFmtId="0" fontId="8" fillId="3" borderId="14" xfId="0" applyFont="1" applyFill="1" applyBorder="1" applyAlignment="1">
      <alignment horizontal="left" vertical="center" wrapText="1"/>
    </xf>
    <xf numFmtId="0" fontId="8" fillId="3" borderId="10" xfId="0" applyFont="1" applyFill="1" applyBorder="1" applyAlignment="1">
      <alignment horizontal="left" vertical="center" wrapText="1"/>
    </xf>
    <xf numFmtId="0" fontId="8" fillId="3" borderId="33" xfId="0" applyFont="1" applyFill="1" applyBorder="1" applyAlignment="1">
      <alignment horizontal="left" vertical="center" wrapText="1"/>
    </xf>
    <xf numFmtId="0" fontId="6" fillId="0" borderId="36" xfId="0" applyFont="1" applyBorder="1" applyAlignment="1">
      <alignment horizontal="left" vertical="center" wrapText="1"/>
    </xf>
    <xf numFmtId="0" fontId="6" fillId="0" borderId="39" xfId="0" applyFont="1" applyBorder="1" applyAlignment="1">
      <alignment horizontal="left" vertical="center" wrapText="1"/>
    </xf>
    <xf numFmtId="0" fontId="6" fillId="0" borderId="45" xfId="0" applyFont="1" applyBorder="1" applyAlignment="1">
      <alignment horizontal="left" vertical="center" wrapText="1"/>
    </xf>
    <xf numFmtId="0" fontId="8" fillId="8" borderId="1" xfId="0" applyFont="1" applyFill="1" applyBorder="1" applyAlignment="1">
      <alignment horizontal="left" vertical="center" wrapText="1"/>
    </xf>
    <xf numFmtId="0" fontId="8" fillId="8" borderId="7" xfId="0" applyFont="1" applyFill="1" applyBorder="1" applyAlignment="1">
      <alignment horizontal="left" vertical="center" wrapText="1"/>
    </xf>
    <xf numFmtId="0" fontId="8" fillId="3" borderId="38" xfId="0" applyFont="1" applyFill="1" applyBorder="1" applyAlignment="1">
      <alignment horizontal="center" vertical="center" wrapText="1"/>
    </xf>
    <xf numFmtId="0" fontId="8" fillId="3" borderId="13" xfId="0" applyFont="1" applyFill="1" applyBorder="1" applyAlignment="1">
      <alignment horizontal="center" vertical="center" wrapText="1"/>
    </xf>
    <xf numFmtId="0" fontId="8" fillId="3" borderId="40" xfId="0" applyFont="1" applyFill="1" applyBorder="1" applyAlignment="1">
      <alignment horizontal="center" vertical="center" wrapText="1"/>
    </xf>
    <xf numFmtId="0" fontId="6" fillId="0" borderId="44" xfId="0" applyFont="1" applyBorder="1" applyAlignment="1">
      <alignment horizontal="center" vertical="center" wrapText="1"/>
    </xf>
    <xf numFmtId="0" fontId="6" fillId="0" borderId="27" xfId="0" applyFont="1" applyBorder="1" applyAlignment="1">
      <alignment horizontal="center" vertical="center" wrapText="1"/>
    </xf>
    <xf numFmtId="0" fontId="6" fillId="0" borderId="50" xfId="0" applyFont="1" applyBorder="1" applyAlignment="1">
      <alignment horizontal="center" vertical="center" wrapText="1"/>
    </xf>
    <xf numFmtId="0" fontId="6" fillId="0" borderId="28" xfId="0" applyFont="1" applyBorder="1" applyAlignment="1">
      <alignment horizontal="left" vertical="center" wrapText="1"/>
    </xf>
    <xf numFmtId="0" fontId="3" fillId="0" borderId="1" xfId="0" applyFont="1" applyBorder="1" applyAlignment="1">
      <alignment horizontal="left" vertical="center" wrapText="1"/>
    </xf>
    <xf numFmtId="0" fontId="3" fillId="0" borderId="22" xfId="0" applyFont="1" applyBorder="1" applyAlignment="1">
      <alignment horizontal="left" vertical="center" wrapText="1"/>
    </xf>
    <xf numFmtId="0" fontId="6" fillId="0" borderId="27" xfId="0" applyFont="1" applyBorder="1" applyAlignment="1">
      <alignment horizontal="left" vertical="center" wrapText="1"/>
    </xf>
    <xf numFmtId="0" fontId="6" fillId="0" borderId="25" xfId="0" applyFont="1" applyBorder="1" applyAlignment="1">
      <alignment horizontal="left" vertical="center" wrapText="1"/>
    </xf>
    <xf numFmtId="0" fontId="6" fillId="0" borderId="44" xfId="0" applyFont="1" applyBorder="1" applyAlignment="1">
      <alignment horizontal="left" vertical="center" wrapText="1"/>
    </xf>
    <xf numFmtId="0" fontId="6" fillId="0" borderId="50" xfId="0" applyFont="1" applyBorder="1" applyAlignment="1">
      <alignment horizontal="left" vertical="center" wrapText="1"/>
    </xf>
    <xf numFmtId="0" fontId="28" fillId="0" borderId="66" xfId="0" applyFont="1" applyBorder="1" applyAlignment="1">
      <alignment horizontal="center" vertical="center"/>
    </xf>
    <xf numFmtId="0" fontId="28" fillId="0" borderId="65" xfId="0" applyFont="1" applyBorder="1" applyAlignment="1">
      <alignment horizontal="center" vertical="center"/>
    </xf>
    <xf numFmtId="0" fontId="29" fillId="0" borderId="68" xfId="0" applyFont="1" applyBorder="1" applyAlignment="1">
      <alignment horizontal="center"/>
    </xf>
    <xf numFmtId="0" fontId="29" fillId="0" borderId="69" xfId="0" applyFont="1" applyBorder="1" applyAlignment="1">
      <alignment horizontal="center"/>
    </xf>
    <xf numFmtId="0" fontId="29" fillId="0" borderId="66" xfId="0" applyFont="1" applyBorder="1" applyAlignment="1">
      <alignment horizontal="center"/>
    </xf>
    <xf numFmtId="0" fontId="29" fillId="0" borderId="70" xfId="0" applyFont="1" applyBorder="1" applyAlignment="1">
      <alignment horizontal="center"/>
    </xf>
    <xf numFmtId="0" fontId="16" fillId="11" borderId="0" xfId="0" applyFont="1" applyFill="1" applyAlignment="1">
      <alignment horizontal="center" vertical="center" wrapText="1"/>
    </xf>
    <xf numFmtId="0" fontId="16" fillId="11" borderId="21" xfId="0" applyFont="1" applyFill="1" applyBorder="1" applyAlignment="1">
      <alignment horizontal="center" vertical="center" wrapText="1"/>
    </xf>
    <xf numFmtId="0" fontId="27" fillId="11" borderId="58" xfId="0" applyFont="1" applyFill="1" applyBorder="1" applyAlignment="1">
      <alignment horizontal="center"/>
    </xf>
    <xf numFmtId="0" fontId="27" fillId="11" borderId="42" xfId="0" applyFont="1" applyFill="1" applyBorder="1" applyAlignment="1">
      <alignment horizontal="center"/>
    </xf>
    <xf numFmtId="0" fontId="27" fillId="11" borderId="19" xfId="0" applyFont="1" applyFill="1" applyBorder="1" applyAlignment="1">
      <alignment horizontal="center"/>
    </xf>
    <xf numFmtId="0" fontId="28" fillId="0" borderId="61" xfId="0" applyFont="1" applyBorder="1" applyAlignment="1">
      <alignment horizontal="center" vertical="center"/>
    </xf>
    <xf numFmtId="0" fontId="28" fillId="0" borderId="62" xfId="0" applyFont="1" applyBorder="1" applyAlignment="1">
      <alignment horizontal="center" vertical="center"/>
    </xf>
    <xf numFmtId="0" fontId="29" fillId="0" borderId="61" xfId="0" applyFont="1" applyBorder="1" applyAlignment="1">
      <alignment horizontal="center"/>
    </xf>
    <xf numFmtId="0" fontId="29" fillId="0" borderId="64" xfId="0" applyFont="1" applyBorder="1" applyAlignment="1">
      <alignment horizontal="center"/>
    </xf>
    <xf numFmtId="0" fontId="29" fillId="0" borderId="71" xfId="0" applyFont="1" applyBorder="1" applyAlignment="1">
      <alignment horizontal="center"/>
    </xf>
    <xf numFmtId="0" fontId="29" fillId="0" borderId="21" xfId="0" applyFont="1" applyBorder="1" applyAlignment="1">
      <alignment horizontal="center"/>
    </xf>
    <xf numFmtId="0" fontId="28" fillId="0" borderId="66" xfId="0" applyFont="1" applyBorder="1" applyAlignment="1">
      <alignment horizontal="center" vertical="center" wrapText="1"/>
    </xf>
    <xf numFmtId="0" fontId="28" fillId="0" borderId="62" xfId="0" applyFont="1" applyBorder="1" applyAlignment="1">
      <alignment horizontal="center"/>
    </xf>
    <xf numFmtId="0" fontId="28" fillId="0" borderId="63" xfId="0" applyFont="1" applyBorder="1" applyAlignment="1">
      <alignment horizontal="center"/>
    </xf>
    <xf numFmtId="0" fontId="0" fillId="6" borderId="0" xfId="0" applyFill="1" applyAlignment="1">
      <alignment horizontal="center"/>
    </xf>
    <xf numFmtId="0" fontId="29" fillId="0" borderId="0" xfId="0" applyFont="1" applyAlignment="1">
      <alignment horizontal="center"/>
    </xf>
    <xf numFmtId="0" fontId="24" fillId="8" borderId="0" xfId="0" applyFont="1" applyFill="1" applyAlignment="1">
      <alignment horizontal="left" vertical="center" wrapText="1"/>
    </xf>
    <xf numFmtId="0" fontId="8" fillId="8" borderId="49" xfId="0" applyFont="1" applyFill="1" applyBorder="1" applyAlignment="1">
      <alignment horizontal="center" vertical="center"/>
    </xf>
    <xf numFmtId="0" fontId="17" fillId="8" borderId="20" xfId="0" applyFont="1" applyFill="1" applyBorder="1" applyAlignment="1">
      <alignment horizontal="center" vertical="center" wrapText="1"/>
    </xf>
    <xf numFmtId="0" fontId="17" fillId="8" borderId="0" xfId="0" applyFont="1" applyFill="1" applyAlignment="1">
      <alignment horizontal="center" vertical="center" wrapText="1"/>
    </xf>
    <xf numFmtId="0" fontId="22" fillId="8" borderId="20" xfId="0" applyFont="1" applyFill="1" applyBorder="1" applyAlignment="1">
      <alignment horizontal="center" vertical="center" wrapText="1"/>
    </xf>
    <xf numFmtId="0" fontId="22" fillId="8" borderId="0" xfId="0" applyFont="1" applyFill="1" applyAlignment="1">
      <alignment horizontal="center" vertical="center" wrapText="1"/>
    </xf>
    <xf numFmtId="0" fontId="3" fillId="0" borderId="7" xfId="0" applyFont="1" applyBorder="1" applyAlignment="1">
      <alignment horizontal="left" vertical="center" wrapText="1"/>
    </xf>
    <xf numFmtId="0" fontId="24" fillId="8" borderId="20" xfId="0" applyFont="1" applyFill="1" applyBorder="1" applyAlignment="1">
      <alignment horizontal="center" vertical="center"/>
    </xf>
    <xf numFmtId="0" fontId="6" fillId="0" borderId="48" xfId="0" applyFont="1" applyBorder="1" applyAlignment="1">
      <alignment horizontal="left" vertical="center" wrapText="1"/>
    </xf>
    <xf numFmtId="0" fontId="6" fillId="0" borderId="51" xfId="0" applyFont="1" applyBorder="1" applyAlignment="1">
      <alignment horizontal="left" vertical="center" wrapText="1"/>
    </xf>
    <xf numFmtId="0" fontId="6" fillId="0" borderId="20" xfId="0" applyFont="1" applyBorder="1" applyAlignment="1">
      <alignment horizontal="left" vertical="center" wrapText="1"/>
    </xf>
    <xf numFmtId="0" fontId="6" fillId="0" borderId="54" xfId="0" applyFont="1" applyBorder="1" applyAlignment="1">
      <alignment horizontal="left" vertical="center" wrapText="1"/>
    </xf>
    <xf numFmtId="0" fontId="6" fillId="0" borderId="0" xfId="0" applyFont="1" applyAlignment="1">
      <alignment horizontal="left" vertical="center" wrapText="1"/>
    </xf>
    <xf numFmtId="0" fontId="6" fillId="0" borderId="55" xfId="0" applyFont="1" applyBorder="1" applyAlignment="1">
      <alignment horizontal="left" vertical="center" wrapText="1"/>
    </xf>
    <xf numFmtId="0" fontId="11" fillId="0" borderId="37" xfId="0" applyFont="1" applyBorder="1" applyAlignment="1">
      <alignment horizontal="center" vertical="center"/>
    </xf>
    <xf numFmtId="0" fontId="11" fillId="0" borderId="33" xfId="0" applyFont="1" applyBorder="1" applyAlignment="1">
      <alignment horizontal="center" vertical="center"/>
    </xf>
    <xf numFmtId="0" fontId="11" fillId="0" borderId="41" xfId="0" applyFont="1" applyBorder="1" applyAlignment="1">
      <alignment horizontal="center" vertical="center"/>
    </xf>
    <xf numFmtId="0" fontId="11" fillId="0" borderId="18" xfId="0" applyFont="1" applyBorder="1" applyAlignment="1">
      <alignment horizontal="center" vertical="center"/>
    </xf>
    <xf numFmtId="0" fontId="11" fillId="0" borderId="7" xfId="0" applyFont="1" applyBorder="1" applyAlignment="1">
      <alignment horizontal="center" vertical="center"/>
    </xf>
    <xf numFmtId="0" fontId="11" fillId="0" borderId="43" xfId="0" applyFont="1" applyBorder="1" applyAlignment="1">
      <alignment horizontal="center" vertical="center"/>
    </xf>
    <xf numFmtId="0" fontId="11" fillId="0" borderId="1" xfId="0" applyFont="1" applyBorder="1" applyAlignment="1">
      <alignment horizontal="center" vertical="center"/>
    </xf>
    <xf numFmtId="0" fontId="11" fillId="0" borderId="22" xfId="0" applyFont="1" applyBorder="1" applyAlignment="1">
      <alignment horizontal="center" vertical="center"/>
    </xf>
    <xf numFmtId="0" fontId="19" fillId="8" borderId="16" xfId="0" applyFont="1" applyFill="1" applyBorder="1" applyAlignment="1">
      <alignment horizontal="center" vertical="center" wrapText="1"/>
    </xf>
    <xf numFmtId="0" fontId="19" fillId="8" borderId="42" xfId="0" applyFont="1" applyFill="1" applyBorder="1" applyAlignment="1">
      <alignment horizontal="center" vertical="center" wrapText="1"/>
    </xf>
    <xf numFmtId="0" fontId="19" fillId="8" borderId="19" xfId="0" applyFont="1" applyFill="1" applyBorder="1" applyAlignment="1">
      <alignment horizontal="center" vertical="center" wrapText="1"/>
    </xf>
    <xf numFmtId="0" fontId="11" fillId="0" borderId="17" xfId="0" applyFont="1" applyBorder="1" applyAlignment="1">
      <alignment horizontal="center" vertical="center"/>
    </xf>
    <xf numFmtId="0" fontId="11" fillId="0" borderId="8" xfId="0" applyFont="1" applyBorder="1" applyAlignment="1">
      <alignment horizontal="center" vertical="center"/>
    </xf>
    <xf numFmtId="0" fontId="11" fillId="0" borderId="46" xfId="0" applyFont="1" applyBorder="1" applyAlignment="1">
      <alignment horizontal="center" vertical="center"/>
    </xf>
    <xf numFmtId="0" fontId="11" fillId="0" borderId="26" xfId="0" applyFont="1" applyBorder="1" applyAlignment="1">
      <alignment horizontal="center" vertical="center"/>
    </xf>
    <xf numFmtId="0" fontId="11" fillId="2" borderId="18" xfId="0" applyFont="1" applyFill="1" applyBorder="1" applyAlignment="1">
      <alignment horizontal="center" vertical="center"/>
    </xf>
    <xf numFmtId="0" fontId="11" fillId="2" borderId="1" xfId="0" applyFont="1" applyFill="1" applyBorder="1" applyAlignment="1">
      <alignment horizontal="center" vertical="center"/>
    </xf>
    <xf numFmtId="0" fontId="11" fillId="2" borderId="7" xfId="0" applyFont="1" applyFill="1" applyBorder="1" applyAlignment="1">
      <alignment horizontal="center" vertical="center"/>
    </xf>
    <xf numFmtId="0" fontId="11" fillId="2" borderId="37" xfId="0" applyFont="1" applyFill="1" applyBorder="1" applyAlignment="1">
      <alignment horizontal="center" vertical="center"/>
    </xf>
    <xf numFmtId="0" fontId="11" fillId="2" borderId="33" xfId="0" applyFont="1" applyFill="1" applyBorder="1" applyAlignment="1">
      <alignment horizontal="center" vertical="center"/>
    </xf>
    <xf numFmtId="0" fontId="11" fillId="2" borderId="43" xfId="0" applyFont="1" applyFill="1" applyBorder="1" applyAlignment="1">
      <alignment horizontal="center" vertical="center"/>
    </xf>
    <xf numFmtId="0" fontId="11" fillId="0" borderId="31" xfId="0" applyFont="1" applyBorder="1" applyAlignment="1">
      <alignment horizontal="center" vertical="center"/>
    </xf>
    <xf numFmtId="166" fontId="11" fillId="0" borderId="18" xfId="0" applyNumberFormat="1" applyFont="1" applyBorder="1" applyAlignment="1">
      <alignment horizontal="center" vertical="center"/>
    </xf>
    <xf numFmtId="0" fontId="22" fillId="8" borderId="19" xfId="0" applyFont="1" applyFill="1" applyBorder="1" applyAlignment="1">
      <alignment horizontal="center" vertical="center" wrapText="1"/>
    </xf>
    <xf numFmtId="0" fontId="17" fillId="8" borderId="2" xfId="0" applyFont="1" applyFill="1" applyBorder="1" applyAlignment="1">
      <alignment horizontal="center" vertical="center" wrapText="1"/>
    </xf>
    <xf numFmtId="0" fontId="17" fillId="8" borderId="3" xfId="0" applyFont="1" applyFill="1" applyBorder="1" applyAlignment="1">
      <alignment horizontal="center" vertical="center" wrapText="1"/>
    </xf>
    <xf numFmtId="0" fontId="17" fillId="8" borderId="34" xfId="0" applyFont="1" applyFill="1" applyBorder="1" applyAlignment="1">
      <alignment horizontal="center" vertical="center" wrapText="1"/>
    </xf>
    <xf numFmtId="0" fontId="17" fillId="8" borderId="6" xfId="0" applyFont="1" applyFill="1" applyBorder="1" applyAlignment="1">
      <alignment horizontal="center" vertical="center" wrapText="1"/>
    </xf>
    <xf numFmtId="0" fontId="17" fillId="8" borderId="21" xfId="0" applyFont="1" applyFill="1" applyBorder="1" applyAlignment="1">
      <alignment horizontal="center" vertical="center" wrapText="1"/>
    </xf>
    <xf numFmtId="0" fontId="8" fillId="8" borderId="7" xfId="0" applyFont="1" applyFill="1" applyBorder="1" applyAlignment="1">
      <alignment horizontal="center" vertical="center" wrapText="1"/>
    </xf>
    <xf numFmtId="0" fontId="8" fillId="8" borderId="8" xfId="0" applyFont="1" applyFill="1" applyBorder="1" applyAlignment="1">
      <alignment horizontal="center" vertical="center" wrapText="1"/>
    </xf>
    <xf numFmtId="0" fontId="8" fillId="8" borderId="26" xfId="0" applyFont="1" applyFill="1" applyBorder="1" applyAlignment="1">
      <alignment horizontal="center" vertical="center"/>
    </xf>
    <xf numFmtId="0" fontId="8" fillId="8" borderId="25" xfId="0" applyFont="1" applyFill="1" applyBorder="1" applyAlignment="1">
      <alignment horizontal="center" vertical="center" wrapText="1"/>
    </xf>
    <xf numFmtId="0" fontId="4" fillId="0" borderId="1" xfId="0" applyFont="1" applyBorder="1" applyAlignment="1">
      <alignment horizontal="left" vertical="center" wrapText="1"/>
    </xf>
    <xf numFmtId="0" fontId="4" fillId="0" borderId="22" xfId="0" applyFont="1" applyBorder="1" applyAlignment="1">
      <alignment horizontal="left" vertical="center" wrapText="1"/>
    </xf>
    <xf numFmtId="0" fontId="4" fillId="0" borderId="1" xfId="0" applyFont="1" applyBorder="1" applyAlignment="1">
      <alignment horizontal="center" vertical="center" wrapText="1"/>
    </xf>
    <xf numFmtId="0" fontId="4" fillId="0" borderId="22" xfId="0" applyFont="1" applyBorder="1" applyAlignment="1">
      <alignment horizontal="center" vertical="center" wrapText="1"/>
    </xf>
    <xf numFmtId="0" fontId="3" fillId="0" borderId="18"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8" xfId="0" applyFont="1" applyBorder="1" applyAlignment="1">
      <alignment horizontal="center" vertical="center" wrapText="1"/>
    </xf>
    <xf numFmtId="0" fontId="4" fillId="0" borderId="7" xfId="0" applyFont="1" applyBorder="1" applyAlignment="1">
      <alignment horizontal="center" vertical="center" wrapText="1"/>
    </xf>
    <xf numFmtId="0" fontId="3" fillId="0" borderId="18" xfId="0" applyFont="1" applyBorder="1" applyAlignment="1">
      <alignment horizontal="left" vertical="center" wrapText="1"/>
    </xf>
    <xf numFmtId="0" fontId="3" fillId="0" borderId="7" xfId="0" applyFont="1" applyBorder="1" applyAlignment="1">
      <alignment horizontal="center" vertical="center" wrapText="1"/>
    </xf>
    <xf numFmtId="0" fontId="2" fillId="0" borderId="18" xfId="0" applyFont="1" applyBorder="1" applyAlignment="1">
      <alignment horizontal="left" vertical="center" wrapText="1"/>
    </xf>
    <xf numFmtId="0" fontId="2" fillId="0" borderId="7" xfId="0" applyFont="1" applyBorder="1" applyAlignment="1">
      <alignment horizontal="left" vertical="center" wrapText="1"/>
    </xf>
    <xf numFmtId="0" fontId="2" fillId="0" borderId="18" xfId="0" applyFont="1" applyBorder="1" applyAlignment="1">
      <alignment horizontal="center" vertical="center" wrapText="1"/>
    </xf>
    <xf numFmtId="0" fontId="2" fillId="0" borderId="7" xfId="0" applyFont="1" applyBorder="1" applyAlignment="1">
      <alignment horizontal="center" vertical="center" wrapText="1"/>
    </xf>
    <xf numFmtId="0" fontId="19" fillId="7" borderId="8" xfId="0" applyFont="1" applyFill="1" applyBorder="1" applyAlignment="1">
      <alignment horizontal="center" vertical="center" wrapText="1"/>
    </xf>
    <xf numFmtId="0" fontId="19" fillId="7" borderId="6" xfId="0" applyFont="1" applyFill="1" applyBorder="1" applyAlignment="1">
      <alignment horizontal="center" vertical="center" wrapText="1"/>
    </xf>
    <xf numFmtId="0" fontId="4" fillId="0" borderId="18" xfId="0" applyFont="1" applyBorder="1" applyAlignment="1">
      <alignment horizontal="left" vertical="center" wrapText="1"/>
    </xf>
    <xf numFmtId="0" fontId="8" fillId="3" borderId="29"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8" fillId="3" borderId="34" xfId="0" applyFont="1" applyFill="1" applyBorder="1" applyAlignment="1">
      <alignment horizontal="center" vertical="center" wrapText="1"/>
    </xf>
    <xf numFmtId="0" fontId="8" fillId="3" borderId="20" xfId="0" applyFont="1" applyFill="1" applyBorder="1" applyAlignment="1">
      <alignment horizontal="center" vertical="center" wrapText="1"/>
    </xf>
    <xf numFmtId="0" fontId="8" fillId="3" borderId="0" xfId="0" applyFont="1" applyFill="1" applyAlignment="1">
      <alignment horizontal="center" vertical="center" wrapText="1"/>
    </xf>
    <xf numFmtId="0" fontId="8" fillId="3" borderId="21" xfId="0" applyFont="1" applyFill="1" applyBorder="1" applyAlignment="1">
      <alignment horizontal="center" vertical="center" wrapText="1"/>
    </xf>
    <xf numFmtId="0" fontId="8" fillId="3" borderId="30" xfId="0" applyFont="1" applyFill="1" applyBorder="1" applyAlignment="1">
      <alignment horizontal="center" vertical="center" wrapText="1"/>
    </xf>
    <xf numFmtId="0" fontId="8" fillId="3" borderId="15" xfId="0" applyFont="1" applyFill="1" applyBorder="1" applyAlignment="1">
      <alignment horizontal="center" vertical="center" wrapText="1"/>
    </xf>
    <xf numFmtId="0" fontId="8" fillId="3" borderId="35" xfId="0"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14"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8" fillId="3" borderId="10" xfId="0" applyFont="1" applyFill="1" applyBorder="1" applyAlignment="1">
      <alignment horizontal="center" vertical="center" wrapText="1"/>
    </xf>
    <xf numFmtId="0" fontId="8" fillId="3" borderId="4" xfId="0" applyFont="1" applyFill="1" applyBorder="1" applyAlignment="1">
      <alignment horizontal="center" vertical="center" wrapText="1"/>
    </xf>
    <xf numFmtId="0" fontId="8" fillId="3" borderId="12" xfId="0" applyFont="1" applyFill="1" applyBorder="1" applyAlignment="1">
      <alignment horizontal="center" vertical="center" wrapText="1"/>
    </xf>
    <xf numFmtId="0" fontId="15" fillId="0" borderId="36" xfId="0" applyFont="1" applyBorder="1" applyAlignment="1">
      <alignment horizontal="left" vertical="center" wrapText="1"/>
    </xf>
    <xf numFmtId="0" fontId="15" fillId="0" borderId="25" xfId="0" applyFont="1" applyBorder="1" applyAlignment="1">
      <alignment horizontal="left" vertical="center" wrapText="1"/>
    </xf>
    <xf numFmtId="0" fontId="15" fillId="0" borderId="39" xfId="0" applyFont="1" applyBorder="1" applyAlignment="1">
      <alignment horizontal="left" vertical="center" wrapText="1"/>
    </xf>
    <xf numFmtId="0" fontId="4" fillId="0" borderId="7" xfId="0" applyFont="1" applyBorder="1" applyAlignment="1">
      <alignment horizontal="left" vertical="center" wrapText="1"/>
    </xf>
    <xf numFmtId="0" fontId="19" fillId="9" borderId="0" xfId="0" applyFont="1" applyFill="1" applyAlignment="1">
      <alignment horizontal="center" vertical="center" wrapText="1"/>
    </xf>
    <xf numFmtId="0" fontId="19" fillId="9" borderId="10" xfId="0" applyFont="1" applyFill="1" applyBorder="1" applyAlignment="1">
      <alignment horizontal="center" vertical="center" wrapText="1"/>
    </xf>
    <xf numFmtId="0" fontId="8" fillId="3" borderId="28" xfId="0" applyFont="1" applyFill="1" applyBorder="1" applyAlignment="1">
      <alignment horizontal="left" vertical="center" wrapText="1"/>
    </xf>
    <xf numFmtId="0" fontId="8" fillId="3" borderId="12" xfId="0" applyFont="1" applyFill="1" applyBorder="1" applyAlignment="1">
      <alignment horizontal="left" vertical="center" wrapText="1"/>
    </xf>
    <xf numFmtId="0" fontId="3" fillId="0" borderId="18" xfId="0" applyFont="1" applyBorder="1" applyAlignment="1">
      <alignment horizontal="left" vertical="center"/>
    </xf>
    <xf numFmtId="0" fontId="3" fillId="0" borderId="1" xfId="0" applyFont="1" applyBorder="1" applyAlignment="1">
      <alignment horizontal="left" vertical="center"/>
    </xf>
    <xf numFmtId="0" fontId="3" fillId="0" borderId="7" xfId="0" applyFont="1" applyBorder="1" applyAlignment="1">
      <alignment horizontal="left" vertical="center"/>
    </xf>
    <xf numFmtId="0" fontId="4" fillId="2" borderId="1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22" fillId="7" borderId="23" xfId="0" applyFont="1" applyFill="1" applyBorder="1" applyAlignment="1">
      <alignment horizontal="center" vertical="center" wrapText="1"/>
    </xf>
    <xf numFmtId="0" fontId="22" fillId="7" borderId="24" xfId="0" applyFont="1" applyFill="1" applyBorder="1" applyAlignment="1">
      <alignment horizontal="center" vertical="center" wrapText="1"/>
    </xf>
    <xf numFmtId="166" fontId="16" fillId="3" borderId="38" xfId="0" applyNumberFormat="1" applyFont="1" applyFill="1" applyBorder="1" applyAlignment="1">
      <alignment horizontal="center" vertical="center" wrapText="1"/>
    </xf>
    <xf numFmtId="166" fontId="16" fillId="3" borderId="13" xfId="0" applyNumberFormat="1" applyFont="1" applyFill="1" applyBorder="1" applyAlignment="1">
      <alignment horizontal="center" vertical="center" wrapText="1"/>
    </xf>
    <xf numFmtId="166" fontId="16" fillId="3" borderId="40" xfId="0" applyNumberFormat="1" applyFont="1" applyFill="1" applyBorder="1" applyAlignment="1">
      <alignment horizontal="center" vertical="center" wrapText="1"/>
    </xf>
    <xf numFmtId="164" fontId="16" fillId="3" borderId="38" xfId="0" applyNumberFormat="1" applyFont="1" applyFill="1" applyBorder="1" applyAlignment="1">
      <alignment horizontal="center" vertical="center" wrapText="1"/>
    </xf>
    <xf numFmtId="164" fontId="16" fillId="3" borderId="13" xfId="0" applyNumberFormat="1" applyFont="1" applyFill="1" applyBorder="1" applyAlignment="1">
      <alignment horizontal="center" vertical="center" wrapText="1"/>
    </xf>
    <xf numFmtId="164" fontId="16" fillId="3" borderId="40" xfId="0" applyNumberFormat="1" applyFont="1" applyFill="1" applyBorder="1" applyAlignment="1">
      <alignment horizontal="center" vertical="center" wrapText="1"/>
    </xf>
    <xf numFmtId="0" fontId="8" fillId="7" borderId="1" xfId="0" applyFont="1" applyFill="1" applyBorder="1" applyAlignment="1">
      <alignment horizontal="center" vertical="center" wrapText="1"/>
    </xf>
    <xf numFmtId="0" fontId="8" fillId="7" borderId="5" xfId="0" applyFont="1" applyFill="1" applyBorder="1" applyAlignment="1">
      <alignment horizontal="center" vertical="center" wrapText="1"/>
    </xf>
    <xf numFmtId="0" fontId="8" fillId="7" borderId="39" xfId="0" applyFont="1" applyFill="1" applyBorder="1" applyAlignment="1">
      <alignment horizontal="center" vertical="center" wrapText="1"/>
    </xf>
    <xf numFmtId="0" fontId="8" fillId="7" borderId="2" xfId="0" applyFont="1" applyFill="1" applyBorder="1" applyAlignment="1">
      <alignment horizontal="left" vertical="center" wrapText="1"/>
    </xf>
    <xf numFmtId="0" fontId="8" fillId="7" borderId="6" xfId="0" applyFont="1" applyFill="1" applyBorder="1" applyAlignment="1">
      <alignment horizontal="left" vertical="center" wrapText="1"/>
    </xf>
    <xf numFmtId="0" fontId="8" fillId="7" borderId="7" xfId="0" applyFont="1" applyFill="1" applyBorder="1" applyAlignment="1">
      <alignment horizontal="left" vertical="center" wrapText="1"/>
    </xf>
    <xf numFmtId="0" fontId="8" fillId="7" borderId="8" xfId="0" applyFont="1" applyFill="1" applyBorder="1" applyAlignment="1">
      <alignment horizontal="left" vertical="center" wrapText="1"/>
    </xf>
    <xf numFmtId="0" fontId="8" fillId="7" borderId="25" xfId="0" applyFont="1" applyFill="1" applyBorder="1" applyAlignment="1">
      <alignment horizontal="left" vertical="center" wrapText="1"/>
    </xf>
    <xf numFmtId="0" fontId="8" fillId="7" borderId="27" xfId="0" applyFont="1" applyFill="1" applyBorder="1" applyAlignment="1">
      <alignment horizontal="left" vertical="center" wrapText="1"/>
    </xf>
    <xf numFmtId="0" fontId="19" fillId="3" borderId="27" xfId="0" applyFont="1" applyFill="1" applyBorder="1" applyAlignment="1">
      <alignment horizontal="center" vertical="center" wrapText="1"/>
    </xf>
    <xf numFmtId="0" fontId="19" fillId="3" borderId="8" xfId="0" applyFont="1" applyFill="1" applyBorder="1" applyAlignment="1">
      <alignment horizontal="center" vertical="center" wrapText="1"/>
    </xf>
    <xf numFmtId="0" fontId="19" fillId="3" borderId="26" xfId="0" applyFont="1" applyFill="1" applyBorder="1" applyAlignment="1">
      <alignment horizontal="center" vertical="center" wrapText="1"/>
    </xf>
    <xf numFmtId="0" fontId="4" fillId="2" borderId="18" xfId="0" applyFont="1" applyFill="1" applyBorder="1" applyAlignment="1">
      <alignment horizontal="left" vertical="center" wrapText="1"/>
    </xf>
    <xf numFmtId="0" fontId="4" fillId="2" borderId="1" xfId="0" applyFont="1" applyFill="1" applyBorder="1" applyAlignment="1">
      <alignment horizontal="left" vertical="center" wrapText="1"/>
    </xf>
    <xf numFmtId="0" fontId="3" fillId="0" borderId="22"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13</xdr:col>
      <xdr:colOff>527050</xdr:colOff>
      <xdr:row>1</xdr:row>
      <xdr:rowOff>44450</xdr:rowOff>
    </xdr:from>
    <xdr:to>
      <xdr:col>14</xdr:col>
      <xdr:colOff>571501</xdr:colOff>
      <xdr:row>2</xdr:row>
      <xdr:rowOff>142875</xdr:rowOff>
    </xdr:to>
    <xdr:pic>
      <xdr:nvPicPr>
        <xdr:cNvPr id="2" name="Picture 1">
          <a:extLst>
            <a:ext uri="{FF2B5EF4-FFF2-40B4-BE49-F238E27FC236}">
              <a16:creationId xmlns:a16="http://schemas.microsoft.com/office/drawing/2014/main" id="{A22B1217-A6F3-4CEA-BAC5-BC865E59B96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4875" y="228600"/>
          <a:ext cx="657225" cy="273050"/>
        </a:xfrm>
        <a:prstGeom prst="rect">
          <a:avLst/>
        </a:prstGeom>
        <a:solidFill>
          <a:schemeClr val="bg1"/>
        </a:solid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8D513-6AE4-4FFA-B670-AAF247EFF8C6}">
  <dimension ref="B1:T73"/>
  <sheetViews>
    <sheetView topLeftCell="A31" zoomScale="80" zoomScaleNormal="80" workbookViewId="0">
      <selection activeCell="D46" sqref="D46"/>
    </sheetView>
  </sheetViews>
  <sheetFormatPr baseColWidth="10" defaultColWidth="8.83203125" defaultRowHeight="15" zeroHeight="1"/>
  <cols>
    <col min="2" max="2" width="21.6640625" style="29" customWidth="1"/>
    <col min="3" max="3" width="52.33203125" style="1" customWidth="1"/>
    <col min="4" max="4" width="21" style="1" customWidth="1"/>
    <col min="5" max="5" width="19.6640625" customWidth="1"/>
    <col min="6" max="6" width="18.1640625" style="60" customWidth="1"/>
    <col min="7" max="14" width="18.1640625" customWidth="1"/>
    <col min="15" max="15" width="21.1640625" customWidth="1"/>
    <col min="16" max="18" width="18.1640625" customWidth="1"/>
    <col min="19" max="19" width="13.5" style="20" customWidth="1"/>
    <col min="20" max="20" width="97.5" style="45" bestFit="1" customWidth="1"/>
  </cols>
  <sheetData>
    <row r="1" spans="2:20" ht="18.5" customHeight="1" thickBot="1">
      <c r="B1" s="298"/>
      <c r="C1" s="298"/>
    </row>
    <row r="2" spans="2:20" ht="52" customHeight="1">
      <c r="B2" s="299" t="s">
        <v>97</v>
      </c>
      <c r="C2" s="300"/>
      <c r="D2" s="301"/>
      <c r="E2" s="302" t="s">
        <v>307</v>
      </c>
      <c r="F2" s="303"/>
      <c r="G2" s="303"/>
      <c r="H2" s="303"/>
      <c r="I2" s="303"/>
      <c r="J2" s="303"/>
      <c r="K2" s="303"/>
      <c r="L2" s="303"/>
      <c r="M2" s="303"/>
      <c r="N2" s="303"/>
      <c r="O2" s="303"/>
      <c r="P2" s="303"/>
      <c r="Q2" s="303"/>
      <c r="R2" s="304"/>
      <c r="S2" s="305" t="s">
        <v>658</v>
      </c>
      <c r="T2" s="306"/>
    </row>
    <row r="3" spans="2:20" ht="29" customHeight="1">
      <c r="B3" s="307" t="s">
        <v>452</v>
      </c>
      <c r="C3" s="309" t="s">
        <v>657</v>
      </c>
      <c r="D3" s="311" t="s">
        <v>28</v>
      </c>
      <c r="E3" s="291" t="s">
        <v>139</v>
      </c>
      <c r="F3" s="292"/>
      <c r="G3" s="293"/>
      <c r="H3" s="294" t="s">
        <v>142</v>
      </c>
      <c r="I3" s="292"/>
      <c r="J3" s="292"/>
      <c r="K3" s="292"/>
      <c r="L3" s="292"/>
      <c r="M3" s="292"/>
      <c r="N3" s="293"/>
      <c r="O3" s="24" t="s">
        <v>140</v>
      </c>
      <c r="P3" s="24" t="s">
        <v>141</v>
      </c>
      <c r="Q3" s="294" t="s">
        <v>380</v>
      </c>
      <c r="R3" s="295"/>
      <c r="S3" s="296" t="s">
        <v>660</v>
      </c>
      <c r="T3" s="297"/>
    </row>
    <row r="4" spans="2:20" ht="142" customHeight="1">
      <c r="B4" s="308"/>
      <c r="C4" s="310"/>
      <c r="D4" s="311"/>
      <c r="E4" s="79" t="s">
        <v>147</v>
      </c>
      <c r="F4" s="17" t="s">
        <v>148</v>
      </c>
      <c r="G4" s="17" t="s">
        <v>149</v>
      </c>
      <c r="H4" s="17" t="s">
        <v>394</v>
      </c>
      <c r="I4" s="30" t="s">
        <v>146</v>
      </c>
      <c r="J4" s="17" t="s">
        <v>143</v>
      </c>
      <c r="K4" s="17" t="s">
        <v>144</v>
      </c>
      <c r="L4" s="17" t="s">
        <v>145</v>
      </c>
      <c r="M4" s="31" t="s">
        <v>377</v>
      </c>
      <c r="N4" s="31" t="s">
        <v>378</v>
      </c>
      <c r="O4" s="31" t="s">
        <v>379</v>
      </c>
      <c r="P4" s="31" t="s">
        <v>150</v>
      </c>
      <c r="Q4" s="17" t="s">
        <v>381</v>
      </c>
      <c r="R4" s="80" t="s">
        <v>436</v>
      </c>
      <c r="S4" s="296"/>
      <c r="T4" s="297"/>
    </row>
    <row r="5" spans="2:20" ht="20" customHeight="1">
      <c r="B5" s="308"/>
      <c r="C5" s="310"/>
      <c r="D5" s="311"/>
      <c r="E5" s="317" t="s">
        <v>256</v>
      </c>
      <c r="F5" s="318"/>
      <c r="G5" s="318"/>
      <c r="H5" s="318"/>
      <c r="I5" s="318"/>
      <c r="J5" s="318"/>
      <c r="K5" s="318"/>
      <c r="L5" s="318"/>
      <c r="M5" s="318"/>
      <c r="N5" s="318"/>
      <c r="O5" s="318"/>
      <c r="P5" s="318"/>
      <c r="Q5" s="318"/>
      <c r="R5" s="319"/>
      <c r="S5" s="296" t="s">
        <v>349</v>
      </c>
      <c r="T5" s="315" t="s">
        <v>659</v>
      </c>
    </row>
    <row r="6" spans="2:20" ht="46" customHeight="1" thickBot="1">
      <c r="B6" s="308"/>
      <c r="C6" s="310"/>
      <c r="D6" s="311"/>
      <c r="E6" s="81" t="s">
        <v>86</v>
      </c>
      <c r="F6" s="18" t="s">
        <v>86</v>
      </c>
      <c r="G6" s="18" t="s">
        <v>86</v>
      </c>
      <c r="H6" s="18" t="s">
        <v>86</v>
      </c>
      <c r="I6" s="18" t="s">
        <v>86</v>
      </c>
      <c r="J6" s="19" t="s">
        <v>87</v>
      </c>
      <c r="K6" s="19" t="s">
        <v>87</v>
      </c>
      <c r="L6" s="19" t="s">
        <v>87</v>
      </c>
      <c r="M6" s="18" t="s">
        <v>86</v>
      </c>
      <c r="N6" s="19" t="s">
        <v>87</v>
      </c>
      <c r="O6" s="18" t="s">
        <v>86</v>
      </c>
      <c r="P6" s="19" t="s">
        <v>87</v>
      </c>
      <c r="Q6" s="19" t="s">
        <v>87</v>
      </c>
      <c r="R6" s="82" t="s">
        <v>87</v>
      </c>
      <c r="S6" s="296"/>
      <c r="T6" s="316"/>
    </row>
    <row r="7" spans="2:20" ht="92" customHeight="1">
      <c r="B7" s="320" t="s">
        <v>29</v>
      </c>
      <c r="C7" s="102" t="s">
        <v>258</v>
      </c>
      <c r="D7" s="90" t="s">
        <v>32</v>
      </c>
      <c r="E7" s="66"/>
      <c r="F7" s="67"/>
      <c r="G7" s="66"/>
      <c r="H7" s="66"/>
      <c r="I7" s="66"/>
      <c r="J7" s="66"/>
      <c r="K7" s="66"/>
      <c r="L7" s="66"/>
      <c r="M7" s="66"/>
      <c r="N7" s="66"/>
      <c r="O7" s="236"/>
      <c r="P7" s="236" t="s">
        <v>661</v>
      </c>
      <c r="Q7" s="236" t="s">
        <v>661</v>
      </c>
      <c r="R7" s="236" t="s">
        <v>661</v>
      </c>
      <c r="S7" s="258">
        <v>1</v>
      </c>
      <c r="T7" s="278" t="s">
        <v>552</v>
      </c>
    </row>
    <row r="8" spans="2:20" ht="33">
      <c r="B8" s="321"/>
      <c r="C8" s="62" t="s">
        <v>47</v>
      </c>
      <c r="D8" s="16" t="s">
        <v>33</v>
      </c>
      <c r="E8" s="7"/>
      <c r="F8" s="61"/>
      <c r="G8" s="7"/>
      <c r="H8" s="7"/>
      <c r="I8" s="7"/>
      <c r="J8" s="7"/>
      <c r="K8" s="7"/>
      <c r="L8" s="7"/>
      <c r="M8" s="7"/>
      <c r="N8" s="7"/>
      <c r="O8" s="237"/>
      <c r="P8" s="237" t="s">
        <v>661</v>
      </c>
      <c r="Q8" s="237" t="s">
        <v>661</v>
      </c>
      <c r="R8" s="237" t="s">
        <v>661</v>
      </c>
      <c r="S8" s="257">
        <v>2</v>
      </c>
      <c r="T8" s="266" t="s">
        <v>707</v>
      </c>
    </row>
    <row r="9" spans="2:20" ht="41.5" customHeight="1" thickBot="1">
      <c r="B9" s="321"/>
      <c r="C9" s="63" t="s">
        <v>8</v>
      </c>
      <c r="D9" s="51" t="s">
        <v>30</v>
      </c>
      <c r="E9" s="37"/>
      <c r="F9" s="46"/>
      <c r="G9" s="37"/>
      <c r="H9" s="37"/>
      <c r="I9" s="37"/>
      <c r="J9" s="37"/>
      <c r="K9" s="37"/>
      <c r="L9" s="37"/>
      <c r="M9" s="37"/>
      <c r="N9" s="37"/>
      <c r="O9" s="286"/>
      <c r="P9" s="286" t="s">
        <v>661</v>
      </c>
      <c r="Q9" s="286" t="s">
        <v>661</v>
      </c>
      <c r="R9" s="286" t="s">
        <v>661</v>
      </c>
      <c r="S9" s="259">
        <v>3</v>
      </c>
      <c r="T9" s="266" t="s">
        <v>708</v>
      </c>
    </row>
    <row r="10" spans="2:20" ht="33">
      <c r="B10" s="320" t="s">
        <v>48</v>
      </c>
      <c r="C10" s="102" t="s">
        <v>19</v>
      </c>
      <c r="D10" s="103" t="s">
        <v>31</v>
      </c>
      <c r="E10" s="66"/>
      <c r="F10" s="67"/>
      <c r="G10" s="66"/>
      <c r="H10" s="66"/>
      <c r="I10" s="66"/>
      <c r="J10" s="66"/>
      <c r="K10" s="66"/>
      <c r="L10" s="66"/>
      <c r="M10" s="66"/>
      <c r="N10" s="66"/>
      <c r="O10" s="236" t="s">
        <v>661</v>
      </c>
      <c r="P10" s="236" t="s">
        <v>661</v>
      </c>
      <c r="Q10" s="236" t="s">
        <v>661</v>
      </c>
      <c r="R10" s="236" t="s">
        <v>661</v>
      </c>
      <c r="S10" s="258">
        <v>1</v>
      </c>
      <c r="T10" s="278" t="s">
        <v>706</v>
      </c>
    </row>
    <row r="11" spans="2:20" ht="38" customHeight="1">
      <c r="B11" s="321"/>
      <c r="C11" s="62" t="s">
        <v>20</v>
      </c>
      <c r="D11" s="4" t="s">
        <v>31</v>
      </c>
      <c r="E11" s="7"/>
      <c r="F11" s="61"/>
      <c r="G11" s="7"/>
      <c r="H11" s="7"/>
      <c r="I11" s="7"/>
      <c r="J11" s="7"/>
      <c r="K11" s="7"/>
      <c r="L11" s="7"/>
      <c r="M11" s="7"/>
      <c r="N11" s="7"/>
      <c r="O11" s="237" t="s">
        <v>661</v>
      </c>
      <c r="P11" s="237" t="s">
        <v>661</v>
      </c>
      <c r="Q11" s="237" t="s">
        <v>661</v>
      </c>
      <c r="R11" s="237" t="s">
        <v>661</v>
      </c>
      <c r="S11" s="257">
        <v>6</v>
      </c>
      <c r="T11" s="266" t="s">
        <v>554</v>
      </c>
    </row>
    <row r="12" spans="2:20" ht="32.5" customHeight="1" thickBot="1">
      <c r="B12" s="322"/>
      <c r="C12" s="74" t="s">
        <v>7</v>
      </c>
      <c r="D12" s="115" t="s">
        <v>30</v>
      </c>
      <c r="E12" s="244"/>
      <c r="F12" s="287"/>
      <c r="G12" s="288"/>
      <c r="H12" s="289"/>
      <c r="I12" s="289"/>
      <c r="J12" s="244"/>
      <c r="K12" s="244"/>
      <c r="L12" s="244"/>
      <c r="M12" s="244"/>
      <c r="N12" s="244"/>
      <c r="O12" s="243" t="s">
        <v>661</v>
      </c>
      <c r="P12" s="243" t="s">
        <v>661</v>
      </c>
      <c r="Q12" s="243" t="s">
        <v>661</v>
      </c>
      <c r="R12" s="243" t="s">
        <v>661</v>
      </c>
      <c r="S12" s="261">
        <v>7</v>
      </c>
      <c r="T12" s="290" t="s">
        <v>697</v>
      </c>
    </row>
    <row r="13" spans="2:20" ht="61.5" customHeight="1" thickBot="1">
      <c r="B13" s="127" t="s">
        <v>397</v>
      </c>
      <c r="C13" s="93" t="s">
        <v>94</v>
      </c>
      <c r="D13" s="92" t="s">
        <v>93</v>
      </c>
      <c r="E13" s="146"/>
      <c r="F13" s="95"/>
      <c r="G13" s="147"/>
      <c r="H13" s="148"/>
      <c r="I13" s="148"/>
      <c r="J13" s="146"/>
      <c r="K13" s="146"/>
      <c r="L13" s="146"/>
      <c r="M13" s="146"/>
      <c r="N13" s="146"/>
      <c r="O13" s="91"/>
      <c r="P13" s="236" t="s">
        <v>661</v>
      </c>
      <c r="Q13" s="236" t="s">
        <v>661</v>
      </c>
      <c r="R13" s="236" t="s">
        <v>661</v>
      </c>
      <c r="S13" s="260">
        <v>8</v>
      </c>
      <c r="T13" s="279" t="s">
        <v>544</v>
      </c>
    </row>
    <row r="14" spans="2:20" ht="64.5" customHeight="1">
      <c r="B14" s="312" t="s">
        <v>91</v>
      </c>
      <c r="C14" s="102" t="s">
        <v>55</v>
      </c>
      <c r="D14" s="90" t="s">
        <v>93</v>
      </c>
      <c r="E14" s="236" t="s">
        <v>661</v>
      </c>
      <c r="F14" s="236" t="s">
        <v>661</v>
      </c>
      <c r="G14" s="236" t="s">
        <v>661</v>
      </c>
      <c r="H14" s="236" t="s">
        <v>661</v>
      </c>
      <c r="I14" s="236" t="s">
        <v>661</v>
      </c>
      <c r="J14" s="236" t="s">
        <v>661</v>
      </c>
      <c r="K14" s="236" t="s">
        <v>661</v>
      </c>
      <c r="L14" s="236" t="s">
        <v>661</v>
      </c>
      <c r="M14" s="236" t="s">
        <v>661</v>
      </c>
      <c r="N14" s="236" t="s">
        <v>661</v>
      </c>
      <c r="O14" s="236" t="s">
        <v>661</v>
      </c>
      <c r="P14" s="236" t="s">
        <v>661</v>
      </c>
      <c r="Q14" s="236" t="s">
        <v>661</v>
      </c>
      <c r="R14" s="236" t="s">
        <v>661</v>
      </c>
      <c r="S14" s="258" t="s">
        <v>662</v>
      </c>
      <c r="T14" s="267" t="s">
        <v>699</v>
      </c>
    </row>
    <row r="15" spans="2:20" ht="57.5" customHeight="1">
      <c r="B15" s="313"/>
      <c r="C15" s="62" t="s">
        <v>56</v>
      </c>
      <c r="D15" s="16" t="s">
        <v>93</v>
      </c>
      <c r="E15" s="237" t="s">
        <v>661</v>
      </c>
      <c r="F15" s="237" t="s">
        <v>661</v>
      </c>
      <c r="G15" s="237" t="s">
        <v>661</v>
      </c>
      <c r="H15" s="237" t="s">
        <v>661</v>
      </c>
      <c r="I15" s="237" t="s">
        <v>661</v>
      </c>
      <c r="J15" s="237" t="s">
        <v>661</v>
      </c>
      <c r="K15" s="237" t="s">
        <v>661</v>
      </c>
      <c r="L15" s="237" t="s">
        <v>661</v>
      </c>
      <c r="M15" s="237" t="s">
        <v>661</v>
      </c>
      <c r="N15" s="237" t="s">
        <v>661</v>
      </c>
      <c r="O15" s="237" t="s">
        <v>661</v>
      </c>
      <c r="P15" s="237" t="s">
        <v>661</v>
      </c>
      <c r="Q15" s="237" t="s">
        <v>661</v>
      </c>
      <c r="R15" s="237" t="s">
        <v>661</v>
      </c>
      <c r="S15" s="257" t="s">
        <v>692</v>
      </c>
      <c r="T15" s="268" t="s">
        <v>698</v>
      </c>
    </row>
    <row r="16" spans="2:20" ht="98">
      <c r="B16" s="313"/>
      <c r="C16" s="62" t="s">
        <v>52</v>
      </c>
      <c r="D16" s="16" t="s">
        <v>51</v>
      </c>
      <c r="E16" s="237" t="s">
        <v>661</v>
      </c>
      <c r="F16" s="237" t="s">
        <v>661</v>
      </c>
      <c r="G16" s="237" t="s">
        <v>661</v>
      </c>
      <c r="H16" s="237" t="s">
        <v>661</v>
      </c>
      <c r="I16" s="237" t="s">
        <v>661</v>
      </c>
      <c r="J16" s="237" t="s">
        <v>661</v>
      </c>
      <c r="K16" s="237" t="s">
        <v>661</v>
      </c>
      <c r="L16" s="237" t="s">
        <v>661</v>
      </c>
      <c r="M16" s="237" t="s">
        <v>661</v>
      </c>
      <c r="N16" s="237" t="s">
        <v>661</v>
      </c>
      <c r="O16" s="237" t="s">
        <v>661</v>
      </c>
      <c r="P16" s="237" t="s">
        <v>661</v>
      </c>
      <c r="Q16" s="237" t="s">
        <v>661</v>
      </c>
      <c r="R16" s="237" t="s">
        <v>661</v>
      </c>
      <c r="S16" s="257">
        <v>49</v>
      </c>
      <c r="T16" s="269" t="s">
        <v>484</v>
      </c>
    </row>
    <row r="17" spans="2:20" ht="43" customHeight="1">
      <c r="B17" s="313"/>
      <c r="C17" s="62" t="s">
        <v>10</v>
      </c>
      <c r="D17" s="62" t="s">
        <v>36</v>
      </c>
      <c r="E17" s="237" t="s">
        <v>661</v>
      </c>
      <c r="F17" s="237" t="s">
        <v>661</v>
      </c>
      <c r="G17" s="237" t="s">
        <v>661</v>
      </c>
      <c r="H17" s="237" t="s">
        <v>661</v>
      </c>
      <c r="I17" s="237" t="s">
        <v>661</v>
      </c>
      <c r="J17" s="237" t="s">
        <v>661</v>
      </c>
      <c r="K17" s="237" t="s">
        <v>661</v>
      </c>
      <c r="L17" s="237" t="s">
        <v>661</v>
      </c>
      <c r="M17" s="237" t="s">
        <v>661</v>
      </c>
      <c r="N17" s="237" t="s">
        <v>661</v>
      </c>
      <c r="O17" s="237" t="s">
        <v>661</v>
      </c>
      <c r="P17" s="237" t="s">
        <v>661</v>
      </c>
      <c r="Q17" s="237" t="s">
        <v>661</v>
      </c>
      <c r="R17" s="237" t="s">
        <v>661</v>
      </c>
      <c r="S17" s="257">
        <v>12</v>
      </c>
      <c r="T17" s="269" t="s">
        <v>466</v>
      </c>
    </row>
    <row r="18" spans="2:20" ht="112">
      <c r="B18" s="313"/>
      <c r="C18" s="62" t="s">
        <v>83</v>
      </c>
      <c r="D18" s="16" t="s">
        <v>322</v>
      </c>
      <c r="E18" s="237" t="s">
        <v>661</v>
      </c>
      <c r="F18" s="237" t="s">
        <v>661</v>
      </c>
      <c r="G18" s="237" t="s">
        <v>661</v>
      </c>
      <c r="H18" s="237" t="s">
        <v>661</v>
      </c>
      <c r="I18" s="237" t="s">
        <v>661</v>
      </c>
      <c r="J18" s="237" t="s">
        <v>661</v>
      </c>
      <c r="K18" s="237" t="s">
        <v>661</v>
      </c>
      <c r="L18" s="237" t="s">
        <v>661</v>
      </c>
      <c r="M18" s="237" t="s">
        <v>661</v>
      </c>
      <c r="N18" s="237" t="s">
        <v>661</v>
      </c>
      <c r="O18" s="8"/>
      <c r="P18" s="8"/>
      <c r="Q18" s="8"/>
      <c r="R18" s="8"/>
      <c r="S18" s="257">
        <v>13</v>
      </c>
      <c r="T18" s="269" t="s">
        <v>464</v>
      </c>
    </row>
    <row r="19" spans="2:20" ht="60.5" customHeight="1">
      <c r="B19" s="313"/>
      <c r="C19" s="62" t="s">
        <v>57</v>
      </c>
      <c r="D19" s="62" t="s">
        <v>36</v>
      </c>
      <c r="E19" s="237" t="s">
        <v>661</v>
      </c>
      <c r="F19" s="237" t="s">
        <v>661</v>
      </c>
      <c r="G19" s="237" t="s">
        <v>661</v>
      </c>
      <c r="H19" s="237" t="s">
        <v>661</v>
      </c>
      <c r="I19" s="237" t="s">
        <v>661</v>
      </c>
      <c r="J19" s="237" t="s">
        <v>661</v>
      </c>
      <c r="K19" s="237" t="s">
        <v>661</v>
      </c>
      <c r="L19" s="237" t="s">
        <v>661</v>
      </c>
      <c r="M19" s="237" t="s">
        <v>661</v>
      </c>
      <c r="N19" s="237" t="s">
        <v>661</v>
      </c>
      <c r="O19" s="7"/>
      <c r="P19" s="7"/>
      <c r="Q19" s="7"/>
      <c r="R19" s="7"/>
      <c r="S19" s="257">
        <v>12</v>
      </c>
      <c r="T19" s="269" t="s">
        <v>466</v>
      </c>
    </row>
    <row r="20" spans="2:20" ht="39" customHeight="1">
      <c r="B20" s="313"/>
      <c r="C20" s="62" t="s">
        <v>58</v>
      </c>
      <c r="D20" s="16" t="s">
        <v>93</v>
      </c>
      <c r="E20" s="237" t="s">
        <v>661</v>
      </c>
      <c r="F20" s="237" t="s">
        <v>661</v>
      </c>
      <c r="G20" s="237" t="s">
        <v>661</v>
      </c>
      <c r="H20" s="237" t="s">
        <v>661</v>
      </c>
      <c r="I20" s="237" t="s">
        <v>661</v>
      </c>
      <c r="J20" s="237" t="s">
        <v>661</v>
      </c>
      <c r="K20" s="237" t="s">
        <v>661</v>
      </c>
      <c r="L20" s="237" t="s">
        <v>661</v>
      </c>
      <c r="M20" s="237" t="s">
        <v>661</v>
      </c>
      <c r="N20" s="237" t="s">
        <v>661</v>
      </c>
      <c r="O20" s="7"/>
      <c r="P20" s="7"/>
      <c r="Q20" s="7"/>
      <c r="R20" s="7"/>
      <c r="S20" s="257" t="s">
        <v>664</v>
      </c>
      <c r="T20" s="268" t="s">
        <v>619</v>
      </c>
    </row>
    <row r="21" spans="2:20" ht="31" thickBot="1">
      <c r="B21" s="314"/>
      <c r="C21" s="74" t="s">
        <v>59</v>
      </c>
      <c r="D21" s="115" t="s">
        <v>93</v>
      </c>
      <c r="E21" s="243" t="s">
        <v>661</v>
      </c>
      <c r="F21" s="243" t="s">
        <v>661</v>
      </c>
      <c r="G21" s="243" t="s">
        <v>661</v>
      </c>
      <c r="H21" s="243" t="s">
        <v>661</v>
      </c>
      <c r="I21" s="243" t="s">
        <v>661</v>
      </c>
      <c r="J21" s="243" t="s">
        <v>661</v>
      </c>
      <c r="K21" s="243" t="s">
        <v>661</v>
      </c>
      <c r="L21" s="243" t="s">
        <v>661</v>
      </c>
      <c r="M21" s="243" t="s">
        <v>661</v>
      </c>
      <c r="N21" s="243" t="s">
        <v>661</v>
      </c>
      <c r="O21" s="244"/>
      <c r="P21" s="244"/>
      <c r="Q21" s="244"/>
      <c r="R21" s="244"/>
      <c r="S21" s="261" t="s">
        <v>663</v>
      </c>
      <c r="T21" s="268" t="s">
        <v>492</v>
      </c>
    </row>
    <row r="22" spans="2:20" ht="70">
      <c r="B22" s="312" t="s">
        <v>391</v>
      </c>
      <c r="C22" s="102" t="s">
        <v>151</v>
      </c>
      <c r="D22" s="103" t="s">
        <v>400</v>
      </c>
      <c r="E22" s="236" t="s">
        <v>661</v>
      </c>
      <c r="F22" s="236" t="s">
        <v>661</v>
      </c>
      <c r="G22" s="236" t="s">
        <v>661</v>
      </c>
      <c r="H22" s="236" t="s">
        <v>661</v>
      </c>
      <c r="I22" s="236" t="s">
        <v>661</v>
      </c>
      <c r="J22" s="236" t="s">
        <v>661</v>
      </c>
      <c r="K22" s="236" t="s">
        <v>661</v>
      </c>
      <c r="L22" s="236" t="s">
        <v>661</v>
      </c>
      <c r="M22" s="236" t="s">
        <v>661</v>
      </c>
      <c r="N22" s="236" t="s">
        <v>661</v>
      </c>
      <c r="O22" s="68"/>
      <c r="P22" s="68"/>
      <c r="Q22" s="68"/>
      <c r="R22" s="68"/>
      <c r="S22" s="258">
        <v>35</v>
      </c>
      <c r="T22" s="267" t="s">
        <v>535</v>
      </c>
    </row>
    <row r="23" spans="2:20" ht="47.5" customHeight="1">
      <c r="B23" s="313"/>
      <c r="C23" s="2" t="s">
        <v>70</v>
      </c>
      <c r="D23" s="16" t="s">
        <v>68</v>
      </c>
      <c r="E23" s="237" t="s">
        <v>661</v>
      </c>
      <c r="F23" s="237" t="s">
        <v>661</v>
      </c>
      <c r="G23" s="237" t="s">
        <v>661</v>
      </c>
      <c r="H23" s="237" t="s">
        <v>661</v>
      </c>
      <c r="I23" s="237" t="s">
        <v>661</v>
      </c>
      <c r="J23" s="237" t="s">
        <v>661</v>
      </c>
      <c r="K23" s="237" t="s">
        <v>661</v>
      </c>
      <c r="L23" s="237" t="s">
        <v>661</v>
      </c>
      <c r="M23" s="8"/>
      <c r="N23" s="8"/>
      <c r="O23" s="237" t="s">
        <v>661</v>
      </c>
      <c r="P23" s="7"/>
      <c r="Q23" s="7"/>
      <c r="R23" s="7"/>
      <c r="S23" s="257">
        <v>19</v>
      </c>
      <c r="T23" s="266" t="s">
        <v>545</v>
      </c>
    </row>
    <row r="24" spans="2:20" ht="29" thickBot="1">
      <c r="B24" s="314"/>
      <c r="C24" s="115" t="s">
        <v>402</v>
      </c>
      <c r="D24" s="115" t="s">
        <v>72</v>
      </c>
      <c r="E24" s="243" t="s">
        <v>661</v>
      </c>
      <c r="F24" s="243" t="s">
        <v>661</v>
      </c>
      <c r="G24" s="243" t="s">
        <v>661</v>
      </c>
      <c r="H24" s="243" t="s">
        <v>661</v>
      </c>
      <c r="I24" s="75"/>
      <c r="J24" s="243" t="s">
        <v>661</v>
      </c>
      <c r="K24" s="243" t="s">
        <v>661</v>
      </c>
      <c r="L24" s="243" t="s">
        <v>661</v>
      </c>
      <c r="M24" s="243"/>
      <c r="N24" s="75"/>
      <c r="O24" s="243" t="s">
        <v>661</v>
      </c>
      <c r="P24" s="244"/>
      <c r="Q24" s="244"/>
      <c r="R24" s="244"/>
      <c r="S24" s="261">
        <v>20</v>
      </c>
      <c r="T24" s="266" t="s">
        <v>546</v>
      </c>
    </row>
    <row r="25" spans="2:20" ht="80" customHeight="1">
      <c r="B25" s="312" t="s">
        <v>9</v>
      </c>
      <c r="C25" s="149" t="s">
        <v>98</v>
      </c>
      <c r="D25" s="103" t="s">
        <v>35</v>
      </c>
      <c r="E25" s="236" t="s">
        <v>661</v>
      </c>
      <c r="F25" s="236" t="s">
        <v>661</v>
      </c>
      <c r="G25" s="236" t="s">
        <v>661</v>
      </c>
      <c r="H25" s="236" t="s">
        <v>661</v>
      </c>
      <c r="I25" s="236" t="s">
        <v>661</v>
      </c>
      <c r="J25" s="236" t="s">
        <v>661</v>
      </c>
      <c r="K25" s="236" t="s">
        <v>661</v>
      </c>
      <c r="L25" s="236" t="s">
        <v>661</v>
      </c>
      <c r="M25" s="236" t="s">
        <v>661</v>
      </c>
      <c r="N25" s="236" t="s">
        <v>661</v>
      </c>
      <c r="O25" s="236" t="s">
        <v>661</v>
      </c>
      <c r="P25" s="236" t="s">
        <v>661</v>
      </c>
      <c r="Q25" s="236" t="s">
        <v>661</v>
      </c>
      <c r="R25" s="67">
        <v>4</v>
      </c>
      <c r="S25" s="258">
        <v>21</v>
      </c>
      <c r="T25" s="270" t="s">
        <v>504</v>
      </c>
    </row>
    <row r="26" spans="2:20" ht="92" customHeight="1">
      <c r="B26" s="313"/>
      <c r="C26" s="3" t="s">
        <v>100</v>
      </c>
      <c r="D26" s="4" t="s">
        <v>101</v>
      </c>
      <c r="E26" s="237" t="s">
        <v>661</v>
      </c>
      <c r="F26" s="237" t="s">
        <v>661</v>
      </c>
      <c r="G26" s="237" t="s">
        <v>661</v>
      </c>
      <c r="H26" s="237" t="s">
        <v>661</v>
      </c>
      <c r="I26" s="237" t="s">
        <v>661</v>
      </c>
      <c r="J26" s="237" t="s">
        <v>661</v>
      </c>
      <c r="K26" s="237" t="s">
        <v>661</v>
      </c>
      <c r="L26" s="237" t="s">
        <v>661</v>
      </c>
      <c r="M26" s="237" t="s">
        <v>661</v>
      </c>
      <c r="N26" s="237" t="s">
        <v>661</v>
      </c>
      <c r="O26" s="237" t="s">
        <v>661</v>
      </c>
      <c r="P26" s="237" t="s">
        <v>661</v>
      </c>
      <c r="Q26" s="237" t="s">
        <v>661</v>
      </c>
      <c r="R26" s="237" t="s">
        <v>661</v>
      </c>
      <c r="S26" s="257">
        <v>22</v>
      </c>
      <c r="T26" s="266" t="s">
        <v>641</v>
      </c>
    </row>
    <row r="27" spans="2:20" ht="33.5" customHeight="1">
      <c r="B27" s="313"/>
      <c r="C27" s="62" t="s">
        <v>102</v>
      </c>
      <c r="D27" s="3" t="s">
        <v>34</v>
      </c>
      <c r="E27" s="237" t="s">
        <v>661</v>
      </c>
      <c r="F27" s="237" t="s">
        <v>661</v>
      </c>
      <c r="G27" s="237" t="s">
        <v>661</v>
      </c>
      <c r="H27" s="237" t="s">
        <v>661</v>
      </c>
      <c r="I27" s="237" t="s">
        <v>661</v>
      </c>
      <c r="J27" s="237" t="s">
        <v>661</v>
      </c>
      <c r="K27" s="237" t="s">
        <v>661</v>
      </c>
      <c r="L27" s="237" t="s">
        <v>661</v>
      </c>
      <c r="M27" s="237" t="s">
        <v>661</v>
      </c>
      <c r="N27" s="237" t="s">
        <v>661</v>
      </c>
      <c r="O27" s="237" t="s">
        <v>661</v>
      </c>
      <c r="P27" s="237" t="s">
        <v>661</v>
      </c>
      <c r="Q27" s="237" t="s">
        <v>661</v>
      </c>
      <c r="R27" s="237" t="s">
        <v>661</v>
      </c>
      <c r="S27" s="262">
        <v>23</v>
      </c>
      <c r="T27" s="266" t="s">
        <v>507</v>
      </c>
    </row>
    <row r="28" spans="2:20" ht="113" customHeight="1">
      <c r="B28" s="313"/>
      <c r="C28" s="3" t="s">
        <v>666</v>
      </c>
      <c r="D28" s="3" t="s">
        <v>279</v>
      </c>
      <c r="E28" s="237" t="s">
        <v>661</v>
      </c>
      <c r="F28" s="237" t="s">
        <v>661</v>
      </c>
      <c r="G28" s="237" t="s">
        <v>661</v>
      </c>
      <c r="H28" s="237" t="s">
        <v>661</v>
      </c>
      <c r="I28" s="237" t="s">
        <v>661</v>
      </c>
      <c r="J28" s="237" t="s">
        <v>661</v>
      </c>
      <c r="K28" s="237" t="s">
        <v>661</v>
      </c>
      <c r="L28" s="237" t="s">
        <v>661</v>
      </c>
      <c r="M28" s="237" t="s">
        <v>661</v>
      </c>
      <c r="N28" s="237" t="s">
        <v>661</v>
      </c>
      <c r="O28" s="237" t="s">
        <v>661</v>
      </c>
      <c r="P28" s="237" t="s">
        <v>661</v>
      </c>
      <c r="Q28" s="237" t="s">
        <v>661</v>
      </c>
      <c r="R28" s="237" t="s">
        <v>661</v>
      </c>
      <c r="S28" s="262">
        <v>24</v>
      </c>
      <c r="T28" s="271" t="s">
        <v>665</v>
      </c>
    </row>
    <row r="29" spans="2:20" ht="70">
      <c r="B29" s="313"/>
      <c r="C29" s="105" t="s">
        <v>99</v>
      </c>
      <c r="D29" s="62" t="s">
        <v>88</v>
      </c>
      <c r="E29" s="237" t="s">
        <v>661</v>
      </c>
      <c r="F29" s="237" t="s">
        <v>661</v>
      </c>
      <c r="G29" s="237" t="s">
        <v>661</v>
      </c>
      <c r="H29" s="237" t="s">
        <v>661</v>
      </c>
      <c r="I29" s="237" t="s">
        <v>661</v>
      </c>
      <c r="J29" s="237" t="s">
        <v>661</v>
      </c>
      <c r="K29" s="237" t="s">
        <v>661</v>
      </c>
      <c r="L29" s="237" t="s">
        <v>661</v>
      </c>
      <c r="M29" s="237" t="s">
        <v>661</v>
      </c>
      <c r="N29" s="237" t="s">
        <v>661</v>
      </c>
      <c r="O29" s="237" t="s">
        <v>661</v>
      </c>
      <c r="P29" s="237" t="s">
        <v>661</v>
      </c>
      <c r="Q29" s="237" t="s">
        <v>661</v>
      </c>
      <c r="R29" s="237" t="s">
        <v>661</v>
      </c>
      <c r="S29" s="262">
        <v>51</v>
      </c>
      <c r="T29" s="268" t="s">
        <v>565</v>
      </c>
    </row>
    <row r="30" spans="2:20" ht="49">
      <c r="B30" s="327"/>
      <c r="C30" s="62" t="s">
        <v>49</v>
      </c>
      <c r="D30" s="16" t="s">
        <v>30</v>
      </c>
      <c r="E30" s="7"/>
      <c r="F30" s="61"/>
      <c r="G30" s="7"/>
      <c r="H30" s="7"/>
      <c r="I30" s="7"/>
      <c r="J30" s="7"/>
      <c r="K30" s="7"/>
      <c r="L30" s="7"/>
      <c r="M30" s="7"/>
      <c r="N30" s="7"/>
      <c r="O30" s="237" t="s">
        <v>661</v>
      </c>
      <c r="P30" s="237" t="s">
        <v>661</v>
      </c>
      <c r="Q30" s="237" t="s">
        <v>661</v>
      </c>
      <c r="R30" s="237" t="s">
        <v>661</v>
      </c>
      <c r="S30" s="257">
        <v>4</v>
      </c>
      <c r="T30" s="266" t="s">
        <v>696</v>
      </c>
    </row>
    <row r="31" spans="2:20" ht="58.5" customHeight="1" thickBot="1">
      <c r="B31" s="314"/>
      <c r="C31" s="74" t="s">
        <v>107</v>
      </c>
      <c r="D31" s="245" t="s">
        <v>37</v>
      </c>
      <c r="E31" s="243" t="s">
        <v>661</v>
      </c>
      <c r="F31" s="243" t="s">
        <v>661</v>
      </c>
      <c r="G31" s="243" t="s">
        <v>661</v>
      </c>
      <c r="H31" s="243" t="s">
        <v>661</v>
      </c>
      <c r="I31" s="243" t="s">
        <v>661</v>
      </c>
      <c r="J31" s="243" t="s">
        <v>661</v>
      </c>
      <c r="K31" s="243" t="s">
        <v>661</v>
      </c>
      <c r="L31" s="243" t="s">
        <v>661</v>
      </c>
      <c r="M31" s="243" t="s">
        <v>661</v>
      </c>
      <c r="N31" s="243" t="s">
        <v>661</v>
      </c>
      <c r="O31" s="243" t="s">
        <v>661</v>
      </c>
      <c r="P31" s="244"/>
      <c r="Q31" s="244"/>
      <c r="R31" s="244"/>
      <c r="S31" s="261">
        <v>51</v>
      </c>
      <c r="T31" s="272" t="s">
        <v>639</v>
      </c>
    </row>
    <row r="32" spans="2:20" ht="42">
      <c r="B32" s="312" t="s">
        <v>119</v>
      </c>
      <c r="C32" s="102" t="s">
        <v>282</v>
      </c>
      <c r="D32" s="103" t="s">
        <v>1</v>
      </c>
      <c r="E32" s="236" t="s">
        <v>661</v>
      </c>
      <c r="F32" s="236" t="s">
        <v>661</v>
      </c>
      <c r="G32" s="236" t="s">
        <v>661</v>
      </c>
      <c r="H32" s="68"/>
      <c r="I32" s="66"/>
      <c r="J32" s="66"/>
      <c r="K32" s="66"/>
      <c r="L32" s="66"/>
      <c r="M32" s="66"/>
      <c r="N32" s="66"/>
      <c r="O32" s="236" t="s">
        <v>661</v>
      </c>
      <c r="P32" s="66"/>
      <c r="Q32" s="66"/>
      <c r="R32" s="66"/>
      <c r="S32" s="258">
        <v>27</v>
      </c>
      <c r="T32" s="278" t="s">
        <v>514</v>
      </c>
    </row>
    <row r="33" spans="2:20" ht="69.5" customHeight="1">
      <c r="B33" s="313"/>
      <c r="C33" s="62" t="s">
        <v>24</v>
      </c>
      <c r="D33" s="4" t="s">
        <v>39</v>
      </c>
      <c r="E33" s="237" t="s">
        <v>661</v>
      </c>
      <c r="F33" s="237" t="s">
        <v>661</v>
      </c>
      <c r="G33" s="237" t="s">
        <v>661</v>
      </c>
      <c r="H33" s="7"/>
      <c r="I33" s="7"/>
      <c r="J33" s="7"/>
      <c r="K33" s="7"/>
      <c r="L33" s="7"/>
      <c r="M33" s="7"/>
      <c r="N33" s="7"/>
      <c r="O33" s="237" t="s">
        <v>661</v>
      </c>
      <c r="P33" s="7"/>
      <c r="Q33" s="7"/>
      <c r="R33" s="7"/>
      <c r="S33" s="257">
        <v>28</v>
      </c>
      <c r="T33" s="266" t="s">
        <v>513</v>
      </c>
    </row>
    <row r="34" spans="2:20" ht="58.5" customHeight="1">
      <c r="B34" s="313"/>
      <c r="C34" s="62" t="s">
        <v>3</v>
      </c>
      <c r="D34" s="4" t="s">
        <v>1</v>
      </c>
      <c r="E34" s="237" t="s">
        <v>661</v>
      </c>
      <c r="F34" s="237" t="s">
        <v>661</v>
      </c>
      <c r="G34" s="237" t="s">
        <v>661</v>
      </c>
      <c r="H34" s="8"/>
      <c r="I34" s="8"/>
      <c r="J34" s="8"/>
      <c r="K34" s="8"/>
      <c r="L34" s="8"/>
      <c r="M34" s="8"/>
      <c r="N34" s="8"/>
      <c r="O34" s="237" t="s">
        <v>661</v>
      </c>
      <c r="P34" s="8"/>
      <c r="Q34" s="8"/>
      <c r="R34" s="8"/>
      <c r="S34" s="257">
        <v>29</v>
      </c>
      <c r="T34" s="269" t="s">
        <v>516</v>
      </c>
    </row>
    <row r="35" spans="2:20" ht="28">
      <c r="B35" s="313"/>
      <c r="C35" s="62" t="s">
        <v>25</v>
      </c>
      <c r="D35" s="4" t="s">
        <v>39</v>
      </c>
      <c r="E35" s="237" t="s">
        <v>661</v>
      </c>
      <c r="F35" s="237" t="s">
        <v>661</v>
      </c>
      <c r="G35" s="237" t="s">
        <v>661</v>
      </c>
      <c r="H35" s="8"/>
      <c r="I35" s="8"/>
      <c r="J35" s="8"/>
      <c r="K35" s="8"/>
      <c r="L35" s="8"/>
      <c r="M35" s="8"/>
      <c r="N35" s="8"/>
      <c r="O35" s="237" t="s">
        <v>661</v>
      </c>
      <c r="P35" s="8"/>
      <c r="Q35" s="8"/>
      <c r="R35" s="8"/>
      <c r="S35" s="257">
        <v>29</v>
      </c>
      <c r="T35" s="268" t="s">
        <v>516</v>
      </c>
    </row>
    <row r="36" spans="2:20" ht="42">
      <c r="B36" s="313"/>
      <c r="C36" s="62" t="s">
        <v>4</v>
      </c>
      <c r="D36" s="4" t="s">
        <v>1</v>
      </c>
      <c r="E36" s="237" t="s">
        <v>661</v>
      </c>
      <c r="F36" s="237" t="s">
        <v>661</v>
      </c>
      <c r="G36" s="237" t="s">
        <v>661</v>
      </c>
      <c r="H36" s="8"/>
      <c r="I36" s="8"/>
      <c r="J36" s="8"/>
      <c r="K36" s="8"/>
      <c r="L36" s="8"/>
      <c r="M36" s="8"/>
      <c r="N36" s="8"/>
      <c r="O36" s="237" t="s">
        <v>661</v>
      </c>
      <c r="P36" s="8"/>
      <c r="Q36" s="8"/>
      <c r="R36" s="8"/>
      <c r="S36" s="257">
        <v>31</v>
      </c>
      <c r="T36" s="268" t="s">
        <v>518</v>
      </c>
    </row>
    <row r="37" spans="2:20" ht="74.5" customHeight="1" thickBot="1">
      <c r="B37" s="314"/>
      <c r="C37" s="74" t="s">
        <v>286</v>
      </c>
      <c r="D37" s="246" t="s">
        <v>1</v>
      </c>
      <c r="E37" s="243" t="s">
        <v>661</v>
      </c>
      <c r="F37" s="243" t="s">
        <v>661</v>
      </c>
      <c r="G37" s="243" t="s">
        <v>661</v>
      </c>
      <c r="H37" s="75"/>
      <c r="I37" s="75"/>
      <c r="J37" s="75"/>
      <c r="K37" s="75"/>
      <c r="L37" s="75"/>
      <c r="M37" s="75"/>
      <c r="N37" s="75"/>
      <c r="O37" s="243" t="s">
        <v>661</v>
      </c>
      <c r="P37" s="75"/>
      <c r="Q37" s="75"/>
      <c r="R37" s="75"/>
      <c r="S37" s="261">
        <v>29</v>
      </c>
      <c r="T37" s="268" t="s">
        <v>516</v>
      </c>
    </row>
    <row r="38" spans="2:20" ht="87" customHeight="1">
      <c r="B38" s="312" t="s">
        <v>334</v>
      </c>
      <c r="C38" s="102" t="s">
        <v>291</v>
      </c>
      <c r="D38" s="103" t="s">
        <v>106</v>
      </c>
      <c r="E38" s="236" t="s">
        <v>661</v>
      </c>
      <c r="F38" s="236" t="s">
        <v>661</v>
      </c>
      <c r="G38" s="236" t="s">
        <v>661</v>
      </c>
      <c r="H38" s="236" t="s">
        <v>661</v>
      </c>
      <c r="I38" s="236" t="s">
        <v>661</v>
      </c>
      <c r="J38" s="236" t="s">
        <v>661</v>
      </c>
      <c r="K38" s="236" t="s">
        <v>661</v>
      </c>
      <c r="L38" s="236" t="s">
        <v>661</v>
      </c>
      <c r="M38" s="236" t="s">
        <v>661</v>
      </c>
      <c r="N38" s="236" t="s">
        <v>661</v>
      </c>
      <c r="O38" s="236" t="s">
        <v>661</v>
      </c>
      <c r="P38" s="236" t="s">
        <v>661</v>
      </c>
      <c r="Q38" s="236" t="s">
        <v>661</v>
      </c>
      <c r="R38" s="236" t="s">
        <v>661</v>
      </c>
      <c r="S38" s="258" t="s">
        <v>667</v>
      </c>
      <c r="T38" s="267" t="s">
        <v>470</v>
      </c>
    </row>
    <row r="39" spans="2:20" ht="87" customHeight="1">
      <c r="B39" s="326"/>
      <c r="C39" s="63" t="s">
        <v>53</v>
      </c>
      <c r="D39" s="51" t="s">
        <v>40</v>
      </c>
      <c r="E39" s="237" t="s">
        <v>661</v>
      </c>
      <c r="F39" s="237" t="s">
        <v>661</v>
      </c>
      <c r="G39" s="237" t="s">
        <v>661</v>
      </c>
      <c r="H39" s="237" t="s">
        <v>661</v>
      </c>
      <c r="I39" s="237" t="s">
        <v>661</v>
      </c>
      <c r="J39" s="237" t="s">
        <v>661</v>
      </c>
      <c r="K39" s="237" t="s">
        <v>661</v>
      </c>
      <c r="L39" s="237" t="s">
        <v>661</v>
      </c>
      <c r="M39" s="237" t="s">
        <v>661</v>
      </c>
      <c r="N39" s="237" t="s">
        <v>661</v>
      </c>
      <c r="O39" s="237" t="s">
        <v>661</v>
      </c>
      <c r="P39" s="237" t="s">
        <v>661</v>
      </c>
      <c r="Q39" s="237" t="s">
        <v>661</v>
      </c>
      <c r="R39" s="237" t="s">
        <v>661</v>
      </c>
      <c r="S39" s="259">
        <v>17</v>
      </c>
      <c r="T39" s="273" t="s">
        <v>497</v>
      </c>
    </row>
    <row r="40" spans="2:20" ht="71" thickBot="1">
      <c r="B40" s="314"/>
      <c r="C40" s="74" t="s">
        <v>290</v>
      </c>
      <c r="D40" s="246" t="s">
        <v>288</v>
      </c>
      <c r="E40" s="243" t="s">
        <v>661</v>
      </c>
      <c r="F40" s="243" t="s">
        <v>661</v>
      </c>
      <c r="G40" s="243" t="s">
        <v>661</v>
      </c>
      <c r="H40" s="243" t="s">
        <v>661</v>
      </c>
      <c r="I40" s="243" t="s">
        <v>661</v>
      </c>
      <c r="J40" s="243" t="s">
        <v>661</v>
      </c>
      <c r="K40" s="243" t="s">
        <v>661</v>
      </c>
      <c r="L40" s="243" t="s">
        <v>661</v>
      </c>
      <c r="M40" s="243" t="s">
        <v>661</v>
      </c>
      <c r="N40" s="243" t="s">
        <v>661</v>
      </c>
      <c r="O40" s="243" t="s">
        <v>661</v>
      </c>
      <c r="P40" s="243" t="s">
        <v>661</v>
      </c>
      <c r="Q40" s="243" t="s">
        <v>661</v>
      </c>
      <c r="R40" s="243" t="s">
        <v>661</v>
      </c>
      <c r="S40" s="261">
        <v>34</v>
      </c>
      <c r="T40" s="273" t="s">
        <v>668</v>
      </c>
    </row>
    <row r="41" spans="2:20" s="47" customFormat="1" ht="59.5" customHeight="1">
      <c r="B41" s="312" t="s">
        <v>109</v>
      </c>
      <c r="C41" s="107" t="s">
        <v>95</v>
      </c>
      <c r="D41" s="108" t="s">
        <v>37</v>
      </c>
      <c r="E41" s="236" t="s">
        <v>661</v>
      </c>
      <c r="F41" s="236" t="s">
        <v>661</v>
      </c>
      <c r="G41" s="236" t="s">
        <v>661</v>
      </c>
      <c r="H41" s="236" t="s">
        <v>661</v>
      </c>
      <c r="I41" s="236" t="s">
        <v>661</v>
      </c>
      <c r="J41" s="68"/>
      <c r="K41" s="68"/>
      <c r="L41" s="68"/>
      <c r="M41" s="68"/>
      <c r="N41" s="68"/>
      <c r="O41" s="236" t="s">
        <v>661</v>
      </c>
      <c r="P41" s="68"/>
      <c r="Q41" s="68"/>
      <c r="R41" s="68"/>
      <c r="S41" s="258">
        <v>35</v>
      </c>
      <c r="T41" s="274" t="s">
        <v>541</v>
      </c>
    </row>
    <row r="42" spans="2:20" ht="37.5" customHeight="1">
      <c r="B42" s="313"/>
      <c r="C42" s="62" t="s">
        <v>408</v>
      </c>
      <c r="D42" s="16" t="s">
        <v>39</v>
      </c>
      <c r="E42" s="237" t="s">
        <v>661</v>
      </c>
      <c r="F42" s="237" t="s">
        <v>661</v>
      </c>
      <c r="G42" s="237" t="s">
        <v>661</v>
      </c>
      <c r="H42" s="237" t="s">
        <v>661</v>
      </c>
      <c r="I42" s="237" t="s">
        <v>661</v>
      </c>
      <c r="J42" s="8"/>
      <c r="K42" s="8"/>
      <c r="L42" s="8"/>
      <c r="M42" s="8"/>
      <c r="N42" s="8"/>
      <c r="O42" s="237" t="s">
        <v>661</v>
      </c>
      <c r="P42" s="7"/>
      <c r="Q42" s="7"/>
      <c r="R42" s="7"/>
      <c r="S42" s="257">
        <v>36</v>
      </c>
      <c r="T42" s="268" t="s">
        <v>541</v>
      </c>
    </row>
    <row r="43" spans="2:20" ht="46" customHeight="1" thickBot="1">
      <c r="B43" s="314"/>
      <c r="C43" s="74" t="s">
        <v>64</v>
      </c>
      <c r="D43" s="245" t="s">
        <v>38</v>
      </c>
      <c r="E43" s="243" t="s">
        <v>661</v>
      </c>
      <c r="F43" s="243" t="s">
        <v>661</v>
      </c>
      <c r="G43" s="243" t="s">
        <v>661</v>
      </c>
      <c r="H43" s="243" t="s">
        <v>661</v>
      </c>
      <c r="I43" s="243" t="s">
        <v>661</v>
      </c>
      <c r="J43" s="75"/>
      <c r="K43" s="75"/>
      <c r="L43" s="75"/>
      <c r="M43" s="75"/>
      <c r="N43" s="75"/>
      <c r="O43" s="243" t="s">
        <v>661</v>
      </c>
      <c r="P43" s="244"/>
      <c r="Q43" s="244"/>
      <c r="R43" s="244"/>
      <c r="S43" s="263" t="s">
        <v>671</v>
      </c>
      <c r="T43" s="273" t="s">
        <v>670</v>
      </c>
    </row>
    <row r="44" spans="2:20" ht="21">
      <c r="B44" s="312" t="s">
        <v>112</v>
      </c>
      <c r="C44" s="102" t="s">
        <v>327</v>
      </c>
      <c r="D44" s="90" t="s">
        <v>39</v>
      </c>
      <c r="E44" s="236" t="s">
        <v>661</v>
      </c>
      <c r="F44" s="236" t="s">
        <v>661</v>
      </c>
      <c r="G44" s="68"/>
      <c r="H44" s="66"/>
      <c r="I44" s="66"/>
      <c r="J44" s="66"/>
      <c r="K44" s="66"/>
      <c r="L44" s="66"/>
      <c r="M44" s="66"/>
      <c r="N44" s="66"/>
      <c r="O44" s="236" t="s">
        <v>661</v>
      </c>
      <c r="P44" s="66"/>
      <c r="Q44" s="66"/>
      <c r="R44" s="66"/>
      <c r="S44" s="258">
        <v>38</v>
      </c>
      <c r="T44" s="267" t="s">
        <v>532</v>
      </c>
    </row>
    <row r="45" spans="2:20" ht="21">
      <c r="B45" s="323"/>
      <c r="C45" s="196" t="s">
        <v>630</v>
      </c>
      <c r="D45" s="197" t="s">
        <v>526</v>
      </c>
      <c r="E45" s="237" t="s">
        <v>661</v>
      </c>
      <c r="F45" s="237" t="s">
        <v>661</v>
      </c>
      <c r="G45" s="198"/>
      <c r="H45" s="200"/>
      <c r="I45" s="200"/>
      <c r="J45" s="200"/>
      <c r="K45" s="200"/>
      <c r="L45" s="200"/>
      <c r="M45" s="200"/>
      <c r="N45" s="200"/>
      <c r="O45" s="237" t="s">
        <v>661</v>
      </c>
      <c r="P45" s="200"/>
      <c r="Q45" s="200"/>
      <c r="R45" s="200"/>
      <c r="S45" s="264">
        <v>68</v>
      </c>
      <c r="T45" s="275" t="s">
        <v>529</v>
      </c>
    </row>
    <row r="46" spans="2:20" ht="37.5" customHeight="1">
      <c r="B46" s="313"/>
      <c r="C46" s="62" t="s">
        <v>6</v>
      </c>
      <c r="D46" s="3" t="s">
        <v>5</v>
      </c>
      <c r="E46" s="237" t="s">
        <v>661</v>
      </c>
      <c r="F46" s="237" t="s">
        <v>661</v>
      </c>
      <c r="G46" s="8"/>
      <c r="H46" s="7"/>
      <c r="I46" s="7"/>
      <c r="J46" s="7"/>
      <c r="K46" s="7"/>
      <c r="L46" s="7"/>
      <c r="M46" s="7"/>
      <c r="N46" s="7"/>
      <c r="O46" s="237" t="s">
        <v>661</v>
      </c>
      <c r="P46" s="7"/>
      <c r="Q46" s="7"/>
      <c r="R46" s="7"/>
      <c r="S46" s="257">
        <v>40</v>
      </c>
      <c r="T46" s="268" t="s">
        <v>533</v>
      </c>
    </row>
    <row r="47" spans="2:20" ht="30">
      <c r="B47" s="313"/>
      <c r="C47" s="62" t="s">
        <v>11</v>
      </c>
      <c r="D47" s="4" t="s">
        <v>39</v>
      </c>
      <c r="E47" s="237" t="s">
        <v>661</v>
      </c>
      <c r="F47" s="237" t="s">
        <v>661</v>
      </c>
      <c r="G47" s="8"/>
      <c r="H47" s="7"/>
      <c r="I47" s="7"/>
      <c r="J47" s="7"/>
      <c r="K47" s="7"/>
      <c r="L47" s="7"/>
      <c r="M47" s="7"/>
      <c r="N47" s="7"/>
      <c r="O47" s="237" t="s">
        <v>661</v>
      </c>
      <c r="P47" s="7"/>
      <c r="Q47" s="7"/>
      <c r="R47" s="7"/>
      <c r="S47" s="257">
        <v>40</v>
      </c>
      <c r="T47" s="268" t="s">
        <v>533</v>
      </c>
    </row>
    <row r="48" spans="2:20" ht="44" customHeight="1">
      <c r="B48" s="313"/>
      <c r="C48" s="62" t="s">
        <v>14</v>
      </c>
      <c r="D48" s="324" t="s">
        <v>40</v>
      </c>
      <c r="E48" s="237" t="s">
        <v>661</v>
      </c>
      <c r="F48" s="237" t="s">
        <v>661</v>
      </c>
      <c r="G48" s="8"/>
      <c r="H48" s="8"/>
      <c r="I48" s="8"/>
      <c r="J48" s="8"/>
      <c r="K48" s="8"/>
      <c r="L48" s="8"/>
      <c r="M48" s="8"/>
      <c r="N48" s="8"/>
      <c r="O48" s="237" t="s">
        <v>661</v>
      </c>
      <c r="P48" s="7"/>
      <c r="Q48" s="7"/>
      <c r="R48" s="7"/>
      <c r="S48" s="257">
        <v>41</v>
      </c>
      <c r="T48" s="268" t="s">
        <v>524</v>
      </c>
    </row>
    <row r="49" spans="2:20" ht="65.5" customHeight="1" thickBot="1">
      <c r="B49" s="314"/>
      <c r="C49" s="74" t="s">
        <v>409</v>
      </c>
      <c r="D49" s="325"/>
      <c r="E49" s="243" t="s">
        <v>661</v>
      </c>
      <c r="F49" s="243" t="s">
        <v>661</v>
      </c>
      <c r="G49" s="75"/>
      <c r="H49" s="75"/>
      <c r="I49" s="75"/>
      <c r="J49" s="75"/>
      <c r="K49" s="75"/>
      <c r="L49" s="75"/>
      <c r="M49" s="75"/>
      <c r="N49" s="75"/>
      <c r="O49" s="243" t="s">
        <v>661</v>
      </c>
      <c r="P49" s="244"/>
      <c r="Q49" s="244"/>
      <c r="R49" s="244"/>
      <c r="S49" s="261">
        <v>41</v>
      </c>
      <c r="T49" s="273" t="s">
        <v>524</v>
      </c>
    </row>
    <row r="50" spans="2:20" ht="56.5" customHeight="1" thickBot="1">
      <c r="B50" s="247" t="s">
        <v>66</v>
      </c>
      <c r="C50" s="248" t="s">
        <v>2</v>
      </c>
      <c r="D50" s="249" t="s">
        <v>43</v>
      </c>
      <c r="E50" s="250" t="s">
        <v>661</v>
      </c>
      <c r="F50" s="250" t="s">
        <v>661</v>
      </c>
      <c r="G50" s="250" t="s">
        <v>661</v>
      </c>
      <c r="H50" s="250" t="s">
        <v>661</v>
      </c>
      <c r="I50" s="250" t="s">
        <v>661</v>
      </c>
      <c r="J50" s="250" t="s">
        <v>661</v>
      </c>
      <c r="K50" s="250" t="s">
        <v>661</v>
      </c>
      <c r="L50" s="250" t="s">
        <v>661</v>
      </c>
      <c r="M50" s="250" t="s">
        <v>661</v>
      </c>
      <c r="N50" s="250" t="s">
        <v>661</v>
      </c>
      <c r="O50" s="250" t="s">
        <v>661</v>
      </c>
      <c r="P50" s="250" t="s">
        <v>661</v>
      </c>
      <c r="Q50" s="250" t="s">
        <v>661</v>
      </c>
      <c r="R50" s="250" t="s">
        <v>661</v>
      </c>
      <c r="S50" s="265" t="s">
        <v>672</v>
      </c>
      <c r="T50" s="276" t="s">
        <v>519</v>
      </c>
    </row>
    <row r="51" spans="2:20" ht="56.5" customHeight="1" thickBot="1">
      <c r="B51" s="247" t="s">
        <v>500</v>
      </c>
      <c r="C51" s="248" t="s">
        <v>123</v>
      </c>
      <c r="D51" s="251" t="s">
        <v>412</v>
      </c>
      <c r="E51" s="250" t="s">
        <v>661</v>
      </c>
      <c r="F51" s="250" t="s">
        <v>661</v>
      </c>
      <c r="G51" s="250" t="s">
        <v>661</v>
      </c>
      <c r="H51" s="250" t="s">
        <v>661</v>
      </c>
      <c r="I51" s="250" t="s">
        <v>661</v>
      </c>
      <c r="J51" s="250" t="s">
        <v>661</v>
      </c>
      <c r="K51" s="250" t="s">
        <v>661</v>
      </c>
      <c r="L51" s="250" t="s">
        <v>661</v>
      </c>
      <c r="M51" s="250" t="s">
        <v>661</v>
      </c>
      <c r="N51" s="250" t="s">
        <v>661</v>
      </c>
      <c r="O51" s="250" t="s">
        <v>661</v>
      </c>
      <c r="P51" s="250" t="s">
        <v>661</v>
      </c>
      <c r="Q51" s="250" t="s">
        <v>661</v>
      </c>
      <c r="R51" s="250" t="s">
        <v>661</v>
      </c>
      <c r="S51" s="265">
        <v>48</v>
      </c>
      <c r="T51" s="276" t="s">
        <v>620</v>
      </c>
    </row>
    <row r="52" spans="2:20" ht="56.5" customHeight="1" thickBot="1">
      <c r="B52" s="252" t="s">
        <v>501</v>
      </c>
      <c r="C52" s="253" t="s">
        <v>124</v>
      </c>
      <c r="D52" s="251" t="s">
        <v>412</v>
      </c>
      <c r="E52" s="250" t="s">
        <v>661</v>
      </c>
      <c r="F52" s="250" t="s">
        <v>661</v>
      </c>
      <c r="G52" s="250" t="s">
        <v>661</v>
      </c>
      <c r="H52" s="250" t="s">
        <v>661</v>
      </c>
      <c r="I52" s="250" t="s">
        <v>661</v>
      </c>
      <c r="J52" s="250" t="s">
        <v>661</v>
      </c>
      <c r="K52" s="250" t="s">
        <v>661</v>
      </c>
      <c r="L52" s="250" t="s">
        <v>661</v>
      </c>
      <c r="M52" s="250" t="s">
        <v>661</v>
      </c>
      <c r="N52" s="250" t="s">
        <v>661</v>
      </c>
      <c r="O52" s="250" t="s">
        <v>661</v>
      </c>
      <c r="P52" s="250" t="s">
        <v>661</v>
      </c>
      <c r="Q52" s="250" t="s">
        <v>661</v>
      </c>
      <c r="R52" s="250" t="s">
        <v>661</v>
      </c>
      <c r="S52" s="265">
        <v>51</v>
      </c>
      <c r="T52" s="280" t="s">
        <v>565</v>
      </c>
    </row>
    <row r="53" spans="2:20" ht="46.5" customHeight="1">
      <c r="B53" s="328" t="s">
        <v>673</v>
      </c>
      <c r="C53" s="102" t="s">
        <v>0</v>
      </c>
      <c r="D53" s="103" t="s">
        <v>400</v>
      </c>
      <c r="E53" s="236" t="s">
        <v>661</v>
      </c>
      <c r="F53" s="236" t="s">
        <v>661</v>
      </c>
      <c r="G53" s="236" t="s">
        <v>661</v>
      </c>
      <c r="H53" s="236" t="s">
        <v>661</v>
      </c>
      <c r="I53" s="236" t="s">
        <v>661</v>
      </c>
      <c r="J53" s="236" t="s">
        <v>661</v>
      </c>
      <c r="K53" s="236" t="s">
        <v>661</v>
      </c>
      <c r="L53" s="236" t="s">
        <v>661</v>
      </c>
      <c r="M53" s="236" t="s">
        <v>661</v>
      </c>
      <c r="N53" s="236" t="s">
        <v>661</v>
      </c>
      <c r="O53" s="236" t="s">
        <v>661</v>
      </c>
      <c r="P53" s="236" t="s">
        <v>661</v>
      </c>
      <c r="Q53" s="236" t="s">
        <v>661</v>
      </c>
      <c r="R53" s="236" t="s">
        <v>661</v>
      </c>
      <c r="S53" s="258">
        <v>44</v>
      </c>
      <c r="T53" s="267" t="s">
        <v>475</v>
      </c>
    </row>
    <row r="54" spans="2:20" ht="145" customHeight="1" thickBot="1">
      <c r="B54" s="329"/>
      <c r="C54" s="74" t="s">
        <v>410</v>
      </c>
      <c r="D54" s="246" t="s">
        <v>341</v>
      </c>
      <c r="E54" s="243" t="s">
        <v>661</v>
      </c>
      <c r="F54" s="243" t="s">
        <v>661</v>
      </c>
      <c r="G54" s="243" t="s">
        <v>661</v>
      </c>
      <c r="H54" s="243" t="s">
        <v>661</v>
      </c>
      <c r="I54" s="243" t="s">
        <v>661</v>
      </c>
      <c r="J54" s="243" t="s">
        <v>661</v>
      </c>
      <c r="K54" s="243" t="s">
        <v>661</v>
      </c>
      <c r="L54" s="243" t="s">
        <v>661</v>
      </c>
      <c r="M54" s="243" t="s">
        <v>661</v>
      </c>
      <c r="N54" s="243" t="s">
        <v>661</v>
      </c>
      <c r="O54" s="243" t="s">
        <v>661</v>
      </c>
      <c r="P54" s="243" t="s">
        <v>661</v>
      </c>
      <c r="Q54" s="243" t="s">
        <v>661</v>
      </c>
      <c r="R54" s="243" t="s">
        <v>661</v>
      </c>
      <c r="S54" s="261">
        <v>47</v>
      </c>
      <c r="T54" s="273" t="s">
        <v>675</v>
      </c>
    </row>
    <row r="55" spans="2:20" ht="71" customHeight="1">
      <c r="B55" s="328" t="s">
        <v>674</v>
      </c>
      <c r="C55" s="102" t="s">
        <v>342</v>
      </c>
      <c r="D55" s="103" t="s">
        <v>37</v>
      </c>
      <c r="E55" s="236" t="s">
        <v>661</v>
      </c>
      <c r="F55" s="236" t="s">
        <v>661</v>
      </c>
      <c r="G55" s="236" t="s">
        <v>661</v>
      </c>
      <c r="H55" s="236" t="s">
        <v>661</v>
      </c>
      <c r="I55" s="236" t="s">
        <v>661</v>
      </c>
      <c r="J55" s="236" t="s">
        <v>661</v>
      </c>
      <c r="K55" s="236" t="s">
        <v>661</v>
      </c>
      <c r="L55" s="236" t="s">
        <v>661</v>
      </c>
      <c r="M55" s="236" t="s">
        <v>661</v>
      </c>
      <c r="N55" s="236" t="s">
        <v>661</v>
      </c>
      <c r="O55" s="236" t="s">
        <v>661</v>
      </c>
      <c r="P55" s="236" t="s">
        <v>661</v>
      </c>
      <c r="Q55" s="236" t="s">
        <v>661</v>
      </c>
      <c r="R55" s="236" t="s">
        <v>661</v>
      </c>
      <c r="S55" s="258">
        <v>45</v>
      </c>
      <c r="T55" s="267" t="s">
        <v>694</v>
      </c>
    </row>
    <row r="56" spans="2:20" ht="52" customHeight="1" thickBot="1">
      <c r="B56" s="329"/>
      <c r="C56" s="74" t="s">
        <v>340</v>
      </c>
      <c r="D56" s="115" t="s">
        <v>42</v>
      </c>
      <c r="E56" s="243" t="s">
        <v>661</v>
      </c>
      <c r="F56" s="243" t="s">
        <v>661</v>
      </c>
      <c r="G56" s="243" t="s">
        <v>661</v>
      </c>
      <c r="H56" s="243" t="s">
        <v>661</v>
      </c>
      <c r="I56" s="243" t="s">
        <v>661</v>
      </c>
      <c r="J56" s="243" t="s">
        <v>661</v>
      </c>
      <c r="K56" s="243" t="s">
        <v>661</v>
      </c>
      <c r="L56" s="243" t="s">
        <v>661</v>
      </c>
      <c r="M56" s="243" t="s">
        <v>661</v>
      </c>
      <c r="N56" s="243" t="s">
        <v>661</v>
      </c>
      <c r="O56" s="243" t="s">
        <v>661</v>
      </c>
      <c r="P56" s="243" t="s">
        <v>661</v>
      </c>
      <c r="Q56" s="243" t="s">
        <v>661</v>
      </c>
      <c r="R56" s="243" t="s">
        <v>661</v>
      </c>
      <c r="S56" s="261">
        <v>46</v>
      </c>
      <c r="T56" s="268" t="s">
        <v>476</v>
      </c>
    </row>
    <row r="57" spans="2:20" ht="53.5" customHeight="1">
      <c r="B57" s="312" t="s">
        <v>45</v>
      </c>
      <c r="C57" s="102" t="s">
        <v>392</v>
      </c>
      <c r="D57" s="103" t="s">
        <v>39</v>
      </c>
      <c r="E57" s="236" t="s">
        <v>661</v>
      </c>
      <c r="F57" s="236" t="s">
        <v>661</v>
      </c>
      <c r="G57" s="236" t="s">
        <v>661</v>
      </c>
      <c r="H57" s="236" t="s">
        <v>661</v>
      </c>
      <c r="I57" s="236" t="s">
        <v>661</v>
      </c>
      <c r="J57" s="236" t="s">
        <v>661</v>
      </c>
      <c r="K57" s="236" t="s">
        <v>661</v>
      </c>
      <c r="L57" s="236" t="s">
        <v>661</v>
      </c>
      <c r="M57" s="236" t="s">
        <v>661</v>
      </c>
      <c r="N57" s="236" t="s">
        <v>661</v>
      </c>
      <c r="O57" s="236" t="s">
        <v>661</v>
      </c>
      <c r="P57" s="236" t="s">
        <v>661</v>
      </c>
      <c r="Q57" s="236" t="s">
        <v>661</v>
      </c>
      <c r="R57" s="236" t="s">
        <v>661</v>
      </c>
      <c r="S57" s="258">
        <v>52</v>
      </c>
      <c r="T57" s="267" t="s">
        <v>556</v>
      </c>
    </row>
    <row r="58" spans="2:20" ht="30">
      <c r="B58" s="313"/>
      <c r="C58" s="167" t="s">
        <v>16</v>
      </c>
      <c r="D58" s="324" t="s">
        <v>5</v>
      </c>
      <c r="E58" s="237" t="s">
        <v>661</v>
      </c>
      <c r="F58" s="237" t="s">
        <v>661</v>
      </c>
      <c r="G58" s="237" t="s">
        <v>661</v>
      </c>
      <c r="H58" s="237" t="s">
        <v>661</v>
      </c>
      <c r="I58" s="237" t="s">
        <v>661</v>
      </c>
      <c r="J58" s="237" t="s">
        <v>661</v>
      </c>
      <c r="K58" s="237" t="s">
        <v>661</v>
      </c>
      <c r="L58" s="237" t="s">
        <v>661</v>
      </c>
      <c r="M58" s="237" t="s">
        <v>661</v>
      </c>
      <c r="N58" s="237" t="s">
        <v>661</v>
      </c>
      <c r="O58" s="237" t="s">
        <v>661</v>
      </c>
      <c r="P58" s="237" t="s">
        <v>661</v>
      </c>
      <c r="Q58" s="237" t="s">
        <v>661</v>
      </c>
      <c r="R58" s="237" t="s">
        <v>661</v>
      </c>
      <c r="S58" s="257">
        <v>53</v>
      </c>
      <c r="T58" s="268" t="s">
        <v>677</v>
      </c>
    </row>
    <row r="59" spans="2:20" ht="30">
      <c r="B59" s="313"/>
      <c r="C59" s="6" t="s">
        <v>17</v>
      </c>
      <c r="D59" s="324"/>
      <c r="E59" s="237" t="s">
        <v>661</v>
      </c>
      <c r="F59" s="237" t="s">
        <v>661</v>
      </c>
      <c r="G59" s="237" t="s">
        <v>661</v>
      </c>
      <c r="H59" s="237" t="s">
        <v>661</v>
      </c>
      <c r="I59" s="237" t="s">
        <v>661</v>
      </c>
      <c r="J59" s="237" t="s">
        <v>661</v>
      </c>
      <c r="K59" s="237" t="s">
        <v>661</v>
      </c>
      <c r="L59" s="237" t="s">
        <v>661</v>
      </c>
      <c r="M59" s="237" t="s">
        <v>661</v>
      </c>
      <c r="N59" s="237" t="s">
        <v>661</v>
      </c>
      <c r="O59" s="237" t="s">
        <v>661</v>
      </c>
      <c r="P59" s="237"/>
      <c r="Q59" s="237"/>
      <c r="R59" s="237"/>
      <c r="S59" s="257">
        <v>48</v>
      </c>
      <c r="T59" s="268" t="s">
        <v>482</v>
      </c>
    </row>
    <row r="60" spans="2:20" ht="21">
      <c r="B60" s="313"/>
      <c r="C60" s="6" t="s">
        <v>18</v>
      </c>
      <c r="D60" s="324"/>
      <c r="E60" s="237" t="s">
        <v>661</v>
      </c>
      <c r="F60" s="237" t="s">
        <v>661</v>
      </c>
      <c r="G60" s="237" t="s">
        <v>661</v>
      </c>
      <c r="H60" s="237" t="s">
        <v>661</v>
      </c>
      <c r="I60" s="237" t="s">
        <v>661</v>
      </c>
      <c r="J60" s="237" t="s">
        <v>661</v>
      </c>
      <c r="K60" s="237" t="s">
        <v>661</v>
      </c>
      <c r="L60" s="237" t="s">
        <v>661</v>
      </c>
      <c r="M60" s="237" t="s">
        <v>661</v>
      </c>
      <c r="N60" s="237" t="s">
        <v>661</v>
      </c>
      <c r="O60" s="237" t="s">
        <v>661</v>
      </c>
      <c r="P60" s="8"/>
      <c r="Q60" s="8"/>
      <c r="R60" s="8"/>
      <c r="S60" s="257">
        <v>55</v>
      </c>
      <c r="T60" s="268" t="s">
        <v>557</v>
      </c>
    </row>
    <row r="61" spans="2:20" ht="30">
      <c r="B61" s="313"/>
      <c r="C61" s="6" t="s">
        <v>115</v>
      </c>
      <c r="D61" s="324"/>
      <c r="E61" s="237" t="s">
        <v>661</v>
      </c>
      <c r="F61" s="237" t="s">
        <v>661</v>
      </c>
      <c r="G61" s="237" t="s">
        <v>661</v>
      </c>
      <c r="H61" s="237" t="s">
        <v>661</v>
      </c>
      <c r="I61" s="237" t="s">
        <v>661</v>
      </c>
      <c r="J61" s="237" t="s">
        <v>661</v>
      </c>
      <c r="K61" s="237" t="s">
        <v>661</v>
      </c>
      <c r="L61" s="237" t="s">
        <v>661</v>
      </c>
      <c r="M61" s="237" t="s">
        <v>661</v>
      </c>
      <c r="N61" s="237" t="s">
        <v>661</v>
      </c>
      <c r="O61" s="237" t="s">
        <v>661</v>
      </c>
      <c r="P61" s="237" t="s">
        <v>661</v>
      </c>
      <c r="Q61" s="237" t="s">
        <v>661</v>
      </c>
      <c r="R61" s="237" t="s">
        <v>661</v>
      </c>
      <c r="S61" s="257">
        <v>56</v>
      </c>
      <c r="T61" s="268" t="s">
        <v>558</v>
      </c>
    </row>
    <row r="62" spans="2:20" ht="30">
      <c r="B62" s="313"/>
      <c r="C62" s="6" t="s">
        <v>415</v>
      </c>
      <c r="D62" s="16" t="s">
        <v>44</v>
      </c>
      <c r="E62" s="237" t="s">
        <v>661</v>
      </c>
      <c r="F62" s="237" t="s">
        <v>661</v>
      </c>
      <c r="G62" s="237" t="s">
        <v>661</v>
      </c>
      <c r="H62" s="237" t="s">
        <v>661</v>
      </c>
      <c r="I62" s="237" t="s">
        <v>661</v>
      </c>
      <c r="J62" s="237" t="s">
        <v>661</v>
      </c>
      <c r="K62" s="237" t="s">
        <v>661</v>
      </c>
      <c r="L62" s="237" t="s">
        <v>661</v>
      </c>
      <c r="M62" s="237" t="s">
        <v>661</v>
      </c>
      <c r="N62" s="237" t="s">
        <v>661</v>
      </c>
      <c r="O62" s="237" t="s">
        <v>661</v>
      </c>
      <c r="P62" s="237" t="s">
        <v>661</v>
      </c>
      <c r="Q62" s="237" t="s">
        <v>661</v>
      </c>
      <c r="R62" s="237" t="s">
        <v>661</v>
      </c>
      <c r="S62" s="257">
        <v>69</v>
      </c>
      <c r="T62" s="268" t="s">
        <v>564</v>
      </c>
    </row>
    <row r="63" spans="2:20" ht="45.5" customHeight="1">
      <c r="B63" s="313"/>
      <c r="C63" s="3" t="s">
        <v>114</v>
      </c>
      <c r="D63" s="16" t="s">
        <v>44</v>
      </c>
      <c r="E63" s="237" t="s">
        <v>661</v>
      </c>
      <c r="F63" s="237" t="s">
        <v>661</v>
      </c>
      <c r="G63" s="237" t="s">
        <v>661</v>
      </c>
      <c r="H63" s="237" t="s">
        <v>661</v>
      </c>
      <c r="I63" s="237" t="s">
        <v>661</v>
      </c>
      <c r="J63" s="237" t="s">
        <v>661</v>
      </c>
      <c r="K63" s="237" t="s">
        <v>661</v>
      </c>
      <c r="L63" s="237" t="s">
        <v>661</v>
      </c>
      <c r="M63" s="237" t="s">
        <v>661</v>
      </c>
      <c r="N63" s="237" t="s">
        <v>661</v>
      </c>
      <c r="O63" s="237" t="s">
        <v>661</v>
      </c>
      <c r="P63" s="8"/>
      <c r="Q63" s="8"/>
      <c r="R63" s="8"/>
      <c r="S63" s="257">
        <v>70</v>
      </c>
      <c r="T63" s="268" t="s">
        <v>566</v>
      </c>
    </row>
    <row r="64" spans="2:20" ht="97" customHeight="1">
      <c r="B64" s="313"/>
      <c r="C64" s="3" t="s">
        <v>116</v>
      </c>
      <c r="D64" s="324" t="s">
        <v>81</v>
      </c>
      <c r="E64" s="237" t="s">
        <v>661</v>
      </c>
      <c r="F64" s="237" t="s">
        <v>661</v>
      </c>
      <c r="G64" s="237" t="s">
        <v>661</v>
      </c>
      <c r="H64" s="237" t="s">
        <v>661</v>
      </c>
      <c r="I64" s="237" t="s">
        <v>661</v>
      </c>
      <c r="J64" s="237" t="s">
        <v>661</v>
      </c>
      <c r="K64" s="237" t="s">
        <v>661</v>
      </c>
      <c r="L64" s="237" t="s">
        <v>661</v>
      </c>
      <c r="M64" s="237" t="s">
        <v>661</v>
      </c>
      <c r="N64" s="237" t="s">
        <v>661</v>
      </c>
      <c r="O64" s="237" t="s">
        <v>661</v>
      </c>
      <c r="P64" s="8"/>
      <c r="Q64" s="8"/>
      <c r="R64" s="8"/>
      <c r="S64" s="257">
        <v>71</v>
      </c>
      <c r="T64" s="268" t="s">
        <v>567</v>
      </c>
    </row>
    <row r="65" spans="2:20" ht="59.5" customHeight="1">
      <c r="B65" s="313"/>
      <c r="C65" s="3" t="s">
        <v>117</v>
      </c>
      <c r="D65" s="324"/>
      <c r="E65" s="237" t="s">
        <v>661</v>
      </c>
      <c r="F65" s="237" t="s">
        <v>661</v>
      </c>
      <c r="G65" s="237" t="s">
        <v>661</v>
      </c>
      <c r="H65" s="237" t="s">
        <v>661</v>
      </c>
      <c r="I65" s="237" t="s">
        <v>661</v>
      </c>
      <c r="J65" s="237" t="s">
        <v>661</v>
      </c>
      <c r="K65" s="237" t="s">
        <v>661</v>
      </c>
      <c r="L65" s="237" t="s">
        <v>661</v>
      </c>
      <c r="M65" s="237" t="s">
        <v>661</v>
      </c>
      <c r="N65" s="237" t="s">
        <v>661</v>
      </c>
      <c r="O65" s="237" t="s">
        <v>661</v>
      </c>
      <c r="P65" s="237" t="s">
        <v>661</v>
      </c>
      <c r="Q65" s="237" t="s">
        <v>661</v>
      </c>
      <c r="R65" s="237" t="s">
        <v>661</v>
      </c>
      <c r="S65" s="257">
        <v>72</v>
      </c>
      <c r="T65" s="268" t="s">
        <v>568</v>
      </c>
    </row>
    <row r="66" spans="2:20" ht="57" customHeight="1">
      <c r="B66" s="313"/>
      <c r="C66" s="3" t="s">
        <v>27</v>
      </c>
      <c r="D66" s="324"/>
      <c r="E66" s="237" t="s">
        <v>661</v>
      </c>
      <c r="F66" s="237" t="s">
        <v>661</v>
      </c>
      <c r="G66" s="237" t="s">
        <v>661</v>
      </c>
      <c r="H66" s="237" t="s">
        <v>661</v>
      </c>
      <c r="I66" s="237" t="s">
        <v>661</v>
      </c>
      <c r="J66" s="237" t="s">
        <v>661</v>
      </c>
      <c r="K66" s="237" t="s">
        <v>661</v>
      </c>
      <c r="L66" s="237" t="s">
        <v>661</v>
      </c>
      <c r="M66" s="237" t="s">
        <v>661</v>
      </c>
      <c r="N66" s="237" t="s">
        <v>661</v>
      </c>
      <c r="O66" s="237" t="s">
        <v>661</v>
      </c>
      <c r="P66" s="237" t="s">
        <v>661</v>
      </c>
      <c r="Q66" s="237" t="s">
        <v>661</v>
      </c>
      <c r="R66" s="237" t="s">
        <v>661</v>
      </c>
      <c r="S66" s="257">
        <v>72</v>
      </c>
      <c r="T66" s="268" t="s">
        <v>568</v>
      </c>
    </row>
    <row r="67" spans="2:20" ht="62" customHeight="1" thickBot="1">
      <c r="B67" s="314"/>
      <c r="C67" s="74" t="s">
        <v>118</v>
      </c>
      <c r="D67" s="325"/>
      <c r="E67" s="243" t="s">
        <v>661</v>
      </c>
      <c r="F67" s="243" t="s">
        <v>661</v>
      </c>
      <c r="G67" s="243" t="s">
        <v>661</v>
      </c>
      <c r="H67" s="243" t="s">
        <v>661</v>
      </c>
      <c r="I67" s="243" t="s">
        <v>661</v>
      </c>
      <c r="J67" s="243" t="s">
        <v>661</v>
      </c>
      <c r="K67" s="243" t="s">
        <v>661</v>
      </c>
      <c r="L67" s="243" t="s">
        <v>661</v>
      </c>
      <c r="M67" s="243" t="s">
        <v>661</v>
      </c>
      <c r="N67" s="243" t="s">
        <v>661</v>
      </c>
      <c r="O67" s="243" t="s">
        <v>661</v>
      </c>
      <c r="P67" s="243" t="s">
        <v>661</v>
      </c>
      <c r="Q67" s="243" t="s">
        <v>661</v>
      </c>
      <c r="R67" s="243" t="s">
        <v>661</v>
      </c>
      <c r="S67" s="261">
        <v>60</v>
      </c>
      <c r="T67" s="273" t="s">
        <v>562</v>
      </c>
    </row>
    <row r="68" spans="2:20" ht="155" thickBot="1">
      <c r="B68" s="254" t="s">
        <v>67</v>
      </c>
      <c r="C68" s="255" t="s">
        <v>353</v>
      </c>
      <c r="D68" s="251" t="s">
        <v>68</v>
      </c>
      <c r="E68" s="250" t="s">
        <v>661</v>
      </c>
      <c r="F68" s="250" t="s">
        <v>661</v>
      </c>
      <c r="G68" s="250" t="s">
        <v>661</v>
      </c>
      <c r="H68" s="250" t="s">
        <v>661</v>
      </c>
      <c r="I68" s="250" t="s">
        <v>661</v>
      </c>
      <c r="J68" s="250" t="s">
        <v>661</v>
      </c>
      <c r="K68" s="250" t="s">
        <v>661</v>
      </c>
      <c r="L68" s="250" t="s">
        <v>661</v>
      </c>
      <c r="M68" s="250" t="s">
        <v>661</v>
      </c>
      <c r="N68" s="250" t="s">
        <v>661</v>
      </c>
      <c r="O68" s="250" t="s">
        <v>661</v>
      </c>
      <c r="P68" s="256"/>
      <c r="Q68" s="256"/>
      <c r="R68" s="256"/>
      <c r="S68" s="265">
        <v>61</v>
      </c>
      <c r="T68" s="276" t="s">
        <v>543</v>
      </c>
    </row>
    <row r="69" spans="2:20" ht="68" customHeight="1" thickBot="1">
      <c r="B69" s="254" t="s">
        <v>79</v>
      </c>
      <c r="C69" s="255" t="s">
        <v>354</v>
      </c>
      <c r="D69" s="255" t="s">
        <v>1</v>
      </c>
      <c r="E69" s="250" t="s">
        <v>661</v>
      </c>
      <c r="F69" s="250" t="s">
        <v>661</v>
      </c>
      <c r="G69" s="250" t="s">
        <v>661</v>
      </c>
      <c r="H69" s="250" t="s">
        <v>661</v>
      </c>
      <c r="I69" s="250" t="s">
        <v>661</v>
      </c>
      <c r="J69" s="250" t="s">
        <v>661</v>
      </c>
      <c r="K69" s="250" t="s">
        <v>661</v>
      </c>
      <c r="L69" s="250" t="s">
        <v>661</v>
      </c>
      <c r="M69" s="250" t="s">
        <v>661</v>
      </c>
      <c r="N69" s="250" t="s">
        <v>661</v>
      </c>
      <c r="O69" s="250" t="s">
        <v>661</v>
      </c>
      <c r="P69" s="256"/>
      <c r="Q69" s="256"/>
      <c r="R69" s="256"/>
      <c r="S69" s="265">
        <v>48</v>
      </c>
      <c r="T69" s="276" t="s">
        <v>482</v>
      </c>
    </row>
    <row r="70" spans="2:20" ht="42">
      <c r="B70" s="312" t="s">
        <v>73</v>
      </c>
      <c r="C70" s="90" t="s">
        <v>63</v>
      </c>
      <c r="D70" s="90" t="s">
        <v>1</v>
      </c>
      <c r="E70" s="236" t="s">
        <v>661</v>
      </c>
      <c r="F70" s="236" t="s">
        <v>661</v>
      </c>
      <c r="G70" s="236" t="s">
        <v>661</v>
      </c>
      <c r="H70" s="236" t="s">
        <v>661</v>
      </c>
      <c r="I70" s="236" t="s">
        <v>661</v>
      </c>
      <c r="J70" s="236" t="s">
        <v>661</v>
      </c>
      <c r="K70" s="236" t="s">
        <v>661</v>
      </c>
      <c r="L70" s="236" t="s">
        <v>661</v>
      </c>
      <c r="M70" s="236" t="s">
        <v>661</v>
      </c>
      <c r="N70" s="236" t="s">
        <v>661</v>
      </c>
      <c r="O70" s="236" t="s">
        <v>661</v>
      </c>
      <c r="P70" s="236" t="s">
        <v>661</v>
      </c>
      <c r="Q70" s="236" t="s">
        <v>661</v>
      </c>
      <c r="R70" s="236" t="s">
        <v>661</v>
      </c>
      <c r="S70" s="258">
        <v>48</v>
      </c>
      <c r="T70" s="267" t="s">
        <v>482</v>
      </c>
    </row>
    <row r="71" spans="2:20" ht="106" thickBot="1">
      <c r="B71" s="314"/>
      <c r="C71" s="115" t="s">
        <v>26</v>
      </c>
      <c r="D71" s="115" t="s">
        <v>31</v>
      </c>
      <c r="E71" s="243" t="s">
        <v>661</v>
      </c>
      <c r="F71" s="243" t="s">
        <v>661</v>
      </c>
      <c r="G71" s="243" t="s">
        <v>661</v>
      </c>
      <c r="H71" s="243" t="s">
        <v>661</v>
      </c>
      <c r="I71" s="243" t="s">
        <v>661</v>
      </c>
      <c r="J71" s="243" t="s">
        <v>661</v>
      </c>
      <c r="K71" s="243" t="s">
        <v>661</v>
      </c>
      <c r="L71" s="243" t="s">
        <v>661</v>
      </c>
      <c r="M71" s="243" t="s">
        <v>661</v>
      </c>
      <c r="N71" s="243" t="s">
        <v>661</v>
      </c>
      <c r="O71" s="243" t="s">
        <v>661</v>
      </c>
      <c r="P71" s="243" t="s">
        <v>661</v>
      </c>
      <c r="Q71" s="243" t="s">
        <v>661</v>
      </c>
      <c r="R71" s="243" t="s">
        <v>661</v>
      </c>
      <c r="S71" s="261" t="s">
        <v>678</v>
      </c>
      <c r="T71" s="277" t="s">
        <v>679</v>
      </c>
    </row>
    <row r="72" spans="2:20">
      <c r="B72" s="180"/>
      <c r="C72" s="238"/>
      <c r="D72" s="239"/>
      <c r="E72" s="192"/>
      <c r="F72" s="192"/>
      <c r="G72" s="192"/>
      <c r="H72" s="192"/>
      <c r="I72" s="192"/>
      <c r="J72" s="192"/>
      <c r="K72" s="192"/>
      <c r="L72" s="192"/>
      <c r="M72" s="192"/>
      <c r="N72" s="192"/>
      <c r="O72" s="192"/>
      <c r="P72" s="192"/>
      <c r="Q72" s="192"/>
      <c r="R72" s="240"/>
      <c r="S72" s="193"/>
    </row>
    <row r="73" spans="2:20"/>
  </sheetData>
  <autoFilter ref="A6:T6" xr:uid="{28B747F1-37EF-4551-9DCF-7E6122E1FEB1}"/>
  <mergeCells count="30">
    <mergeCell ref="B53:B54"/>
    <mergeCell ref="B55:B56"/>
    <mergeCell ref="B70:B71"/>
    <mergeCell ref="D58:D61"/>
    <mergeCell ref="D64:D67"/>
    <mergeCell ref="B57:B67"/>
    <mergeCell ref="B44:B49"/>
    <mergeCell ref="D48:D49"/>
    <mergeCell ref="B41:B43"/>
    <mergeCell ref="B38:B40"/>
    <mergeCell ref="B25:B31"/>
    <mergeCell ref="B32:B37"/>
    <mergeCell ref="B22:B24"/>
    <mergeCell ref="B14:B21"/>
    <mergeCell ref="S5:S6"/>
    <mergeCell ref="T5:T6"/>
    <mergeCell ref="E5:R5"/>
    <mergeCell ref="B10:B12"/>
    <mergeCell ref="B7:B9"/>
    <mergeCell ref="E3:G3"/>
    <mergeCell ref="H3:N3"/>
    <mergeCell ref="Q3:R3"/>
    <mergeCell ref="S3:T4"/>
    <mergeCell ref="B1:C1"/>
    <mergeCell ref="B2:D2"/>
    <mergeCell ref="E2:R2"/>
    <mergeCell ref="S2:T2"/>
    <mergeCell ref="B3:B6"/>
    <mergeCell ref="C3:C6"/>
    <mergeCell ref="D3:D6"/>
  </mergeCells>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3491A-6198-4E32-93F8-C383BEE75FDF}">
  <dimension ref="A1:XFC64"/>
  <sheetViews>
    <sheetView tabSelected="1" topLeftCell="A7" zoomScale="90" zoomScaleNormal="90" workbookViewId="0">
      <selection activeCell="F24" sqref="F24:K24"/>
    </sheetView>
  </sheetViews>
  <sheetFormatPr baseColWidth="10" defaultColWidth="8.6640625" defaultRowHeight="0" customHeight="1" zeroHeight="1"/>
  <cols>
    <col min="1" max="1" width="3.5" style="217" customWidth="1"/>
    <col min="2" max="3" width="7.6640625" style="217" customWidth="1"/>
    <col min="4" max="4" width="12.5" style="217" customWidth="1"/>
    <col min="5" max="5" width="5.33203125" customWidth="1"/>
    <col min="6" max="9" width="8.6640625" customWidth="1"/>
    <col min="10" max="10" width="13" customWidth="1"/>
    <col min="11" max="11" width="52.5" customWidth="1"/>
    <col min="12" max="12" width="23.1640625" customWidth="1"/>
    <col min="13" max="13" width="35.83203125" bestFit="1" customWidth="1"/>
    <col min="14" max="15" width="8.6640625" customWidth="1"/>
    <col min="16" max="16" width="8.6640625" style="217" customWidth="1"/>
    <col min="17" max="16383" width="0" hidden="1" customWidth="1"/>
    <col min="16384" max="16384" width="7" hidden="1" customWidth="1"/>
  </cols>
  <sheetData>
    <row r="1" spans="2:17" ht="15">
      <c r="E1" s="217"/>
      <c r="F1" s="217"/>
      <c r="G1" s="217"/>
      <c r="H1" s="217"/>
      <c r="I1" s="217"/>
      <c r="J1" s="217"/>
      <c r="K1" s="217"/>
      <c r="L1" s="217"/>
      <c r="M1" s="217"/>
      <c r="N1" s="217"/>
      <c r="O1" s="217"/>
    </row>
    <row r="2" spans="2:17" ht="14.5" customHeight="1">
      <c r="B2" s="336" t="s">
        <v>626</v>
      </c>
      <c r="C2" s="336"/>
      <c r="D2" s="336"/>
      <c r="E2" s="336"/>
      <c r="F2" s="336"/>
      <c r="G2" s="336"/>
      <c r="H2" s="336"/>
      <c r="I2" s="336"/>
      <c r="J2" s="336"/>
      <c r="K2" s="336"/>
      <c r="L2" s="336"/>
      <c r="M2" s="336"/>
      <c r="N2" s="336"/>
      <c r="O2" s="337"/>
    </row>
    <row r="3" spans="2:17" ht="15">
      <c r="B3" s="336"/>
      <c r="C3" s="336"/>
      <c r="D3" s="336"/>
      <c r="E3" s="336"/>
      <c r="F3" s="336"/>
      <c r="G3" s="336"/>
      <c r="H3" s="336"/>
      <c r="I3" s="336"/>
      <c r="J3" s="336"/>
      <c r="K3" s="336"/>
      <c r="L3" s="336"/>
      <c r="M3" s="336"/>
      <c r="N3" s="336"/>
      <c r="O3" s="337"/>
    </row>
    <row r="4" spans="2:17" ht="16" thickBot="1">
      <c r="B4" s="218"/>
      <c r="E4" s="217"/>
      <c r="F4" s="217"/>
      <c r="G4" s="217"/>
      <c r="H4" s="217"/>
      <c r="I4" s="217"/>
      <c r="J4" s="217"/>
      <c r="K4" s="217"/>
      <c r="L4" s="217"/>
      <c r="M4" s="217"/>
      <c r="N4" s="217"/>
      <c r="O4" s="217"/>
    </row>
    <row r="5" spans="2:17" ht="16" thickBot="1">
      <c r="B5" s="241" t="s">
        <v>718</v>
      </c>
      <c r="C5" s="339" t="s">
        <v>571</v>
      </c>
      <c r="D5" s="340"/>
      <c r="E5" s="219" t="s">
        <v>349</v>
      </c>
      <c r="F5" s="338" t="s">
        <v>451</v>
      </c>
      <c r="G5" s="339"/>
      <c r="H5" s="339"/>
      <c r="I5" s="339"/>
      <c r="J5" s="339"/>
      <c r="K5" s="339"/>
      <c r="L5" s="220" t="s">
        <v>609</v>
      </c>
      <c r="M5" s="220" t="s">
        <v>629</v>
      </c>
      <c r="N5" s="338" t="s">
        <v>572</v>
      </c>
      <c r="O5" s="340"/>
    </row>
    <row r="6" spans="2:17" ht="15">
      <c r="B6" s="221">
        <v>1</v>
      </c>
      <c r="C6" s="348" t="s">
        <v>575</v>
      </c>
      <c r="D6" s="349"/>
      <c r="E6" s="222">
        <v>44</v>
      </c>
      <c r="F6" s="341" t="s">
        <v>574</v>
      </c>
      <c r="G6" s="342"/>
      <c r="H6" s="342"/>
      <c r="I6" s="342"/>
      <c r="J6" s="342"/>
      <c r="K6" s="342"/>
      <c r="L6" s="223" t="s">
        <v>573</v>
      </c>
      <c r="M6" s="223" t="s">
        <v>612</v>
      </c>
      <c r="N6" s="343" t="s">
        <v>576</v>
      </c>
      <c r="O6" s="344"/>
    </row>
    <row r="7" spans="2:17" ht="15">
      <c r="B7" s="224">
        <v>1</v>
      </c>
      <c r="C7" s="348" t="s">
        <v>575</v>
      </c>
      <c r="D7" s="349"/>
      <c r="E7" s="225">
        <v>45</v>
      </c>
      <c r="F7" s="330" t="s">
        <v>611</v>
      </c>
      <c r="G7" s="331"/>
      <c r="H7" s="331"/>
      <c r="I7" s="331"/>
      <c r="J7" s="331"/>
      <c r="K7" s="331"/>
      <c r="L7" s="223" t="s">
        <v>573</v>
      </c>
      <c r="M7" s="223" t="s">
        <v>613</v>
      </c>
      <c r="N7" s="332" t="s">
        <v>576</v>
      </c>
      <c r="O7" s="333"/>
    </row>
    <row r="8" spans="2:17" ht="15">
      <c r="B8" s="224">
        <v>1</v>
      </c>
      <c r="C8" s="348" t="s">
        <v>575</v>
      </c>
      <c r="D8" s="349"/>
      <c r="E8" s="225">
        <v>46</v>
      </c>
      <c r="F8" s="330" t="s">
        <v>577</v>
      </c>
      <c r="G8" s="331"/>
      <c r="H8" s="331"/>
      <c r="I8" s="331"/>
      <c r="J8" s="331"/>
      <c r="K8" s="331"/>
      <c r="L8" s="223" t="s">
        <v>573</v>
      </c>
      <c r="M8" s="223" t="s">
        <v>705</v>
      </c>
      <c r="N8" s="334" t="s">
        <v>576</v>
      </c>
      <c r="O8" s="335"/>
    </row>
    <row r="9" spans="2:17" ht="15">
      <c r="B9" s="226">
        <v>1</v>
      </c>
      <c r="C9" s="348" t="s">
        <v>575</v>
      </c>
      <c r="D9" s="349"/>
      <c r="E9" s="227" t="s">
        <v>578</v>
      </c>
      <c r="F9" s="330" t="s">
        <v>579</v>
      </c>
      <c r="G9" s="331"/>
      <c r="H9" s="331"/>
      <c r="I9" s="331"/>
      <c r="J9" s="331"/>
      <c r="K9" s="331"/>
      <c r="L9" s="223" t="s">
        <v>573</v>
      </c>
      <c r="M9" s="223" t="s">
        <v>612</v>
      </c>
      <c r="N9" s="345" t="s">
        <v>576</v>
      </c>
      <c r="O9" s="346"/>
    </row>
    <row r="10" spans="2:17" ht="15">
      <c r="B10" s="226">
        <v>1</v>
      </c>
      <c r="C10" s="348" t="s">
        <v>575</v>
      </c>
      <c r="D10" s="349"/>
      <c r="E10" s="228" t="s">
        <v>580</v>
      </c>
      <c r="F10" s="330" t="s">
        <v>581</v>
      </c>
      <c r="G10" s="331"/>
      <c r="H10" s="331"/>
      <c r="I10" s="331"/>
      <c r="J10" s="331"/>
      <c r="K10" s="331"/>
      <c r="L10" s="223" t="s">
        <v>573</v>
      </c>
      <c r="M10" s="223" t="s">
        <v>612</v>
      </c>
      <c r="N10" s="332" t="s">
        <v>576</v>
      </c>
      <c r="O10" s="333"/>
    </row>
    <row r="11" spans="2:17" ht="15">
      <c r="B11" s="226">
        <v>4</v>
      </c>
      <c r="C11" s="348" t="s">
        <v>575</v>
      </c>
      <c r="D11" s="349"/>
      <c r="E11" s="228" t="s">
        <v>582</v>
      </c>
      <c r="F11" s="330" t="s">
        <v>583</v>
      </c>
      <c r="G11" s="331"/>
      <c r="H11" s="331"/>
      <c r="I11" s="331"/>
      <c r="J11" s="331"/>
      <c r="K11" s="331"/>
      <c r="L11" s="223" t="s">
        <v>573</v>
      </c>
      <c r="M11" s="223" t="s">
        <v>703</v>
      </c>
      <c r="N11" s="334" t="s">
        <v>576</v>
      </c>
      <c r="O11" s="335"/>
    </row>
    <row r="12" spans="2:17" s="217" customFormat="1" ht="15">
      <c r="B12" s="229">
        <v>1</v>
      </c>
      <c r="C12" s="348" t="s">
        <v>575</v>
      </c>
      <c r="D12" s="349"/>
      <c r="E12" s="222">
        <v>48</v>
      </c>
      <c r="F12" s="330" t="s">
        <v>123</v>
      </c>
      <c r="G12" s="331"/>
      <c r="H12" s="331"/>
      <c r="I12" s="331"/>
      <c r="J12" s="331"/>
      <c r="K12" s="331"/>
      <c r="L12" s="223" t="s">
        <v>614</v>
      </c>
      <c r="M12" s="223" t="s">
        <v>700</v>
      </c>
      <c r="N12" s="345" t="s">
        <v>576</v>
      </c>
      <c r="O12" s="346"/>
      <c r="Q12"/>
    </row>
    <row r="13" spans="2:17" s="217" customFormat="1" ht="15">
      <c r="B13" s="229">
        <v>1</v>
      </c>
      <c r="C13" s="348" t="s">
        <v>575</v>
      </c>
      <c r="D13" s="349"/>
      <c r="E13" s="228">
        <v>49</v>
      </c>
      <c r="F13" s="330" t="s">
        <v>720</v>
      </c>
      <c r="G13" s="331"/>
      <c r="H13" s="331"/>
      <c r="I13" s="331"/>
      <c r="J13" s="331"/>
      <c r="K13" s="331"/>
      <c r="L13" s="223" t="s">
        <v>614</v>
      </c>
      <c r="M13" s="223" t="s">
        <v>91</v>
      </c>
      <c r="N13" s="332" t="s">
        <v>576</v>
      </c>
      <c r="O13" s="333"/>
      <c r="Q13"/>
    </row>
    <row r="14" spans="2:17" s="217" customFormat="1" ht="15">
      <c r="B14" s="226">
        <v>1</v>
      </c>
      <c r="C14" s="348" t="s">
        <v>575</v>
      </c>
      <c r="D14" s="349"/>
      <c r="E14" s="230">
        <v>51</v>
      </c>
      <c r="F14" s="330" t="s">
        <v>617</v>
      </c>
      <c r="G14" s="331"/>
      <c r="H14" s="331"/>
      <c r="I14" s="331"/>
      <c r="J14" s="331"/>
      <c r="K14" s="331"/>
      <c r="L14" s="223" t="s">
        <v>614</v>
      </c>
      <c r="M14" s="223" t="s">
        <v>615</v>
      </c>
      <c r="N14" s="343" t="s">
        <v>576</v>
      </c>
      <c r="O14" s="344"/>
      <c r="Q14"/>
    </row>
    <row r="15" spans="2:17" s="217" customFormat="1" ht="15">
      <c r="B15" s="231">
        <v>1</v>
      </c>
      <c r="C15" s="348" t="s">
        <v>575</v>
      </c>
      <c r="D15" s="349"/>
      <c r="E15" s="230">
        <v>28</v>
      </c>
      <c r="F15" s="330" t="s">
        <v>616</v>
      </c>
      <c r="G15" s="331"/>
      <c r="H15" s="331"/>
      <c r="I15" s="331"/>
      <c r="J15" s="331"/>
      <c r="K15" s="331"/>
      <c r="L15" s="223" t="s">
        <v>573</v>
      </c>
      <c r="M15" s="235" t="s">
        <v>622</v>
      </c>
      <c r="N15" s="343" t="s">
        <v>576</v>
      </c>
      <c r="O15" s="344"/>
      <c r="Q15"/>
    </row>
    <row r="16" spans="2:17" s="217" customFormat="1" ht="15">
      <c r="B16" s="229">
        <v>2</v>
      </c>
      <c r="C16" s="348" t="s">
        <v>575</v>
      </c>
      <c r="D16" s="349"/>
      <c r="E16" s="230">
        <v>11</v>
      </c>
      <c r="F16" s="330" t="s">
        <v>719</v>
      </c>
      <c r="G16" s="331"/>
      <c r="H16" s="331"/>
      <c r="I16" s="331"/>
      <c r="J16" s="331"/>
      <c r="K16" s="331"/>
      <c r="L16" s="223" t="s">
        <v>614</v>
      </c>
      <c r="M16" s="223" t="s">
        <v>91</v>
      </c>
      <c r="N16" s="343" t="s">
        <v>584</v>
      </c>
      <c r="O16" s="344"/>
      <c r="Q16"/>
    </row>
    <row r="17" spans="2:17" s="217" customFormat="1" ht="15">
      <c r="B17" s="229">
        <v>2</v>
      </c>
      <c r="C17" s="348" t="s">
        <v>575</v>
      </c>
      <c r="D17" s="349"/>
      <c r="E17" s="230">
        <v>12</v>
      </c>
      <c r="F17" s="330" t="s">
        <v>618</v>
      </c>
      <c r="G17" s="331"/>
      <c r="H17" s="331"/>
      <c r="I17" s="331"/>
      <c r="J17" s="331"/>
      <c r="K17" s="331"/>
      <c r="L17" s="223" t="s">
        <v>610</v>
      </c>
      <c r="M17" s="223" t="s">
        <v>91</v>
      </c>
      <c r="N17" s="343" t="s">
        <v>584</v>
      </c>
      <c r="O17" s="344"/>
      <c r="Q17"/>
    </row>
    <row r="18" spans="2:17" s="217" customFormat="1" ht="15">
      <c r="B18" s="229">
        <v>2</v>
      </c>
      <c r="C18" s="348" t="s">
        <v>575</v>
      </c>
      <c r="D18" s="349"/>
      <c r="E18" s="230">
        <v>13</v>
      </c>
      <c r="F18" s="330" t="s">
        <v>585</v>
      </c>
      <c r="G18" s="331"/>
      <c r="H18" s="331"/>
      <c r="I18" s="331"/>
      <c r="J18" s="331"/>
      <c r="K18" s="331"/>
      <c r="L18" s="223" t="s">
        <v>610</v>
      </c>
      <c r="M18" s="223" t="s">
        <v>91</v>
      </c>
      <c r="N18" s="343" t="s">
        <v>584</v>
      </c>
      <c r="O18" s="344"/>
      <c r="Q18"/>
    </row>
    <row r="19" spans="2:17" s="217" customFormat="1" ht="17.5" customHeight="1">
      <c r="B19" s="229">
        <v>2</v>
      </c>
      <c r="C19" s="348" t="s">
        <v>575</v>
      </c>
      <c r="D19" s="349"/>
      <c r="E19" s="230" t="s">
        <v>586</v>
      </c>
      <c r="F19" s="330" t="s">
        <v>587</v>
      </c>
      <c r="G19" s="331"/>
      <c r="H19" s="331"/>
      <c r="I19" s="331"/>
      <c r="J19" s="331"/>
      <c r="K19" s="331"/>
      <c r="L19" s="223" t="s">
        <v>610</v>
      </c>
      <c r="M19" s="223" t="s">
        <v>621</v>
      </c>
      <c r="N19" s="343" t="s">
        <v>584</v>
      </c>
      <c r="O19" s="344"/>
      <c r="Q19"/>
    </row>
    <row r="20" spans="2:17" s="217" customFormat="1" ht="15">
      <c r="B20" s="229">
        <v>2</v>
      </c>
      <c r="C20" s="348" t="s">
        <v>575</v>
      </c>
      <c r="D20" s="349"/>
      <c r="E20" s="230" t="s">
        <v>588</v>
      </c>
      <c r="F20" s="330" t="s">
        <v>589</v>
      </c>
      <c r="G20" s="331"/>
      <c r="H20" s="331"/>
      <c r="I20" s="331"/>
      <c r="J20" s="331"/>
      <c r="K20" s="331"/>
      <c r="L20" s="223" t="s">
        <v>610</v>
      </c>
      <c r="M20" s="223" t="s">
        <v>621</v>
      </c>
      <c r="N20" s="343" t="s">
        <v>584</v>
      </c>
      <c r="O20" s="344"/>
      <c r="Q20"/>
    </row>
    <row r="21" spans="2:17" s="217" customFormat="1" ht="18" customHeight="1">
      <c r="B21" s="232">
        <v>2</v>
      </c>
      <c r="C21" s="348" t="s">
        <v>575</v>
      </c>
      <c r="D21" s="349"/>
      <c r="E21" s="230">
        <v>27</v>
      </c>
      <c r="F21" s="347" t="s">
        <v>590</v>
      </c>
      <c r="G21" s="331"/>
      <c r="H21" s="331"/>
      <c r="I21" s="331"/>
      <c r="J21" s="331"/>
      <c r="K21" s="331"/>
      <c r="L21" s="223" t="s">
        <v>614</v>
      </c>
      <c r="M21" s="223" t="s">
        <v>623</v>
      </c>
      <c r="N21" s="343" t="s">
        <v>584</v>
      </c>
      <c r="O21" s="344"/>
      <c r="Q21"/>
    </row>
    <row r="22" spans="2:17" s="217" customFormat="1" ht="15">
      <c r="B22" s="233">
        <v>2</v>
      </c>
      <c r="C22" s="348" t="s">
        <v>575</v>
      </c>
      <c r="D22" s="349"/>
      <c r="E22" s="230">
        <v>29</v>
      </c>
      <c r="F22" s="330" t="s">
        <v>591</v>
      </c>
      <c r="G22" s="331"/>
      <c r="H22" s="331"/>
      <c r="I22" s="331"/>
      <c r="J22" s="331"/>
      <c r="K22" s="331"/>
      <c r="L22" s="223" t="s">
        <v>614</v>
      </c>
      <c r="M22" s="223" t="s">
        <v>119</v>
      </c>
      <c r="N22" s="343" t="s">
        <v>584</v>
      </c>
      <c r="O22" s="344"/>
      <c r="Q22"/>
    </row>
    <row r="23" spans="2:17" s="217" customFormat="1" ht="15">
      <c r="B23" s="233">
        <v>2</v>
      </c>
      <c r="C23" s="348" t="s">
        <v>575</v>
      </c>
      <c r="D23" s="349"/>
      <c r="E23" s="230">
        <v>31</v>
      </c>
      <c r="F23" s="330" t="s">
        <v>4</v>
      </c>
      <c r="G23" s="331"/>
      <c r="H23" s="331"/>
      <c r="I23" s="331"/>
      <c r="J23" s="331"/>
      <c r="K23" s="331"/>
      <c r="L23" s="223" t="s">
        <v>610</v>
      </c>
      <c r="M23" s="223" t="s">
        <v>625</v>
      </c>
      <c r="N23" s="343" t="s">
        <v>584</v>
      </c>
      <c r="O23" s="344"/>
      <c r="Q23"/>
    </row>
    <row r="24" spans="2:17" s="217" customFormat="1" ht="15">
      <c r="B24" s="229">
        <v>2</v>
      </c>
      <c r="C24" s="348" t="s">
        <v>575</v>
      </c>
      <c r="D24" s="349"/>
      <c r="E24" s="230">
        <v>34</v>
      </c>
      <c r="F24" s="330" t="s">
        <v>628</v>
      </c>
      <c r="G24" s="331"/>
      <c r="H24" s="331"/>
      <c r="I24" s="331"/>
      <c r="J24" s="331"/>
      <c r="K24" s="331"/>
      <c r="L24" s="223" t="s">
        <v>614</v>
      </c>
      <c r="M24" s="223" t="s">
        <v>334</v>
      </c>
      <c r="N24" s="343" t="s">
        <v>584</v>
      </c>
      <c r="O24" s="344"/>
      <c r="Q24"/>
    </row>
    <row r="25" spans="2:17" s="217" customFormat="1" ht="15">
      <c r="B25" s="233">
        <v>4</v>
      </c>
      <c r="C25" s="348" t="s">
        <v>575</v>
      </c>
      <c r="D25" s="349"/>
      <c r="E25" s="230">
        <v>61</v>
      </c>
      <c r="F25" s="330" t="s">
        <v>593</v>
      </c>
      <c r="G25" s="331"/>
      <c r="H25" s="331"/>
      <c r="I25" s="331"/>
      <c r="J25" s="331"/>
      <c r="K25" s="331"/>
      <c r="L25" s="223" t="s">
        <v>614</v>
      </c>
      <c r="M25" s="223" t="s">
        <v>592</v>
      </c>
      <c r="N25" s="343" t="s">
        <v>584</v>
      </c>
      <c r="O25" s="344"/>
      <c r="Q25"/>
    </row>
    <row r="26" spans="2:17" s="217" customFormat="1" ht="15">
      <c r="B26" s="234">
        <v>4</v>
      </c>
      <c r="C26" s="348" t="s">
        <v>575</v>
      </c>
      <c r="D26" s="349"/>
      <c r="E26" s="230">
        <v>38</v>
      </c>
      <c r="F26" s="330" t="s">
        <v>594</v>
      </c>
      <c r="G26" s="331"/>
      <c r="H26" s="331"/>
      <c r="I26" s="331"/>
      <c r="J26" s="331"/>
      <c r="K26" s="331"/>
      <c r="L26" s="223" t="s">
        <v>614</v>
      </c>
      <c r="M26" s="223" t="s">
        <v>112</v>
      </c>
      <c r="N26" s="343" t="s">
        <v>584</v>
      </c>
      <c r="O26" s="344"/>
      <c r="Q26"/>
    </row>
    <row r="27" spans="2:17" s="217" customFormat="1" ht="15">
      <c r="B27" s="234">
        <v>4</v>
      </c>
      <c r="C27" s="348" t="s">
        <v>575</v>
      </c>
      <c r="D27" s="349"/>
      <c r="E27" s="230">
        <v>40</v>
      </c>
      <c r="F27" s="330" t="s">
        <v>632</v>
      </c>
      <c r="G27" s="331"/>
      <c r="H27" s="331"/>
      <c r="I27" s="331"/>
      <c r="J27" s="331"/>
      <c r="K27" s="331"/>
      <c r="L27" s="223" t="s">
        <v>614</v>
      </c>
      <c r="M27" s="223" t="s">
        <v>633</v>
      </c>
      <c r="N27" s="343" t="s">
        <v>584</v>
      </c>
      <c r="O27" s="344"/>
      <c r="Q27"/>
    </row>
    <row r="28" spans="2:17" s="217" customFormat="1" ht="15">
      <c r="B28" s="229">
        <v>4</v>
      </c>
      <c r="C28" s="348" t="s">
        <v>575</v>
      </c>
      <c r="D28" s="349"/>
      <c r="E28" s="230">
        <v>41</v>
      </c>
      <c r="F28" s="330" t="s">
        <v>595</v>
      </c>
      <c r="G28" s="331"/>
      <c r="H28" s="331"/>
      <c r="I28" s="331"/>
      <c r="J28" s="331"/>
      <c r="K28" s="331"/>
      <c r="L28" s="223" t="s">
        <v>614</v>
      </c>
      <c r="M28" s="223" t="s">
        <v>112</v>
      </c>
      <c r="N28" s="343" t="s">
        <v>584</v>
      </c>
      <c r="O28" s="344"/>
      <c r="Q28"/>
    </row>
    <row r="29" spans="2:17" s="217" customFormat="1" ht="15">
      <c r="B29" s="226">
        <v>4</v>
      </c>
      <c r="C29" s="348" t="s">
        <v>575</v>
      </c>
      <c r="D29" s="349"/>
      <c r="E29" s="230">
        <v>19</v>
      </c>
      <c r="F29" s="330" t="s">
        <v>596</v>
      </c>
      <c r="G29" s="331"/>
      <c r="H29" s="331"/>
      <c r="I29" s="331"/>
      <c r="J29" s="331"/>
      <c r="K29" s="331"/>
      <c r="L29" s="223" t="s">
        <v>614</v>
      </c>
      <c r="M29" s="223" t="s">
        <v>635</v>
      </c>
      <c r="N29" s="343" t="s">
        <v>584</v>
      </c>
      <c r="O29" s="344"/>
      <c r="Q29"/>
    </row>
    <row r="30" spans="2:17" s="217" customFormat="1" ht="15">
      <c r="B30" s="226">
        <v>4</v>
      </c>
      <c r="C30" s="348" t="s">
        <v>575</v>
      </c>
      <c r="D30" s="349"/>
      <c r="E30" s="230">
        <v>20</v>
      </c>
      <c r="F30" s="330" t="s">
        <v>637</v>
      </c>
      <c r="G30" s="331"/>
      <c r="H30" s="331"/>
      <c r="I30" s="331"/>
      <c r="J30" s="331"/>
      <c r="K30" s="331"/>
      <c r="L30" s="223" t="s">
        <v>614</v>
      </c>
      <c r="M30" s="223" t="s">
        <v>635</v>
      </c>
      <c r="N30" s="343" t="s">
        <v>584</v>
      </c>
      <c r="O30" s="344"/>
      <c r="Q30"/>
    </row>
    <row r="31" spans="2:17" s="217" customFormat="1" ht="15">
      <c r="B31" s="229">
        <v>4</v>
      </c>
      <c r="C31" s="348" t="s">
        <v>575</v>
      </c>
      <c r="D31" s="349"/>
      <c r="E31" s="230">
        <v>35</v>
      </c>
      <c r="F31" s="347" t="s">
        <v>638</v>
      </c>
      <c r="G31" s="331"/>
      <c r="H31" s="331"/>
      <c r="I31" s="331"/>
      <c r="J31" s="331"/>
      <c r="K31" s="331"/>
      <c r="L31" s="223" t="s">
        <v>610</v>
      </c>
      <c r="M31" s="223" t="s">
        <v>597</v>
      </c>
      <c r="N31" s="343" t="s">
        <v>584</v>
      </c>
      <c r="O31" s="344"/>
      <c r="Q31"/>
    </row>
    <row r="32" spans="2:17" s="217" customFormat="1" ht="15">
      <c r="B32" s="233">
        <v>6</v>
      </c>
      <c r="C32" s="348" t="s">
        <v>600</v>
      </c>
      <c r="D32" s="349"/>
      <c r="E32" s="230">
        <v>1</v>
      </c>
      <c r="F32" s="330" t="s">
        <v>599</v>
      </c>
      <c r="G32" s="331"/>
      <c r="H32" s="331"/>
      <c r="I32" s="331"/>
      <c r="J32" s="331"/>
      <c r="K32" s="331"/>
      <c r="L32" s="223" t="s">
        <v>610</v>
      </c>
      <c r="M32" s="223" t="s">
        <v>598</v>
      </c>
      <c r="N32" s="343" t="s">
        <v>584</v>
      </c>
      <c r="O32" s="344"/>
      <c r="Q32"/>
    </row>
    <row r="33" spans="2:17" s="217" customFormat="1" ht="15">
      <c r="B33" s="233">
        <v>6</v>
      </c>
      <c r="C33" s="348" t="s">
        <v>600</v>
      </c>
      <c r="D33" s="349"/>
      <c r="E33" s="230">
        <v>2</v>
      </c>
      <c r="F33" s="330" t="s">
        <v>601</v>
      </c>
      <c r="G33" s="331"/>
      <c r="H33" s="331"/>
      <c r="I33" s="331"/>
      <c r="J33" s="331"/>
      <c r="K33" s="331"/>
      <c r="L33" s="223" t="s">
        <v>573</v>
      </c>
      <c r="M33" s="223" t="s">
        <v>691</v>
      </c>
      <c r="N33" s="343" t="s">
        <v>584</v>
      </c>
      <c r="O33" s="344"/>
      <c r="Q33"/>
    </row>
    <row r="34" spans="2:17" s="217" customFormat="1" ht="15">
      <c r="B34" s="233">
        <v>6</v>
      </c>
      <c r="C34" s="348" t="s">
        <v>600</v>
      </c>
      <c r="D34" s="349"/>
      <c r="E34" s="230">
        <v>3</v>
      </c>
      <c r="F34" s="330" t="s">
        <v>690</v>
      </c>
      <c r="G34" s="331"/>
      <c r="H34" s="331"/>
      <c r="I34" s="331"/>
      <c r="J34" s="331"/>
      <c r="K34" s="331"/>
      <c r="L34" s="223" t="s">
        <v>614</v>
      </c>
      <c r="M34" s="223" t="s">
        <v>598</v>
      </c>
      <c r="N34" s="343" t="s">
        <v>584</v>
      </c>
      <c r="O34" s="344"/>
      <c r="Q34"/>
    </row>
    <row r="35" spans="2:17" s="217" customFormat="1" ht="15">
      <c r="B35" s="233">
        <v>6</v>
      </c>
      <c r="C35" s="348" t="s">
        <v>600</v>
      </c>
      <c r="D35" s="349"/>
      <c r="E35" s="230">
        <v>4</v>
      </c>
      <c r="F35" s="330" t="s">
        <v>602</v>
      </c>
      <c r="G35" s="331"/>
      <c r="H35" s="331"/>
      <c r="I35" s="331"/>
      <c r="J35" s="331"/>
      <c r="K35" s="331"/>
      <c r="L35" s="223" t="s">
        <v>614</v>
      </c>
      <c r="M35" s="223" t="s">
        <v>608</v>
      </c>
      <c r="N35" s="343" t="s">
        <v>584</v>
      </c>
      <c r="O35" s="344"/>
      <c r="Q35"/>
    </row>
    <row r="36" spans="2:17" s="217" customFormat="1" ht="15">
      <c r="B36" s="233">
        <v>6</v>
      </c>
      <c r="C36" s="348" t="s">
        <v>600</v>
      </c>
      <c r="D36" s="349"/>
      <c r="E36" s="230">
        <v>7</v>
      </c>
      <c r="F36" s="330" t="s">
        <v>689</v>
      </c>
      <c r="G36" s="331"/>
      <c r="H36" s="331"/>
      <c r="I36" s="331"/>
      <c r="J36" s="331"/>
      <c r="K36" s="331"/>
      <c r="L36" s="223" t="s">
        <v>573</v>
      </c>
      <c r="M36" s="223" t="s">
        <v>709</v>
      </c>
      <c r="N36" s="343" t="s">
        <v>584</v>
      </c>
      <c r="O36" s="344"/>
      <c r="Q36"/>
    </row>
    <row r="37" spans="2:17" s="217" customFormat="1" ht="14.5" customHeight="1">
      <c r="B37" s="233">
        <v>6</v>
      </c>
      <c r="C37" s="348" t="s">
        <v>600</v>
      </c>
      <c r="D37" s="349"/>
      <c r="E37" s="230">
        <v>8</v>
      </c>
      <c r="F37" s="330" t="s">
        <v>603</v>
      </c>
      <c r="G37" s="331"/>
      <c r="H37" s="331"/>
      <c r="I37" s="331"/>
      <c r="J37" s="331"/>
      <c r="K37" s="331"/>
      <c r="L37" s="223" t="s">
        <v>610</v>
      </c>
      <c r="M37" s="223" t="s">
        <v>704</v>
      </c>
      <c r="N37" s="343" t="s">
        <v>584</v>
      </c>
      <c r="O37" s="344"/>
      <c r="Q37"/>
    </row>
    <row r="38" spans="2:17" s="217" customFormat="1" ht="15">
      <c r="B38" s="233">
        <v>5</v>
      </c>
      <c r="C38" s="348" t="s">
        <v>605</v>
      </c>
      <c r="D38" s="349"/>
      <c r="E38" s="230">
        <v>6</v>
      </c>
      <c r="F38" s="330" t="s">
        <v>604</v>
      </c>
      <c r="G38" s="331"/>
      <c r="H38" s="331"/>
      <c r="I38" s="331"/>
      <c r="J38" s="331"/>
      <c r="K38" s="331"/>
      <c r="L38" s="223" t="s">
        <v>610</v>
      </c>
      <c r="M38" s="223" t="s">
        <v>48</v>
      </c>
      <c r="N38" s="343" t="s">
        <v>584</v>
      </c>
      <c r="O38" s="344"/>
      <c r="Q38"/>
    </row>
    <row r="39" spans="2:17" s="217" customFormat="1" ht="21.5" customHeight="1">
      <c r="B39" s="229">
        <v>3</v>
      </c>
      <c r="C39" s="348" t="s">
        <v>575</v>
      </c>
      <c r="D39" s="349"/>
      <c r="E39" s="230">
        <v>52</v>
      </c>
      <c r="F39" s="347" t="s">
        <v>646</v>
      </c>
      <c r="G39" s="331"/>
      <c r="H39" s="331"/>
      <c r="I39" s="331"/>
      <c r="J39" s="331"/>
      <c r="K39" s="331"/>
      <c r="L39" s="223" t="s">
        <v>614</v>
      </c>
      <c r="M39" s="235" t="s">
        <v>647</v>
      </c>
      <c r="N39" s="343" t="s">
        <v>584</v>
      </c>
      <c r="O39" s="344"/>
      <c r="Q39"/>
    </row>
    <row r="40" spans="2:17" s="217" customFormat="1" ht="15">
      <c r="B40" s="229">
        <v>3</v>
      </c>
      <c r="C40" s="348" t="s">
        <v>575</v>
      </c>
      <c r="D40" s="349"/>
      <c r="E40" s="230">
        <v>53</v>
      </c>
      <c r="F40" s="330" t="s">
        <v>648</v>
      </c>
      <c r="G40" s="331"/>
      <c r="H40" s="331"/>
      <c r="I40" s="331"/>
      <c r="J40" s="331"/>
      <c r="K40" s="331"/>
      <c r="L40" s="223" t="s">
        <v>614</v>
      </c>
      <c r="M40" s="223" t="s">
        <v>649</v>
      </c>
      <c r="N40" s="343" t="s">
        <v>584</v>
      </c>
      <c r="O40" s="344"/>
      <c r="Q40"/>
    </row>
    <row r="41" spans="2:17" s="217" customFormat="1" ht="15">
      <c r="B41" s="229">
        <v>3</v>
      </c>
      <c r="C41" s="348" t="s">
        <v>575</v>
      </c>
      <c r="D41" s="349"/>
      <c r="E41" s="230">
        <v>55</v>
      </c>
      <c r="F41" s="330" t="s">
        <v>607</v>
      </c>
      <c r="G41" s="331"/>
      <c r="H41" s="331"/>
      <c r="I41" s="331"/>
      <c r="J41" s="331"/>
      <c r="K41" s="331"/>
      <c r="L41" s="223" t="s">
        <v>610</v>
      </c>
      <c r="M41" s="223" t="s">
        <v>606</v>
      </c>
      <c r="N41" s="343" t="s">
        <v>584</v>
      </c>
      <c r="O41" s="344"/>
      <c r="Q41"/>
    </row>
    <row r="42" spans="2:17" s="217" customFormat="1" ht="17.5" customHeight="1">
      <c r="B42" s="229">
        <v>3</v>
      </c>
      <c r="C42" s="348" t="s">
        <v>575</v>
      </c>
      <c r="D42" s="349"/>
      <c r="E42" s="230">
        <v>56</v>
      </c>
      <c r="F42" s="330" t="s">
        <v>650</v>
      </c>
      <c r="G42" s="331"/>
      <c r="H42" s="331"/>
      <c r="I42" s="331"/>
      <c r="J42" s="331"/>
      <c r="K42" s="331"/>
      <c r="L42" s="223" t="s">
        <v>614</v>
      </c>
      <c r="M42" s="223" t="s">
        <v>651</v>
      </c>
      <c r="N42" s="343" t="s">
        <v>584</v>
      </c>
      <c r="O42" s="344"/>
      <c r="Q42"/>
    </row>
    <row r="43" spans="2:17" s="217" customFormat="1" ht="15">
      <c r="B43" s="229">
        <v>3</v>
      </c>
      <c r="C43" s="348" t="s">
        <v>575</v>
      </c>
      <c r="D43" s="349"/>
      <c r="E43" s="230">
        <v>69</v>
      </c>
      <c r="F43" s="347" t="s">
        <v>563</v>
      </c>
      <c r="G43" s="331"/>
      <c r="H43" s="331"/>
      <c r="I43" s="331"/>
      <c r="J43" s="331"/>
      <c r="K43" s="331"/>
      <c r="L43" s="223" t="s">
        <v>614</v>
      </c>
      <c r="M43" s="223" t="s">
        <v>652</v>
      </c>
      <c r="N43" s="343" t="s">
        <v>584</v>
      </c>
      <c r="O43" s="344"/>
      <c r="Q43"/>
    </row>
    <row r="44" spans="2:17" s="217" customFormat="1" ht="15">
      <c r="B44" s="229">
        <v>3</v>
      </c>
      <c r="C44" s="348" t="s">
        <v>575</v>
      </c>
      <c r="D44" s="349"/>
      <c r="E44" s="230">
        <v>70</v>
      </c>
      <c r="F44" s="347" t="s">
        <v>653</v>
      </c>
      <c r="G44" s="331"/>
      <c r="H44" s="331"/>
      <c r="I44" s="331"/>
      <c r="J44" s="331"/>
      <c r="K44" s="331"/>
      <c r="L44" s="223" t="s">
        <v>614</v>
      </c>
      <c r="M44" s="223" t="s">
        <v>656</v>
      </c>
      <c r="N44" s="343" t="s">
        <v>584</v>
      </c>
      <c r="O44" s="344"/>
      <c r="Q44"/>
    </row>
    <row r="45" spans="2:17" s="217" customFormat="1" ht="15">
      <c r="B45" s="229">
        <v>3</v>
      </c>
      <c r="C45" s="348" t="s">
        <v>575</v>
      </c>
      <c r="D45" s="349"/>
      <c r="E45" s="230">
        <v>72</v>
      </c>
      <c r="F45" s="347" t="s">
        <v>655</v>
      </c>
      <c r="G45" s="331"/>
      <c r="H45" s="331"/>
      <c r="I45" s="331"/>
      <c r="J45" s="331"/>
      <c r="K45" s="331"/>
      <c r="L45" s="223" t="s">
        <v>614</v>
      </c>
      <c r="M45" s="223" t="s">
        <v>652</v>
      </c>
      <c r="N45" s="343" t="s">
        <v>584</v>
      </c>
      <c r="O45" s="344"/>
      <c r="Q45"/>
    </row>
    <row r="46" spans="2:17" s="217" customFormat="1" ht="15">
      <c r="B46" s="229">
        <v>3</v>
      </c>
      <c r="C46" s="348" t="s">
        <v>575</v>
      </c>
      <c r="D46" s="349"/>
      <c r="E46" s="230">
        <v>71</v>
      </c>
      <c r="F46" s="347" t="s">
        <v>654</v>
      </c>
      <c r="G46" s="331"/>
      <c r="H46" s="331"/>
      <c r="I46" s="331"/>
      <c r="J46" s="331"/>
      <c r="K46" s="331"/>
      <c r="L46" s="223" t="s">
        <v>614</v>
      </c>
      <c r="M46" s="223" t="s">
        <v>656</v>
      </c>
      <c r="N46" s="343" t="s">
        <v>584</v>
      </c>
      <c r="O46" s="344"/>
      <c r="Q46"/>
    </row>
    <row r="47" spans="2:17" s="217" customFormat="1" ht="15">
      <c r="B47" s="229">
        <v>3</v>
      </c>
      <c r="C47" s="348" t="s">
        <v>575</v>
      </c>
      <c r="D47" s="349"/>
      <c r="E47" s="230">
        <v>60</v>
      </c>
      <c r="F47" s="347" t="s">
        <v>351</v>
      </c>
      <c r="G47" s="331"/>
      <c r="H47" s="331"/>
      <c r="I47" s="331"/>
      <c r="J47" s="331"/>
      <c r="K47" s="331"/>
      <c r="L47" s="223" t="s">
        <v>614</v>
      </c>
      <c r="M47" s="235" t="s">
        <v>647</v>
      </c>
      <c r="N47" s="343" t="s">
        <v>584</v>
      </c>
      <c r="O47" s="344"/>
      <c r="Q47"/>
    </row>
    <row r="48" spans="2:17" s="217" customFormat="1" ht="15">
      <c r="B48" s="229">
        <v>3</v>
      </c>
      <c r="C48" s="348" t="s">
        <v>575</v>
      </c>
      <c r="D48" s="349"/>
      <c r="E48" s="230">
        <v>21</v>
      </c>
      <c r="F48" s="330" t="s">
        <v>640</v>
      </c>
      <c r="G48" s="331"/>
      <c r="H48" s="331"/>
      <c r="I48" s="331"/>
      <c r="J48" s="331"/>
      <c r="K48" s="331"/>
      <c r="L48" s="223" t="s">
        <v>614</v>
      </c>
      <c r="M48" s="223" t="s">
        <v>702</v>
      </c>
      <c r="N48" s="343" t="s">
        <v>584</v>
      </c>
      <c r="O48" s="344"/>
      <c r="Q48"/>
    </row>
    <row r="49" spans="1:17" s="217" customFormat="1" ht="15">
      <c r="B49" s="229">
        <v>3</v>
      </c>
      <c r="C49" s="348" t="s">
        <v>575</v>
      </c>
      <c r="D49" s="349"/>
      <c r="E49" s="230">
        <v>22</v>
      </c>
      <c r="F49" s="330" t="s">
        <v>642</v>
      </c>
      <c r="G49" s="331"/>
      <c r="H49" s="331"/>
      <c r="I49" s="331"/>
      <c r="J49" s="331"/>
      <c r="K49" s="331"/>
      <c r="L49" s="223" t="s">
        <v>614</v>
      </c>
      <c r="M49" s="223" t="s">
        <v>608</v>
      </c>
      <c r="N49" s="343" t="s">
        <v>584</v>
      </c>
      <c r="O49" s="344"/>
      <c r="Q49"/>
    </row>
    <row r="50" spans="1:17" s="217" customFormat="1" ht="15">
      <c r="B50" s="229">
        <v>3</v>
      </c>
      <c r="C50" s="348" t="s">
        <v>575</v>
      </c>
      <c r="D50" s="349"/>
      <c r="E50" s="230">
        <v>23</v>
      </c>
      <c r="F50" s="330" t="s">
        <v>643</v>
      </c>
      <c r="G50" s="331"/>
      <c r="H50" s="331"/>
      <c r="I50" s="331"/>
      <c r="J50" s="331"/>
      <c r="K50" s="331"/>
      <c r="L50" s="223" t="s">
        <v>573</v>
      </c>
      <c r="M50" s="223" t="s">
        <v>644</v>
      </c>
      <c r="N50" s="343" t="s">
        <v>584</v>
      </c>
      <c r="O50" s="344"/>
      <c r="Q50"/>
    </row>
    <row r="51" spans="1:17" s="217" customFormat="1" ht="15">
      <c r="B51" s="229">
        <v>3</v>
      </c>
      <c r="C51" s="348" t="s">
        <v>575</v>
      </c>
      <c r="D51" s="349"/>
      <c r="E51" s="230">
        <v>24</v>
      </c>
      <c r="F51" s="330" t="s">
        <v>645</v>
      </c>
      <c r="G51" s="331"/>
      <c r="H51" s="331"/>
      <c r="I51" s="331"/>
      <c r="J51" s="331"/>
      <c r="K51" s="331"/>
      <c r="L51" s="223" t="s">
        <v>614</v>
      </c>
      <c r="M51" s="223" t="s">
        <v>608</v>
      </c>
      <c r="N51" s="345" t="s">
        <v>584</v>
      </c>
      <c r="O51" s="346"/>
      <c r="Q51"/>
    </row>
    <row r="52" spans="1:17" s="217" customFormat="1" ht="15">
      <c r="B52" s="233">
        <v>4</v>
      </c>
      <c r="C52" s="348" t="s">
        <v>575</v>
      </c>
      <c r="D52" s="349"/>
      <c r="E52" s="230">
        <v>68</v>
      </c>
      <c r="F52" s="330" t="s">
        <v>630</v>
      </c>
      <c r="G52" s="331"/>
      <c r="H52" s="331"/>
      <c r="I52" s="331"/>
      <c r="J52" s="331"/>
      <c r="K52" s="331"/>
      <c r="L52" s="223" t="s">
        <v>610</v>
      </c>
      <c r="M52" s="223" t="s">
        <v>701</v>
      </c>
      <c r="N52" s="345" t="s">
        <v>584</v>
      </c>
      <c r="O52" s="346"/>
      <c r="Q52"/>
    </row>
    <row r="53" spans="1:17" s="217" customFormat="1" ht="15">
      <c r="B53" s="233">
        <v>6</v>
      </c>
      <c r="C53" s="348" t="s">
        <v>600</v>
      </c>
      <c r="D53" s="349"/>
      <c r="E53" s="227">
        <v>73</v>
      </c>
      <c r="F53" s="330" t="s">
        <v>693</v>
      </c>
      <c r="G53" s="331"/>
      <c r="H53" s="331"/>
      <c r="I53" s="331"/>
      <c r="J53" s="331"/>
      <c r="K53" s="331"/>
      <c r="L53" s="242" t="s">
        <v>614</v>
      </c>
      <c r="M53" s="242" t="s">
        <v>91</v>
      </c>
      <c r="N53" s="345" t="s">
        <v>584</v>
      </c>
      <c r="O53" s="346"/>
      <c r="Q53"/>
    </row>
    <row r="54" spans="1:17" s="217" customFormat="1" ht="15">
      <c r="B54" s="233">
        <v>5</v>
      </c>
      <c r="C54" s="348" t="s">
        <v>605</v>
      </c>
      <c r="D54" s="349"/>
      <c r="E54" s="227">
        <v>74</v>
      </c>
      <c r="F54" s="330" t="s">
        <v>601</v>
      </c>
      <c r="G54" s="331"/>
      <c r="H54" s="331"/>
      <c r="I54" s="331"/>
      <c r="J54" s="331"/>
      <c r="K54" s="331"/>
      <c r="L54" s="242" t="s">
        <v>573</v>
      </c>
      <c r="M54" s="223" t="s">
        <v>710</v>
      </c>
      <c r="N54" s="345" t="s">
        <v>584</v>
      </c>
      <c r="O54" s="346"/>
      <c r="Q54"/>
    </row>
    <row r="55" spans="1:17" s="217" customFormat="1" ht="15">
      <c r="B55" s="233">
        <v>5</v>
      </c>
      <c r="C55" s="348" t="s">
        <v>605</v>
      </c>
      <c r="D55" s="349"/>
      <c r="E55" s="227">
        <v>75</v>
      </c>
      <c r="F55" s="330" t="s">
        <v>690</v>
      </c>
      <c r="G55" s="331"/>
      <c r="H55" s="331"/>
      <c r="I55" s="331"/>
      <c r="J55" s="331"/>
      <c r="K55" s="331"/>
      <c r="L55" s="242" t="s">
        <v>614</v>
      </c>
      <c r="M55" s="242" t="s">
        <v>48</v>
      </c>
      <c r="N55" s="351" t="s">
        <v>584</v>
      </c>
      <c r="O55" s="351"/>
      <c r="Q55"/>
    </row>
    <row r="56" spans="1:17" s="217" customFormat="1" ht="15">
      <c r="B56" s="233">
        <v>5</v>
      </c>
      <c r="C56" s="348" t="s">
        <v>605</v>
      </c>
      <c r="D56" s="349"/>
      <c r="E56" s="227">
        <v>76</v>
      </c>
      <c r="F56" s="330" t="s">
        <v>602</v>
      </c>
      <c r="G56" s="331"/>
      <c r="H56" s="331"/>
      <c r="I56" s="331"/>
      <c r="J56" s="331"/>
      <c r="K56" s="331"/>
      <c r="L56" s="242" t="s">
        <v>614</v>
      </c>
      <c r="M56" s="242" t="s">
        <v>608</v>
      </c>
      <c r="N56" s="351" t="s">
        <v>584</v>
      </c>
      <c r="O56" s="351"/>
      <c r="Q56"/>
    </row>
    <row r="57" spans="1:17" s="217" customFormat="1" ht="15">
      <c r="B57" s="233">
        <v>5</v>
      </c>
      <c r="C57" s="348" t="s">
        <v>605</v>
      </c>
      <c r="D57" s="349"/>
      <c r="E57" s="227">
        <v>77</v>
      </c>
      <c r="F57" s="330" t="s">
        <v>689</v>
      </c>
      <c r="G57" s="331"/>
      <c r="H57" s="331"/>
      <c r="I57" s="331"/>
      <c r="J57" s="331"/>
      <c r="K57" s="331"/>
      <c r="L57" s="242" t="s">
        <v>573</v>
      </c>
      <c r="M57" s="242" t="s">
        <v>709</v>
      </c>
      <c r="N57" s="351" t="s">
        <v>584</v>
      </c>
      <c r="O57" s="351"/>
      <c r="Q57"/>
    </row>
    <row r="58" spans="1:17" s="217" customFormat="1" ht="15">
      <c r="B58" s="233">
        <v>5</v>
      </c>
      <c r="C58" s="348" t="s">
        <v>605</v>
      </c>
      <c r="D58" s="349"/>
      <c r="E58" s="227">
        <v>78</v>
      </c>
      <c r="F58" s="330" t="s">
        <v>693</v>
      </c>
      <c r="G58" s="331"/>
      <c r="H58" s="331"/>
      <c r="I58" s="331"/>
      <c r="J58" s="331"/>
      <c r="K58" s="331"/>
      <c r="L58" s="242" t="s">
        <v>614</v>
      </c>
      <c r="M58" s="242" t="s">
        <v>91</v>
      </c>
      <c r="N58" s="351" t="s">
        <v>584</v>
      </c>
      <c r="O58" s="351"/>
      <c r="Q58"/>
    </row>
    <row r="59" spans="1:17" s="217" customFormat="1" ht="15">
      <c r="B59" s="233">
        <v>5</v>
      </c>
      <c r="C59" s="348" t="s">
        <v>688</v>
      </c>
      <c r="D59" s="349"/>
      <c r="E59" s="227">
        <v>79</v>
      </c>
      <c r="F59" s="330" t="s">
        <v>601</v>
      </c>
      <c r="G59" s="331"/>
      <c r="H59" s="331"/>
      <c r="I59" s="331"/>
      <c r="J59" s="331"/>
      <c r="K59" s="331"/>
      <c r="L59" s="242" t="s">
        <v>573</v>
      </c>
      <c r="M59" s="223" t="s">
        <v>691</v>
      </c>
      <c r="N59" s="351" t="s">
        <v>584</v>
      </c>
      <c r="O59" s="351"/>
      <c r="Q59"/>
    </row>
    <row r="60" spans="1:17" s="217" customFormat="1" ht="15">
      <c r="B60" s="233">
        <v>5</v>
      </c>
      <c r="C60" s="348" t="s">
        <v>688</v>
      </c>
      <c r="D60" s="349"/>
      <c r="E60" s="227">
        <v>80</v>
      </c>
      <c r="F60" s="330" t="s">
        <v>690</v>
      </c>
      <c r="G60" s="331"/>
      <c r="H60" s="331"/>
      <c r="I60" s="331"/>
      <c r="J60" s="331"/>
      <c r="K60" s="331"/>
      <c r="L60" s="242" t="s">
        <v>614</v>
      </c>
      <c r="M60" s="242" t="s">
        <v>598</v>
      </c>
      <c r="N60" s="351" t="s">
        <v>584</v>
      </c>
      <c r="O60" s="351"/>
      <c r="Q60"/>
    </row>
    <row r="61" spans="1:17" s="217" customFormat="1" ht="15">
      <c r="B61" s="233">
        <v>5</v>
      </c>
      <c r="C61" s="348" t="s">
        <v>688</v>
      </c>
      <c r="D61" s="349"/>
      <c r="E61" s="227">
        <v>81</v>
      </c>
      <c r="F61" s="330" t="s">
        <v>602</v>
      </c>
      <c r="G61" s="331"/>
      <c r="H61" s="331"/>
      <c r="I61" s="331"/>
      <c r="J61" s="331"/>
      <c r="K61" s="331"/>
      <c r="L61" s="242" t="s">
        <v>614</v>
      </c>
      <c r="M61" s="242" t="s">
        <v>608</v>
      </c>
      <c r="N61" s="351" t="s">
        <v>584</v>
      </c>
      <c r="O61" s="351"/>
      <c r="Q61"/>
    </row>
    <row r="62" spans="1:17" s="217" customFormat="1" ht="15">
      <c r="B62" s="233">
        <v>5</v>
      </c>
      <c r="C62" s="348" t="s">
        <v>688</v>
      </c>
      <c r="D62" s="349"/>
      <c r="E62" s="227">
        <v>82</v>
      </c>
      <c r="F62" s="330" t="s">
        <v>689</v>
      </c>
      <c r="G62" s="331"/>
      <c r="H62" s="331"/>
      <c r="I62" s="331"/>
      <c r="J62" s="331"/>
      <c r="K62" s="331"/>
      <c r="L62" s="242" t="s">
        <v>573</v>
      </c>
      <c r="M62" s="242" t="s">
        <v>695</v>
      </c>
      <c r="N62" s="351" t="s">
        <v>584</v>
      </c>
      <c r="O62" s="351"/>
      <c r="Q62"/>
    </row>
    <row r="63" spans="1:17" s="217" customFormat="1" ht="15">
      <c r="B63" s="233">
        <v>5</v>
      </c>
      <c r="C63" s="348" t="s">
        <v>688</v>
      </c>
      <c r="D63" s="349"/>
      <c r="E63" s="227">
        <v>83</v>
      </c>
      <c r="F63" s="330" t="s">
        <v>693</v>
      </c>
      <c r="G63" s="331"/>
      <c r="H63" s="331"/>
      <c r="I63" s="331"/>
      <c r="J63" s="331"/>
      <c r="K63" s="331"/>
      <c r="L63" s="242" t="s">
        <v>614</v>
      </c>
      <c r="M63" s="242" t="s">
        <v>91</v>
      </c>
      <c r="N63" s="351" t="s">
        <v>584</v>
      </c>
      <c r="O63" s="351"/>
      <c r="Q63"/>
    </row>
    <row r="64" spans="1:17" ht="15">
      <c r="A64" s="350"/>
      <c r="B64" s="350"/>
      <c r="C64" s="350"/>
      <c r="D64" s="350"/>
      <c r="E64" s="350"/>
      <c r="F64" s="350"/>
      <c r="G64" s="350"/>
      <c r="H64" s="350"/>
      <c r="I64" s="350"/>
      <c r="J64" s="350"/>
      <c r="K64" s="350"/>
      <c r="L64" s="350"/>
      <c r="M64" s="350"/>
      <c r="N64" s="350"/>
      <c r="O64" s="350"/>
      <c r="P64" s="350"/>
    </row>
  </sheetData>
  <autoFilter ref="B5:O63" xr:uid="{4AC901D3-8672-4467-8F4C-05CA09EE5785}">
    <filterColumn colId="1" showButton="0"/>
    <filterColumn colId="4" showButton="0"/>
    <filterColumn colId="5" showButton="0"/>
    <filterColumn colId="6" showButton="0"/>
    <filterColumn colId="7" showButton="0"/>
    <filterColumn colId="8" showButton="0"/>
    <filterColumn colId="12" showButton="0"/>
  </autoFilter>
  <mergeCells count="179">
    <mergeCell ref="N59:O59"/>
    <mergeCell ref="N60:O60"/>
    <mergeCell ref="N61:O61"/>
    <mergeCell ref="C59:D59"/>
    <mergeCell ref="C60:D60"/>
    <mergeCell ref="F58:K58"/>
    <mergeCell ref="F59:K59"/>
    <mergeCell ref="F60:K60"/>
    <mergeCell ref="F61:K61"/>
    <mergeCell ref="F63:K63"/>
    <mergeCell ref="C63:D63"/>
    <mergeCell ref="N53:O53"/>
    <mergeCell ref="N54:O54"/>
    <mergeCell ref="N55:O55"/>
    <mergeCell ref="N56:O56"/>
    <mergeCell ref="N57:O57"/>
    <mergeCell ref="N63:O63"/>
    <mergeCell ref="C61:D61"/>
    <mergeCell ref="C58:D58"/>
    <mergeCell ref="C53:D53"/>
    <mergeCell ref="C54:D54"/>
    <mergeCell ref="C55:D55"/>
    <mergeCell ref="C56:D56"/>
    <mergeCell ref="C57:D57"/>
    <mergeCell ref="F53:K53"/>
    <mergeCell ref="F54:K54"/>
    <mergeCell ref="F55:K55"/>
    <mergeCell ref="F56:K56"/>
    <mergeCell ref="F57:K57"/>
    <mergeCell ref="C62:D62"/>
    <mergeCell ref="F62:K62"/>
    <mergeCell ref="N62:O62"/>
    <mergeCell ref="N58:O58"/>
    <mergeCell ref="C52:D52"/>
    <mergeCell ref="C43:D43"/>
    <mergeCell ref="F43:K43"/>
    <mergeCell ref="N43:O43"/>
    <mergeCell ref="C45:D45"/>
    <mergeCell ref="F45:K45"/>
    <mergeCell ref="N45:O45"/>
    <mergeCell ref="C49:D49"/>
    <mergeCell ref="C50:D50"/>
    <mergeCell ref="C51:D51"/>
    <mergeCell ref="F47:K47"/>
    <mergeCell ref="N47:O47"/>
    <mergeCell ref="C41:D41"/>
    <mergeCell ref="C42:D42"/>
    <mergeCell ref="C44:D44"/>
    <mergeCell ref="C46:D46"/>
    <mergeCell ref="C47:D47"/>
    <mergeCell ref="C48:D48"/>
    <mergeCell ref="C36:D36"/>
    <mergeCell ref="C37:D37"/>
    <mergeCell ref="C38:D38"/>
    <mergeCell ref="C39:D39"/>
    <mergeCell ref="C40:D40"/>
    <mergeCell ref="C32:D32"/>
    <mergeCell ref="C33:D33"/>
    <mergeCell ref="C34:D34"/>
    <mergeCell ref="C35:D35"/>
    <mergeCell ref="C29:D29"/>
    <mergeCell ref="C30:D30"/>
    <mergeCell ref="C31:D31"/>
    <mergeCell ref="C26:D26"/>
    <mergeCell ref="C27:D27"/>
    <mergeCell ref="C28:D28"/>
    <mergeCell ref="C24:D24"/>
    <mergeCell ref="C25:D25"/>
    <mergeCell ref="C21:D21"/>
    <mergeCell ref="C22:D22"/>
    <mergeCell ref="C23:D23"/>
    <mergeCell ref="C19:D19"/>
    <mergeCell ref="C20:D20"/>
    <mergeCell ref="C16:D16"/>
    <mergeCell ref="C17:D17"/>
    <mergeCell ref="C18:D18"/>
    <mergeCell ref="C13:D13"/>
    <mergeCell ref="C14:D14"/>
    <mergeCell ref="C15:D15"/>
    <mergeCell ref="A64:P64"/>
    <mergeCell ref="C6:D6"/>
    <mergeCell ref="C5:D5"/>
    <mergeCell ref="C7:D7"/>
    <mergeCell ref="C8:D8"/>
    <mergeCell ref="C9:D9"/>
    <mergeCell ref="C10:D10"/>
    <mergeCell ref="C11:D11"/>
    <mergeCell ref="C12:D12"/>
    <mergeCell ref="F52:K52"/>
    <mergeCell ref="N52:O52"/>
    <mergeCell ref="F50:K50"/>
    <mergeCell ref="N50:O50"/>
    <mergeCell ref="F51:K51"/>
    <mergeCell ref="N51:O51"/>
    <mergeCell ref="F48:K48"/>
    <mergeCell ref="N48:O48"/>
    <mergeCell ref="F49:K49"/>
    <mergeCell ref="N49:O49"/>
    <mergeCell ref="F46:K46"/>
    <mergeCell ref="N46:O46"/>
    <mergeCell ref="F42:K42"/>
    <mergeCell ref="N42:O42"/>
    <mergeCell ref="F44:K44"/>
    <mergeCell ref="N44:O44"/>
    <mergeCell ref="F41:K41"/>
    <mergeCell ref="N41:O41"/>
    <mergeCell ref="F39:K39"/>
    <mergeCell ref="N39:O39"/>
    <mergeCell ref="F40:K40"/>
    <mergeCell ref="N40:O40"/>
    <mergeCell ref="F37:K37"/>
    <mergeCell ref="N37:O37"/>
    <mergeCell ref="F38:K38"/>
    <mergeCell ref="N38:O38"/>
    <mergeCell ref="F36:K36"/>
    <mergeCell ref="N36:O36"/>
    <mergeCell ref="F34:K34"/>
    <mergeCell ref="N34:O34"/>
    <mergeCell ref="F35:K35"/>
    <mergeCell ref="N35:O35"/>
    <mergeCell ref="F32:K32"/>
    <mergeCell ref="N32:O32"/>
    <mergeCell ref="F33:K33"/>
    <mergeCell ref="N33:O33"/>
    <mergeCell ref="F30:K30"/>
    <mergeCell ref="N30:O30"/>
    <mergeCell ref="F31:K31"/>
    <mergeCell ref="N31:O31"/>
    <mergeCell ref="F29:K29"/>
    <mergeCell ref="N29:O29"/>
    <mergeCell ref="F28:K28"/>
    <mergeCell ref="N28:O28"/>
    <mergeCell ref="F27:K27"/>
    <mergeCell ref="N27:O27"/>
    <mergeCell ref="F25:K25"/>
    <mergeCell ref="N25:O25"/>
    <mergeCell ref="F26:K26"/>
    <mergeCell ref="N26:O26"/>
    <mergeCell ref="F24:K24"/>
    <mergeCell ref="N24:O24"/>
    <mergeCell ref="F23:K23"/>
    <mergeCell ref="N23:O23"/>
    <mergeCell ref="F22:K22"/>
    <mergeCell ref="N22:O22"/>
    <mergeCell ref="F20:K20"/>
    <mergeCell ref="N20:O20"/>
    <mergeCell ref="F21:K21"/>
    <mergeCell ref="N21:O21"/>
    <mergeCell ref="F19:K19"/>
    <mergeCell ref="N19:O19"/>
    <mergeCell ref="F17:K17"/>
    <mergeCell ref="N17:O17"/>
    <mergeCell ref="F18:K18"/>
    <mergeCell ref="N18:O18"/>
    <mergeCell ref="F16:K16"/>
    <mergeCell ref="N16:O16"/>
    <mergeCell ref="F15:K15"/>
    <mergeCell ref="N15:O15"/>
    <mergeCell ref="F14:K14"/>
    <mergeCell ref="N14:O14"/>
    <mergeCell ref="F12:K12"/>
    <mergeCell ref="N12:O12"/>
    <mergeCell ref="F13:K13"/>
    <mergeCell ref="N13:O13"/>
    <mergeCell ref="F11:K11"/>
    <mergeCell ref="N11:O11"/>
    <mergeCell ref="F9:K9"/>
    <mergeCell ref="N9:O9"/>
    <mergeCell ref="F10:K10"/>
    <mergeCell ref="N10:O10"/>
    <mergeCell ref="F7:K7"/>
    <mergeCell ref="N7:O7"/>
    <mergeCell ref="F8:K8"/>
    <mergeCell ref="N8:O8"/>
    <mergeCell ref="B2:O3"/>
    <mergeCell ref="F5:K5"/>
    <mergeCell ref="N5:O5"/>
    <mergeCell ref="F6:K6"/>
    <mergeCell ref="N6:O6"/>
  </mergeCells>
  <dataValidations count="3">
    <dataValidation type="list" allowBlank="1" showInputMessage="1" showErrorMessage="1" sqref="C6:D63" xr:uid="{5546B427-4385-4CDF-9A2A-72C8EF2E44EA}">
      <formula1>"Banking &amp; Savings, Mortgages, Credit Cards, Personal Loans"</formula1>
    </dataValidation>
    <dataValidation type="list" allowBlank="1" showInputMessage="1" showErrorMessage="1" sqref="N6:O63" xr:uid="{DC9700B3-530E-4C24-B0D8-0ABB0707C0DC}">
      <formula1>"Live,Suspended,Decommissioned,Under Development,Backlog Item"</formula1>
    </dataValidation>
    <dataValidation type="list" allowBlank="1" showInputMessage="1" showErrorMessage="1" sqref="L6:L63" xr:uid="{13CF9E72-32EE-4E7D-A411-DD106B43EE4C}">
      <formula1>"Rule-based, Peer-based, Behaviour"</formula1>
    </dataValidation>
  </dataValidations>
  <pageMargins left="0.7" right="0.7" top="0.75" bottom="0.75" header="0.3" footer="0.3"/>
  <pageSetup paperSize="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AEE2B-3351-48D4-87D7-BFA064529DF0}">
  <dimension ref="B1:Y74"/>
  <sheetViews>
    <sheetView topLeftCell="A4" zoomScale="70" zoomScaleNormal="70" zoomScalePageLayoutView="30" workbookViewId="0">
      <selection activeCell="E27" sqref="E27"/>
    </sheetView>
  </sheetViews>
  <sheetFormatPr baseColWidth="10" defaultColWidth="8.83203125" defaultRowHeight="38.5" customHeight="1"/>
  <cols>
    <col min="2" max="2" width="21.6640625" style="29" customWidth="1"/>
    <col min="3" max="3" width="36.5" style="1" customWidth="1"/>
    <col min="4" max="4" width="27.5" style="1" customWidth="1"/>
    <col min="5" max="5" width="19.6640625" customWidth="1"/>
    <col min="6" max="6" width="18.1640625" style="60" customWidth="1"/>
    <col min="7" max="14" width="18.1640625" customWidth="1"/>
    <col min="15" max="15" width="21.1640625" customWidth="1"/>
    <col min="16" max="18" width="18.1640625" customWidth="1"/>
    <col min="19" max="19" width="8.5" style="20" customWidth="1"/>
    <col min="20" max="20" width="82.83203125" style="45" customWidth="1"/>
    <col min="21" max="21" width="19.6640625" style="35" bestFit="1" customWidth="1"/>
    <col min="22" max="22" width="71.5" bestFit="1" customWidth="1"/>
    <col min="23" max="23" width="75.5" style="178" customWidth="1"/>
  </cols>
  <sheetData>
    <row r="1" spans="2:23" ht="38.5" customHeight="1" thickBot="1">
      <c r="B1" s="298"/>
      <c r="C1" s="298"/>
    </row>
    <row r="2" spans="2:23" ht="38.5" customHeight="1">
      <c r="B2" s="299" t="s">
        <v>97</v>
      </c>
      <c r="C2" s="300"/>
      <c r="D2" s="301"/>
      <c r="E2" s="302" t="s">
        <v>307</v>
      </c>
      <c r="F2" s="303"/>
      <c r="G2" s="303"/>
      <c r="H2" s="303"/>
      <c r="I2" s="303"/>
      <c r="J2" s="303"/>
      <c r="K2" s="303"/>
      <c r="L2" s="303"/>
      <c r="M2" s="303"/>
      <c r="N2" s="303"/>
      <c r="O2" s="303"/>
      <c r="P2" s="303"/>
      <c r="Q2" s="303"/>
      <c r="R2" s="304"/>
      <c r="S2" s="356" t="s">
        <v>458</v>
      </c>
      <c r="T2" s="357"/>
      <c r="U2" s="357"/>
      <c r="V2" s="357"/>
      <c r="W2" s="357"/>
    </row>
    <row r="3" spans="2:23" ht="38.5" customHeight="1">
      <c r="B3" s="307" t="s">
        <v>452</v>
      </c>
      <c r="C3" s="309" t="s">
        <v>453</v>
      </c>
      <c r="D3" s="311" t="s">
        <v>28</v>
      </c>
      <c r="E3" s="291" t="s">
        <v>139</v>
      </c>
      <c r="F3" s="292"/>
      <c r="G3" s="293"/>
      <c r="H3" s="294" t="s">
        <v>142</v>
      </c>
      <c r="I3" s="292"/>
      <c r="J3" s="292"/>
      <c r="K3" s="292"/>
      <c r="L3" s="292"/>
      <c r="M3" s="292"/>
      <c r="N3" s="293"/>
      <c r="O3" s="24" t="s">
        <v>140</v>
      </c>
      <c r="P3" s="24" t="s">
        <v>141</v>
      </c>
      <c r="Q3" s="294" t="s">
        <v>380</v>
      </c>
      <c r="R3" s="295"/>
      <c r="S3" s="354"/>
      <c r="T3" s="355"/>
      <c r="U3" s="355"/>
      <c r="V3" s="355"/>
      <c r="W3" s="355"/>
    </row>
    <row r="4" spans="2:23" ht="72.5" customHeight="1">
      <c r="B4" s="308"/>
      <c r="C4" s="310"/>
      <c r="D4" s="311"/>
      <c r="E4" s="79" t="s">
        <v>147</v>
      </c>
      <c r="F4" s="17" t="s">
        <v>148</v>
      </c>
      <c r="G4" s="17" t="s">
        <v>149</v>
      </c>
      <c r="H4" s="17" t="s">
        <v>394</v>
      </c>
      <c r="I4" s="30" t="s">
        <v>146</v>
      </c>
      <c r="J4" s="17" t="s">
        <v>143</v>
      </c>
      <c r="K4" s="17" t="s">
        <v>144</v>
      </c>
      <c r="L4" s="17" t="s">
        <v>145</v>
      </c>
      <c r="M4" s="31" t="s">
        <v>377</v>
      </c>
      <c r="N4" s="31" t="s">
        <v>378</v>
      </c>
      <c r="O4" s="31" t="s">
        <v>379</v>
      </c>
      <c r="P4" s="31" t="s">
        <v>150</v>
      </c>
      <c r="Q4" s="17" t="s">
        <v>381</v>
      </c>
      <c r="R4" s="80" t="s">
        <v>436</v>
      </c>
      <c r="S4" s="354"/>
      <c r="T4" s="355"/>
      <c r="U4" s="355"/>
      <c r="V4" s="355"/>
      <c r="W4" s="355"/>
    </row>
    <row r="5" spans="2:23" ht="38.5" customHeight="1">
      <c r="B5" s="308"/>
      <c r="C5" s="310"/>
      <c r="D5" s="311"/>
      <c r="E5" s="317" t="s">
        <v>256</v>
      </c>
      <c r="F5" s="318"/>
      <c r="G5" s="318"/>
      <c r="H5" s="318"/>
      <c r="I5" s="318"/>
      <c r="J5" s="318"/>
      <c r="K5" s="318"/>
      <c r="L5" s="318"/>
      <c r="M5" s="318"/>
      <c r="N5" s="318"/>
      <c r="O5" s="318"/>
      <c r="P5" s="318"/>
      <c r="Q5" s="318"/>
      <c r="R5" s="319"/>
      <c r="S5" s="296" t="s">
        <v>349</v>
      </c>
      <c r="T5" s="315" t="s">
        <v>192</v>
      </c>
      <c r="U5" s="353" t="s">
        <v>455</v>
      </c>
      <c r="V5" s="359" t="s">
        <v>456</v>
      </c>
      <c r="W5" s="352" t="s">
        <v>454</v>
      </c>
    </row>
    <row r="6" spans="2:23" ht="38.5" customHeight="1" thickBot="1">
      <c r="B6" s="308"/>
      <c r="C6" s="310"/>
      <c r="D6" s="311"/>
      <c r="E6" s="81" t="s">
        <v>86</v>
      </c>
      <c r="F6" s="18" t="s">
        <v>86</v>
      </c>
      <c r="G6" s="18" t="s">
        <v>86</v>
      </c>
      <c r="H6" s="18" t="s">
        <v>86</v>
      </c>
      <c r="I6" s="18" t="s">
        <v>86</v>
      </c>
      <c r="J6" s="19" t="s">
        <v>87</v>
      </c>
      <c r="K6" s="19" t="s">
        <v>87</v>
      </c>
      <c r="L6" s="19" t="s">
        <v>87</v>
      </c>
      <c r="M6" s="18" t="s">
        <v>86</v>
      </c>
      <c r="N6" s="19" t="s">
        <v>87</v>
      </c>
      <c r="O6" s="18" t="s">
        <v>86</v>
      </c>
      <c r="P6" s="19" t="s">
        <v>87</v>
      </c>
      <c r="Q6" s="19" t="s">
        <v>87</v>
      </c>
      <c r="R6" s="82" t="s">
        <v>87</v>
      </c>
      <c r="S6" s="296"/>
      <c r="T6" s="315"/>
      <c r="U6" s="353"/>
      <c r="V6" s="359"/>
      <c r="W6" s="352"/>
    </row>
    <row r="7" spans="2:23" ht="38.5" customHeight="1">
      <c r="B7" s="312" t="s">
        <v>29</v>
      </c>
      <c r="C7" s="102" t="s">
        <v>258</v>
      </c>
      <c r="D7" s="90" t="s">
        <v>32</v>
      </c>
      <c r="E7" s="66"/>
      <c r="F7" s="67"/>
      <c r="G7" s="66"/>
      <c r="H7" s="66"/>
      <c r="I7" s="66"/>
      <c r="J7" s="66"/>
      <c r="K7" s="66"/>
      <c r="L7" s="66"/>
      <c r="M7" s="66"/>
      <c r="N7" s="66"/>
      <c r="O7" s="68">
        <v>9</v>
      </c>
      <c r="P7" s="68">
        <v>4</v>
      </c>
      <c r="Q7" s="68">
        <v>7</v>
      </c>
      <c r="R7" s="68">
        <v>4</v>
      </c>
      <c r="S7" s="121">
        <v>1</v>
      </c>
      <c r="T7" s="73" t="s">
        <v>259</v>
      </c>
      <c r="U7" s="35" t="s">
        <v>462</v>
      </c>
      <c r="V7" s="179" t="s">
        <v>462</v>
      </c>
      <c r="W7" s="178" t="s">
        <v>552</v>
      </c>
    </row>
    <row r="8" spans="2:23" ht="38.5" customHeight="1">
      <c r="B8" s="313"/>
      <c r="C8" s="62" t="s">
        <v>47</v>
      </c>
      <c r="D8" s="16" t="s">
        <v>33</v>
      </c>
      <c r="E8" s="7"/>
      <c r="F8" s="61"/>
      <c r="G8" s="7"/>
      <c r="H8" s="7"/>
      <c r="I8" s="7"/>
      <c r="J8" s="7"/>
      <c r="K8" s="7"/>
      <c r="L8" s="7"/>
      <c r="M8" s="7"/>
      <c r="N8" s="7"/>
      <c r="O8" s="8">
        <v>9</v>
      </c>
      <c r="P8" s="8">
        <v>4</v>
      </c>
      <c r="Q8" s="8">
        <v>7</v>
      </c>
      <c r="R8" s="8">
        <v>4</v>
      </c>
      <c r="S8" s="119">
        <v>2</v>
      </c>
      <c r="T8" s="32" t="s">
        <v>384</v>
      </c>
      <c r="U8" s="35" t="s">
        <v>462</v>
      </c>
      <c r="V8" s="179" t="s">
        <v>712</v>
      </c>
      <c r="W8" s="178" t="s">
        <v>711</v>
      </c>
    </row>
    <row r="9" spans="2:23" ht="38.5" customHeight="1">
      <c r="B9" s="313"/>
      <c r="C9" s="62" t="s">
        <v>8</v>
      </c>
      <c r="D9" s="16" t="s">
        <v>30</v>
      </c>
      <c r="E9" s="7"/>
      <c r="F9" s="61"/>
      <c r="G9" s="7"/>
      <c r="H9" s="7"/>
      <c r="I9" s="7"/>
      <c r="J9" s="7"/>
      <c r="K9" s="7"/>
      <c r="L9" s="7"/>
      <c r="M9" s="7"/>
      <c r="N9" s="7"/>
      <c r="O9" s="8">
        <v>9</v>
      </c>
      <c r="P9" s="8">
        <v>4</v>
      </c>
      <c r="Q9" s="8">
        <v>7</v>
      </c>
      <c r="R9" s="8">
        <v>4</v>
      </c>
      <c r="S9" s="119">
        <v>3</v>
      </c>
      <c r="T9" s="32" t="s">
        <v>260</v>
      </c>
      <c r="U9" s="35" t="s">
        <v>462</v>
      </c>
      <c r="V9" s="179" t="s">
        <v>712</v>
      </c>
      <c r="W9" s="178" t="s">
        <v>713</v>
      </c>
    </row>
    <row r="10" spans="2:23" ht="38.5" customHeight="1">
      <c r="B10" s="313"/>
      <c r="C10" s="62" t="s">
        <v>49</v>
      </c>
      <c r="D10" s="16" t="s">
        <v>30</v>
      </c>
      <c r="E10" s="7"/>
      <c r="F10" s="61"/>
      <c r="G10" s="7"/>
      <c r="H10" s="7"/>
      <c r="I10" s="7"/>
      <c r="J10" s="7"/>
      <c r="K10" s="7"/>
      <c r="L10" s="7"/>
      <c r="M10" s="7"/>
      <c r="N10" s="7"/>
      <c r="O10" s="8">
        <v>9</v>
      </c>
      <c r="P10" s="8">
        <v>4</v>
      </c>
      <c r="Q10" s="8">
        <v>7</v>
      </c>
      <c r="R10" s="8">
        <v>4</v>
      </c>
      <c r="S10" s="119">
        <v>4</v>
      </c>
      <c r="T10" s="32" t="s">
        <v>261</v>
      </c>
      <c r="U10" s="35" t="s">
        <v>462</v>
      </c>
      <c r="V10" s="179" t="s">
        <v>714</v>
      </c>
      <c r="W10" s="178" t="s">
        <v>553</v>
      </c>
    </row>
    <row r="11" spans="2:23" ht="38.5" customHeight="1">
      <c r="B11" s="313"/>
      <c r="C11" s="62" t="s">
        <v>19</v>
      </c>
      <c r="D11" s="4" t="s">
        <v>31</v>
      </c>
      <c r="E11" s="7"/>
      <c r="F11" s="61"/>
      <c r="G11" s="7"/>
      <c r="H11" s="7"/>
      <c r="I11" s="7"/>
      <c r="J11" s="7"/>
      <c r="K11" s="7"/>
      <c r="L11" s="7"/>
      <c r="M11" s="7"/>
      <c r="N11" s="7"/>
      <c r="O11" s="8">
        <v>9</v>
      </c>
      <c r="P11" s="8">
        <v>4</v>
      </c>
      <c r="Q11" s="8">
        <v>7</v>
      </c>
      <c r="R11" s="8">
        <v>4</v>
      </c>
      <c r="S11" s="119">
        <v>5</v>
      </c>
      <c r="T11" s="32" t="s">
        <v>388</v>
      </c>
      <c r="U11" s="35" t="s">
        <v>715</v>
      </c>
      <c r="V11" s="179" t="s">
        <v>716</v>
      </c>
      <c r="W11" s="178" t="s">
        <v>706</v>
      </c>
    </row>
    <row r="12" spans="2:23" ht="38.5" customHeight="1">
      <c r="B12" s="313"/>
      <c r="C12" s="62" t="s">
        <v>20</v>
      </c>
      <c r="D12" s="4" t="s">
        <v>31</v>
      </c>
      <c r="E12" s="7"/>
      <c r="F12" s="61"/>
      <c r="G12" s="7"/>
      <c r="H12" s="7"/>
      <c r="I12" s="7"/>
      <c r="J12" s="7"/>
      <c r="K12" s="7"/>
      <c r="L12" s="7"/>
      <c r="M12" s="7"/>
      <c r="N12" s="7"/>
      <c r="O12" s="8">
        <v>9</v>
      </c>
      <c r="P12" s="8">
        <v>4</v>
      </c>
      <c r="Q12" s="8">
        <v>7</v>
      </c>
      <c r="R12" s="8">
        <v>4</v>
      </c>
      <c r="S12" s="119">
        <v>6</v>
      </c>
      <c r="T12" s="32" t="s">
        <v>262</v>
      </c>
      <c r="U12" s="35" t="s">
        <v>462</v>
      </c>
      <c r="V12" s="179" t="s">
        <v>462</v>
      </c>
      <c r="W12" s="178" t="s">
        <v>554</v>
      </c>
    </row>
    <row r="13" spans="2:23" ht="38.5" customHeight="1" thickBot="1">
      <c r="B13" s="327"/>
      <c r="C13" s="63" t="s">
        <v>7</v>
      </c>
      <c r="D13" s="51" t="s">
        <v>30</v>
      </c>
      <c r="E13" s="37"/>
      <c r="F13" s="46"/>
      <c r="G13" s="145"/>
      <c r="H13" s="137"/>
      <c r="I13" s="137"/>
      <c r="J13" s="37"/>
      <c r="K13" s="37"/>
      <c r="L13" s="37"/>
      <c r="M13" s="37"/>
      <c r="N13" s="37"/>
      <c r="O13" s="36">
        <v>9</v>
      </c>
      <c r="P13" s="36">
        <v>4</v>
      </c>
      <c r="Q13" s="36">
        <v>7</v>
      </c>
      <c r="R13" s="36">
        <v>4</v>
      </c>
      <c r="S13" s="123">
        <v>7</v>
      </c>
      <c r="T13" s="44" t="s">
        <v>522</v>
      </c>
      <c r="U13" s="35" t="s">
        <v>462</v>
      </c>
      <c r="V13" s="179" t="s">
        <v>716</v>
      </c>
      <c r="W13" s="178" t="s">
        <v>717</v>
      </c>
    </row>
    <row r="14" spans="2:23" ht="38.5" customHeight="1" thickBot="1">
      <c r="B14" s="127" t="s">
        <v>397</v>
      </c>
      <c r="C14" s="93" t="s">
        <v>94</v>
      </c>
      <c r="D14" s="92" t="s">
        <v>93</v>
      </c>
      <c r="E14" s="146"/>
      <c r="F14" s="95"/>
      <c r="G14" s="147"/>
      <c r="H14" s="148"/>
      <c r="I14" s="148"/>
      <c r="J14" s="146"/>
      <c r="K14" s="146"/>
      <c r="L14" s="146"/>
      <c r="M14" s="146"/>
      <c r="N14" s="146"/>
      <c r="O14" s="91"/>
      <c r="P14" s="91"/>
      <c r="Q14" s="91">
        <v>7</v>
      </c>
      <c r="R14" s="91">
        <v>4</v>
      </c>
      <c r="S14" s="122">
        <v>8</v>
      </c>
      <c r="T14" s="99" t="s">
        <v>389</v>
      </c>
      <c r="U14" s="35" t="s">
        <v>462</v>
      </c>
      <c r="V14" s="179" t="s">
        <v>462</v>
      </c>
      <c r="W14" s="178" t="s">
        <v>544</v>
      </c>
    </row>
    <row r="15" spans="2:23" ht="38.5" customHeight="1">
      <c r="B15" s="312" t="s">
        <v>91</v>
      </c>
      <c r="C15" s="102" t="s">
        <v>55</v>
      </c>
      <c r="D15" s="90" t="s">
        <v>93</v>
      </c>
      <c r="E15" s="68">
        <v>11</v>
      </c>
      <c r="F15" s="68">
        <v>6</v>
      </c>
      <c r="G15" s="68">
        <v>8</v>
      </c>
      <c r="H15" s="68">
        <v>9</v>
      </c>
      <c r="I15" s="68">
        <v>10</v>
      </c>
      <c r="J15" s="68">
        <v>5</v>
      </c>
      <c r="K15" s="68">
        <v>5</v>
      </c>
      <c r="L15" s="68">
        <v>5</v>
      </c>
      <c r="M15" s="68">
        <v>8</v>
      </c>
      <c r="N15" s="68">
        <v>5</v>
      </c>
      <c r="O15" s="68">
        <v>9</v>
      </c>
      <c r="P15" s="68">
        <v>4</v>
      </c>
      <c r="Q15" s="68">
        <v>7</v>
      </c>
      <c r="R15" s="68">
        <v>4</v>
      </c>
      <c r="S15" s="121">
        <v>9</v>
      </c>
      <c r="T15" s="73" t="s">
        <v>264</v>
      </c>
      <c r="U15" s="35" t="s">
        <v>459</v>
      </c>
      <c r="V15" s="171" t="s">
        <v>494</v>
      </c>
      <c r="W15" s="177" t="s">
        <v>619</v>
      </c>
    </row>
    <row r="16" spans="2:23" ht="38.5" customHeight="1">
      <c r="B16" s="313"/>
      <c r="C16" s="62" t="s">
        <v>56</v>
      </c>
      <c r="D16" s="16" t="s">
        <v>93</v>
      </c>
      <c r="E16" s="8">
        <v>11</v>
      </c>
      <c r="F16" s="8">
        <v>6</v>
      </c>
      <c r="G16" s="8">
        <v>8</v>
      </c>
      <c r="H16" s="8">
        <v>9</v>
      </c>
      <c r="I16" s="8">
        <v>10</v>
      </c>
      <c r="J16" s="8">
        <v>5</v>
      </c>
      <c r="K16" s="8">
        <v>5</v>
      </c>
      <c r="L16" s="8">
        <v>5</v>
      </c>
      <c r="M16" s="8">
        <v>8</v>
      </c>
      <c r="N16" s="8">
        <v>5</v>
      </c>
      <c r="O16" s="8">
        <v>9</v>
      </c>
      <c r="P16" s="8">
        <v>4</v>
      </c>
      <c r="Q16" s="8">
        <v>7</v>
      </c>
      <c r="R16" s="8">
        <v>4</v>
      </c>
      <c r="S16" s="119">
        <v>10</v>
      </c>
      <c r="T16" s="32" t="s">
        <v>268</v>
      </c>
      <c r="U16" s="35" t="s">
        <v>459</v>
      </c>
      <c r="V16" s="171" t="s">
        <v>489</v>
      </c>
      <c r="W16" s="177" t="s">
        <v>492</v>
      </c>
    </row>
    <row r="17" spans="2:23" ht="38.5" customHeight="1">
      <c r="B17" s="313"/>
      <c r="C17" s="62" t="s">
        <v>52</v>
      </c>
      <c r="D17" s="16" t="s">
        <v>51</v>
      </c>
      <c r="E17" s="8">
        <v>11</v>
      </c>
      <c r="F17" s="8">
        <v>6</v>
      </c>
      <c r="G17" s="8">
        <v>8</v>
      </c>
      <c r="H17" s="8">
        <v>9</v>
      </c>
      <c r="I17" s="8">
        <v>10</v>
      </c>
      <c r="J17" s="8">
        <v>5</v>
      </c>
      <c r="K17" s="8">
        <v>5</v>
      </c>
      <c r="L17" s="8">
        <v>5</v>
      </c>
      <c r="M17" s="8">
        <v>8</v>
      </c>
      <c r="N17" s="8">
        <v>5</v>
      </c>
      <c r="O17" s="8">
        <v>9</v>
      </c>
      <c r="P17" s="8">
        <v>4</v>
      </c>
      <c r="Q17" s="8">
        <v>7</v>
      </c>
      <c r="R17" s="8">
        <v>4</v>
      </c>
      <c r="S17" s="119">
        <v>11</v>
      </c>
      <c r="T17" s="32" t="s">
        <v>269</v>
      </c>
      <c r="U17" s="35" t="s">
        <v>462</v>
      </c>
      <c r="V17" s="173" t="s">
        <v>490</v>
      </c>
      <c r="W17" s="177" t="s">
        <v>491</v>
      </c>
    </row>
    <row r="18" spans="2:23" ht="38.5" customHeight="1">
      <c r="B18" s="313"/>
      <c r="C18" s="62" t="s">
        <v>10</v>
      </c>
      <c r="D18" s="62" t="s">
        <v>36</v>
      </c>
      <c r="E18" s="8">
        <v>11</v>
      </c>
      <c r="F18" s="8">
        <v>6</v>
      </c>
      <c r="G18" s="8">
        <v>8</v>
      </c>
      <c r="H18" s="8">
        <v>9</v>
      </c>
      <c r="I18" s="8">
        <v>10</v>
      </c>
      <c r="J18" s="8">
        <v>5</v>
      </c>
      <c r="K18" s="8">
        <v>5</v>
      </c>
      <c r="L18" s="8">
        <v>5</v>
      </c>
      <c r="M18" s="8">
        <v>8</v>
      </c>
      <c r="N18" s="8">
        <v>5</v>
      </c>
      <c r="O18" s="8">
        <v>9</v>
      </c>
      <c r="P18" s="8">
        <v>4</v>
      </c>
      <c r="Q18" s="8">
        <v>7</v>
      </c>
      <c r="R18" s="8">
        <v>4</v>
      </c>
      <c r="S18" s="119">
        <v>12</v>
      </c>
      <c r="T18" s="32" t="s">
        <v>399</v>
      </c>
      <c r="U18" s="35" t="s">
        <v>461</v>
      </c>
      <c r="V18" t="s">
        <v>465</v>
      </c>
      <c r="W18" s="177" t="s">
        <v>466</v>
      </c>
    </row>
    <row r="19" spans="2:23" ht="38.5" customHeight="1">
      <c r="B19" s="313"/>
      <c r="C19" s="62" t="s">
        <v>83</v>
      </c>
      <c r="D19" s="16" t="s">
        <v>322</v>
      </c>
      <c r="E19" s="8">
        <v>11</v>
      </c>
      <c r="F19" s="8">
        <v>6</v>
      </c>
      <c r="G19" s="8">
        <v>8</v>
      </c>
      <c r="H19" s="8">
        <v>9</v>
      </c>
      <c r="I19" s="8">
        <v>10</v>
      </c>
      <c r="J19" s="8">
        <v>5</v>
      </c>
      <c r="K19" s="8">
        <v>5</v>
      </c>
      <c r="L19" s="8">
        <v>5</v>
      </c>
      <c r="M19" s="8">
        <v>8</v>
      </c>
      <c r="N19" s="8">
        <v>5</v>
      </c>
      <c r="O19" s="8"/>
      <c r="P19" s="8"/>
      <c r="Q19" s="8"/>
      <c r="R19" s="8"/>
      <c r="S19" s="119">
        <v>13</v>
      </c>
      <c r="T19" s="32" t="s">
        <v>271</v>
      </c>
      <c r="U19" s="35" t="s">
        <v>462</v>
      </c>
      <c r="V19" s="174" t="s">
        <v>463</v>
      </c>
      <c r="W19" s="177" t="s">
        <v>464</v>
      </c>
    </row>
    <row r="20" spans="2:23" ht="38.5" customHeight="1">
      <c r="B20" s="313"/>
      <c r="C20" s="62" t="s">
        <v>57</v>
      </c>
      <c r="D20" s="62" t="s">
        <v>36</v>
      </c>
      <c r="E20" s="8">
        <v>11</v>
      </c>
      <c r="F20" s="8">
        <v>6</v>
      </c>
      <c r="G20" s="8">
        <v>8</v>
      </c>
      <c r="H20" s="8">
        <v>9</v>
      </c>
      <c r="I20" s="8">
        <v>10</v>
      </c>
      <c r="J20" s="8">
        <v>5</v>
      </c>
      <c r="K20" s="8">
        <v>5</v>
      </c>
      <c r="L20" s="8">
        <v>5</v>
      </c>
      <c r="M20" s="8">
        <v>8</v>
      </c>
      <c r="N20" s="8">
        <v>5</v>
      </c>
      <c r="O20" s="7"/>
      <c r="P20" s="7"/>
      <c r="Q20" s="7"/>
      <c r="R20" s="7"/>
      <c r="S20" s="119">
        <v>14</v>
      </c>
      <c r="T20" s="32" t="s">
        <v>390</v>
      </c>
      <c r="U20" s="35" t="s">
        <v>459</v>
      </c>
      <c r="V20" s="173" t="s">
        <v>460</v>
      </c>
      <c r="W20" s="177" t="s">
        <v>466</v>
      </c>
    </row>
    <row r="21" spans="2:23" ht="38.5" customHeight="1">
      <c r="B21" s="313"/>
      <c r="C21" s="62" t="s">
        <v>58</v>
      </c>
      <c r="D21" s="16" t="s">
        <v>93</v>
      </c>
      <c r="E21" s="8">
        <v>11</v>
      </c>
      <c r="F21" s="8">
        <v>6</v>
      </c>
      <c r="G21" s="8">
        <v>8</v>
      </c>
      <c r="H21" s="8">
        <v>9</v>
      </c>
      <c r="I21" s="8">
        <v>10</v>
      </c>
      <c r="J21" s="8">
        <v>5</v>
      </c>
      <c r="K21" s="8">
        <v>5</v>
      </c>
      <c r="L21" s="8">
        <v>5</v>
      </c>
      <c r="M21" s="8">
        <v>8</v>
      </c>
      <c r="N21" s="8">
        <v>5</v>
      </c>
      <c r="O21" s="7"/>
      <c r="P21" s="7"/>
      <c r="Q21" s="7"/>
      <c r="R21" s="7"/>
      <c r="S21" s="119">
        <v>15</v>
      </c>
      <c r="T21" s="32" t="s">
        <v>264</v>
      </c>
      <c r="U21" s="35" t="s">
        <v>459</v>
      </c>
      <c r="V21" s="171" t="s">
        <v>493</v>
      </c>
      <c r="W21" s="177" t="s">
        <v>619</v>
      </c>
    </row>
    <row r="22" spans="2:23" ht="38.5" customHeight="1">
      <c r="B22" s="313"/>
      <c r="C22" s="62" t="s">
        <v>59</v>
      </c>
      <c r="D22" s="16" t="s">
        <v>93</v>
      </c>
      <c r="E22" s="8">
        <v>11</v>
      </c>
      <c r="F22" s="8">
        <v>6</v>
      </c>
      <c r="G22" s="8">
        <v>8</v>
      </c>
      <c r="H22" s="8">
        <v>9</v>
      </c>
      <c r="I22" s="8">
        <v>10</v>
      </c>
      <c r="J22" s="8">
        <v>5</v>
      </c>
      <c r="K22" s="8">
        <v>5</v>
      </c>
      <c r="L22" s="8">
        <v>5</v>
      </c>
      <c r="M22" s="8">
        <v>8</v>
      </c>
      <c r="N22" s="8">
        <v>5</v>
      </c>
      <c r="O22" s="7"/>
      <c r="P22" s="7"/>
      <c r="Q22" s="7"/>
      <c r="R22" s="7"/>
      <c r="S22" s="119">
        <v>16</v>
      </c>
      <c r="T22" s="32" t="s">
        <v>268</v>
      </c>
      <c r="U22" s="35" t="s">
        <v>459</v>
      </c>
      <c r="V22" s="171" t="s">
        <v>495</v>
      </c>
      <c r="W22" s="177" t="s">
        <v>492</v>
      </c>
    </row>
    <row r="23" spans="2:23" ht="38.5" customHeight="1" thickBot="1">
      <c r="B23" s="327"/>
      <c r="C23" s="63" t="s">
        <v>467</v>
      </c>
      <c r="D23" s="51" t="s">
        <v>40</v>
      </c>
      <c r="E23" s="36">
        <v>11</v>
      </c>
      <c r="F23" s="36">
        <v>6</v>
      </c>
      <c r="G23" s="36">
        <v>8</v>
      </c>
      <c r="H23" s="36">
        <v>9</v>
      </c>
      <c r="I23" s="36">
        <v>10</v>
      </c>
      <c r="J23" s="36">
        <v>5</v>
      </c>
      <c r="K23" s="36">
        <v>5</v>
      </c>
      <c r="L23" s="36">
        <v>5</v>
      </c>
      <c r="M23" s="36">
        <v>8</v>
      </c>
      <c r="N23" s="36">
        <v>5</v>
      </c>
      <c r="O23" s="36">
        <v>9</v>
      </c>
      <c r="P23" s="36">
        <v>4</v>
      </c>
      <c r="Q23" s="36">
        <v>7</v>
      </c>
      <c r="R23" s="36">
        <v>4</v>
      </c>
      <c r="S23" s="123">
        <v>17</v>
      </c>
      <c r="T23" s="44" t="s">
        <v>270</v>
      </c>
      <c r="U23" s="35" t="s">
        <v>487</v>
      </c>
      <c r="V23" s="177" t="s">
        <v>488</v>
      </c>
      <c r="W23" s="178" t="s">
        <v>497</v>
      </c>
    </row>
    <row r="24" spans="2:23" ht="50" customHeight="1">
      <c r="B24" s="312" t="s">
        <v>391</v>
      </c>
      <c r="C24" s="102" t="s">
        <v>151</v>
      </c>
      <c r="D24" s="103" t="s">
        <v>400</v>
      </c>
      <c r="E24" s="68">
        <v>11</v>
      </c>
      <c r="F24" s="68">
        <v>6</v>
      </c>
      <c r="G24" s="68">
        <v>8</v>
      </c>
      <c r="H24" s="68">
        <v>9</v>
      </c>
      <c r="I24" s="68">
        <v>10</v>
      </c>
      <c r="J24" s="68">
        <v>5</v>
      </c>
      <c r="K24" s="68">
        <v>5</v>
      </c>
      <c r="L24" s="68">
        <v>5</v>
      </c>
      <c r="M24" s="68">
        <v>8</v>
      </c>
      <c r="N24" s="68">
        <v>5</v>
      </c>
      <c r="O24" s="68"/>
      <c r="P24" s="68"/>
      <c r="Q24" s="68"/>
      <c r="R24" s="68"/>
      <c r="S24" s="121">
        <v>18</v>
      </c>
      <c r="T24" s="73" t="s">
        <v>401</v>
      </c>
      <c r="U24" s="35" t="s">
        <v>459</v>
      </c>
      <c r="V24" s="170" t="s">
        <v>534</v>
      </c>
      <c r="W24" s="178" t="s">
        <v>535</v>
      </c>
    </row>
    <row r="25" spans="2:23" ht="38.5" customHeight="1">
      <c r="B25" s="313"/>
      <c r="C25" s="2" t="s">
        <v>70</v>
      </c>
      <c r="D25" s="16" t="s">
        <v>68</v>
      </c>
      <c r="E25" s="8">
        <v>11</v>
      </c>
      <c r="F25" s="8">
        <v>6</v>
      </c>
      <c r="G25" s="8">
        <v>8</v>
      </c>
      <c r="H25" s="8">
        <v>9</v>
      </c>
      <c r="I25" s="8"/>
      <c r="J25" s="8">
        <v>5</v>
      </c>
      <c r="K25" s="8">
        <v>5</v>
      </c>
      <c r="L25" s="8">
        <v>5</v>
      </c>
      <c r="M25" s="8"/>
      <c r="N25" s="8"/>
      <c r="O25" s="8">
        <v>9</v>
      </c>
      <c r="P25" s="7"/>
      <c r="Q25" s="7"/>
      <c r="R25" s="7"/>
      <c r="S25" s="119">
        <v>19</v>
      </c>
      <c r="T25" s="32" t="s">
        <v>273</v>
      </c>
      <c r="U25" s="35" t="s">
        <v>462</v>
      </c>
      <c r="V25" s="216" t="s">
        <v>462</v>
      </c>
      <c r="W25" s="178" t="s">
        <v>545</v>
      </c>
    </row>
    <row r="26" spans="2:23" ht="38.5" customHeight="1" thickBot="1">
      <c r="B26" s="327"/>
      <c r="C26" s="51" t="s">
        <v>402</v>
      </c>
      <c r="D26" s="51" t="s">
        <v>72</v>
      </c>
      <c r="E26" s="36">
        <v>11</v>
      </c>
      <c r="F26" s="36">
        <v>6</v>
      </c>
      <c r="G26" s="36">
        <v>8</v>
      </c>
      <c r="H26" s="36">
        <v>9</v>
      </c>
      <c r="I26" s="36"/>
      <c r="J26" s="36">
        <v>5</v>
      </c>
      <c r="K26" s="36">
        <v>5</v>
      </c>
      <c r="L26" s="36">
        <v>5</v>
      </c>
      <c r="M26" s="36"/>
      <c r="N26" s="36"/>
      <c r="O26" s="36">
        <v>9</v>
      </c>
      <c r="P26" s="37"/>
      <c r="Q26" s="37"/>
      <c r="R26" s="37"/>
      <c r="S26" s="123">
        <v>20</v>
      </c>
      <c r="T26" s="44" t="s">
        <v>636</v>
      </c>
      <c r="U26" s="35" t="s">
        <v>462</v>
      </c>
      <c r="V26" s="216" t="s">
        <v>462</v>
      </c>
      <c r="W26" s="178" t="s">
        <v>546</v>
      </c>
    </row>
    <row r="27" spans="2:23" ht="38.5" customHeight="1">
      <c r="B27" s="312" t="s">
        <v>9</v>
      </c>
      <c r="C27" s="149" t="s">
        <v>98</v>
      </c>
      <c r="D27" s="103" t="s">
        <v>35</v>
      </c>
      <c r="E27" s="67">
        <v>11</v>
      </c>
      <c r="F27" s="67">
        <v>6</v>
      </c>
      <c r="G27" s="67">
        <v>8</v>
      </c>
      <c r="H27" s="67">
        <v>9</v>
      </c>
      <c r="I27" s="67">
        <v>10</v>
      </c>
      <c r="J27" s="67">
        <v>5</v>
      </c>
      <c r="K27" s="67">
        <v>5</v>
      </c>
      <c r="L27" s="67">
        <v>5</v>
      </c>
      <c r="M27" s="67">
        <v>8</v>
      </c>
      <c r="N27" s="67">
        <v>5</v>
      </c>
      <c r="O27" s="67">
        <v>9</v>
      </c>
      <c r="P27" s="67">
        <v>4</v>
      </c>
      <c r="Q27" s="67">
        <v>7</v>
      </c>
      <c r="R27" s="67">
        <v>4</v>
      </c>
      <c r="S27" s="121">
        <v>21</v>
      </c>
      <c r="T27" s="113" t="s">
        <v>502</v>
      </c>
      <c r="U27" s="35" t="s">
        <v>472</v>
      </c>
      <c r="V27" s="170" t="s">
        <v>503</v>
      </c>
      <c r="W27" s="177" t="s">
        <v>504</v>
      </c>
    </row>
    <row r="28" spans="2:23" ht="38.5" customHeight="1">
      <c r="B28" s="313"/>
      <c r="C28" s="3" t="s">
        <v>100</v>
      </c>
      <c r="D28" s="4" t="s">
        <v>101</v>
      </c>
      <c r="E28" s="61">
        <v>11</v>
      </c>
      <c r="F28" s="61">
        <v>6</v>
      </c>
      <c r="G28" s="61">
        <v>8</v>
      </c>
      <c r="H28" s="61">
        <v>9</v>
      </c>
      <c r="I28" s="61">
        <v>10</v>
      </c>
      <c r="J28" s="61">
        <v>5</v>
      </c>
      <c r="K28" s="61">
        <v>5</v>
      </c>
      <c r="L28" s="61">
        <v>5</v>
      </c>
      <c r="M28" s="61">
        <v>8</v>
      </c>
      <c r="N28" s="61">
        <v>5</v>
      </c>
      <c r="O28" s="61">
        <v>9</v>
      </c>
      <c r="P28" s="61">
        <v>4</v>
      </c>
      <c r="Q28" s="61">
        <v>7</v>
      </c>
      <c r="R28" s="61">
        <v>4</v>
      </c>
      <c r="S28" s="119">
        <v>22</v>
      </c>
      <c r="T28" s="110" t="s">
        <v>276</v>
      </c>
      <c r="U28" s="35" t="s">
        <v>462</v>
      </c>
      <c r="V28" t="s">
        <v>462</v>
      </c>
      <c r="W28" s="178" t="s">
        <v>641</v>
      </c>
    </row>
    <row r="29" spans="2:23" ht="38.5" customHeight="1">
      <c r="B29" s="313"/>
      <c r="C29" s="62" t="s">
        <v>102</v>
      </c>
      <c r="D29" s="3" t="s">
        <v>34</v>
      </c>
      <c r="E29" s="8">
        <v>11</v>
      </c>
      <c r="F29" s="61">
        <v>6</v>
      </c>
      <c r="G29" s="8">
        <v>8</v>
      </c>
      <c r="H29" s="8">
        <v>9</v>
      </c>
      <c r="I29" s="8">
        <v>10</v>
      </c>
      <c r="J29" s="8">
        <v>5</v>
      </c>
      <c r="K29" s="8">
        <v>5</v>
      </c>
      <c r="L29" s="8">
        <v>5</v>
      </c>
      <c r="M29" s="8">
        <v>8</v>
      </c>
      <c r="N29" s="8">
        <v>5</v>
      </c>
      <c r="O29" s="8">
        <v>9</v>
      </c>
      <c r="P29" s="8">
        <v>4</v>
      </c>
      <c r="Q29" s="8">
        <v>7</v>
      </c>
      <c r="R29" s="8">
        <v>4</v>
      </c>
      <c r="S29" s="104">
        <v>23</v>
      </c>
      <c r="T29" s="32" t="s">
        <v>505</v>
      </c>
      <c r="U29" s="35" t="s">
        <v>462</v>
      </c>
      <c r="V29" t="s">
        <v>506</v>
      </c>
      <c r="W29" s="178" t="s">
        <v>507</v>
      </c>
    </row>
    <row r="30" spans="2:23" ht="38.5" customHeight="1">
      <c r="B30" s="313"/>
      <c r="C30" s="3" t="s">
        <v>280</v>
      </c>
      <c r="D30" s="3" t="s">
        <v>279</v>
      </c>
      <c r="E30" s="61">
        <v>11</v>
      </c>
      <c r="F30" s="61">
        <v>6</v>
      </c>
      <c r="G30" s="61">
        <v>8</v>
      </c>
      <c r="H30" s="61">
        <v>9</v>
      </c>
      <c r="I30" s="61">
        <v>10</v>
      </c>
      <c r="J30" s="61">
        <v>5</v>
      </c>
      <c r="K30" s="61">
        <v>5</v>
      </c>
      <c r="L30" s="61">
        <v>5</v>
      </c>
      <c r="M30" s="61">
        <v>8</v>
      </c>
      <c r="N30" s="61">
        <v>5</v>
      </c>
      <c r="O30" s="61">
        <v>9</v>
      </c>
      <c r="P30" s="61">
        <v>4</v>
      </c>
      <c r="Q30" s="61">
        <v>7</v>
      </c>
      <c r="R30" s="61">
        <v>4</v>
      </c>
      <c r="S30" s="104">
        <v>24</v>
      </c>
      <c r="T30" s="110" t="s">
        <v>404</v>
      </c>
      <c r="U30" s="35" t="s">
        <v>461</v>
      </c>
      <c r="V30" s="170" t="s">
        <v>508</v>
      </c>
      <c r="W30" s="177" t="s">
        <v>509</v>
      </c>
    </row>
    <row r="31" spans="2:23" ht="38.5" customHeight="1">
      <c r="B31" s="313"/>
      <c r="C31" s="105" t="s">
        <v>99</v>
      </c>
      <c r="D31" s="62" t="s">
        <v>88</v>
      </c>
      <c r="E31" s="8">
        <v>11</v>
      </c>
      <c r="F31" s="61">
        <v>6</v>
      </c>
      <c r="G31" s="8">
        <v>8</v>
      </c>
      <c r="H31" s="8">
        <v>9</v>
      </c>
      <c r="I31" s="8">
        <v>10</v>
      </c>
      <c r="J31" s="8">
        <v>5</v>
      </c>
      <c r="K31" s="8">
        <v>5</v>
      </c>
      <c r="L31" s="8">
        <v>5</v>
      </c>
      <c r="M31" s="8">
        <v>8</v>
      </c>
      <c r="N31" s="8">
        <v>5</v>
      </c>
      <c r="O31" s="8">
        <v>9</v>
      </c>
      <c r="P31" s="8">
        <v>4</v>
      </c>
      <c r="Q31" s="8">
        <v>7</v>
      </c>
      <c r="R31" s="8">
        <v>4</v>
      </c>
      <c r="S31" s="104">
        <v>25</v>
      </c>
      <c r="T31" s="32" t="s">
        <v>326</v>
      </c>
      <c r="U31" s="35" t="s">
        <v>457</v>
      </c>
      <c r="V31" s="171" t="s">
        <v>510</v>
      </c>
      <c r="W31" s="177" t="s">
        <v>565</v>
      </c>
    </row>
    <row r="32" spans="2:23" ht="38.5" customHeight="1" thickBot="1">
      <c r="B32" s="327"/>
      <c r="C32" s="63" t="s">
        <v>107</v>
      </c>
      <c r="D32" s="49" t="s">
        <v>37</v>
      </c>
      <c r="E32" s="36">
        <v>11</v>
      </c>
      <c r="F32" s="46">
        <v>6</v>
      </c>
      <c r="G32" s="36">
        <v>8</v>
      </c>
      <c r="H32" s="36">
        <v>9</v>
      </c>
      <c r="I32" s="36">
        <v>10</v>
      </c>
      <c r="J32" s="36">
        <v>5</v>
      </c>
      <c r="K32" s="36">
        <v>5</v>
      </c>
      <c r="L32" s="36">
        <v>5</v>
      </c>
      <c r="M32" s="36">
        <v>8</v>
      </c>
      <c r="N32" s="36">
        <v>5</v>
      </c>
      <c r="O32" s="36">
        <v>9</v>
      </c>
      <c r="P32" s="37"/>
      <c r="Q32" s="37"/>
      <c r="R32" s="37"/>
      <c r="S32" s="123">
        <v>26</v>
      </c>
      <c r="T32" s="150" t="s">
        <v>405</v>
      </c>
      <c r="U32" s="35" t="s">
        <v>457</v>
      </c>
      <c r="V32" s="171" t="s">
        <v>511</v>
      </c>
      <c r="W32" s="177" t="s">
        <v>639</v>
      </c>
    </row>
    <row r="33" spans="2:25" ht="38.5" customHeight="1">
      <c r="B33" s="312" t="s">
        <v>119</v>
      </c>
      <c r="C33" s="102" t="s">
        <v>282</v>
      </c>
      <c r="D33" s="103" t="s">
        <v>1</v>
      </c>
      <c r="E33" s="68">
        <v>11</v>
      </c>
      <c r="F33" s="68">
        <v>6</v>
      </c>
      <c r="G33" s="68">
        <v>8</v>
      </c>
      <c r="H33" s="68"/>
      <c r="I33" s="66"/>
      <c r="J33" s="66"/>
      <c r="K33" s="66"/>
      <c r="L33" s="66"/>
      <c r="M33" s="66"/>
      <c r="N33" s="66"/>
      <c r="O33" s="68">
        <v>9</v>
      </c>
      <c r="P33" s="66"/>
      <c r="Q33" s="66"/>
      <c r="R33" s="66"/>
      <c r="S33" s="121">
        <v>27</v>
      </c>
      <c r="T33" s="73" t="s">
        <v>406</v>
      </c>
      <c r="U33" s="35" t="s">
        <v>462</v>
      </c>
      <c r="V33" s="170" t="s">
        <v>506</v>
      </c>
      <c r="W33" s="178" t="s">
        <v>514</v>
      </c>
    </row>
    <row r="34" spans="2:25" ht="38.5" customHeight="1">
      <c r="B34" s="313"/>
      <c r="C34" s="62" t="s">
        <v>24</v>
      </c>
      <c r="D34" s="4" t="s">
        <v>39</v>
      </c>
      <c r="E34" s="8">
        <v>11</v>
      </c>
      <c r="F34" s="8">
        <v>6</v>
      </c>
      <c r="G34" s="8">
        <v>8</v>
      </c>
      <c r="H34" s="7"/>
      <c r="I34" s="7"/>
      <c r="J34" s="7"/>
      <c r="K34" s="7"/>
      <c r="L34" s="7"/>
      <c r="M34" s="7"/>
      <c r="N34" s="7"/>
      <c r="O34" s="8">
        <v>9</v>
      </c>
      <c r="P34" s="7"/>
      <c r="Q34" s="7"/>
      <c r="R34" s="7"/>
      <c r="S34" s="119">
        <v>28</v>
      </c>
      <c r="T34" s="32" t="s">
        <v>512</v>
      </c>
      <c r="U34" s="35" t="s">
        <v>462</v>
      </c>
      <c r="V34" s="170" t="s">
        <v>506</v>
      </c>
      <c r="W34" s="178" t="s">
        <v>513</v>
      </c>
    </row>
    <row r="35" spans="2:25" ht="38.5" customHeight="1">
      <c r="B35" s="313"/>
      <c r="C35" s="62" t="s">
        <v>3</v>
      </c>
      <c r="D35" s="4" t="s">
        <v>1</v>
      </c>
      <c r="E35" s="8">
        <v>11</v>
      </c>
      <c r="F35" s="8">
        <v>6</v>
      </c>
      <c r="G35" s="8">
        <v>8</v>
      </c>
      <c r="H35" s="8"/>
      <c r="I35" s="8"/>
      <c r="J35" s="8"/>
      <c r="K35" s="8"/>
      <c r="L35" s="8"/>
      <c r="M35" s="8"/>
      <c r="N35" s="8"/>
      <c r="O35" s="8">
        <v>9</v>
      </c>
      <c r="P35" s="8"/>
      <c r="Q35" s="8"/>
      <c r="R35" s="8"/>
      <c r="S35" s="119">
        <v>29</v>
      </c>
      <c r="T35" s="32" t="s">
        <v>283</v>
      </c>
      <c r="U35" s="35" t="s">
        <v>462</v>
      </c>
      <c r="V35" s="179" t="s">
        <v>462</v>
      </c>
      <c r="W35" s="177" t="s">
        <v>516</v>
      </c>
    </row>
    <row r="36" spans="2:25" ht="38.5" customHeight="1">
      <c r="B36" s="313"/>
      <c r="C36" s="62" t="s">
        <v>25</v>
      </c>
      <c r="D36" s="4" t="s">
        <v>39</v>
      </c>
      <c r="E36" s="8">
        <v>11</v>
      </c>
      <c r="F36" s="8">
        <v>6</v>
      </c>
      <c r="G36" s="8">
        <v>8</v>
      </c>
      <c r="H36" s="8"/>
      <c r="I36" s="8"/>
      <c r="J36" s="8"/>
      <c r="K36" s="8"/>
      <c r="L36" s="8"/>
      <c r="M36" s="8"/>
      <c r="N36" s="8"/>
      <c r="O36" s="8">
        <v>9</v>
      </c>
      <c r="P36" s="8"/>
      <c r="Q36" s="8"/>
      <c r="R36" s="8"/>
      <c r="S36" s="119">
        <v>30</v>
      </c>
      <c r="T36" s="32" t="s">
        <v>284</v>
      </c>
      <c r="U36" s="35" t="s">
        <v>457</v>
      </c>
      <c r="V36" s="173" t="s">
        <v>515</v>
      </c>
      <c r="W36" s="177" t="s">
        <v>516</v>
      </c>
    </row>
    <row r="37" spans="2:25" ht="38.5" customHeight="1">
      <c r="B37" s="313"/>
      <c r="C37" s="62" t="s">
        <v>4</v>
      </c>
      <c r="D37" s="4" t="s">
        <v>1</v>
      </c>
      <c r="E37" s="8">
        <v>11</v>
      </c>
      <c r="F37" s="8">
        <v>6</v>
      </c>
      <c r="G37" s="8">
        <v>8</v>
      </c>
      <c r="H37" s="8"/>
      <c r="I37" s="8"/>
      <c r="J37" s="8"/>
      <c r="K37" s="8"/>
      <c r="L37" s="8"/>
      <c r="M37" s="8"/>
      <c r="N37" s="8"/>
      <c r="O37" s="8">
        <v>9</v>
      </c>
      <c r="P37" s="8"/>
      <c r="Q37" s="8"/>
      <c r="R37" s="8"/>
      <c r="S37" s="119">
        <v>31</v>
      </c>
      <c r="T37" s="32" t="s">
        <v>517</v>
      </c>
      <c r="U37" s="35" t="s">
        <v>462</v>
      </c>
      <c r="V37" t="s">
        <v>462</v>
      </c>
      <c r="W37" s="178" t="s">
        <v>518</v>
      </c>
    </row>
    <row r="38" spans="2:25" ht="38.5" customHeight="1">
      <c r="B38" s="327"/>
      <c r="C38" s="63" t="s">
        <v>286</v>
      </c>
      <c r="D38" s="21" t="s">
        <v>1</v>
      </c>
      <c r="E38" s="36">
        <v>11</v>
      </c>
      <c r="F38" s="36">
        <v>6</v>
      </c>
      <c r="G38" s="36">
        <v>8</v>
      </c>
      <c r="H38" s="36"/>
      <c r="I38" s="36"/>
      <c r="J38" s="36"/>
      <c r="K38" s="36"/>
      <c r="L38" s="36"/>
      <c r="M38" s="36"/>
      <c r="N38" s="36"/>
      <c r="O38" s="36">
        <v>9</v>
      </c>
      <c r="P38" s="36"/>
      <c r="Q38" s="36"/>
      <c r="R38" s="36"/>
      <c r="S38" s="123">
        <v>32</v>
      </c>
      <c r="T38" s="44" t="s">
        <v>624</v>
      </c>
      <c r="U38" s="35" t="s">
        <v>457</v>
      </c>
      <c r="V38" t="s">
        <v>515</v>
      </c>
      <c r="W38" s="177" t="s">
        <v>516</v>
      </c>
    </row>
    <row r="39" spans="2:25" ht="38.5" customHeight="1">
      <c r="B39" s="361" t="s">
        <v>334</v>
      </c>
      <c r="C39" s="185" t="s">
        <v>496</v>
      </c>
      <c r="D39" s="186" t="s">
        <v>40</v>
      </c>
      <c r="E39" s="36">
        <v>11</v>
      </c>
      <c r="F39" s="36">
        <v>6</v>
      </c>
      <c r="G39" s="36">
        <v>8</v>
      </c>
      <c r="H39" s="36">
        <v>9</v>
      </c>
      <c r="I39" s="36">
        <v>10</v>
      </c>
      <c r="J39" s="36">
        <v>5</v>
      </c>
      <c r="K39" s="36">
        <v>5</v>
      </c>
      <c r="L39" s="36">
        <v>5</v>
      </c>
      <c r="M39" s="36">
        <v>8</v>
      </c>
      <c r="N39" s="36">
        <v>5</v>
      </c>
      <c r="O39" s="36">
        <v>9</v>
      </c>
      <c r="P39" s="36">
        <v>4</v>
      </c>
      <c r="Q39" s="36">
        <v>7</v>
      </c>
      <c r="R39" s="36">
        <v>4</v>
      </c>
      <c r="S39" s="187">
        <v>17</v>
      </c>
      <c r="T39" s="188" t="s">
        <v>270</v>
      </c>
      <c r="U39" s="35" t="s">
        <v>462</v>
      </c>
      <c r="V39" t="s">
        <v>498</v>
      </c>
      <c r="W39" s="178" t="s">
        <v>497</v>
      </c>
    </row>
    <row r="40" spans="2:25" ht="38.5" customHeight="1">
      <c r="B40" s="362"/>
      <c r="C40" s="190" t="s">
        <v>468</v>
      </c>
      <c r="D40" s="191" t="s">
        <v>106</v>
      </c>
      <c r="E40" s="192">
        <v>11</v>
      </c>
      <c r="F40" s="192">
        <v>6</v>
      </c>
      <c r="G40" s="192">
        <v>8</v>
      </c>
      <c r="H40" s="192">
        <v>9</v>
      </c>
      <c r="I40" s="192">
        <v>10</v>
      </c>
      <c r="J40" s="192">
        <v>5</v>
      </c>
      <c r="K40" s="192">
        <v>5</v>
      </c>
      <c r="L40" s="192">
        <v>5</v>
      </c>
      <c r="M40" s="192">
        <v>8</v>
      </c>
      <c r="N40" s="192">
        <v>5</v>
      </c>
      <c r="O40" s="192">
        <v>9</v>
      </c>
      <c r="P40" s="192">
        <v>4</v>
      </c>
      <c r="Q40" s="192">
        <v>7</v>
      </c>
      <c r="R40" s="192">
        <v>4</v>
      </c>
      <c r="S40" s="193">
        <v>33</v>
      </c>
      <c r="T40" s="45" t="s">
        <v>289</v>
      </c>
      <c r="U40" s="175" t="s">
        <v>457</v>
      </c>
      <c r="V40" s="176" t="s">
        <v>469</v>
      </c>
      <c r="W40" s="177" t="s">
        <v>470</v>
      </c>
    </row>
    <row r="41" spans="2:25" ht="38.5" customHeight="1">
      <c r="B41" s="326"/>
      <c r="C41" s="189" t="s">
        <v>471</v>
      </c>
      <c r="D41" s="181" t="s">
        <v>288</v>
      </c>
      <c r="E41" s="182">
        <v>11</v>
      </c>
      <c r="F41" s="182">
        <v>6</v>
      </c>
      <c r="G41" s="182">
        <v>8</v>
      </c>
      <c r="H41" s="182">
        <v>9</v>
      </c>
      <c r="I41" s="182">
        <v>10</v>
      </c>
      <c r="J41" s="182">
        <v>5</v>
      </c>
      <c r="K41" s="182">
        <v>5</v>
      </c>
      <c r="L41" s="182">
        <v>5</v>
      </c>
      <c r="M41" s="182">
        <v>8</v>
      </c>
      <c r="N41" s="182">
        <v>5</v>
      </c>
      <c r="O41" s="182">
        <v>9</v>
      </c>
      <c r="P41" s="182">
        <v>4</v>
      </c>
      <c r="Q41" s="182">
        <v>7</v>
      </c>
      <c r="R41" s="182">
        <v>4</v>
      </c>
      <c r="S41" s="183">
        <v>34</v>
      </c>
      <c r="T41" s="184" t="s">
        <v>292</v>
      </c>
      <c r="U41" s="194" t="s">
        <v>461</v>
      </c>
      <c r="V41" s="195" t="s">
        <v>627</v>
      </c>
      <c r="W41" s="177" t="s">
        <v>669</v>
      </c>
    </row>
    <row r="42" spans="2:25" s="47" customFormat="1" ht="38.5" customHeight="1">
      <c r="B42" s="360" t="s">
        <v>109</v>
      </c>
      <c r="C42" s="203" t="s">
        <v>95</v>
      </c>
      <c r="D42" s="204" t="s">
        <v>37</v>
      </c>
      <c r="E42" s="205">
        <v>11</v>
      </c>
      <c r="F42" s="205">
        <v>6</v>
      </c>
      <c r="G42" s="205">
        <v>8</v>
      </c>
      <c r="H42" s="205">
        <v>9</v>
      </c>
      <c r="I42" s="205">
        <v>10</v>
      </c>
      <c r="J42" s="205"/>
      <c r="K42" s="205"/>
      <c r="L42" s="205"/>
      <c r="M42" s="205"/>
      <c r="N42" s="205"/>
      <c r="O42" s="205">
        <v>9</v>
      </c>
      <c r="P42" s="205"/>
      <c r="Q42" s="205"/>
      <c r="R42" s="205"/>
      <c r="S42" s="206">
        <v>35</v>
      </c>
      <c r="T42" s="211" t="s">
        <v>536</v>
      </c>
      <c r="U42" s="207" t="s">
        <v>486</v>
      </c>
      <c r="V42" s="214" t="s">
        <v>539</v>
      </c>
      <c r="W42" s="178" t="s">
        <v>541</v>
      </c>
    </row>
    <row r="43" spans="2:25" ht="38.5" customHeight="1">
      <c r="B43" s="360"/>
      <c r="C43" s="208" t="s">
        <v>408</v>
      </c>
      <c r="D43" s="209" t="s">
        <v>39</v>
      </c>
      <c r="E43" s="205">
        <v>11</v>
      </c>
      <c r="F43" s="205">
        <v>6</v>
      </c>
      <c r="G43" s="205">
        <v>8</v>
      </c>
      <c r="H43" s="205">
        <v>9</v>
      </c>
      <c r="I43" s="205">
        <v>10</v>
      </c>
      <c r="J43" s="205"/>
      <c r="K43" s="205"/>
      <c r="L43" s="205"/>
      <c r="M43" s="205"/>
      <c r="N43" s="205"/>
      <c r="O43" s="205">
        <v>9</v>
      </c>
      <c r="P43" s="210"/>
      <c r="Q43" s="210"/>
      <c r="R43" s="210"/>
      <c r="S43" s="206">
        <v>36</v>
      </c>
      <c r="T43" s="211" t="s">
        <v>537</v>
      </c>
      <c r="U43" s="207" t="s">
        <v>538</v>
      </c>
      <c r="V43" s="215" t="s">
        <v>540</v>
      </c>
      <c r="W43" s="178" t="s">
        <v>541</v>
      </c>
    </row>
    <row r="44" spans="2:25" ht="38.5" customHeight="1">
      <c r="B44" s="360"/>
      <c r="C44" s="208" t="s">
        <v>64</v>
      </c>
      <c r="D44" s="212" t="s">
        <v>38</v>
      </c>
      <c r="E44" s="205">
        <v>11</v>
      </c>
      <c r="F44" s="205">
        <v>6</v>
      </c>
      <c r="G44" s="205">
        <v>8</v>
      </c>
      <c r="H44" s="205">
        <v>9</v>
      </c>
      <c r="I44" s="205">
        <v>10</v>
      </c>
      <c r="J44" s="205"/>
      <c r="K44" s="205"/>
      <c r="L44" s="205"/>
      <c r="M44" s="205"/>
      <c r="N44" s="205"/>
      <c r="O44" s="205">
        <v>9</v>
      </c>
      <c r="P44" s="210"/>
      <c r="Q44" s="210"/>
      <c r="R44" s="210"/>
      <c r="S44" s="213">
        <v>37</v>
      </c>
      <c r="T44" s="211" t="s">
        <v>325</v>
      </c>
      <c r="U44" s="207" t="s">
        <v>457</v>
      </c>
      <c r="V44" s="210" t="s">
        <v>542</v>
      </c>
      <c r="W44" s="215" t="s">
        <v>542</v>
      </c>
      <c r="X44" s="210"/>
      <c r="Y44" s="210"/>
    </row>
    <row r="45" spans="2:25" ht="38.5" customHeight="1">
      <c r="B45" s="363" t="s">
        <v>112</v>
      </c>
      <c r="C45" s="190" t="s">
        <v>525</v>
      </c>
      <c r="D45" s="201" t="s">
        <v>526</v>
      </c>
      <c r="E45" s="192"/>
      <c r="F45" s="192"/>
      <c r="G45" s="192"/>
      <c r="H45" s="192"/>
      <c r="I45" s="192"/>
      <c r="J45" s="192"/>
      <c r="K45" s="192"/>
      <c r="L45" s="192"/>
      <c r="M45" s="192"/>
      <c r="N45" s="192"/>
      <c r="O45" s="192"/>
      <c r="S45" s="202">
        <v>68</v>
      </c>
      <c r="T45" s="45" t="s">
        <v>527</v>
      </c>
      <c r="U45" s="172" t="s">
        <v>528</v>
      </c>
      <c r="V45" s="170" t="s">
        <v>530</v>
      </c>
      <c r="W45" s="171" t="s">
        <v>529</v>
      </c>
    </row>
    <row r="46" spans="2:25" ht="38.5" customHeight="1">
      <c r="B46" s="364"/>
      <c r="C46" s="196" t="s">
        <v>327</v>
      </c>
      <c r="D46" s="197" t="s">
        <v>39</v>
      </c>
      <c r="E46" s="198">
        <v>11</v>
      </c>
      <c r="F46" s="199">
        <v>6</v>
      </c>
      <c r="G46" s="198"/>
      <c r="H46" s="200"/>
      <c r="I46" s="200"/>
      <c r="J46" s="200"/>
      <c r="K46" s="200"/>
      <c r="L46" s="200"/>
      <c r="M46" s="200"/>
      <c r="N46" s="200"/>
      <c r="O46" s="198">
        <v>9</v>
      </c>
      <c r="P46" s="200"/>
      <c r="Q46" s="200"/>
      <c r="R46" s="200"/>
      <c r="S46" s="168">
        <v>38</v>
      </c>
      <c r="T46" s="169" t="s">
        <v>328</v>
      </c>
      <c r="U46" s="35" t="s">
        <v>462</v>
      </c>
      <c r="V46" s="179" t="s">
        <v>462</v>
      </c>
      <c r="W46" s="178" t="s">
        <v>532</v>
      </c>
    </row>
    <row r="47" spans="2:25" ht="38.5" customHeight="1">
      <c r="B47" s="364"/>
      <c r="C47" s="62" t="s">
        <v>6</v>
      </c>
      <c r="D47" s="3" t="s">
        <v>5</v>
      </c>
      <c r="E47" s="8">
        <v>11</v>
      </c>
      <c r="F47" s="61">
        <v>6</v>
      </c>
      <c r="G47" s="8"/>
      <c r="H47" s="7"/>
      <c r="I47" s="7"/>
      <c r="J47" s="7"/>
      <c r="K47" s="7"/>
      <c r="L47" s="7"/>
      <c r="M47" s="7"/>
      <c r="N47" s="7"/>
      <c r="O47" s="8">
        <v>9</v>
      </c>
      <c r="P47" s="7"/>
      <c r="Q47" s="7"/>
      <c r="R47" s="7"/>
      <c r="S47" s="119">
        <v>39</v>
      </c>
      <c r="T47" s="32" t="s">
        <v>330</v>
      </c>
      <c r="U47" s="35" t="s">
        <v>459</v>
      </c>
      <c r="V47" s="179" t="s">
        <v>631</v>
      </c>
      <c r="W47" s="178" t="s">
        <v>533</v>
      </c>
    </row>
    <row r="48" spans="2:25" ht="38.5" customHeight="1">
      <c r="B48" s="364"/>
      <c r="C48" s="62" t="s">
        <v>11</v>
      </c>
      <c r="D48" s="4" t="s">
        <v>39</v>
      </c>
      <c r="E48" s="8">
        <v>11</v>
      </c>
      <c r="F48" s="61">
        <v>6</v>
      </c>
      <c r="G48" s="8"/>
      <c r="H48" s="7"/>
      <c r="I48" s="7"/>
      <c r="J48" s="7"/>
      <c r="K48" s="7"/>
      <c r="L48" s="7"/>
      <c r="M48" s="7"/>
      <c r="N48" s="7"/>
      <c r="O48" s="8">
        <v>9</v>
      </c>
      <c r="P48" s="7"/>
      <c r="Q48" s="7"/>
      <c r="R48" s="7"/>
      <c r="S48" s="119">
        <v>40</v>
      </c>
      <c r="T48" s="32" t="s">
        <v>531</v>
      </c>
      <c r="U48" s="35" t="s">
        <v>462</v>
      </c>
      <c r="V48" s="179" t="s">
        <v>462</v>
      </c>
      <c r="W48" s="178" t="s">
        <v>533</v>
      </c>
    </row>
    <row r="49" spans="2:23" ht="38.5" customHeight="1">
      <c r="B49" s="364"/>
      <c r="C49" s="62" t="s">
        <v>14</v>
      </c>
      <c r="D49" s="324" t="s">
        <v>40</v>
      </c>
      <c r="E49" s="8">
        <v>11</v>
      </c>
      <c r="F49" s="61">
        <v>6</v>
      </c>
      <c r="G49" s="8"/>
      <c r="H49" s="8"/>
      <c r="I49" s="8"/>
      <c r="J49" s="8"/>
      <c r="K49" s="8"/>
      <c r="L49" s="8"/>
      <c r="M49" s="8"/>
      <c r="N49" s="8"/>
      <c r="O49" s="8">
        <v>9</v>
      </c>
      <c r="P49" s="7"/>
      <c r="Q49" s="7"/>
      <c r="R49" s="7"/>
      <c r="S49" s="119">
        <v>41</v>
      </c>
      <c r="T49" s="32" t="s">
        <v>332</v>
      </c>
      <c r="U49" s="35" t="s">
        <v>461</v>
      </c>
      <c r="V49" s="173" t="s">
        <v>523</v>
      </c>
      <c r="W49" s="178" t="s">
        <v>524</v>
      </c>
    </row>
    <row r="50" spans="2:23" ht="38.5" customHeight="1" thickBot="1">
      <c r="B50" s="365"/>
      <c r="C50" s="63" t="s">
        <v>409</v>
      </c>
      <c r="D50" s="358"/>
      <c r="E50" s="36">
        <v>11</v>
      </c>
      <c r="F50" s="46">
        <v>6</v>
      </c>
      <c r="G50" s="36"/>
      <c r="H50" s="36"/>
      <c r="I50" s="36"/>
      <c r="J50" s="36"/>
      <c r="K50" s="36"/>
      <c r="L50" s="36"/>
      <c r="M50" s="36"/>
      <c r="N50" s="36"/>
      <c r="O50" s="36">
        <v>9</v>
      </c>
      <c r="P50" s="37"/>
      <c r="Q50" s="37"/>
      <c r="R50" s="37"/>
      <c r="S50" s="123">
        <v>42</v>
      </c>
      <c r="T50" s="44" t="s">
        <v>332</v>
      </c>
      <c r="U50" s="35" t="s">
        <v>459</v>
      </c>
      <c r="V50" s="173" t="s">
        <v>523</v>
      </c>
      <c r="W50" s="178" t="s">
        <v>524</v>
      </c>
    </row>
    <row r="51" spans="2:23" ht="51.5" customHeight="1" thickBot="1">
      <c r="B51" s="116" t="s">
        <v>66</v>
      </c>
      <c r="C51" s="93" t="s">
        <v>2</v>
      </c>
      <c r="D51" s="101" t="s">
        <v>43</v>
      </c>
      <c r="E51" s="91">
        <v>11</v>
      </c>
      <c r="F51" s="91">
        <v>6</v>
      </c>
      <c r="G51" s="91">
        <v>8</v>
      </c>
      <c r="H51" s="91">
        <v>9</v>
      </c>
      <c r="I51" s="91">
        <v>10</v>
      </c>
      <c r="J51" s="91">
        <v>5</v>
      </c>
      <c r="K51" s="91">
        <v>5</v>
      </c>
      <c r="L51" s="91">
        <v>5</v>
      </c>
      <c r="M51" s="91">
        <v>8</v>
      </c>
      <c r="N51" s="91">
        <v>5</v>
      </c>
      <c r="O51" s="91">
        <v>9</v>
      </c>
      <c r="P51" s="91">
        <v>4</v>
      </c>
      <c r="Q51" s="91">
        <v>7</v>
      </c>
      <c r="R51" s="91">
        <v>4</v>
      </c>
      <c r="S51" s="122">
        <v>43</v>
      </c>
      <c r="T51" s="99" t="s">
        <v>335</v>
      </c>
      <c r="U51" s="35" t="s">
        <v>457</v>
      </c>
      <c r="V51" s="177" t="s">
        <v>634</v>
      </c>
      <c r="W51" s="178" t="s">
        <v>519</v>
      </c>
    </row>
    <row r="52" spans="2:23" ht="38.5" customHeight="1">
      <c r="B52" s="312" t="s">
        <v>75</v>
      </c>
      <c r="C52" s="102" t="s">
        <v>0</v>
      </c>
      <c r="D52" s="103" t="s">
        <v>400</v>
      </c>
      <c r="E52" s="68">
        <v>11</v>
      </c>
      <c r="F52" s="67">
        <v>6</v>
      </c>
      <c r="G52" s="68">
        <v>8</v>
      </c>
      <c r="H52" s="68">
        <v>9</v>
      </c>
      <c r="I52" s="68">
        <v>10</v>
      </c>
      <c r="J52" s="68">
        <v>5</v>
      </c>
      <c r="K52" s="68">
        <v>5</v>
      </c>
      <c r="L52" s="68">
        <v>5</v>
      </c>
      <c r="M52" s="68">
        <v>8</v>
      </c>
      <c r="N52" s="68">
        <v>5</v>
      </c>
      <c r="O52" s="68">
        <v>9</v>
      </c>
      <c r="P52" s="68">
        <v>4</v>
      </c>
      <c r="Q52" s="68">
        <v>7</v>
      </c>
      <c r="R52" s="68">
        <v>4</v>
      </c>
      <c r="S52" s="121">
        <v>44</v>
      </c>
      <c r="T52" s="73" t="s">
        <v>337</v>
      </c>
      <c r="U52" s="35" t="s">
        <v>462</v>
      </c>
      <c r="V52" s="174" t="s">
        <v>168</v>
      </c>
      <c r="W52" s="177" t="s">
        <v>475</v>
      </c>
    </row>
    <row r="53" spans="2:23" ht="38.5" customHeight="1">
      <c r="B53" s="313"/>
      <c r="C53" s="62" t="s">
        <v>342</v>
      </c>
      <c r="D53" s="4" t="s">
        <v>37</v>
      </c>
      <c r="E53" s="8">
        <v>11</v>
      </c>
      <c r="F53" s="61">
        <v>6</v>
      </c>
      <c r="G53" s="8">
        <v>8</v>
      </c>
      <c r="H53" s="8">
        <v>9</v>
      </c>
      <c r="I53" s="8">
        <v>10</v>
      </c>
      <c r="J53" s="8">
        <v>5</v>
      </c>
      <c r="K53" s="8">
        <v>5</v>
      </c>
      <c r="L53" s="8">
        <v>5</v>
      </c>
      <c r="M53" s="8">
        <v>8</v>
      </c>
      <c r="N53" s="8">
        <v>5</v>
      </c>
      <c r="O53" s="8">
        <v>9</v>
      </c>
      <c r="P53" s="8">
        <v>4</v>
      </c>
      <c r="Q53" s="8">
        <v>7</v>
      </c>
      <c r="R53" s="8">
        <v>4</v>
      </c>
      <c r="S53" s="119">
        <v>45</v>
      </c>
      <c r="T53" s="32" t="s">
        <v>338</v>
      </c>
      <c r="U53" s="35" t="s">
        <v>477</v>
      </c>
      <c r="V53" s="177" t="s">
        <v>473</v>
      </c>
      <c r="W53" s="177" t="s">
        <v>474</v>
      </c>
    </row>
    <row r="54" spans="2:23" ht="38.5" customHeight="1">
      <c r="B54" s="313"/>
      <c r="C54" s="62" t="s">
        <v>340</v>
      </c>
      <c r="D54" s="16" t="s">
        <v>42</v>
      </c>
      <c r="E54" s="8">
        <v>11</v>
      </c>
      <c r="F54" s="61">
        <v>6</v>
      </c>
      <c r="G54" s="8">
        <v>8</v>
      </c>
      <c r="H54" s="8">
        <v>9</v>
      </c>
      <c r="I54" s="8">
        <v>10</v>
      </c>
      <c r="J54" s="8">
        <v>5</v>
      </c>
      <c r="K54" s="8">
        <v>5</v>
      </c>
      <c r="L54" s="8">
        <v>5</v>
      </c>
      <c r="M54" s="8">
        <v>8</v>
      </c>
      <c r="N54" s="8">
        <v>5</v>
      </c>
      <c r="O54" s="8">
        <v>9</v>
      </c>
      <c r="P54" s="8">
        <v>4</v>
      </c>
      <c r="Q54" s="8">
        <v>7</v>
      </c>
      <c r="R54" s="8">
        <v>4</v>
      </c>
      <c r="S54" s="119">
        <v>46</v>
      </c>
      <c r="T54" s="32" t="s">
        <v>339</v>
      </c>
      <c r="U54" s="35" t="s">
        <v>462</v>
      </c>
      <c r="V54" s="174" t="s">
        <v>168</v>
      </c>
      <c r="W54" s="177" t="s">
        <v>476</v>
      </c>
    </row>
    <row r="55" spans="2:23" ht="38.5" customHeight="1">
      <c r="B55" s="313"/>
      <c r="C55" s="62" t="s">
        <v>410</v>
      </c>
      <c r="D55" s="4" t="s">
        <v>341</v>
      </c>
      <c r="E55" s="8">
        <v>11</v>
      </c>
      <c r="F55" s="8">
        <v>6</v>
      </c>
      <c r="G55" s="8">
        <v>8</v>
      </c>
      <c r="H55" s="8">
        <v>9</v>
      </c>
      <c r="I55" s="8">
        <v>10</v>
      </c>
      <c r="J55" s="8">
        <v>5</v>
      </c>
      <c r="K55" s="8">
        <v>5</v>
      </c>
      <c r="L55" s="8">
        <v>5</v>
      </c>
      <c r="M55" s="8">
        <v>8</v>
      </c>
      <c r="N55" s="8">
        <v>5</v>
      </c>
      <c r="O55" s="8">
        <v>9</v>
      </c>
      <c r="P55" s="8">
        <v>4</v>
      </c>
      <c r="Q55" s="8">
        <v>7</v>
      </c>
      <c r="R55" s="8">
        <v>4</v>
      </c>
      <c r="S55" s="119">
        <v>47</v>
      </c>
      <c r="T55" s="32" t="s">
        <v>411</v>
      </c>
      <c r="U55" s="35" t="s">
        <v>477</v>
      </c>
      <c r="V55" s="177" t="s">
        <v>479</v>
      </c>
      <c r="W55" s="177" t="s">
        <v>478</v>
      </c>
    </row>
    <row r="56" spans="2:23" ht="38.5" customHeight="1">
      <c r="B56" s="313"/>
      <c r="C56" s="62" t="s">
        <v>123</v>
      </c>
      <c r="D56" s="324" t="s">
        <v>412</v>
      </c>
      <c r="E56" s="8">
        <v>11</v>
      </c>
      <c r="F56" s="61">
        <v>6</v>
      </c>
      <c r="G56" s="8">
        <v>8</v>
      </c>
      <c r="H56" s="8">
        <v>9</v>
      </c>
      <c r="I56" s="8">
        <v>10</v>
      </c>
      <c r="J56" s="8">
        <v>5</v>
      </c>
      <c r="K56" s="8">
        <v>5</v>
      </c>
      <c r="L56" s="8">
        <v>5</v>
      </c>
      <c r="M56" s="8">
        <v>8</v>
      </c>
      <c r="N56" s="8">
        <v>5</v>
      </c>
      <c r="O56" s="8">
        <v>9</v>
      </c>
      <c r="P56" s="8">
        <v>4</v>
      </c>
      <c r="Q56" s="8">
        <v>7</v>
      </c>
      <c r="R56" s="8">
        <v>4</v>
      </c>
      <c r="S56" s="119">
        <v>48</v>
      </c>
      <c r="T56" s="32" t="s">
        <v>343</v>
      </c>
      <c r="U56" s="35" t="s">
        <v>477</v>
      </c>
      <c r="V56" s="177" t="s">
        <v>481</v>
      </c>
      <c r="W56" s="177" t="s">
        <v>620</v>
      </c>
    </row>
    <row r="57" spans="2:23" ht="38.5" customHeight="1">
      <c r="B57" s="313"/>
      <c r="C57" s="62" t="s">
        <v>413</v>
      </c>
      <c r="D57" s="324"/>
      <c r="E57" s="8">
        <v>11</v>
      </c>
      <c r="F57" s="61">
        <v>6</v>
      </c>
      <c r="G57" s="8">
        <v>8</v>
      </c>
      <c r="H57" s="8">
        <v>9</v>
      </c>
      <c r="I57" s="8">
        <v>10</v>
      </c>
      <c r="J57" s="8">
        <v>5</v>
      </c>
      <c r="K57" s="8">
        <v>5</v>
      </c>
      <c r="L57" s="8">
        <v>5</v>
      </c>
      <c r="M57" s="8">
        <v>8</v>
      </c>
      <c r="N57" s="8">
        <v>5</v>
      </c>
      <c r="O57" s="8">
        <v>9</v>
      </c>
      <c r="P57" s="8">
        <v>4</v>
      </c>
      <c r="Q57" s="8">
        <v>7</v>
      </c>
      <c r="R57" s="8">
        <v>4</v>
      </c>
      <c r="S57" s="119">
        <v>49</v>
      </c>
      <c r="T57" s="32" t="s">
        <v>414</v>
      </c>
      <c r="U57" s="35" t="s">
        <v>472</v>
      </c>
      <c r="V57" s="177" t="s">
        <v>480</v>
      </c>
      <c r="W57" s="177" t="s">
        <v>484</v>
      </c>
    </row>
    <row r="58" spans="2:23" ht="38.5" customHeight="1">
      <c r="B58" s="313"/>
      <c r="C58" s="5" t="s">
        <v>132</v>
      </c>
      <c r="D58" s="324"/>
      <c r="E58" s="8">
        <v>11</v>
      </c>
      <c r="F58" s="61">
        <v>6</v>
      </c>
      <c r="G58" s="8">
        <v>8</v>
      </c>
      <c r="H58" s="8">
        <v>9</v>
      </c>
      <c r="I58" s="8">
        <v>10</v>
      </c>
      <c r="J58" s="8">
        <v>5</v>
      </c>
      <c r="K58" s="8">
        <v>5</v>
      </c>
      <c r="L58" s="8">
        <v>5</v>
      </c>
      <c r="M58" s="8">
        <v>8</v>
      </c>
      <c r="N58" s="8">
        <v>5</v>
      </c>
      <c r="O58" s="8">
        <v>9</v>
      </c>
      <c r="P58" s="8">
        <v>4</v>
      </c>
      <c r="Q58" s="8">
        <v>7</v>
      </c>
      <c r="R58" s="8">
        <v>4</v>
      </c>
      <c r="S58" s="119">
        <v>50</v>
      </c>
      <c r="T58" s="32" t="s">
        <v>344</v>
      </c>
      <c r="U58" s="35" t="s">
        <v>483</v>
      </c>
      <c r="V58" s="177" t="s">
        <v>485</v>
      </c>
      <c r="W58" s="177" t="s">
        <v>483</v>
      </c>
    </row>
    <row r="59" spans="2:23" ht="38.5" customHeight="1" thickBot="1">
      <c r="B59" s="327"/>
      <c r="C59" s="125" t="s">
        <v>124</v>
      </c>
      <c r="D59" s="358"/>
      <c r="E59" s="36">
        <v>11</v>
      </c>
      <c r="F59" s="46">
        <v>6</v>
      </c>
      <c r="G59" s="36">
        <v>8</v>
      </c>
      <c r="H59" s="36">
        <v>9</v>
      </c>
      <c r="I59" s="36">
        <v>10</v>
      </c>
      <c r="J59" s="36">
        <v>5</v>
      </c>
      <c r="K59" s="36">
        <v>5</v>
      </c>
      <c r="L59" s="36">
        <v>5</v>
      </c>
      <c r="M59" s="36">
        <v>8</v>
      </c>
      <c r="N59" s="36">
        <v>5</v>
      </c>
      <c r="O59" s="36">
        <v>9</v>
      </c>
      <c r="P59" s="36">
        <v>4</v>
      </c>
      <c r="Q59" s="36">
        <v>7</v>
      </c>
      <c r="R59" s="36">
        <v>4</v>
      </c>
      <c r="S59" s="123">
        <v>51</v>
      </c>
      <c r="T59" s="44" t="s">
        <v>345</v>
      </c>
      <c r="U59" s="35" t="s">
        <v>472</v>
      </c>
      <c r="V59" s="174" t="s">
        <v>499</v>
      </c>
      <c r="W59" s="177" t="s">
        <v>565</v>
      </c>
    </row>
    <row r="60" spans="2:23" ht="87" customHeight="1">
      <c r="B60" s="312" t="s">
        <v>45</v>
      </c>
      <c r="C60" s="102" t="s">
        <v>392</v>
      </c>
      <c r="D60" s="103" t="s">
        <v>39</v>
      </c>
      <c r="E60" s="68">
        <v>11</v>
      </c>
      <c r="F60" s="68">
        <v>6</v>
      </c>
      <c r="G60" s="68">
        <v>8</v>
      </c>
      <c r="H60" s="68">
        <v>9</v>
      </c>
      <c r="I60" s="68">
        <v>10</v>
      </c>
      <c r="J60" s="68">
        <v>5</v>
      </c>
      <c r="K60" s="68">
        <v>5</v>
      </c>
      <c r="L60" s="68">
        <v>5</v>
      </c>
      <c r="M60" s="68">
        <v>8</v>
      </c>
      <c r="N60" s="68">
        <v>5</v>
      </c>
      <c r="O60" s="68">
        <v>9</v>
      </c>
      <c r="P60" s="68">
        <v>4</v>
      </c>
      <c r="Q60" s="68">
        <v>7</v>
      </c>
      <c r="R60" s="68">
        <v>4</v>
      </c>
      <c r="S60" s="121">
        <v>52</v>
      </c>
      <c r="T60" s="73" t="s">
        <v>547</v>
      </c>
      <c r="U60" s="35" t="s">
        <v>462</v>
      </c>
      <c r="V60" s="177" t="s">
        <v>506</v>
      </c>
      <c r="W60" s="177" t="s">
        <v>676</v>
      </c>
    </row>
    <row r="61" spans="2:23" ht="38.5" customHeight="1">
      <c r="B61" s="313"/>
      <c r="C61" s="167" t="s">
        <v>16</v>
      </c>
      <c r="D61" s="324" t="s">
        <v>5</v>
      </c>
      <c r="E61" s="8">
        <v>11</v>
      </c>
      <c r="F61" s="8">
        <v>6</v>
      </c>
      <c r="G61" s="8">
        <v>8</v>
      </c>
      <c r="H61" s="8">
        <v>9</v>
      </c>
      <c r="I61" s="8">
        <v>10</v>
      </c>
      <c r="J61" s="8">
        <v>5</v>
      </c>
      <c r="K61" s="8">
        <v>5</v>
      </c>
      <c r="L61" s="8">
        <v>5</v>
      </c>
      <c r="M61" s="8">
        <v>8</v>
      </c>
      <c r="N61" s="8">
        <v>5</v>
      </c>
      <c r="O61" s="8">
        <v>9</v>
      </c>
      <c r="P61" s="8">
        <v>4</v>
      </c>
      <c r="Q61" s="8">
        <v>7</v>
      </c>
      <c r="R61" s="8">
        <v>4</v>
      </c>
      <c r="S61" s="119">
        <v>53</v>
      </c>
      <c r="T61" s="32" t="s">
        <v>548</v>
      </c>
      <c r="U61" s="35" t="s">
        <v>462</v>
      </c>
      <c r="V61" s="173" t="s">
        <v>506</v>
      </c>
      <c r="W61" s="178" t="s">
        <v>677</v>
      </c>
    </row>
    <row r="62" spans="2:23" ht="38.5" customHeight="1">
      <c r="B62" s="313"/>
      <c r="C62" s="6" t="s">
        <v>17</v>
      </c>
      <c r="D62" s="324"/>
      <c r="E62" s="8">
        <v>11</v>
      </c>
      <c r="F62" s="8">
        <v>6</v>
      </c>
      <c r="G62" s="8">
        <v>8</v>
      </c>
      <c r="H62" s="8">
        <v>9</v>
      </c>
      <c r="I62" s="8">
        <v>10</v>
      </c>
      <c r="J62" s="8">
        <v>5</v>
      </c>
      <c r="K62" s="8">
        <v>5</v>
      </c>
      <c r="L62" s="8">
        <v>5</v>
      </c>
      <c r="M62" s="8">
        <v>8</v>
      </c>
      <c r="N62" s="8">
        <v>5</v>
      </c>
      <c r="O62" s="8">
        <v>9</v>
      </c>
      <c r="P62" s="8"/>
      <c r="Q62" s="8"/>
      <c r="R62" s="8"/>
      <c r="S62" s="119">
        <v>54</v>
      </c>
      <c r="T62" s="32" t="s">
        <v>549</v>
      </c>
      <c r="U62" s="35" t="s">
        <v>459</v>
      </c>
      <c r="V62" s="177" t="s">
        <v>555</v>
      </c>
      <c r="W62" s="177" t="s">
        <v>482</v>
      </c>
    </row>
    <row r="63" spans="2:23" ht="38.5" customHeight="1">
      <c r="B63" s="313"/>
      <c r="C63" s="6" t="s">
        <v>18</v>
      </c>
      <c r="D63" s="324"/>
      <c r="E63" s="8">
        <v>11</v>
      </c>
      <c r="F63" s="8">
        <v>6</v>
      </c>
      <c r="G63" s="8">
        <v>8</v>
      </c>
      <c r="H63" s="8">
        <v>9</v>
      </c>
      <c r="I63" s="8">
        <v>10</v>
      </c>
      <c r="J63" s="8">
        <v>5</v>
      </c>
      <c r="K63" s="8">
        <v>5</v>
      </c>
      <c r="L63" s="8">
        <v>5</v>
      </c>
      <c r="M63" s="8">
        <v>8</v>
      </c>
      <c r="N63" s="8">
        <v>5</v>
      </c>
      <c r="O63" s="8">
        <v>9</v>
      </c>
      <c r="P63" s="8"/>
      <c r="Q63" s="8"/>
      <c r="R63" s="8"/>
      <c r="S63" s="119">
        <v>55</v>
      </c>
      <c r="T63" s="32" t="s">
        <v>346</v>
      </c>
      <c r="U63" s="35" t="s">
        <v>462</v>
      </c>
      <c r="V63" s="173" t="s">
        <v>506</v>
      </c>
      <c r="W63" s="178" t="s">
        <v>557</v>
      </c>
    </row>
    <row r="64" spans="2:23" ht="38.5" customHeight="1">
      <c r="B64" s="313"/>
      <c r="C64" s="6" t="s">
        <v>115</v>
      </c>
      <c r="D64" s="324"/>
      <c r="E64" s="8">
        <v>11</v>
      </c>
      <c r="F64" s="8">
        <v>6</v>
      </c>
      <c r="G64" s="8">
        <v>8</v>
      </c>
      <c r="H64" s="8">
        <v>9</v>
      </c>
      <c r="I64" s="8">
        <v>10</v>
      </c>
      <c r="J64" s="8">
        <v>5</v>
      </c>
      <c r="K64" s="8">
        <v>5</v>
      </c>
      <c r="L64" s="8">
        <v>5</v>
      </c>
      <c r="M64" s="8">
        <v>8</v>
      </c>
      <c r="N64" s="8">
        <v>5</v>
      </c>
      <c r="O64" s="8">
        <v>9</v>
      </c>
      <c r="P64" s="8">
        <v>4</v>
      </c>
      <c r="Q64" s="8">
        <v>7</v>
      </c>
      <c r="R64" s="8">
        <v>4</v>
      </c>
      <c r="S64" s="119">
        <v>56</v>
      </c>
      <c r="T64" s="32" t="s">
        <v>650</v>
      </c>
      <c r="U64" s="35" t="s">
        <v>462</v>
      </c>
      <c r="V64" s="173" t="s">
        <v>506</v>
      </c>
      <c r="W64" s="178" t="s">
        <v>558</v>
      </c>
    </row>
    <row r="65" spans="2:23" ht="38.5" customHeight="1">
      <c r="B65" s="313"/>
      <c r="C65" s="6" t="s">
        <v>415</v>
      </c>
      <c r="D65" s="16" t="s">
        <v>44</v>
      </c>
      <c r="E65" s="8">
        <v>11</v>
      </c>
      <c r="F65" s="8">
        <v>6</v>
      </c>
      <c r="G65" s="8">
        <v>8</v>
      </c>
      <c r="H65" s="8">
        <v>9</v>
      </c>
      <c r="I65" s="8">
        <v>10</v>
      </c>
      <c r="J65" s="8">
        <v>5</v>
      </c>
      <c r="K65" s="8">
        <v>5</v>
      </c>
      <c r="L65" s="8">
        <v>5</v>
      </c>
      <c r="M65" s="8">
        <v>8</v>
      </c>
      <c r="N65" s="8">
        <v>5</v>
      </c>
      <c r="O65" s="8">
        <v>9</v>
      </c>
      <c r="P65" s="8">
        <v>4</v>
      </c>
      <c r="Q65" s="8">
        <v>7</v>
      </c>
      <c r="R65" s="8">
        <v>4</v>
      </c>
      <c r="S65" s="119">
        <v>47</v>
      </c>
      <c r="T65" s="32" t="s">
        <v>550</v>
      </c>
      <c r="U65" s="35" t="s">
        <v>528</v>
      </c>
      <c r="V65" s="173" t="s">
        <v>559</v>
      </c>
      <c r="W65" s="178" t="s">
        <v>564</v>
      </c>
    </row>
    <row r="66" spans="2:23" ht="38.5" customHeight="1">
      <c r="B66" s="313"/>
      <c r="C66" s="3" t="s">
        <v>114</v>
      </c>
      <c r="D66" s="16" t="s">
        <v>44</v>
      </c>
      <c r="E66" s="8">
        <v>11</v>
      </c>
      <c r="F66" s="8">
        <v>6</v>
      </c>
      <c r="G66" s="8">
        <v>8</v>
      </c>
      <c r="H66" s="8">
        <v>9</v>
      </c>
      <c r="I66" s="8">
        <v>10</v>
      </c>
      <c r="J66" s="8">
        <v>5</v>
      </c>
      <c r="K66" s="8">
        <v>5</v>
      </c>
      <c r="L66" s="8">
        <v>5</v>
      </c>
      <c r="M66" s="8">
        <v>8</v>
      </c>
      <c r="N66" s="8">
        <v>5</v>
      </c>
      <c r="O66" s="8">
        <v>9</v>
      </c>
      <c r="P66" s="8"/>
      <c r="Q66" s="8"/>
      <c r="R66" s="8"/>
      <c r="S66" s="119">
        <v>58</v>
      </c>
      <c r="T66" s="32" t="s">
        <v>551</v>
      </c>
      <c r="U66" s="35" t="s">
        <v>528</v>
      </c>
      <c r="V66" s="173" t="s">
        <v>561</v>
      </c>
      <c r="W66" s="178" t="s">
        <v>566</v>
      </c>
    </row>
    <row r="67" spans="2:23" ht="38.5" customHeight="1">
      <c r="B67" s="313"/>
      <c r="C67" s="3" t="s">
        <v>116</v>
      </c>
      <c r="D67" s="324" t="s">
        <v>81</v>
      </c>
      <c r="E67" s="8">
        <v>11</v>
      </c>
      <c r="F67" s="8">
        <v>6</v>
      </c>
      <c r="G67" s="8">
        <v>8</v>
      </c>
      <c r="H67" s="8">
        <v>9</v>
      </c>
      <c r="I67" s="8">
        <v>10</v>
      </c>
      <c r="J67" s="8">
        <v>5</v>
      </c>
      <c r="K67" s="8">
        <v>5</v>
      </c>
      <c r="L67" s="8">
        <v>5</v>
      </c>
      <c r="M67" s="8">
        <v>8</v>
      </c>
      <c r="N67" s="8">
        <v>5</v>
      </c>
      <c r="O67" s="8">
        <v>9</v>
      </c>
      <c r="P67" s="8"/>
      <c r="Q67" s="8"/>
      <c r="R67" s="8"/>
      <c r="S67" s="119">
        <v>59</v>
      </c>
      <c r="T67" s="32" t="s">
        <v>348</v>
      </c>
      <c r="U67" s="35" t="s">
        <v>528</v>
      </c>
      <c r="V67" s="173" t="s">
        <v>560</v>
      </c>
      <c r="W67" s="178" t="s">
        <v>567</v>
      </c>
    </row>
    <row r="68" spans="2:23" ht="38.5" customHeight="1">
      <c r="B68" s="313"/>
      <c r="C68" s="3" t="s">
        <v>117</v>
      </c>
      <c r="D68" s="324"/>
      <c r="E68" s="8">
        <v>11</v>
      </c>
      <c r="F68" s="8">
        <v>6</v>
      </c>
      <c r="G68" s="8">
        <v>8</v>
      </c>
      <c r="H68" s="8">
        <v>9</v>
      </c>
      <c r="I68" s="8">
        <v>10</v>
      </c>
      <c r="J68" s="8">
        <v>5</v>
      </c>
      <c r="K68" s="8">
        <v>5</v>
      </c>
      <c r="L68" s="8">
        <v>5</v>
      </c>
      <c r="M68" s="8">
        <v>8</v>
      </c>
      <c r="N68" s="8">
        <v>5</v>
      </c>
      <c r="O68" s="8">
        <v>9</v>
      </c>
      <c r="P68" s="8">
        <v>4</v>
      </c>
      <c r="Q68" s="8">
        <v>7</v>
      </c>
      <c r="R68" s="8">
        <v>4</v>
      </c>
      <c r="S68" s="119">
        <v>47</v>
      </c>
      <c r="T68" s="32" t="s">
        <v>350</v>
      </c>
      <c r="U68" s="35" t="s">
        <v>528</v>
      </c>
      <c r="V68" s="173" t="s">
        <v>559</v>
      </c>
      <c r="W68" s="178" t="s">
        <v>568</v>
      </c>
    </row>
    <row r="69" spans="2:23" ht="38.5" customHeight="1">
      <c r="B69" s="313"/>
      <c r="C69" s="3" t="s">
        <v>27</v>
      </c>
      <c r="D69" s="324"/>
      <c r="E69" s="8">
        <v>11</v>
      </c>
      <c r="F69" s="8">
        <v>6</v>
      </c>
      <c r="G69" s="8">
        <v>8</v>
      </c>
      <c r="H69" s="8">
        <v>9</v>
      </c>
      <c r="I69" s="8">
        <v>10</v>
      </c>
      <c r="J69" s="8">
        <v>5</v>
      </c>
      <c r="K69" s="8">
        <v>5</v>
      </c>
      <c r="L69" s="8">
        <v>5</v>
      </c>
      <c r="M69" s="8">
        <v>8</v>
      </c>
      <c r="N69" s="8">
        <v>5</v>
      </c>
      <c r="O69" s="8">
        <v>9</v>
      </c>
      <c r="P69" s="8">
        <v>4</v>
      </c>
      <c r="Q69" s="8">
        <v>7</v>
      </c>
      <c r="R69" s="8">
        <v>4</v>
      </c>
      <c r="S69" s="119">
        <v>47</v>
      </c>
      <c r="T69" s="32" t="s">
        <v>350</v>
      </c>
      <c r="U69" s="35" t="s">
        <v>569</v>
      </c>
      <c r="V69" s="173" t="s">
        <v>570</v>
      </c>
      <c r="W69" s="178" t="s">
        <v>568</v>
      </c>
    </row>
    <row r="70" spans="2:23" ht="38.5" customHeight="1" thickBot="1">
      <c r="B70" s="327"/>
      <c r="C70" s="63" t="s">
        <v>118</v>
      </c>
      <c r="D70" s="358"/>
      <c r="E70" s="36">
        <v>11</v>
      </c>
      <c r="F70" s="36">
        <v>6</v>
      </c>
      <c r="G70" s="36">
        <v>8</v>
      </c>
      <c r="H70" s="36">
        <v>9</v>
      </c>
      <c r="I70" s="36">
        <v>10</v>
      </c>
      <c r="J70" s="36">
        <v>5</v>
      </c>
      <c r="K70" s="36">
        <v>5</v>
      </c>
      <c r="L70" s="36">
        <v>5</v>
      </c>
      <c r="M70" s="36">
        <v>8</v>
      </c>
      <c r="N70" s="36">
        <v>5</v>
      </c>
      <c r="O70" s="36">
        <v>9</v>
      </c>
      <c r="P70" s="36">
        <v>4</v>
      </c>
      <c r="Q70" s="36">
        <v>7</v>
      </c>
      <c r="R70" s="36">
        <v>4</v>
      </c>
      <c r="S70" s="123">
        <v>60</v>
      </c>
      <c r="T70" s="44" t="s">
        <v>351</v>
      </c>
      <c r="U70" s="35" t="s">
        <v>462</v>
      </c>
      <c r="V70" s="173" t="s">
        <v>462</v>
      </c>
      <c r="W70" s="178" t="s">
        <v>562</v>
      </c>
    </row>
    <row r="71" spans="2:23" ht="38.5" customHeight="1" thickBot="1">
      <c r="B71" s="127" t="s">
        <v>67</v>
      </c>
      <c r="C71" s="92" t="s">
        <v>353</v>
      </c>
      <c r="D71" s="100" t="s">
        <v>68</v>
      </c>
      <c r="E71" s="91">
        <v>11</v>
      </c>
      <c r="F71" s="91">
        <v>6</v>
      </c>
      <c r="G71" s="91">
        <v>8</v>
      </c>
      <c r="H71" s="91">
        <v>9</v>
      </c>
      <c r="I71" s="91">
        <v>10</v>
      </c>
      <c r="J71" s="91">
        <v>5</v>
      </c>
      <c r="K71" s="91">
        <v>5</v>
      </c>
      <c r="L71" s="91">
        <v>5</v>
      </c>
      <c r="M71" s="91">
        <v>8</v>
      </c>
      <c r="N71" s="91">
        <v>5</v>
      </c>
      <c r="O71" s="91">
        <v>9</v>
      </c>
      <c r="P71" s="91"/>
      <c r="Q71" s="91"/>
      <c r="R71" s="91"/>
      <c r="S71" s="122">
        <v>61</v>
      </c>
      <c r="T71" s="99" t="s">
        <v>356</v>
      </c>
      <c r="U71" s="35" t="s">
        <v>462</v>
      </c>
      <c r="V71" t="s">
        <v>506</v>
      </c>
      <c r="W71" s="178" t="s">
        <v>543</v>
      </c>
    </row>
    <row r="72" spans="2:23" ht="38.5" customHeight="1" thickBot="1">
      <c r="B72" s="127" t="s">
        <v>79</v>
      </c>
      <c r="C72" s="92" t="s">
        <v>354</v>
      </c>
      <c r="D72" s="92" t="s">
        <v>1</v>
      </c>
      <c r="E72" s="91">
        <v>11</v>
      </c>
      <c r="F72" s="91">
        <v>6</v>
      </c>
      <c r="G72" s="91">
        <v>8</v>
      </c>
      <c r="H72" s="91">
        <v>9</v>
      </c>
      <c r="I72" s="91">
        <v>10</v>
      </c>
      <c r="J72" s="91">
        <v>5</v>
      </c>
      <c r="K72" s="91">
        <v>5</v>
      </c>
      <c r="L72" s="91">
        <v>5</v>
      </c>
      <c r="M72" s="91">
        <v>8</v>
      </c>
      <c r="N72" s="91">
        <v>5</v>
      </c>
      <c r="O72" s="91">
        <v>9</v>
      </c>
      <c r="P72" s="91"/>
      <c r="Q72" s="91"/>
      <c r="R72" s="91"/>
      <c r="S72" s="122">
        <v>62</v>
      </c>
      <c r="T72" s="99" t="s">
        <v>355</v>
      </c>
      <c r="U72" s="35" t="s">
        <v>457</v>
      </c>
      <c r="V72" s="174" t="s">
        <v>520</v>
      </c>
      <c r="W72" s="177" t="s">
        <v>482</v>
      </c>
    </row>
    <row r="73" spans="2:23" ht="38.5" customHeight="1">
      <c r="B73" s="312" t="s">
        <v>73</v>
      </c>
      <c r="C73" s="90" t="s">
        <v>63</v>
      </c>
      <c r="D73" s="90" t="s">
        <v>1</v>
      </c>
      <c r="E73" s="68">
        <v>11</v>
      </c>
      <c r="F73" s="68">
        <v>6</v>
      </c>
      <c r="G73" s="68">
        <v>8</v>
      </c>
      <c r="H73" s="68">
        <v>9</v>
      </c>
      <c r="I73" s="68">
        <v>10</v>
      </c>
      <c r="J73" s="68">
        <v>5</v>
      </c>
      <c r="K73" s="68">
        <v>5</v>
      </c>
      <c r="L73" s="68">
        <v>5</v>
      </c>
      <c r="M73" s="68">
        <v>8</v>
      </c>
      <c r="N73" s="68">
        <v>5</v>
      </c>
      <c r="O73" s="68">
        <v>9</v>
      </c>
      <c r="P73" s="68">
        <v>4</v>
      </c>
      <c r="Q73" s="68">
        <v>7</v>
      </c>
      <c r="R73" s="68">
        <v>4</v>
      </c>
      <c r="S73" s="121">
        <v>48</v>
      </c>
      <c r="T73" s="73" t="s">
        <v>358</v>
      </c>
      <c r="U73" s="35" t="s">
        <v>457</v>
      </c>
      <c r="V73" s="174" t="s">
        <v>520</v>
      </c>
      <c r="W73" s="177" t="s">
        <v>482</v>
      </c>
    </row>
    <row r="74" spans="2:23" ht="38.5" customHeight="1" thickBot="1">
      <c r="B74" s="314"/>
      <c r="C74" s="115" t="s">
        <v>26</v>
      </c>
      <c r="D74" s="115" t="s">
        <v>31</v>
      </c>
      <c r="E74" s="75">
        <v>11</v>
      </c>
      <c r="F74" s="75">
        <v>6</v>
      </c>
      <c r="G74" s="75">
        <v>8</v>
      </c>
      <c r="H74" s="75">
        <v>9</v>
      </c>
      <c r="I74" s="75">
        <v>10</v>
      </c>
      <c r="J74" s="75">
        <v>5</v>
      </c>
      <c r="K74" s="75">
        <v>5</v>
      </c>
      <c r="L74" s="75">
        <v>5</v>
      </c>
      <c r="M74" s="75">
        <v>8</v>
      </c>
      <c r="N74" s="75">
        <v>5</v>
      </c>
      <c r="O74" s="75">
        <v>9</v>
      </c>
      <c r="P74" s="75">
        <v>4</v>
      </c>
      <c r="Q74" s="75">
        <v>7</v>
      </c>
      <c r="R74" s="75">
        <v>4</v>
      </c>
      <c r="S74" s="120">
        <v>45</v>
      </c>
      <c r="T74" s="78" t="s">
        <v>359</v>
      </c>
      <c r="U74" s="35" t="s">
        <v>457</v>
      </c>
      <c r="V74" t="s">
        <v>521</v>
      </c>
      <c r="W74" s="173" t="s">
        <v>521</v>
      </c>
    </row>
  </sheetData>
  <mergeCells count="32">
    <mergeCell ref="B1:C1"/>
    <mergeCell ref="B2:D2"/>
    <mergeCell ref="E2:R2"/>
    <mergeCell ref="B3:B6"/>
    <mergeCell ref="C3:C6"/>
    <mergeCell ref="D3:D6"/>
    <mergeCell ref="E3:G3"/>
    <mergeCell ref="H3:N3"/>
    <mergeCell ref="Q3:R3"/>
    <mergeCell ref="E5:R5"/>
    <mergeCell ref="B60:B70"/>
    <mergeCell ref="D61:D64"/>
    <mergeCell ref="D67:D70"/>
    <mergeCell ref="B73:B74"/>
    <mergeCell ref="V5:V6"/>
    <mergeCell ref="B33:B38"/>
    <mergeCell ref="B42:B44"/>
    <mergeCell ref="D49:D50"/>
    <mergeCell ref="B52:B59"/>
    <mergeCell ref="D56:D59"/>
    <mergeCell ref="B39:B41"/>
    <mergeCell ref="B45:B50"/>
    <mergeCell ref="B7:B13"/>
    <mergeCell ref="B15:B23"/>
    <mergeCell ref="B24:B26"/>
    <mergeCell ref="B27:B32"/>
    <mergeCell ref="W5:W6"/>
    <mergeCell ref="U5:U6"/>
    <mergeCell ref="S3:W4"/>
    <mergeCell ref="S2:W2"/>
    <mergeCell ref="S5:S6"/>
    <mergeCell ref="T5:T6"/>
  </mergeCells>
  <phoneticPr fontId="18" type="noConversion"/>
  <pageMargins left="0.7" right="0.7" top="0.75" bottom="0.75"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B4733-15D5-4CF0-9CA3-DFE073ED8BD5}">
  <dimension ref="B1:AG118"/>
  <sheetViews>
    <sheetView topLeftCell="A22" zoomScale="70" zoomScaleNormal="70" workbookViewId="0">
      <selection activeCell="D28" sqref="D28"/>
    </sheetView>
  </sheetViews>
  <sheetFormatPr baseColWidth="10" defaultColWidth="8.83203125" defaultRowHeight="15"/>
  <cols>
    <col min="2" max="2" width="21.6640625" style="29" customWidth="1"/>
    <col min="3" max="3" width="20.33203125" style="1" customWidth="1"/>
    <col min="4" max="4" width="52.33203125" style="1" customWidth="1"/>
    <col min="5" max="6" width="13.6640625" style="1" customWidth="1"/>
    <col min="7" max="7" width="21" style="1" customWidth="1"/>
    <col min="8" max="8" width="19.6640625" customWidth="1"/>
    <col min="9" max="9" width="18.1640625" style="60" customWidth="1"/>
    <col min="10" max="17" width="18.1640625" customWidth="1"/>
    <col min="18" max="18" width="21.1640625" customWidth="1"/>
    <col min="19" max="21" width="18.1640625" customWidth="1"/>
    <col min="22" max="22" width="20.33203125" style="35" customWidth="1"/>
    <col min="23" max="23" width="30.33203125" style="1" customWidth="1"/>
    <col min="24" max="25" width="16.5" style="20" customWidth="1"/>
    <col min="26" max="26" width="37.5" style="1" customWidth="1"/>
    <col min="27" max="27" width="25.33203125" style="20" customWidth="1"/>
    <col min="28" max="28" width="26.6640625" style="20" customWidth="1"/>
    <col min="29" max="29" width="8.5" style="20" customWidth="1"/>
    <col min="30" max="30" width="51.83203125" style="45" customWidth="1"/>
    <col min="31" max="31" width="12" style="35" customWidth="1"/>
    <col min="32" max="32" width="13.33203125" style="153" customWidth="1"/>
    <col min="33" max="33" width="13.33203125" style="35" customWidth="1"/>
  </cols>
  <sheetData>
    <row r="1" spans="2:33" ht="18.5" customHeight="1" thickBot="1">
      <c r="B1" s="298"/>
      <c r="C1" s="298"/>
      <c r="D1" s="298"/>
      <c r="E1" s="20"/>
      <c r="F1" s="20"/>
    </row>
    <row r="2" spans="2:33" ht="52" customHeight="1">
      <c r="B2" s="299" t="s">
        <v>97</v>
      </c>
      <c r="C2" s="300"/>
      <c r="D2" s="300"/>
      <c r="E2" s="300"/>
      <c r="F2" s="300"/>
      <c r="G2" s="301"/>
      <c r="H2" s="302" t="s">
        <v>307</v>
      </c>
      <c r="I2" s="303"/>
      <c r="J2" s="303"/>
      <c r="K2" s="303"/>
      <c r="L2" s="303"/>
      <c r="M2" s="303"/>
      <c r="N2" s="303"/>
      <c r="O2" s="303"/>
      <c r="P2" s="303"/>
      <c r="Q2" s="303"/>
      <c r="R2" s="303"/>
      <c r="S2" s="303"/>
      <c r="T2" s="303"/>
      <c r="U2" s="304"/>
      <c r="V2" s="444" t="s">
        <v>133</v>
      </c>
      <c r="W2" s="445"/>
      <c r="X2" s="445"/>
      <c r="Y2" s="445"/>
      <c r="Z2" s="445"/>
      <c r="AA2" s="445"/>
      <c r="AB2" s="445"/>
      <c r="AC2" s="305" t="s">
        <v>134</v>
      </c>
      <c r="AD2" s="306"/>
      <c r="AE2" s="306"/>
      <c r="AF2" s="306"/>
      <c r="AG2" s="389"/>
    </row>
    <row r="3" spans="2:33" ht="29" customHeight="1">
      <c r="B3" s="307" t="s">
        <v>393</v>
      </c>
      <c r="C3" s="309" t="s">
        <v>294</v>
      </c>
      <c r="D3" s="309" t="s">
        <v>295</v>
      </c>
      <c r="E3" s="425" t="s">
        <v>382</v>
      </c>
      <c r="F3" s="426"/>
      <c r="G3" s="311" t="s">
        <v>28</v>
      </c>
      <c r="H3" s="291" t="s">
        <v>139</v>
      </c>
      <c r="I3" s="292"/>
      <c r="J3" s="293"/>
      <c r="K3" s="294" t="s">
        <v>142</v>
      </c>
      <c r="L3" s="292"/>
      <c r="M3" s="292"/>
      <c r="N3" s="292"/>
      <c r="O3" s="292"/>
      <c r="P3" s="292"/>
      <c r="Q3" s="293"/>
      <c r="R3" s="24" t="s">
        <v>140</v>
      </c>
      <c r="S3" s="24" t="s">
        <v>141</v>
      </c>
      <c r="T3" s="294" t="s">
        <v>380</v>
      </c>
      <c r="U3" s="295"/>
      <c r="V3" s="454" t="s">
        <v>125</v>
      </c>
      <c r="W3" s="452"/>
      <c r="X3" s="452" t="s">
        <v>127</v>
      </c>
      <c r="Y3" s="452"/>
      <c r="Z3" s="452"/>
      <c r="AA3" s="452"/>
      <c r="AB3" s="453"/>
      <c r="AC3" s="296" t="s">
        <v>135</v>
      </c>
      <c r="AD3" s="297"/>
      <c r="AE3" s="390" t="s">
        <v>386</v>
      </c>
      <c r="AF3" s="391"/>
      <c r="AG3" s="392"/>
    </row>
    <row r="4" spans="2:33" ht="142" customHeight="1">
      <c r="B4" s="308"/>
      <c r="C4" s="310"/>
      <c r="D4" s="310"/>
      <c r="E4" s="425" t="s">
        <v>383</v>
      </c>
      <c r="F4" s="426"/>
      <c r="G4" s="311"/>
      <c r="H4" s="79" t="s">
        <v>147</v>
      </c>
      <c r="I4" s="17" t="s">
        <v>148</v>
      </c>
      <c r="J4" s="17" t="s">
        <v>149</v>
      </c>
      <c r="K4" s="17" t="s">
        <v>394</v>
      </c>
      <c r="L4" s="30" t="s">
        <v>146</v>
      </c>
      <c r="M4" s="17" t="s">
        <v>143</v>
      </c>
      <c r="N4" s="17" t="s">
        <v>144</v>
      </c>
      <c r="O4" s="17" t="s">
        <v>145</v>
      </c>
      <c r="P4" s="31" t="s">
        <v>377</v>
      </c>
      <c r="Q4" s="31" t="s">
        <v>378</v>
      </c>
      <c r="R4" s="31" t="s">
        <v>379</v>
      </c>
      <c r="S4" s="31" t="s">
        <v>150</v>
      </c>
      <c r="T4" s="17" t="s">
        <v>381</v>
      </c>
      <c r="U4" s="80" t="s">
        <v>436</v>
      </c>
      <c r="V4" s="454"/>
      <c r="W4" s="452"/>
      <c r="X4" s="452"/>
      <c r="Y4" s="452"/>
      <c r="Z4" s="452"/>
      <c r="AA4" s="452"/>
      <c r="AB4" s="453"/>
      <c r="AC4" s="296"/>
      <c r="AD4" s="297"/>
      <c r="AE4" s="393"/>
      <c r="AF4" s="355"/>
      <c r="AG4" s="394"/>
    </row>
    <row r="5" spans="2:33" ht="20" customHeight="1">
      <c r="B5" s="308"/>
      <c r="C5" s="310"/>
      <c r="D5" s="310"/>
      <c r="E5" s="427"/>
      <c r="F5" s="428"/>
      <c r="G5" s="311"/>
      <c r="H5" s="317" t="s">
        <v>256</v>
      </c>
      <c r="I5" s="318"/>
      <c r="J5" s="318"/>
      <c r="K5" s="318"/>
      <c r="L5" s="318"/>
      <c r="M5" s="318"/>
      <c r="N5" s="318"/>
      <c r="O5" s="318"/>
      <c r="P5" s="318"/>
      <c r="Q5" s="318"/>
      <c r="R5" s="318"/>
      <c r="S5" s="318"/>
      <c r="T5" s="318"/>
      <c r="U5" s="319"/>
      <c r="V5" s="459" t="s">
        <v>131</v>
      </c>
      <c r="W5" s="457" t="s">
        <v>126</v>
      </c>
      <c r="X5" s="457" t="s">
        <v>130</v>
      </c>
      <c r="Y5" s="457" t="s">
        <v>430</v>
      </c>
      <c r="Z5" s="457" t="s">
        <v>137</v>
      </c>
      <c r="AA5" s="457" t="s">
        <v>365</v>
      </c>
      <c r="AB5" s="455" t="s">
        <v>395</v>
      </c>
      <c r="AC5" s="296" t="s">
        <v>349</v>
      </c>
      <c r="AD5" s="315" t="s">
        <v>192</v>
      </c>
      <c r="AE5" s="395" t="s">
        <v>385</v>
      </c>
      <c r="AF5" s="395" t="s">
        <v>396</v>
      </c>
      <c r="AG5" s="397" t="s">
        <v>387</v>
      </c>
    </row>
    <row r="6" spans="2:33" ht="46" customHeight="1">
      <c r="B6" s="308"/>
      <c r="C6" s="310"/>
      <c r="D6" s="310"/>
      <c r="E6" s="427"/>
      <c r="F6" s="428"/>
      <c r="G6" s="311"/>
      <c r="H6" s="81" t="s">
        <v>86</v>
      </c>
      <c r="I6" s="18" t="s">
        <v>86</v>
      </c>
      <c r="J6" s="18" t="s">
        <v>86</v>
      </c>
      <c r="K6" s="18" t="s">
        <v>86</v>
      </c>
      <c r="L6" s="18" t="s">
        <v>86</v>
      </c>
      <c r="M6" s="19" t="s">
        <v>87</v>
      </c>
      <c r="N6" s="19" t="s">
        <v>87</v>
      </c>
      <c r="O6" s="19" t="s">
        <v>87</v>
      </c>
      <c r="P6" s="18" t="s">
        <v>86</v>
      </c>
      <c r="Q6" s="19" t="s">
        <v>87</v>
      </c>
      <c r="R6" s="18" t="s">
        <v>86</v>
      </c>
      <c r="S6" s="19" t="s">
        <v>87</v>
      </c>
      <c r="T6" s="19" t="s">
        <v>87</v>
      </c>
      <c r="U6" s="82" t="s">
        <v>87</v>
      </c>
      <c r="V6" s="460"/>
      <c r="W6" s="458"/>
      <c r="X6" s="458"/>
      <c r="Y6" s="458"/>
      <c r="Z6" s="458"/>
      <c r="AA6" s="458"/>
      <c r="AB6" s="456"/>
      <c r="AC6" s="296"/>
      <c r="AD6" s="315"/>
      <c r="AE6" s="396"/>
      <c r="AF6" s="396"/>
      <c r="AG6" s="397"/>
    </row>
    <row r="7" spans="2:33" ht="46" customHeight="1">
      <c r="B7" s="308"/>
      <c r="C7" s="310"/>
      <c r="D7" s="310"/>
      <c r="E7" s="427"/>
      <c r="F7" s="428"/>
      <c r="G7" s="311"/>
      <c r="H7" s="83">
        <v>3</v>
      </c>
      <c r="I7" s="48">
        <v>3</v>
      </c>
      <c r="J7" s="48">
        <v>3</v>
      </c>
      <c r="K7" s="48">
        <v>3</v>
      </c>
      <c r="L7" s="48">
        <v>3</v>
      </c>
      <c r="M7" s="19">
        <v>2</v>
      </c>
      <c r="N7" s="19">
        <v>2</v>
      </c>
      <c r="O7" s="19">
        <v>2</v>
      </c>
      <c r="P7" s="48">
        <v>3</v>
      </c>
      <c r="Q7" s="19">
        <v>2</v>
      </c>
      <c r="R7" s="48">
        <v>3</v>
      </c>
      <c r="S7" s="19">
        <v>2</v>
      </c>
      <c r="T7" s="19">
        <v>2</v>
      </c>
      <c r="U7" s="82">
        <v>2</v>
      </c>
      <c r="V7" s="460"/>
      <c r="W7" s="458"/>
      <c r="X7" s="458"/>
      <c r="Y7" s="458"/>
      <c r="Z7" s="458"/>
      <c r="AA7" s="458"/>
      <c r="AB7" s="456"/>
      <c r="AC7" s="296"/>
      <c r="AD7" s="315"/>
      <c r="AE7" s="396"/>
      <c r="AF7" s="396"/>
      <c r="AG7" s="397"/>
    </row>
    <row r="8" spans="2:33" ht="17.5" customHeight="1">
      <c r="B8" s="308"/>
      <c r="C8" s="310"/>
      <c r="D8" s="310"/>
      <c r="E8" s="427"/>
      <c r="F8" s="428"/>
      <c r="G8" s="311"/>
      <c r="H8" s="317" t="s">
        <v>254</v>
      </c>
      <c r="I8" s="318"/>
      <c r="J8" s="318"/>
      <c r="K8" s="318"/>
      <c r="L8" s="318"/>
      <c r="M8" s="318"/>
      <c r="N8" s="318"/>
      <c r="O8" s="318"/>
      <c r="P8" s="318"/>
      <c r="Q8" s="318"/>
      <c r="R8" s="318"/>
      <c r="S8" s="318"/>
      <c r="T8" s="318"/>
      <c r="U8" s="319"/>
      <c r="V8" s="460"/>
      <c r="W8" s="458"/>
      <c r="X8" s="458"/>
      <c r="Y8" s="458"/>
      <c r="Z8" s="458"/>
      <c r="AA8" s="458"/>
      <c r="AB8" s="456"/>
      <c r="AC8" s="296"/>
      <c r="AD8" s="315"/>
      <c r="AE8" s="396"/>
      <c r="AF8" s="396"/>
      <c r="AG8" s="397"/>
    </row>
    <row r="9" spans="2:33" ht="17.5" customHeight="1">
      <c r="B9" s="308"/>
      <c r="C9" s="310"/>
      <c r="D9" s="310"/>
      <c r="E9" s="427"/>
      <c r="F9" s="428"/>
      <c r="G9" s="311"/>
      <c r="H9" s="84">
        <v>3687254369</v>
      </c>
      <c r="I9" s="23">
        <v>37253021</v>
      </c>
      <c r="J9" s="23">
        <v>263345702</v>
      </c>
      <c r="K9" s="23">
        <v>85568710</v>
      </c>
      <c r="L9" s="23">
        <v>146652156</v>
      </c>
      <c r="M9" s="23">
        <v>1177832</v>
      </c>
      <c r="N9" s="23">
        <v>7957842</v>
      </c>
      <c r="O9" s="23">
        <v>28653681</v>
      </c>
      <c r="P9" s="23">
        <v>62588080</v>
      </c>
      <c r="Q9" s="23">
        <v>6398136</v>
      </c>
      <c r="R9" s="57">
        <v>187317727</v>
      </c>
      <c r="S9" s="23">
        <v>4379212</v>
      </c>
      <c r="T9" s="23">
        <v>22140597</v>
      </c>
      <c r="U9" s="85">
        <v>3666781</v>
      </c>
      <c r="V9" s="460"/>
      <c r="W9" s="458"/>
      <c r="X9" s="458"/>
      <c r="Y9" s="458"/>
      <c r="Z9" s="458"/>
      <c r="AA9" s="458"/>
      <c r="AB9" s="456"/>
      <c r="AC9" s="296"/>
      <c r="AD9" s="315"/>
      <c r="AE9" s="396"/>
      <c r="AF9" s="396"/>
      <c r="AG9" s="397"/>
    </row>
    <row r="10" spans="2:33" ht="17.5" customHeight="1">
      <c r="B10" s="308"/>
      <c r="C10" s="310"/>
      <c r="D10" s="310"/>
      <c r="E10" s="427"/>
      <c r="F10" s="428"/>
      <c r="G10" s="311"/>
      <c r="H10" s="317" t="s">
        <v>255</v>
      </c>
      <c r="I10" s="318"/>
      <c r="J10" s="318"/>
      <c r="K10" s="318"/>
      <c r="L10" s="318"/>
      <c r="M10" s="318"/>
      <c r="N10" s="318"/>
      <c r="O10" s="318"/>
      <c r="P10" s="318"/>
      <c r="Q10" s="318"/>
      <c r="R10" s="318"/>
      <c r="S10" s="318"/>
      <c r="T10" s="318"/>
      <c r="U10" s="319"/>
      <c r="V10" s="460"/>
      <c r="W10" s="458"/>
      <c r="X10" s="458"/>
      <c r="Y10" s="458"/>
      <c r="Z10" s="458"/>
      <c r="AA10" s="458"/>
      <c r="AB10" s="456"/>
      <c r="AC10" s="296"/>
      <c r="AD10" s="315"/>
      <c r="AE10" s="396"/>
      <c r="AF10" s="396"/>
      <c r="AG10" s="397"/>
    </row>
    <row r="11" spans="2:33" ht="23.5" customHeight="1">
      <c r="B11" s="437"/>
      <c r="C11" s="438"/>
      <c r="D11" s="438"/>
      <c r="E11" s="429"/>
      <c r="F11" s="430"/>
      <c r="G11" s="311"/>
      <c r="H11" s="86">
        <v>584785601680</v>
      </c>
      <c r="I11" s="26">
        <v>1766610267</v>
      </c>
      <c r="J11" s="25">
        <v>10248462929</v>
      </c>
      <c r="K11" s="27">
        <v>18399262360</v>
      </c>
      <c r="L11" s="27">
        <v>100568118007</v>
      </c>
      <c r="M11" s="27">
        <v>5652399884</v>
      </c>
      <c r="N11" s="27">
        <v>10453485978</v>
      </c>
      <c r="O11" s="27">
        <v>3436177472</v>
      </c>
      <c r="P11" s="27">
        <v>45613974683</v>
      </c>
      <c r="Q11" s="27">
        <v>6738274046</v>
      </c>
      <c r="R11" s="58">
        <v>20098370841</v>
      </c>
      <c r="S11" s="28">
        <v>1285363504</v>
      </c>
      <c r="T11" s="27">
        <v>28692262426</v>
      </c>
      <c r="U11" s="87">
        <v>4454995744</v>
      </c>
      <c r="V11" s="460"/>
      <c r="W11" s="458"/>
      <c r="X11" s="458"/>
      <c r="Y11" s="458"/>
      <c r="Z11" s="458"/>
      <c r="AA11" s="458"/>
      <c r="AB11" s="456"/>
      <c r="AC11" s="296"/>
      <c r="AD11" s="315"/>
      <c r="AE11" s="396"/>
      <c r="AF11" s="396"/>
      <c r="AG11" s="397"/>
    </row>
    <row r="12" spans="2:33" ht="32" customHeight="1">
      <c r="B12" s="416"/>
      <c r="C12" s="417"/>
      <c r="D12" s="417"/>
      <c r="E12" s="417"/>
      <c r="F12" s="417"/>
      <c r="G12" s="418"/>
      <c r="H12" s="449" t="s">
        <v>306</v>
      </c>
      <c r="I12" s="450"/>
      <c r="J12" s="450"/>
      <c r="K12" s="450"/>
      <c r="L12" s="450"/>
      <c r="M12" s="450"/>
      <c r="N12" s="450"/>
      <c r="O12" s="450"/>
      <c r="P12" s="450"/>
      <c r="Q12" s="450"/>
      <c r="R12" s="450"/>
      <c r="S12" s="450"/>
      <c r="T12" s="450"/>
      <c r="U12" s="451"/>
      <c r="V12" s="460"/>
      <c r="W12" s="458"/>
      <c r="X12" s="458"/>
      <c r="Y12" s="458"/>
      <c r="Z12" s="458"/>
      <c r="AA12" s="458"/>
      <c r="AB12" s="456"/>
      <c r="AC12" s="296"/>
      <c r="AD12" s="315"/>
      <c r="AE12" s="396"/>
      <c r="AF12" s="396"/>
      <c r="AG12" s="397"/>
    </row>
    <row r="13" spans="2:33" ht="13.5" customHeight="1">
      <c r="B13" s="419"/>
      <c r="C13" s="420"/>
      <c r="D13" s="420"/>
      <c r="E13" s="420"/>
      <c r="F13" s="420"/>
      <c r="G13" s="421"/>
      <c r="H13" s="88">
        <v>8</v>
      </c>
      <c r="I13" s="59">
        <v>3</v>
      </c>
      <c r="J13" s="59">
        <v>5</v>
      </c>
      <c r="K13" s="59">
        <v>6</v>
      </c>
      <c r="L13" s="59">
        <v>7</v>
      </c>
      <c r="M13" s="59">
        <v>3</v>
      </c>
      <c r="N13" s="59">
        <v>3</v>
      </c>
      <c r="O13" s="59">
        <v>3</v>
      </c>
      <c r="P13" s="59">
        <v>5</v>
      </c>
      <c r="Q13" s="59">
        <v>3</v>
      </c>
      <c r="R13" s="59">
        <v>6</v>
      </c>
      <c r="S13" s="59">
        <v>2</v>
      </c>
      <c r="T13" s="59">
        <v>5</v>
      </c>
      <c r="U13" s="89">
        <v>2</v>
      </c>
      <c r="V13" s="460"/>
      <c r="W13" s="458"/>
      <c r="X13" s="458"/>
      <c r="Y13" s="458"/>
      <c r="Z13" s="458"/>
      <c r="AA13" s="458"/>
      <c r="AB13" s="456"/>
      <c r="AC13" s="296"/>
      <c r="AD13" s="315"/>
      <c r="AE13" s="396"/>
      <c r="AF13" s="396"/>
      <c r="AG13" s="397"/>
    </row>
    <row r="14" spans="2:33" ht="32" customHeight="1">
      <c r="B14" s="422"/>
      <c r="C14" s="423"/>
      <c r="D14" s="423"/>
      <c r="E14" s="423"/>
      <c r="F14" s="423"/>
      <c r="G14" s="424"/>
      <c r="H14" s="446" t="s">
        <v>305</v>
      </c>
      <c r="I14" s="447"/>
      <c r="J14" s="447"/>
      <c r="K14" s="447"/>
      <c r="L14" s="447"/>
      <c r="M14" s="447"/>
      <c r="N14" s="447"/>
      <c r="O14" s="447"/>
      <c r="P14" s="447"/>
      <c r="Q14" s="447"/>
      <c r="R14" s="447"/>
      <c r="S14" s="447"/>
      <c r="T14" s="447"/>
      <c r="U14" s="448"/>
      <c r="V14" s="460"/>
      <c r="W14" s="458"/>
      <c r="X14" s="458"/>
      <c r="Y14" s="458"/>
      <c r="Z14" s="458"/>
      <c r="AA14" s="458"/>
      <c r="AB14" s="456"/>
      <c r="AC14" s="296"/>
      <c r="AD14" s="315"/>
      <c r="AE14" s="396"/>
      <c r="AF14" s="396"/>
      <c r="AG14" s="397"/>
    </row>
    <row r="15" spans="2:33" ht="21.5" customHeight="1" thickBot="1">
      <c r="B15" s="416" t="s">
        <v>234</v>
      </c>
      <c r="C15" s="417"/>
      <c r="D15" s="417"/>
      <c r="E15" s="417"/>
      <c r="F15" s="417"/>
      <c r="G15" s="418"/>
      <c r="H15" s="111">
        <f>SUM(H7,H13)</f>
        <v>11</v>
      </c>
      <c r="I15" s="65">
        <f>SUM(I7,I13)</f>
        <v>6</v>
      </c>
      <c r="J15" s="65">
        <f>SUM(J7,J13)</f>
        <v>8</v>
      </c>
      <c r="K15" s="65">
        <f>SUM(K7,K13)</f>
        <v>9</v>
      </c>
      <c r="L15" s="65">
        <f>SUM(L7,L13)</f>
        <v>10</v>
      </c>
      <c r="M15" s="65">
        <f t="shared" ref="M15:U15" si="0">SUM(M7,M13)</f>
        <v>5</v>
      </c>
      <c r="N15" s="65">
        <f t="shared" si="0"/>
        <v>5</v>
      </c>
      <c r="O15" s="65">
        <f t="shared" si="0"/>
        <v>5</v>
      </c>
      <c r="P15" s="65">
        <f t="shared" si="0"/>
        <v>8</v>
      </c>
      <c r="Q15" s="65">
        <f t="shared" si="0"/>
        <v>5</v>
      </c>
      <c r="R15" s="65">
        <f t="shared" si="0"/>
        <v>9</v>
      </c>
      <c r="S15" s="65">
        <f t="shared" si="0"/>
        <v>4</v>
      </c>
      <c r="T15" s="65">
        <f t="shared" si="0"/>
        <v>7</v>
      </c>
      <c r="U15" s="112">
        <f t="shared" si="0"/>
        <v>4</v>
      </c>
      <c r="V15" s="460"/>
      <c r="W15" s="458"/>
      <c r="X15" s="458"/>
      <c r="Y15" s="458"/>
      <c r="Z15" s="458"/>
      <c r="AA15" s="458"/>
      <c r="AB15" s="456"/>
      <c r="AC15" s="398"/>
      <c r="AD15" s="316"/>
      <c r="AE15" s="396"/>
      <c r="AF15" s="396"/>
      <c r="AG15" s="397"/>
    </row>
    <row r="16" spans="2:33" ht="92" customHeight="1">
      <c r="B16" s="312" t="s">
        <v>29</v>
      </c>
      <c r="C16" s="407" t="s">
        <v>46</v>
      </c>
      <c r="D16" s="102" t="s">
        <v>258</v>
      </c>
      <c r="E16" s="415" t="s">
        <v>296</v>
      </c>
      <c r="F16" s="405">
        <v>6</v>
      </c>
      <c r="G16" s="90" t="s">
        <v>32</v>
      </c>
      <c r="H16" s="66"/>
      <c r="I16" s="67"/>
      <c r="J16" s="66"/>
      <c r="K16" s="66"/>
      <c r="L16" s="66"/>
      <c r="M16" s="66"/>
      <c r="N16" s="66"/>
      <c r="O16" s="66"/>
      <c r="P16" s="66"/>
      <c r="Q16" s="66"/>
      <c r="R16" s="68">
        <v>9</v>
      </c>
      <c r="S16" s="68">
        <v>4</v>
      </c>
      <c r="T16" s="68">
        <v>7</v>
      </c>
      <c r="U16" s="68">
        <v>4</v>
      </c>
      <c r="V16" s="69" t="s">
        <v>157</v>
      </c>
      <c r="W16" s="70" t="s">
        <v>180</v>
      </c>
      <c r="X16" s="71" t="s">
        <v>427</v>
      </c>
      <c r="Y16" s="71">
        <v>2</v>
      </c>
      <c r="Z16" s="70" t="s">
        <v>179</v>
      </c>
      <c r="AA16" s="71" t="s">
        <v>181</v>
      </c>
      <c r="AB16" s="72" t="s">
        <v>182</v>
      </c>
      <c r="AC16" s="121">
        <v>1</v>
      </c>
      <c r="AD16" s="73" t="s">
        <v>259</v>
      </c>
      <c r="AE16" s="154">
        <f t="shared" ref="AE16:AE22" si="1">SUM(F16,R16,S16,T16,U16,Y16)</f>
        <v>32</v>
      </c>
      <c r="AF16" s="388">
        <f>SUM(AE16:AE22)</f>
        <v>196</v>
      </c>
      <c r="AG16" s="379">
        <v>8</v>
      </c>
    </row>
    <row r="17" spans="2:33" ht="140">
      <c r="B17" s="313"/>
      <c r="C17" s="324"/>
      <c r="D17" s="62" t="s">
        <v>47</v>
      </c>
      <c r="E17" s="399"/>
      <c r="F17" s="401"/>
      <c r="G17" s="16" t="s">
        <v>33</v>
      </c>
      <c r="H17" s="7"/>
      <c r="I17" s="61"/>
      <c r="J17" s="7"/>
      <c r="K17" s="7"/>
      <c r="L17" s="7"/>
      <c r="M17" s="7"/>
      <c r="N17" s="7"/>
      <c r="O17" s="7"/>
      <c r="P17" s="7"/>
      <c r="Q17" s="7"/>
      <c r="R17" s="8">
        <v>9</v>
      </c>
      <c r="S17" s="8">
        <v>4</v>
      </c>
      <c r="T17" s="8">
        <v>7</v>
      </c>
      <c r="U17" s="8">
        <v>4</v>
      </c>
      <c r="V17" s="22" t="s">
        <v>157</v>
      </c>
      <c r="W17" s="10" t="s">
        <v>180</v>
      </c>
      <c r="X17" s="9" t="s">
        <v>428</v>
      </c>
      <c r="Y17" s="9">
        <v>2</v>
      </c>
      <c r="Z17" s="10" t="s">
        <v>170</v>
      </c>
      <c r="AA17" s="9" t="s">
        <v>181</v>
      </c>
      <c r="AB17" s="13" t="s">
        <v>182</v>
      </c>
      <c r="AC17" s="119">
        <v>2</v>
      </c>
      <c r="AD17" s="32" t="s">
        <v>384</v>
      </c>
      <c r="AE17" s="155">
        <f t="shared" si="1"/>
        <v>26</v>
      </c>
      <c r="AF17" s="372"/>
      <c r="AG17" s="380"/>
    </row>
    <row r="18" spans="2:33" ht="41.5" customHeight="1">
      <c r="B18" s="313"/>
      <c r="C18" s="324"/>
      <c r="D18" s="62" t="s">
        <v>8</v>
      </c>
      <c r="E18" s="399"/>
      <c r="F18" s="401"/>
      <c r="G18" s="16" t="s">
        <v>30</v>
      </c>
      <c r="H18" s="7"/>
      <c r="I18" s="61"/>
      <c r="J18" s="7"/>
      <c r="K18" s="7"/>
      <c r="L18" s="7"/>
      <c r="M18" s="7"/>
      <c r="N18" s="7"/>
      <c r="O18" s="7"/>
      <c r="P18" s="7"/>
      <c r="Q18" s="7"/>
      <c r="R18" s="8">
        <v>9</v>
      </c>
      <c r="S18" s="8">
        <v>4</v>
      </c>
      <c r="T18" s="8">
        <v>7</v>
      </c>
      <c r="U18" s="8">
        <v>4</v>
      </c>
      <c r="V18" s="22" t="s">
        <v>157</v>
      </c>
      <c r="W18" s="10" t="s">
        <v>180</v>
      </c>
      <c r="X18" s="9" t="s">
        <v>428</v>
      </c>
      <c r="Y18" s="9">
        <v>2</v>
      </c>
      <c r="Z18" s="10" t="s">
        <v>170</v>
      </c>
      <c r="AA18" s="9" t="s">
        <v>181</v>
      </c>
      <c r="AB18" s="13" t="s">
        <v>182</v>
      </c>
      <c r="AC18" s="119">
        <v>3</v>
      </c>
      <c r="AD18" s="32" t="s">
        <v>260</v>
      </c>
      <c r="AE18" s="155">
        <f t="shared" si="1"/>
        <v>26</v>
      </c>
      <c r="AF18" s="372"/>
      <c r="AG18" s="380"/>
    </row>
    <row r="19" spans="2:33" ht="39" customHeight="1">
      <c r="B19" s="313"/>
      <c r="C19" s="324"/>
      <c r="D19" s="62" t="s">
        <v>49</v>
      </c>
      <c r="E19" s="399"/>
      <c r="F19" s="401"/>
      <c r="G19" s="16" t="s">
        <v>30</v>
      </c>
      <c r="H19" s="7"/>
      <c r="I19" s="61"/>
      <c r="J19" s="7"/>
      <c r="K19" s="7"/>
      <c r="L19" s="7"/>
      <c r="M19" s="7"/>
      <c r="N19" s="7"/>
      <c r="O19" s="7"/>
      <c r="P19" s="7"/>
      <c r="Q19" s="7"/>
      <c r="R19" s="8">
        <v>9</v>
      </c>
      <c r="S19" s="8">
        <v>4</v>
      </c>
      <c r="T19" s="8">
        <v>7</v>
      </c>
      <c r="U19" s="8">
        <v>4</v>
      </c>
      <c r="V19" s="22" t="s">
        <v>157</v>
      </c>
      <c r="W19" s="10" t="s">
        <v>180</v>
      </c>
      <c r="X19" s="9" t="s">
        <v>428</v>
      </c>
      <c r="Y19" s="9">
        <v>2</v>
      </c>
      <c r="Z19" s="10" t="s">
        <v>170</v>
      </c>
      <c r="AA19" s="9" t="s">
        <v>181</v>
      </c>
      <c r="AB19" s="13" t="s">
        <v>182</v>
      </c>
      <c r="AC19" s="119">
        <v>4</v>
      </c>
      <c r="AD19" s="32" t="s">
        <v>261</v>
      </c>
      <c r="AE19" s="155">
        <f t="shared" si="1"/>
        <v>26</v>
      </c>
      <c r="AF19" s="372"/>
      <c r="AG19" s="380"/>
    </row>
    <row r="20" spans="2:33" ht="140">
      <c r="B20" s="313"/>
      <c r="C20" s="324" t="s">
        <v>48</v>
      </c>
      <c r="D20" s="62" t="s">
        <v>19</v>
      </c>
      <c r="E20" s="399" t="s">
        <v>296</v>
      </c>
      <c r="F20" s="401">
        <v>6</v>
      </c>
      <c r="G20" s="4" t="s">
        <v>31</v>
      </c>
      <c r="H20" s="7"/>
      <c r="I20" s="61"/>
      <c r="J20" s="7"/>
      <c r="K20" s="7"/>
      <c r="L20" s="7"/>
      <c r="M20" s="7"/>
      <c r="N20" s="7"/>
      <c r="O20" s="7"/>
      <c r="P20" s="7"/>
      <c r="Q20" s="7"/>
      <c r="R20" s="8">
        <v>9</v>
      </c>
      <c r="S20" s="8">
        <v>4</v>
      </c>
      <c r="T20" s="8">
        <v>7</v>
      </c>
      <c r="U20" s="8">
        <v>4</v>
      </c>
      <c r="V20" s="22" t="s">
        <v>128</v>
      </c>
      <c r="W20" s="10" t="s">
        <v>183</v>
      </c>
      <c r="X20" s="9" t="s">
        <v>428</v>
      </c>
      <c r="Y20" s="9">
        <v>2</v>
      </c>
      <c r="Z20" s="10" t="s">
        <v>184</v>
      </c>
      <c r="AA20" s="9" t="s">
        <v>185</v>
      </c>
      <c r="AB20" s="13" t="s">
        <v>186</v>
      </c>
      <c r="AC20" s="119">
        <v>5</v>
      </c>
      <c r="AD20" s="32" t="s">
        <v>388</v>
      </c>
      <c r="AE20" s="155">
        <f t="shared" si="1"/>
        <v>32</v>
      </c>
      <c r="AF20" s="372"/>
      <c r="AG20" s="380"/>
    </row>
    <row r="21" spans="2:33" ht="38" customHeight="1">
      <c r="B21" s="313"/>
      <c r="C21" s="324"/>
      <c r="D21" s="62" t="s">
        <v>20</v>
      </c>
      <c r="E21" s="399"/>
      <c r="F21" s="401"/>
      <c r="G21" s="4" t="s">
        <v>31</v>
      </c>
      <c r="H21" s="7"/>
      <c r="I21" s="61"/>
      <c r="J21" s="7"/>
      <c r="K21" s="7"/>
      <c r="L21" s="7"/>
      <c r="M21" s="7"/>
      <c r="N21" s="7"/>
      <c r="O21" s="7"/>
      <c r="P21" s="7"/>
      <c r="Q21" s="7"/>
      <c r="R21" s="8">
        <v>9</v>
      </c>
      <c r="S21" s="8">
        <v>4</v>
      </c>
      <c r="T21" s="8">
        <v>7</v>
      </c>
      <c r="U21" s="8">
        <v>4</v>
      </c>
      <c r="V21" s="22" t="s">
        <v>128</v>
      </c>
      <c r="W21" s="10" t="s">
        <v>171</v>
      </c>
      <c r="X21" s="9" t="s">
        <v>429</v>
      </c>
      <c r="Y21" s="9">
        <v>3</v>
      </c>
      <c r="Z21" s="10" t="s">
        <v>172</v>
      </c>
      <c r="AA21" s="9" t="s">
        <v>168</v>
      </c>
      <c r="AB21" s="9" t="s">
        <v>168</v>
      </c>
      <c r="AC21" s="119">
        <v>6</v>
      </c>
      <c r="AD21" s="32" t="s">
        <v>262</v>
      </c>
      <c r="AE21" s="155">
        <f t="shared" si="1"/>
        <v>27</v>
      </c>
      <c r="AF21" s="372"/>
      <c r="AG21" s="380"/>
    </row>
    <row r="22" spans="2:33" ht="32.5" customHeight="1" thickBot="1">
      <c r="B22" s="327"/>
      <c r="C22" s="358"/>
      <c r="D22" s="63" t="s">
        <v>7</v>
      </c>
      <c r="E22" s="434"/>
      <c r="F22" s="406"/>
      <c r="G22" s="51" t="s">
        <v>30</v>
      </c>
      <c r="H22" s="37"/>
      <c r="I22" s="46"/>
      <c r="J22" s="145"/>
      <c r="K22" s="137"/>
      <c r="L22" s="137"/>
      <c r="M22" s="37"/>
      <c r="N22" s="37"/>
      <c r="O22" s="37"/>
      <c r="P22" s="37"/>
      <c r="Q22" s="37"/>
      <c r="R22" s="36">
        <v>9</v>
      </c>
      <c r="S22" s="36">
        <v>4</v>
      </c>
      <c r="T22" s="36">
        <v>7</v>
      </c>
      <c r="U22" s="36">
        <v>4</v>
      </c>
      <c r="V22" s="56" t="s">
        <v>129</v>
      </c>
      <c r="W22" s="38" t="s">
        <v>169</v>
      </c>
      <c r="X22" s="55" t="s">
        <v>431</v>
      </c>
      <c r="Y22" s="55">
        <v>3</v>
      </c>
      <c r="Z22" s="55" t="s">
        <v>168</v>
      </c>
      <c r="AA22" s="55" t="s">
        <v>168</v>
      </c>
      <c r="AB22" s="55" t="s">
        <v>168</v>
      </c>
      <c r="AC22" s="123">
        <v>7</v>
      </c>
      <c r="AD22" s="44" t="s">
        <v>263</v>
      </c>
      <c r="AE22" s="156">
        <f t="shared" si="1"/>
        <v>27</v>
      </c>
      <c r="AF22" s="370"/>
      <c r="AG22" s="380"/>
    </row>
    <row r="23" spans="2:33" ht="61.5" customHeight="1" thickBot="1">
      <c r="B23" s="127" t="s">
        <v>397</v>
      </c>
      <c r="C23" s="92" t="s">
        <v>398</v>
      </c>
      <c r="D23" s="93" t="s">
        <v>94</v>
      </c>
      <c r="E23" s="93" t="s">
        <v>297</v>
      </c>
      <c r="F23" s="94">
        <v>5</v>
      </c>
      <c r="G23" s="92" t="s">
        <v>93</v>
      </c>
      <c r="H23" s="146"/>
      <c r="I23" s="95"/>
      <c r="J23" s="147"/>
      <c r="K23" s="148"/>
      <c r="L23" s="148"/>
      <c r="M23" s="146"/>
      <c r="N23" s="146"/>
      <c r="O23" s="146"/>
      <c r="P23" s="146"/>
      <c r="Q23" s="146"/>
      <c r="R23" s="91"/>
      <c r="S23" s="91"/>
      <c r="T23" s="91">
        <v>7</v>
      </c>
      <c r="U23" s="91">
        <v>4</v>
      </c>
      <c r="V23" s="96" t="s">
        <v>129</v>
      </c>
      <c r="W23" s="97" t="s">
        <v>177</v>
      </c>
      <c r="X23" s="98" t="s">
        <v>431</v>
      </c>
      <c r="Y23" s="98">
        <v>3</v>
      </c>
      <c r="Z23" s="98" t="s">
        <v>168</v>
      </c>
      <c r="AA23" s="98" t="s">
        <v>168</v>
      </c>
      <c r="AB23" s="98" t="s">
        <v>168</v>
      </c>
      <c r="AC23" s="122">
        <v>8</v>
      </c>
      <c r="AD23" s="99" t="s">
        <v>389</v>
      </c>
      <c r="AE23" s="157">
        <f>SUM(F23,T23,U23,Y23)</f>
        <v>19</v>
      </c>
      <c r="AF23" s="157">
        <f>SUM(AE23)</f>
        <v>19</v>
      </c>
      <c r="AG23" s="152">
        <v>14</v>
      </c>
    </row>
    <row r="24" spans="2:33" ht="64.5" customHeight="1">
      <c r="B24" s="312" t="s">
        <v>91</v>
      </c>
      <c r="C24" s="407" t="s">
        <v>50</v>
      </c>
      <c r="D24" s="102" t="s">
        <v>55</v>
      </c>
      <c r="E24" s="415" t="s">
        <v>298</v>
      </c>
      <c r="F24" s="405">
        <v>5</v>
      </c>
      <c r="G24" s="90" t="s">
        <v>93</v>
      </c>
      <c r="H24" s="68">
        <v>11</v>
      </c>
      <c r="I24" s="68">
        <v>6</v>
      </c>
      <c r="J24" s="68">
        <v>8</v>
      </c>
      <c r="K24" s="68">
        <v>9</v>
      </c>
      <c r="L24" s="68">
        <v>10</v>
      </c>
      <c r="M24" s="68">
        <v>5</v>
      </c>
      <c r="N24" s="68">
        <v>5</v>
      </c>
      <c r="O24" s="68">
        <v>5</v>
      </c>
      <c r="P24" s="68">
        <v>8</v>
      </c>
      <c r="Q24" s="68">
        <v>5</v>
      </c>
      <c r="R24" s="68">
        <v>9</v>
      </c>
      <c r="S24" s="68">
        <v>4</v>
      </c>
      <c r="T24" s="68">
        <v>7</v>
      </c>
      <c r="U24" s="68">
        <v>4</v>
      </c>
      <c r="V24" s="69" t="s">
        <v>129</v>
      </c>
      <c r="W24" s="70" t="s">
        <v>177</v>
      </c>
      <c r="X24" s="71" t="s">
        <v>431</v>
      </c>
      <c r="Y24" s="71">
        <v>3</v>
      </c>
      <c r="Z24" s="71" t="s">
        <v>168</v>
      </c>
      <c r="AA24" s="71" t="s">
        <v>168</v>
      </c>
      <c r="AB24" s="71" t="s">
        <v>168</v>
      </c>
      <c r="AC24" s="121">
        <v>9</v>
      </c>
      <c r="AD24" s="73" t="s">
        <v>264</v>
      </c>
      <c r="AE24" s="154">
        <f>SUM(F24,H24,I24,J24,K24,L24,M24,N24,O24,P24,Q24,R24,S24,T24,U24,Y24)</f>
        <v>104</v>
      </c>
      <c r="AF24" s="388">
        <f>SUM(AE24:AE32)</f>
        <v>848</v>
      </c>
      <c r="AG24" s="379">
        <v>3</v>
      </c>
    </row>
    <row r="25" spans="2:33" ht="57.5" customHeight="1">
      <c r="B25" s="313"/>
      <c r="C25" s="324"/>
      <c r="D25" s="62" t="s">
        <v>56</v>
      </c>
      <c r="E25" s="399"/>
      <c r="F25" s="401"/>
      <c r="G25" s="16" t="s">
        <v>93</v>
      </c>
      <c r="H25" s="8">
        <v>11</v>
      </c>
      <c r="I25" s="8">
        <v>6</v>
      </c>
      <c r="J25" s="8">
        <v>8</v>
      </c>
      <c r="K25" s="8">
        <v>9</v>
      </c>
      <c r="L25" s="8">
        <v>10</v>
      </c>
      <c r="M25" s="8">
        <v>5</v>
      </c>
      <c r="N25" s="8">
        <v>5</v>
      </c>
      <c r="O25" s="8">
        <v>5</v>
      </c>
      <c r="P25" s="8">
        <v>8</v>
      </c>
      <c r="Q25" s="8">
        <v>5</v>
      </c>
      <c r="R25" s="8">
        <v>9</v>
      </c>
      <c r="S25" s="8">
        <v>4</v>
      </c>
      <c r="T25" s="8">
        <v>7</v>
      </c>
      <c r="U25" s="8">
        <v>4</v>
      </c>
      <c r="V25" s="22" t="s">
        <v>129</v>
      </c>
      <c r="W25" s="10" t="s">
        <v>177</v>
      </c>
      <c r="X25" s="9" t="s">
        <v>431</v>
      </c>
      <c r="Y25" s="9">
        <v>3</v>
      </c>
      <c r="Z25" s="9" t="s">
        <v>168</v>
      </c>
      <c r="AA25" s="9" t="s">
        <v>168</v>
      </c>
      <c r="AB25" s="9" t="s">
        <v>168</v>
      </c>
      <c r="AC25" s="119">
        <v>10</v>
      </c>
      <c r="AD25" s="32" t="s">
        <v>268</v>
      </c>
      <c r="AE25" s="155">
        <f>SUM(F24,H25,I25,J25,K25,L25,M25,N25,O25,P25,Q25,R25,S25,T25,U25,Y25)</f>
        <v>104</v>
      </c>
      <c r="AF25" s="372"/>
      <c r="AG25" s="380"/>
    </row>
    <row r="26" spans="2:33" ht="112">
      <c r="B26" s="313"/>
      <c r="C26" s="324"/>
      <c r="D26" s="62" t="s">
        <v>52</v>
      </c>
      <c r="E26" s="399"/>
      <c r="F26" s="401"/>
      <c r="G26" s="16" t="s">
        <v>51</v>
      </c>
      <c r="H26" s="8">
        <v>11</v>
      </c>
      <c r="I26" s="8">
        <v>6</v>
      </c>
      <c r="J26" s="8">
        <v>8</v>
      </c>
      <c r="K26" s="8">
        <v>9</v>
      </c>
      <c r="L26" s="8">
        <v>10</v>
      </c>
      <c r="M26" s="8">
        <v>5</v>
      </c>
      <c r="N26" s="8">
        <v>5</v>
      </c>
      <c r="O26" s="8">
        <v>5</v>
      </c>
      <c r="P26" s="8">
        <v>8</v>
      </c>
      <c r="Q26" s="8">
        <v>5</v>
      </c>
      <c r="R26" s="8">
        <v>9</v>
      </c>
      <c r="S26" s="8">
        <v>4</v>
      </c>
      <c r="T26" s="8">
        <v>7</v>
      </c>
      <c r="U26" s="8">
        <v>4</v>
      </c>
      <c r="V26" s="22" t="s">
        <v>129</v>
      </c>
      <c r="W26" s="10" t="s">
        <v>177</v>
      </c>
      <c r="X26" s="9" t="s">
        <v>431</v>
      </c>
      <c r="Y26" s="9">
        <v>3</v>
      </c>
      <c r="Z26" s="9" t="s">
        <v>168</v>
      </c>
      <c r="AA26" s="9" t="s">
        <v>168</v>
      </c>
      <c r="AB26" s="9" t="s">
        <v>168</v>
      </c>
      <c r="AC26" s="119">
        <v>11</v>
      </c>
      <c r="AD26" s="32" t="s">
        <v>269</v>
      </c>
      <c r="AE26" s="155">
        <f>SUM(F24,H26,I26,J26,K26,L26,M26,N26,O26,P26,Q26,R26,S26,T26,U26,Y26)</f>
        <v>104</v>
      </c>
      <c r="AF26" s="372"/>
      <c r="AG26" s="380"/>
    </row>
    <row r="27" spans="2:33" ht="43" customHeight="1">
      <c r="B27" s="313"/>
      <c r="C27" s="324"/>
      <c r="D27" s="62" t="s">
        <v>10</v>
      </c>
      <c r="E27" s="399"/>
      <c r="F27" s="401"/>
      <c r="G27" s="62" t="s">
        <v>36</v>
      </c>
      <c r="H27" s="8">
        <v>11</v>
      </c>
      <c r="I27" s="8">
        <v>6</v>
      </c>
      <c r="J27" s="8">
        <v>8</v>
      </c>
      <c r="K27" s="8">
        <v>9</v>
      </c>
      <c r="L27" s="8">
        <v>10</v>
      </c>
      <c r="M27" s="8">
        <v>5</v>
      </c>
      <c r="N27" s="8">
        <v>5</v>
      </c>
      <c r="O27" s="8">
        <v>5</v>
      </c>
      <c r="P27" s="8">
        <v>8</v>
      </c>
      <c r="Q27" s="8">
        <v>5</v>
      </c>
      <c r="R27" s="8">
        <v>9</v>
      </c>
      <c r="S27" s="8">
        <v>4</v>
      </c>
      <c r="T27" s="8">
        <v>7</v>
      </c>
      <c r="U27" s="8">
        <v>4</v>
      </c>
      <c r="V27" s="22" t="s">
        <v>129</v>
      </c>
      <c r="W27" s="10" t="s">
        <v>177</v>
      </c>
      <c r="X27" s="9" t="s">
        <v>431</v>
      </c>
      <c r="Y27" s="9">
        <v>3</v>
      </c>
      <c r="Z27" s="9" t="s">
        <v>168</v>
      </c>
      <c r="AA27" s="9" t="s">
        <v>168</v>
      </c>
      <c r="AB27" s="9" t="s">
        <v>168</v>
      </c>
      <c r="AC27" s="119">
        <v>12</v>
      </c>
      <c r="AD27" s="32" t="s">
        <v>399</v>
      </c>
      <c r="AE27" s="155">
        <f>SUM(F24,H27,I27,J27,K27,L27,M27,N27,O27,P27,Q27,R27,S27,T27,U27,Y27)</f>
        <v>104</v>
      </c>
      <c r="AF27" s="372"/>
      <c r="AG27" s="380"/>
    </row>
    <row r="28" spans="2:33" ht="126">
      <c r="B28" s="313"/>
      <c r="C28" s="324" t="s">
        <v>54</v>
      </c>
      <c r="D28" s="62" t="s">
        <v>83</v>
      </c>
      <c r="E28" s="399" t="s">
        <v>299</v>
      </c>
      <c r="F28" s="401">
        <v>7</v>
      </c>
      <c r="G28" s="16" t="s">
        <v>322</v>
      </c>
      <c r="H28" s="8">
        <v>11</v>
      </c>
      <c r="I28" s="8">
        <v>6</v>
      </c>
      <c r="J28" s="8">
        <v>8</v>
      </c>
      <c r="K28" s="8">
        <v>9</v>
      </c>
      <c r="L28" s="8">
        <v>10</v>
      </c>
      <c r="M28" s="8">
        <v>5</v>
      </c>
      <c r="N28" s="8">
        <v>5</v>
      </c>
      <c r="O28" s="8">
        <v>5</v>
      </c>
      <c r="P28" s="8">
        <v>8</v>
      </c>
      <c r="Q28" s="8">
        <v>5</v>
      </c>
      <c r="R28" s="8"/>
      <c r="S28" s="8"/>
      <c r="T28" s="8"/>
      <c r="U28" s="8"/>
      <c r="V28" s="22" t="s">
        <v>129</v>
      </c>
      <c r="W28" s="10" t="s">
        <v>177</v>
      </c>
      <c r="X28" s="9" t="s">
        <v>431</v>
      </c>
      <c r="Y28" s="9">
        <v>3</v>
      </c>
      <c r="Z28" s="9" t="s">
        <v>168</v>
      </c>
      <c r="AA28" s="9" t="s">
        <v>168</v>
      </c>
      <c r="AB28" s="9" t="s">
        <v>168</v>
      </c>
      <c r="AC28" s="119">
        <v>13</v>
      </c>
      <c r="AD28" s="32" t="s">
        <v>271</v>
      </c>
      <c r="AE28" s="155">
        <f>SUM(F28,H28,I28,J28,K28,L28,M28,N28,O28,P28,Q28,Y28)</f>
        <v>82</v>
      </c>
      <c r="AF28" s="372"/>
      <c r="AG28" s="380"/>
    </row>
    <row r="29" spans="2:33" ht="60.5" customHeight="1">
      <c r="B29" s="313"/>
      <c r="C29" s="324"/>
      <c r="D29" s="62" t="s">
        <v>57</v>
      </c>
      <c r="E29" s="399"/>
      <c r="F29" s="401"/>
      <c r="G29" s="62" t="s">
        <v>36</v>
      </c>
      <c r="H29" s="8">
        <v>11</v>
      </c>
      <c r="I29" s="8">
        <v>6</v>
      </c>
      <c r="J29" s="8">
        <v>8</v>
      </c>
      <c r="K29" s="8">
        <v>9</v>
      </c>
      <c r="L29" s="8">
        <v>10</v>
      </c>
      <c r="M29" s="8">
        <v>5</v>
      </c>
      <c r="N29" s="8">
        <v>5</v>
      </c>
      <c r="O29" s="8">
        <v>5</v>
      </c>
      <c r="P29" s="8">
        <v>8</v>
      </c>
      <c r="Q29" s="8">
        <v>5</v>
      </c>
      <c r="R29" s="7"/>
      <c r="S29" s="7"/>
      <c r="T29" s="7"/>
      <c r="U29" s="7"/>
      <c r="V29" s="22" t="s">
        <v>129</v>
      </c>
      <c r="W29" s="10" t="s">
        <v>177</v>
      </c>
      <c r="X29" s="9" t="s">
        <v>431</v>
      </c>
      <c r="Y29" s="9">
        <v>3</v>
      </c>
      <c r="Z29" s="9" t="s">
        <v>168</v>
      </c>
      <c r="AA29" s="9" t="s">
        <v>168</v>
      </c>
      <c r="AB29" s="9" t="s">
        <v>168</v>
      </c>
      <c r="AC29" s="119">
        <v>14</v>
      </c>
      <c r="AD29" s="32" t="s">
        <v>390</v>
      </c>
      <c r="AE29" s="155">
        <f>SUM(F28,H29,I29,J29,K29,L29,M29,N29,O29,P29,Q29,Y29)</f>
        <v>82</v>
      </c>
      <c r="AF29" s="372"/>
      <c r="AG29" s="380"/>
    </row>
    <row r="30" spans="2:33" ht="26" customHeight="1">
      <c r="B30" s="313"/>
      <c r="C30" s="324"/>
      <c r="D30" s="62" t="s">
        <v>58</v>
      </c>
      <c r="E30" s="399"/>
      <c r="F30" s="401"/>
      <c r="G30" s="16" t="s">
        <v>93</v>
      </c>
      <c r="H30" s="8">
        <v>11</v>
      </c>
      <c r="I30" s="8">
        <v>6</v>
      </c>
      <c r="J30" s="8">
        <v>8</v>
      </c>
      <c r="K30" s="8">
        <v>9</v>
      </c>
      <c r="L30" s="8">
        <v>10</v>
      </c>
      <c r="M30" s="8">
        <v>5</v>
      </c>
      <c r="N30" s="8">
        <v>5</v>
      </c>
      <c r="O30" s="8">
        <v>5</v>
      </c>
      <c r="P30" s="8">
        <v>8</v>
      </c>
      <c r="Q30" s="8">
        <v>5</v>
      </c>
      <c r="R30" s="7"/>
      <c r="S30" s="7"/>
      <c r="T30" s="7"/>
      <c r="U30" s="7"/>
      <c r="V30" s="22" t="s">
        <v>129</v>
      </c>
      <c r="W30" s="10" t="s">
        <v>177</v>
      </c>
      <c r="X30" s="9" t="s">
        <v>431</v>
      </c>
      <c r="Y30" s="9">
        <v>3</v>
      </c>
      <c r="Z30" s="9" t="s">
        <v>168</v>
      </c>
      <c r="AA30" s="9" t="s">
        <v>168</v>
      </c>
      <c r="AB30" s="9" t="s">
        <v>168</v>
      </c>
      <c r="AC30" s="119">
        <v>15</v>
      </c>
      <c r="AD30" s="32" t="s">
        <v>264</v>
      </c>
      <c r="AE30" s="155">
        <f>SUM(F28,H30,I30,J30,K30,L30,M30,N30,O30,P30,Q30,Y30)</f>
        <v>82</v>
      </c>
      <c r="AF30" s="372"/>
      <c r="AG30" s="380"/>
    </row>
    <row r="31" spans="2:33" ht="60">
      <c r="B31" s="313"/>
      <c r="C31" s="324"/>
      <c r="D31" s="62" t="s">
        <v>59</v>
      </c>
      <c r="E31" s="399"/>
      <c r="F31" s="401"/>
      <c r="G31" s="16" t="s">
        <v>93</v>
      </c>
      <c r="H31" s="8">
        <v>11</v>
      </c>
      <c r="I31" s="8">
        <v>6</v>
      </c>
      <c r="J31" s="8">
        <v>8</v>
      </c>
      <c r="K31" s="8">
        <v>9</v>
      </c>
      <c r="L31" s="8">
        <v>10</v>
      </c>
      <c r="M31" s="8">
        <v>5</v>
      </c>
      <c r="N31" s="8">
        <v>5</v>
      </c>
      <c r="O31" s="8">
        <v>5</v>
      </c>
      <c r="P31" s="8">
        <v>8</v>
      </c>
      <c r="Q31" s="8">
        <v>5</v>
      </c>
      <c r="R31" s="7"/>
      <c r="S31" s="7"/>
      <c r="T31" s="7"/>
      <c r="U31" s="7"/>
      <c r="V31" s="22" t="s">
        <v>129</v>
      </c>
      <c r="W31" s="10" t="s">
        <v>177</v>
      </c>
      <c r="X31" s="9" t="s">
        <v>431</v>
      </c>
      <c r="Y31" s="9">
        <v>3</v>
      </c>
      <c r="Z31" s="9" t="s">
        <v>168</v>
      </c>
      <c r="AA31" s="9" t="s">
        <v>168</v>
      </c>
      <c r="AB31" s="9" t="s">
        <v>168</v>
      </c>
      <c r="AC31" s="119">
        <v>16</v>
      </c>
      <c r="AD31" s="32" t="s">
        <v>268</v>
      </c>
      <c r="AE31" s="155">
        <f>SUM(F28,H31,I31,J31,K31,L31,M31,N31,O31,P31,Q31,Y31)</f>
        <v>82</v>
      </c>
      <c r="AF31" s="372"/>
      <c r="AG31" s="380"/>
    </row>
    <row r="32" spans="2:33" ht="68" customHeight="1" thickBot="1">
      <c r="B32" s="327"/>
      <c r="C32" s="51" t="s">
        <v>272</v>
      </c>
      <c r="D32" s="63" t="s">
        <v>53</v>
      </c>
      <c r="E32" s="63" t="s">
        <v>300</v>
      </c>
      <c r="F32" s="64">
        <v>5</v>
      </c>
      <c r="G32" s="51" t="s">
        <v>40</v>
      </c>
      <c r="H32" s="36">
        <v>11</v>
      </c>
      <c r="I32" s="36">
        <v>6</v>
      </c>
      <c r="J32" s="36">
        <v>8</v>
      </c>
      <c r="K32" s="36">
        <v>9</v>
      </c>
      <c r="L32" s="36">
        <v>10</v>
      </c>
      <c r="M32" s="36">
        <v>5</v>
      </c>
      <c r="N32" s="36">
        <v>5</v>
      </c>
      <c r="O32" s="36">
        <v>5</v>
      </c>
      <c r="P32" s="36">
        <v>8</v>
      </c>
      <c r="Q32" s="36">
        <v>5</v>
      </c>
      <c r="R32" s="36">
        <v>9</v>
      </c>
      <c r="S32" s="36">
        <v>4</v>
      </c>
      <c r="T32" s="36">
        <v>7</v>
      </c>
      <c r="U32" s="36">
        <v>4</v>
      </c>
      <c r="V32" s="56" t="s">
        <v>129</v>
      </c>
      <c r="W32" s="38" t="s">
        <v>177</v>
      </c>
      <c r="X32" s="55" t="s">
        <v>431</v>
      </c>
      <c r="Y32" s="55">
        <v>3</v>
      </c>
      <c r="Z32" s="55" t="s">
        <v>168</v>
      </c>
      <c r="AA32" s="55" t="s">
        <v>168</v>
      </c>
      <c r="AB32" s="55" t="s">
        <v>168</v>
      </c>
      <c r="AC32" s="123">
        <v>17</v>
      </c>
      <c r="AD32" s="44" t="s">
        <v>270</v>
      </c>
      <c r="AE32" s="156">
        <f>SUM(F32,H32,I32,J32,K32,L32,M32,N32,O32,P32,Q32,R32,S32,T32,U32,Y32)</f>
        <v>104</v>
      </c>
      <c r="AF32" s="370"/>
      <c r="AG32" s="387"/>
    </row>
    <row r="33" spans="2:33" ht="140">
      <c r="B33" s="312" t="s">
        <v>391</v>
      </c>
      <c r="C33" s="103" t="s">
        <v>90</v>
      </c>
      <c r="D33" s="102" t="s">
        <v>151</v>
      </c>
      <c r="E33" s="102" t="s">
        <v>300</v>
      </c>
      <c r="F33" s="118">
        <v>5</v>
      </c>
      <c r="G33" s="103" t="s">
        <v>400</v>
      </c>
      <c r="H33" s="68">
        <v>11</v>
      </c>
      <c r="I33" s="68">
        <v>6</v>
      </c>
      <c r="J33" s="68">
        <v>8</v>
      </c>
      <c r="K33" s="68">
        <v>9</v>
      </c>
      <c r="L33" s="68">
        <v>10</v>
      </c>
      <c r="M33" s="68">
        <v>5</v>
      </c>
      <c r="N33" s="68">
        <v>5</v>
      </c>
      <c r="O33" s="68">
        <v>5</v>
      </c>
      <c r="P33" s="68">
        <v>8</v>
      </c>
      <c r="Q33" s="68">
        <v>5</v>
      </c>
      <c r="R33" s="68"/>
      <c r="S33" s="68"/>
      <c r="T33" s="68"/>
      <c r="U33" s="68"/>
      <c r="V33" s="69" t="s">
        <v>128</v>
      </c>
      <c r="W33" s="70" t="s">
        <v>89</v>
      </c>
      <c r="X33" s="71" t="s">
        <v>429</v>
      </c>
      <c r="Y33" s="71">
        <v>3</v>
      </c>
      <c r="Z33" s="70" t="s">
        <v>138</v>
      </c>
      <c r="AA33" s="71">
        <v>8</v>
      </c>
      <c r="AB33" s="72">
        <v>0.2271</v>
      </c>
      <c r="AC33" s="121">
        <v>18</v>
      </c>
      <c r="AD33" s="73" t="s">
        <v>401</v>
      </c>
      <c r="AE33" s="158">
        <f>SUM(F33,H33,I33,J33,K33,L33,M33,N33,O33,P33,Q33,Y33)</f>
        <v>80</v>
      </c>
      <c r="AF33" s="377">
        <f>SUM(AE33:AE35)</f>
        <v>211</v>
      </c>
      <c r="AG33" s="379">
        <v>7</v>
      </c>
    </row>
    <row r="34" spans="2:33" ht="47.5" customHeight="1">
      <c r="B34" s="313"/>
      <c r="C34" s="16" t="s">
        <v>69</v>
      </c>
      <c r="D34" s="2" t="s">
        <v>70</v>
      </c>
      <c r="E34" s="2" t="s">
        <v>301</v>
      </c>
      <c r="F34" s="15">
        <v>3</v>
      </c>
      <c r="G34" s="16" t="s">
        <v>68</v>
      </c>
      <c r="H34" s="8">
        <v>11</v>
      </c>
      <c r="I34" s="8">
        <v>6</v>
      </c>
      <c r="J34" s="8">
        <v>8</v>
      </c>
      <c r="K34" s="8">
        <v>9</v>
      </c>
      <c r="L34" s="8"/>
      <c r="M34" s="8">
        <v>5</v>
      </c>
      <c r="N34" s="8">
        <v>5</v>
      </c>
      <c r="O34" s="8">
        <v>5</v>
      </c>
      <c r="P34" s="8"/>
      <c r="Q34" s="8"/>
      <c r="R34" s="8">
        <v>9</v>
      </c>
      <c r="S34" s="7"/>
      <c r="T34" s="7"/>
      <c r="U34" s="7"/>
      <c r="V34" s="22" t="s">
        <v>129</v>
      </c>
      <c r="W34" s="10" t="s">
        <v>177</v>
      </c>
      <c r="X34" s="9" t="s">
        <v>431</v>
      </c>
      <c r="Y34" s="9">
        <v>3</v>
      </c>
      <c r="Z34" s="9" t="s">
        <v>168</v>
      </c>
      <c r="AA34" s="9" t="s">
        <v>168</v>
      </c>
      <c r="AB34" s="9" t="s">
        <v>168</v>
      </c>
      <c r="AC34" s="119">
        <v>19</v>
      </c>
      <c r="AD34" s="32" t="s">
        <v>273</v>
      </c>
      <c r="AE34" s="159">
        <f>SUM(F34,H34,I34,J34,K34,M34,N34,O34,R34,Y34)</f>
        <v>64</v>
      </c>
      <c r="AF34" s="378"/>
      <c r="AG34" s="380"/>
    </row>
    <row r="35" spans="2:33" ht="31" thickBot="1">
      <c r="B35" s="327"/>
      <c r="C35" s="51" t="s">
        <v>71</v>
      </c>
      <c r="D35" s="51" t="s">
        <v>402</v>
      </c>
      <c r="E35" s="51" t="s">
        <v>296</v>
      </c>
      <c r="F35" s="123">
        <v>6</v>
      </c>
      <c r="G35" s="51" t="s">
        <v>72</v>
      </c>
      <c r="H35" s="36">
        <v>11</v>
      </c>
      <c r="I35" s="36">
        <v>6</v>
      </c>
      <c r="J35" s="36">
        <v>8</v>
      </c>
      <c r="K35" s="36">
        <v>9</v>
      </c>
      <c r="L35" s="36"/>
      <c r="M35" s="36">
        <v>5</v>
      </c>
      <c r="N35" s="36">
        <v>5</v>
      </c>
      <c r="O35" s="36">
        <v>5</v>
      </c>
      <c r="P35" s="36"/>
      <c r="Q35" s="36"/>
      <c r="R35" s="36">
        <v>9</v>
      </c>
      <c r="S35" s="37"/>
      <c r="T35" s="37"/>
      <c r="U35" s="37"/>
      <c r="V35" s="56" t="s">
        <v>129</v>
      </c>
      <c r="W35" s="38" t="s">
        <v>177</v>
      </c>
      <c r="X35" s="55" t="s">
        <v>431</v>
      </c>
      <c r="Y35" s="55">
        <v>3</v>
      </c>
      <c r="Z35" s="55" t="s">
        <v>168</v>
      </c>
      <c r="AA35" s="55" t="s">
        <v>168</v>
      </c>
      <c r="AB35" s="55" t="s">
        <v>168</v>
      </c>
      <c r="AC35" s="123">
        <v>20</v>
      </c>
      <c r="AD35" s="44" t="s">
        <v>274</v>
      </c>
      <c r="AE35" s="160">
        <f>SUM(F35,H35,I35,J35,K35,M35,N35,O35,R35,Y35)</f>
        <v>67</v>
      </c>
      <c r="AF35" s="378"/>
      <c r="AG35" s="380"/>
    </row>
    <row r="36" spans="2:33" ht="80" customHeight="1">
      <c r="B36" s="312" t="s">
        <v>9</v>
      </c>
      <c r="C36" s="439" t="s">
        <v>103</v>
      </c>
      <c r="D36" s="149" t="s">
        <v>98</v>
      </c>
      <c r="E36" s="149" t="s">
        <v>302</v>
      </c>
      <c r="F36" s="118">
        <v>8</v>
      </c>
      <c r="G36" s="103" t="s">
        <v>35</v>
      </c>
      <c r="H36" s="67">
        <v>11</v>
      </c>
      <c r="I36" s="67">
        <v>6</v>
      </c>
      <c r="J36" s="67">
        <v>8</v>
      </c>
      <c r="K36" s="67">
        <v>9</v>
      </c>
      <c r="L36" s="67">
        <v>10</v>
      </c>
      <c r="M36" s="67">
        <v>5</v>
      </c>
      <c r="N36" s="67">
        <v>5</v>
      </c>
      <c r="O36" s="67">
        <v>5</v>
      </c>
      <c r="P36" s="67">
        <v>8</v>
      </c>
      <c r="Q36" s="67">
        <v>5</v>
      </c>
      <c r="R36" s="67">
        <v>9</v>
      </c>
      <c r="S36" s="67">
        <v>4</v>
      </c>
      <c r="T36" s="67">
        <v>7</v>
      </c>
      <c r="U36" s="67">
        <v>4</v>
      </c>
      <c r="V36" s="69" t="s">
        <v>128</v>
      </c>
      <c r="W36" s="70" t="s">
        <v>308</v>
      </c>
      <c r="X36" s="71" t="s">
        <v>428</v>
      </c>
      <c r="Y36" s="71">
        <v>2</v>
      </c>
      <c r="Z36" s="70" t="s">
        <v>309</v>
      </c>
      <c r="AA36" s="71" t="s">
        <v>310</v>
      </c>
      <c r="AB36" s="72" t="s">
        <v>311</v>
      </c>
      <c r="AC36" s="121">
        <v>21</v>
      </c>
      <c r="AD36" s="113" t="s">
        <v>275</v>
      </c>
      <c r="AE36" s="158">
        <f>SUM(F36,H36,I36,J36,K36,L36,M36,N36,O36,P36,Q36,R36,S36,T36,U36,Y36)</f>
        <v>106</v>
      </c>
      <c r="AF36" s="369">
        <f>SUM(AE36:AE41)</f>
        <v>610</v>
      </c>
      <c r="AG36" s="366">
        <v>4</v>
      </c>
    </row>
    <row r="37" spans="2:33" ht="92" customHeight="1">
      <c r="B37" s="313"/>
      <c r="C37" s="440"/>
      <c r="D37" s="3" t="s">
        <v>100</v>
      </c>
      <c r="E37" s="3" t="s">
        <v>302</v>
      </c>
      <c r="F37" s="104">
        <v>8</v>
      </c>
      <c r="G37" s="4" t="s">
        <v>101</v>
      </c>
      <c r="H37" s="61">
        <v>11</v>
      </c>
      <c r="I37" s="61">
        <v>6</v>
      </c>
      <c r="J37" s="61">
        <v>8</v>
      </c>
      <c r="K37" s="61">
        <v>9</v>
      </c>
      <c r="L37" s="61">
        <v>10</v>
      </c>
      <c r="M37" s="61">
        <v>5</v>
      </c>
      <c r="N37" s="61">
        <v>5</v>
      </c>
      <c r="O37" s="61">
        <v>5</v>
      </c>
      <c r="P37" s="61">
        <v>8</v>
      </c>
      <c r="Q37" s="61">
        <v>5</v>
      </c>
      <c r="R37" s="61">
        <v>9</v>
      </c>
      <c r="S37" s="61">
        <v>4</v>
      </c>
      <c r="T37" s="61">
        <v>7</v>
      </c>
      <c r="U37" s="61">
        <v>4</v>
      </c>
      <c r="V37" s="22" t="s">
        <v>128</v>
      </c>
      <c r="W37" s="10" t="s">
        <v>312</v>
      </c>
      <c r="X37" s="9" t="s">
        <v>428</v>
      </c>
      <c r="Y37" s="9">
        <v>2</v>
      </c>
      <c r="Z37" s="10" t="s">
        <v>313</v>
      </c>
      <c r="AA37" s="9" t="s">
        <v>314</v>
      </c>
      <c r="AB37" s="13" t="s">
        <v>315</v>
      </c>
      <c r="AC37" s="119">
        <v>22</v>
      </c>
      <c r="AD37" s="110" t="s">
        <v>276</v>
      </c>
      <c r="AE37" s="159">
        <f>SUM(F37,H37,I37,J37,K37,L37,M37,N37,O37,P37,Q37,R37,S37,T37,U37,Y37)</f>
        <v>106</v>
      </c>
      <c r="AF37" s="372"/>
      <c r="AG37" s="367"/>
    </row>
    <row r="38" spans="2:33" ht="33.5" customHeight="1">
      <c r="B38" s="313"/>
      <c r="C38" s="440"/>
      <c r="D38" s="62" t="s">
        <v>102</v>
      </c>
      <c r="E38" s="62" t="s">
        <v>296</v>
      </c>
      <c r="F38" s="104">
        <v>6</v>
      </c>
      <c r="G38" s="3" t="s">
        <v>34</v>
      </c>
      <c r="H38" s="8">
        <v>11</v>
      </c>
      <c r="I38" s="61">
        <v>6</v>
      </c>
      <c r="J38" s="8">
        <v>8</v>
      </c>
      <c r="K38" s="8">
        <v>9</v>
      </c>
      <c r="L38" s="8">
        <v>10</v>
      </c>
      <c r="M38" s="8">
        <v>5</v>
      </c>
      <c r="N38" s="8">
        <v>5</v>
      </c>
      <c r="O38" s="8">
        <v>5</v>
      </c>
      <c r="P38" s="8">
        <v>8</v>
      </c>
      <c r="Q38" s="8">
        <v>5</v>
      </c>
      <c r="R38" s="8">
        <v>9</v>
      </c>
      <c r="S38" s="8">
        <v>4</v>
      </c>
      <c r="T38" s="8">
        <v>7</v>
      </c>
      <c r="U38" s="8">
        <v>4</v>
      </c>
      <c r="V38" s="22" t="s">
        <v>157</v>
      </c>
      <c r="W38" s="10" t="s">
        <v>278</v>
      </c>
      <c r="X38" s="9" t="s">
        <v>428</v>
      </c>
      <c r="Y38" s="9">
        <v>2</v>
      </c>
      <c r="Z38" s="12" t="s">
        <v>267</v>
      </c>
      <c r="AA38" s="11" t="s">
        <v>265</v>
      </c>
      <c r="AB38" s="11" t="s">
        <v>266</v>
      </c>
      <c r="AC38" s="104">
        <v>23</v>
      </c>
      <c r="AD38" s="32" t="s">
        <v>277</v>
      </c>
      <c r="AE38" s="159">
        <f>SUM(F38,H38,I38,J38,K38,L38,M38,N38,O38,P38,Q38,R38,S38,T38,U38,Y38)</f>
        <v>104</v>
      </c>
      <c r="AF38" s="372"/>
      <c r="AG38" s="367"/>
    </row>
    <row r="39" spans="2:33" ht="113" customHeight="1">
      <c r="B39" s="313"/>
      <c r="C39" s="440"/>
      <c r="D39" s="3" t="s">
        <v>280</v>
      </c>
      <c r="E39" s="3" t="s">
        <v>403</v>
      </c>
      <c r="F39" s="104">
        <v>5</v>
      </c>
      <c r="G39" s="3" t="s">
        <v>279</v>
      </c>
      <c r="H39" s="61">
        <v>11</v>
      </c>
      <c r="I39" s="61">
        <v>6</v>
      </c>
      <c r="J39" s="61">
        <v>8</v>
      </c>
      <c r="K39" s="61">
        <v>9</v>
      </c>
      <c r="L39" s="61">
        <v>10</v>
      </c>
      <c r="M39" s="61">
        <v>5</v>
      </c>
      <c r="N39" s="61">
        <v>5</v>
      </c>
      <c r="O39" s="61">
        <v>5</v>
      </c>
      <c r="P39" s="61">
        <v>8</v>
      </c>
      <c r="Q39" s="61">
        <v>5</v>
      </c>
      <c r="R39" s="61">
        <v>9</v>
      </c>
      <c r="S39" s="61">
        <v>4</v>
      </c>
      <c r="T39" s="61">
        <v>7</v>
      </c>
      <c r="U39" s="61">
        <v>4</v>
      </c>
      <c r="V39" s="22" t="s">
        <v>128</v>
      </c>
      <c r="W39" s="12" t="s">
        <v>316</v>
      </c>
      <c r="X39" s="9" t="s">
        <v>428</v>
      </c>
      <c r="Y39" s="9">
        <v>2</v>
      </c>
      <c r="Z39" s="12" t="s">
        <v>317</v>
      </c>
      <c r="AA39" s="11" t="s">
        <v>318</v>
      </c>
      <c r="AB39" s="14" t="s">
        <v>319</v>
      </c>
      <c r="AC39" s="104">
        <v>24</v>
      </c>
      <c r="AD39" s="110" t="s">
        <v>404</v>
      </c>
      <c r="AE39" s="159">
        <f>SUM(F39,H39,I39,J39,K39,L39,M39,N39,O39,P39,Q39,R39,S39,T39,U39,Y39)</f>
        <v>103</v>
      </c>
      <c r="AF39" s="372"/>
      <c r="AG39" s="367"/>
    </row>
    <row r="40" spans="2:33" ht="70">
      <c r="B40" s="313"/>
      <c r="C40" s="440"/>
      <c r="D40" s="105" t="s">
        <v>99</v>
      </c>
      <c r="E40" s="105" t="s">
        <v>303</v>
      </c>
      <c r="F40" s="50">
        <v>4</v>
      </c>
      <c r="G40" s="62" t="s">
        <v>88</v>
      </c>
      <c r="H40" s="8">
        <v>11</v>
      </c>
      <c r="I40" s="61">
        <v>6</v>
      </c>
      <c r="J40" s="8">
        <v>8</v>
      </c>
      <c r="K40" s="8">
        <v>9</v>
      </c>
      <c r="L40" s="8">
        <v>10</v>
      </c>
      <c r="M40" s="8">
        <v>5</v>
      </c>
      <c r="N40" s="8">
        <v>5</v>
      </c>
      <c r="O40" s="8">
        <v>5</v>
      </c>
      <c r="P40" s="8">
        <v>8</v>
      </c>
      <c r="Q40" s="8">
        <v>5</v>
      </c>
      <c r="R40" s="8">
        <v>9</v>
      </c>
      <c r="S40" s="8">
        <v>4</v>
      </c>
      <c r="T40" s="8">
        <v>7</v>
      </c>
      <c r="U40" s="8">
        <v>4</v>
      </c>
      <c r="V40" s="22" t="s">
        <v>157</v>
      </c>
      <c r="W40" s="10" t="s">
        <v>278</v>
      </c>
      <c r="X40" s="9" t="s">
        <v>428</v>
      </c>
      <c r="Y40" s="9">
        <v>2</v>
      </c>
      <c r="Z40" s="12" t="s">
        <v>267</v>
      </c>
      <c r="AA40" s="11" t="s">
        <v>265</v>
      </c>
      <c r="AB40" s="11" t="s">
        <v>266</v>
      </c>
      <c r="AC40" s="104">
        <v>25</v>
      </c>
      <c r="AD40" s="32" t="s">
        <v>326</v>
      </c>
      <c r="AE40" s="159">
        <f>SUM(F40,H40,I40,J40,K40,L40,M40,N40,O40,P40,Q40,R40,T40,S40,U40,Y40)</f>
        <v>102</v>
      </c>
      <c r="AF40" s="372"/>
      <c r="AG40" s="367"/>
    </row>
    <row r="41" spans="2:33" ht="58.5" customHeight="1" thickBot="1">
      <c r="B41" s="327"/>
      <c r="C41" s="441"/>
      <c r="D41" s="63" t="s">
        <v>107</v>
      </c>
      <c r="E41" s="63" t="s">
        <v>300</v>
      </c>
      <c r="F41" s="64">
        <v>5</v>
      </c>
      <c r="G41" s="49" t="s">
        <v>37</v>
      </c>
      <c r="H41" s="36">
        <v>11</v>
      </c>
      <c r="I41" s="46">
        <v>6</v>
      </c>
      <c r="J41" s="36">
        <v>8</v>
      </c>
      <c r="K41" s="36">
        <v>9</v>
      </c>
      <c r="L41" s="36">
        <v>10</v>
      </c>
      <c r="M41" s="36">
        <v>5</v>
      </c>
      <c r="N41" s="36">
        <v>5</v>
      </c>
      <c r="O41" s="36">
        <v>5</v>
      </c>
      <c r="P41" s="36">
        <v>8</v>
      </c>
      <c r="Q41" s="36">
        <v>5</v>
      </c>
      <c r="R41" s="36">
        <v>9</v>
      </c>
      <c r="S41" s="37"/>
      <c r="T41" s="37"/>
      <c r="U41" s="37"/>
      <c r="V41" s="56" t="s">
        <v>129</v>
      </c>
      <c r="W41" s="55" t="s">
        <v>177</v>
      </c>
      <c r="X41" s="55" t="s">
        <v>431</v>
      </c>
      <c r="Y41" s="55">
        <v>3</v>
      </c>
      <c r="Z41" s="55" t="s">
        <v>168</v>
      </c>
      <c r="AA41" s="55" t="s">
        <v>168</v>
      </c>
      <c r="AB41" s="55" t="s">
        <v>168</v>
      </c>
      <c r="AC41" s="123">
        <v>26</v>
      </c>
      <c r="AD41" s="150" t="s">
        <v>405</v>
      </c>
      <c r="AE41" s="160">
        <f>SUM(F41,H41,I41,J41,K41,L41,M41,N41,O41,P41,Q41,R41,Y41)</f>
        <v>89</v>
      </c>
      <c r="AF41" s="370"/>
      <c r="AG41" s="371"/>
    </row>
    <row r="42" spans="2:33" ht="75">
      <c r="B42" s="312" t="s">
        <v>119</v>
      </c>
      <c r="C42" s="415" t="s">
        <v>105</v>
      </c>
      <c r="D42" s="102" t="s">
        <v>282</v>
      </c>
      <c r="E42" s="415" t="s">
        <v>296</v>
      </c>
      <c r="F42" s="405">
        <v>6</v>
      </c>
      <c r="G42" s="103" t="s">
        <v>1</v>
      </c>
      <c r="H42" s="68">
        <v>11</v>
      </c>
      <c r="I42" s="68">
        <v>6</v>
      </c>
      <c r="J42" s="68">
        <v>8</v>
      </c>
      <c r="K42" s="68"/>
      <c r="L42" s="66"/>
      <c r="M42" s="66"/>
      <c r="N42" s="66"/>
      <c r="O42" s="66"/>
      <c r="P42" s="66"/>
      <c r="Q42" s="66"/>
      <c r="R42" s="68">
        <v>9</v>
      </c>
      <c r="S42" s="66"/>
      <c r="T42" s="66"/>
      <c r="U42" s="66"/>
      <c r="V42" s="69" t="s">
        <v>129</v>
      </c>
      <c r="W42" s="71" t="s">
        <v>177</v>
      </c>
      <c r="X42" s="71" t="s">
        <v>431</v>
      </c>
      <c r="Y42" s="71">
        <v>3</v>
      </c>
      <c r="Z42" s="71" t="s">
        <v>168</v>
      </c>
      <c r="AA42" s="71" t="s">
        <v>168</v>
      </c>
      <c r="AB42" s="71" t="s">
        <v>168</v>
      </c>
      <c r="AC42" s="121">
        <v>27</v>
      </c>
      <c r="AD42" s="73" t="s">
        <v>406</v>
      </c>
      <c r="AE42" s="158">
        <f>SUM(F42,H42,I42,J42,R42,Y42)</f>
        <v>43</v>
      </c>
      <c r="AF42" s="369">
        <f>SUM(AE42:AE47)</f>
        <v>254</v>
      </c>
      <c r="AG42" s="366">
        <v>6</v>
      </c>
    </row>
    <row r="43" spans="2:33" ht="69.5" customHeight="1">
      <c r="B43" s="313"/>
      <c r="C43" s="399"/>
      <c r="D43" s="62" t="s">
        <v>24</v>
      </c>
      <c r="E43" s="399"/>
      <c r="F43" s="401"/>
      <c r="G43" s="4" t="s">
        <v>39</v>
      </c>
      <c r="H43" s="8">
        <v>11</v>
      </c>
      <c r="I43" s="8">
        <v>6</v>
      </c>
      <c r="J43" s="8">
        <v>8</v>
      </c>
      <c r="K43" s="7"/>
      <c r="L43" s="7"/>
      <c r="M43" s="7"/>
      <c r="N43" s="7"/>
      <c r="O43" s="7"/>
      <c r="P43" s="7"/>
      <c r="Q43" s="7"/>
      <c r="R43" s="8">
        <v>9</v>
      </c>
      <c r="S43" s="7"/>
      <c r="T43" s="7"/>
      <c r="U43" s="7"/>
      <c r="V43" s="22" t="s">
        <v>129</v>
      </c>
      <c r="W43" s="9" t="s">
        <v>177</v>
      </c>
      <c r="X43" s="9" t="s">
        <v>431</v>
      </c>
      <c r="Y43" s="9">
        <v>3</v>
      </c>
      <c r="Z43" s="9" t="s">
        <v>168</v>
      </c>
      <c r="AA43" s="9" t="s">
        <v>168</v>
      </c>
      <c r="AB43" s="9" t="s">
        <v>168</v>
      </c>
      <c r="AC43" s="119">
        <v>28</v>
      </c>
      <c r="AD43" s="32" t="s">
        <v>281</v>
      </c>
      <c r="AE43" s="159">
        <f>SUM(F42,H43,I43,J43,R43,Y43)</f>
        <v>43</v>
      </c>
      <c r="AF43" s="372"/>
      <c r="AG43" s="367"/>
    </row>
    <row r="44" spans="2:33" ht="58.5" customHeight="1">
      <c r="B44" s="313"/>
      <c r="C44" s="399" t="s">
        <v>104</v>
      </c>
      <c r="D44" s="62" t="s">
        <v>3</v>
      </c>
      <c r="E44" s="399" t="s">
        <v>403</v>
      </c>
      <c r="F44" s="401">
        <v>5</v>
      </c>
      <c r="G44" s="4" t="s">
        <v>1</v>
      </c>
      <c r="H44" s="8">
        <v>11</v>
      </c>
      <c r="I44" s="8">
        <v>6</v>
      </c>
      <c r="J44" s="8">
        <v>8</v>
      </c>
      <c r="K44" s="8"/>
      <c r="L44" s="8"/>
      <c r="M44" s="8"/>
      <c r="N44" s="8"/>
      <c r="O44" s="8"/>
      <c r="P44" s="8"/>
      <c r="Q44" s="8"/>
      <c r="R44" s="8">
        <v>9</v>
      </c>
      <c r="S44" s="8"/>
      <c r="T44" s="8"/>
      <c r="U44" s="8"/>
      <c r="V44" s="22" t="s">
        <v>129</v>
      </c>
      <c r="W44" s="9" t="s">
        <v>177</v>
      </c>
      <c r="X44" s="9" t="s">
        <v>431</v>
      </c>
      <c r="Y44" s="9">
        <v>3</v>
      </c>
      <c r="Z44" s="9" t="s">
        <v>168</v>
      </c>
      <c r="AA44" s="9" t="s">
        <v>168</v>
      </c>
      <c r="AB44" s="9" t="s">
        <v>168</v>
      </c>
      <c r="AC44" s="119">
        <v>29</v>
      </c>
      <c r="AD44" s="32" t="s">
        <v>283</v>
      </c>
      <c r="AE44" s="159">
        <f>SUM(F44,H44,I44,J44,R44,Y44)</f>
        <v>42</v>
      </c>
      <c r="AF44" s="372"/>
      <c r="AG44" s="367"/>
    </row>
    <row r="45" spans="2:33" ht="30">
      <c r="B45" s="313"/>
      <c r="C45" s="399"/>
      <c r="D45" s="62" t="s">
        <v>25</v>
      </c>
      <c r="E45" s="399"/>
      <c r="F45" s="401"/>
      <c r="G45" s="4" t="s">
        <v>39</v>
      </c>
      <c r="H45" s="8">
        <v>11</v>
      </c>
      <c r="I45" s="8">
        <v>6</v>
      </c>
      <c r="J45" s="8">
        <v>8</v>
      </c>
      <c r="K45" s="8"/>
      <c r="L45" s="8"/>
      <c r="M45" s="8"/>
      <c r="N45" s="8"/>
      <c r="O45" s="8"/>
      <c r="P45" s="8"/>
      <c r="Q45" s="8"/>
      <c r="R45" s="8">
        <v>9</v>
      </c>
      <c r="S45" s="8"/>
      <c r="T45" s="8"/>
      <c r="U45" s="8"/>
      <c r="V45" s="22" t="s">
        <v>129</v>
      </c>
      <c r="W45" s="9" t="s">
        <v>177</v>
      </c>
      <c r="X45" s="9" t="s">
        <v>431</v>
      </c>
      <c r="Y45" s="9">
        <v>3</v>
      </c>
      <c r="Z45" s="9" t="s">
        <v>168</v>
      </c>
      <c r="AA45" s="9" t="s">
        <v>168</v>
      </c>
      <c r="AB45" s="9" t="s">
        <v>168</v>
      </c>
      <c r="AC45" s="119">
        <v>30</v>
      </c>
      <c r="AD45" s="32" t="s">
        <v>284</v>
      </c>
      <c r="AE45" s="159">
        <f>SUM(F44,H45,I45,J45,R45,Y45)</f>
        <v>42</v>
      </c>
      <c r="AF45" s="372"/>
      <c r="AG45" s="367"/>
    </row>
    <row r="46" spans="2:33" ht="45">
      <c r="B46" s="313"/>
      <c r="C46" s="399"/>
      <c r="D46" s="62" t="s">
        <v>4</v>
      </c>
      <c r="E46" s="399"/>
      <c r="F46" s="401"/>
      <c r="G46" s="4" t="s">
        <v>1</v>
      </c>
      <c r="H46" s="8">
        <v>11</v>
      </c>
      <c r="I46" s="8">
        <v>6</v>
      </c>
      <c r="J46" s="8">
        <v>8</v>
      </c>
      <c r="K46" s="8"/>
      <c r="L46" s="8"/>
      <c r="M46" s="8"/>
      <c r="N46" s="8"/>
      <c r="O46" s="8"/>
      <c r="P46" s="8"/>
      <c r="Q46" s="8"/>
      <c r="R46" s="8">
        <v>9</v>
      </c>
      <c r="S46" s="8"/>
      <c r="T46" s="8"/>
      <c r="U46" s="8"/>
      <c r="V46" s="22" t="s">
        <v>129</v>
      </c>
      <c r="W46" s="9" t="s">
        <v>177</v>
      </c>
      <c r="X46" s="9" t="s">
        <v>431</v>
      </c>
      <c r="Y46" s="9">
        <v>3</v>
      </c>
      <c r="Z46" s="9" t="s">
        <v>168</v>
      </c>
      <c r="AA46" s="9" t="s">
        <v>168</v>
      </c>
      <c r="AB46" s="9" t="s">
        <v>168</v>
      </c>
      <c r="AC46" s="119">
        <v>31</v>
      </c>
      <c r="AD46" s="32" t="s">
        <v>285</v>
      </c>
      <c r="AE46" s="159">
        <f>SUM(F44,H46,I46,J46,R46,Y46)</f>
        <v>42</v>
      </c>
      <c r="AF46" s="372"/>
      <c r="AG46" s="367"/>
    </row>
    <row r="47" spans="2:33" ht="74.5" customHeight="1" thickBot="1">
      <c r="B47" s="327"/>
      <c r="C47" s="63" t="s">
        <v>60</v>
      </c>
      <c r="D47" s="63" t="s">
        <v>286</v>
      </c>
      <c r="E47" s="63" t="s">
        <v>300</v>
      </c>
      <c r="F47" s="64">
        <v>5</v>
      </c>
      <c r="G47" s="21" t="s">
        <v>1</v>
      </c>
      <c r="H47" s="36">
        <v>11</v>
      </c>
      <c r="I47" s="36">
        <v>6</v>
      </c>
      <c r="J47" s="36">
        <v>8</v>
      </c>
      <c r="K47" s="36"/>
      <c r="L47" s="36"/>
      <c r="M47" s="36"/>
      <c r="N47" s="36"/>
      <c r="O47" s="36"/>
      <c r="P47" s="36"/>
      <c r="Q47" s="36"/>
      <c r="R47" s="36">
        <v>9</v>
      </c>
      <c r="S47" s="36"/>
      <c r="T47" s="36"/>
      <c r="U47" s="36"/>
      <c r="V47" s="56" t="s">
        <v>129</v>
      </c>
      <c r="W47" s="55" t="s">
        <v>177</v>
      </c>
      <c r="X47" s="55" t="s">
        <v>431</v>
      </c>
      <c r="Y47" s="55">
        <v>3</v>
      </c>
      <c r="Z47" s="55" t="s">
        <v>168</v>
      </c>
      <c r="AA47" s="55" t="s">
        <v>168</v>
      </c>
      <c r="AB47" s="55" t="s">
        <v>168</v>
      </c>
      <c r="AC47" s="123">
        <v>32</v>
      </c>
      <c r="AD47" s="44" t="s">
        <v>287</v>
      </c>
      <c r="AE47" s="160">
        <f>SUM(F47,H47,I47,J47,R47,Y47)</f>
        <v>42</v>
      </c>
      <c r="AF47" s="370"/>
      <c r="AG47" s="371"/>
    </row>
    <row r="48" spans="2:33" ht="87" customHeight="1">
      <c r="B48" s="312" t="s">
        <v>334</v>
      </c>
      <c r="C48" s="102" t="s">
        <v>293</v>
      </c>
      <c r="D48" s="102" t="s">
        <v>291</v>
      </c>
      <c r="E48" s="102" t="s">
        <v>320</v>
      </c>
      <c r="F48" s="118">
        <v>6</v>
      </c>
      <c r="G48" s="103" t="s">
        <v>106</v>
      </c>
      <c r="H48" s="68">
        <v>11</v>
      </c>
      <c r="I48" s="68">
        <v>6</v>
      </c>
      <c r="J48" s="68">
        <v>8</v>
      </c>
      <c r="K48" s="68">
        <v>9</v>
      </c>
      <c r="L48" s="68">
        <v>10</v>
      </c>
      <c r="M48" s="68">
        <v>5</v>
      </c>
      <c r="N48" s="68">
        <v>5</v>
      </c>
      <c r="O48" s="68">
        <v>5</v>
      </c>
      <c r="P48" s="68">
        <v>8</v>
      </c>
      <c r="Q48" s="68">
        <v>5</v>
      </c>
      <c r="R48" s="68">
        <v>9</v>
      </c>
      <c r="S48" s="68">
        <v>4</v>
      </c>
      <c r="T48" s="68">
        <v>7</v>
      </c>
      <c r="U48" s="68">
        <v>4</v>
      </c>
      <c r="V48" s="69" t="s">
        <v>128</v>
      </c>
      <c r="W48" s="70" t="s">
        <v>449</v>
      </c>
      <c r="X48" s="71" t="s">
        <v>428</v>
      </c>
      <c r="Y48" s="71">
        <v>2</v>
      </c>
      <c r="Z48" s="70" t="s">
        <v>304</v>
      </c>
      <c r="AA48" s="71" t="s">
        <v>196</v>
      </c>
      <c r="AB48" s="72" t="s">
        <v>197</v>
      </c>
      <c r="AC48" s="121">
        <v>33</v>
      </c>
      <c r="AD48" s="73" t="s">
        <v>289</v>
      </c>
      <c r="AE48" s="158">
        <f>SUM(F48,H48,I48,J48,K48,L48,M48,N48,O48,P48,Q48,R48,S48,T48,U48,Y48)</f>
        <v>104</v>
      </c>
      <c r="AF48" s="377">
        <f>SUM(AE48:AE49)</f>
        <v>208</v>
      </c>
      <c r="AG48" s="379">
        <v>5</v>
      </c>
    </row>
    <row r="49" spans="2:33" ht="197" thickBot="1">
      <c r="B49" s="327"/>
      <c r="C49" s="63" t="s">
        <v>62</v>
      </c>
      <c r="D49" s="63" t="s">
        <v>290</v>
      </c>
      <c r="E49" s="63" t="s">
        <v>321</v>
      </c>
      <c r="F49" s="64">
        <v>6</v>
      </c>
      <c r="G49" s="21" t="s">
        <v>288</v>
      </c>
      <c r="H49" s="36">
        <v>11</v>
      </c>
      <c r="I49" s="36">
        <v>6</v>
      </c>
      <c r="J49" s="36">
        <v>8</v>
      </c>
      <c r="K49" s="36">
        <v>9</v>
      </c>
      <c r="L49" s="36">
        <v>10</v>
      </c>
      <c r="M49" s="36">
        <v>5</v>
      </c>
      <c r="N49" s="36">
        <v>5</v>
      </c>
      <c r="O49" s="36">
        <v>5</v>
      </c>
      <c r="P49" s="36">
        <v>8</v>
      </c>
      <c r="Q49" s="36">
        <v>5</v>
      </c>
      <c r="R49" s="36">
        <v>9</v>
      </c>
      <c r="S49" s="36">
        <v>4</v>
      </c>
      <c r="T49" s="36">
        <v>7</v>
      </c>
      <c r="U49" s="36">
        <v>4</v>
      </c>
      <c r="V49" s="56" t="s">
        <v>128</v>
      </c>
      <c r="W49" s="38" t="s">
        <v>450</v>
      </c>
      <c r="X49" s="55" t="s">
        <v>432</v>
      </c>
      <c r="Y49" s="55">
        <v>2</v>
      </c>
      <c r="Z49" s="38" t="s">
        <v>203</v>
      </c>
      <c r="AA49" s="55" t="s">
        <v>204</v>
      </c>
      <c r="AB49" s="39" t="s">
        <v>205</v>
      </c>
      <c r="AC49" s="123">
        <v>34</v>
      </c>
      <c r="AD49" s="44" t="s">
        <v>292</v>
      </c>
      <c r="AE49" s="160">
        <f>SUM(F49,H49,I49,J49,K49,L49,M49,N49,O49,P49,Q49,R49,S49,T49,U49,Y49)</f>
        <v>104</v>
      </c>
      <c r="AF49" s="378"/>
      <c r="AG49" s="380"/>
    </row>
    <row r="50" spans="2:33" s="47" customFormat="1" ht="59.5" customHeight="1">
      <c r="B50" s="312" t="s">
        <v>109</v>
      </c>
      <c r="C50" s="407" t="s">
        <v>110</v>
      </c>
      <c r="D50" s="107" t="s">
        <v>95</v>
      </c>
      <c r="E50" s="464" t="s">
        <v>323</v>
      </c>
      <c r="F50" s="442">
        <v>5</v>
      </c>
      <c r="G50" s="108" t="s">
        <v>37</v>
      </c>
      <c r="H50" s="68">
        <v>11</v>
      </c>
      <c r="I50" s="68">
        <v>6</v>
      </c>
      <c r="J50" s="68">
        <v>8</v>
      </c>
      <c r="K50" s="68">
        <v>9</v>
      </c>
      <c r="L50" s="68">
        <v>10</v>
      </c>
      <c r="M50" s="68"/>
      <c r="N50" s="68"/>
      <c r="O50" s="68"/>
      <c r="P50" s="68"/>
      <c r="Q50" s="68"/>
      <c r="R50" s="68">
        <v>9</v>
      </c>
      <c r="S50" s="68"/>
      <c r="T50" s="68"/>
      <c r="U50" s="68"/>
      <c r="V50" s="69" t="s">
        <v>128</v>
      </c>
      <c r="W50" s="70" t="s">
        <v>163</v>
      </c>
      <c r="X50" s="71" t="s">
        <v>432</v>
      </c>
      <c r="Y50" s="71">
        <v>2</v>
      </c>
      <c r="Z50" s="70" t="s">
        <v>165</v>
      </c>
      <c r="AA50" s="71">
        <v>93</v>
      </c>
      <c r="AB50" s="72">
        <v>0.15459999999999999</v>
      </c>
      <c r="AC50" s="121">
        <v>35</v>
      </c>
      <c r="AD50" s="151" t="s">
        <v>407</v>
      </c>
      <c r="AE50" s="161">
        <f>SUM(F50,H50,I50,J50,K50,L50,M50,N50,O50,P50,Q50,R50,Y50)</f>
        <v>60</v>
      </c>
      <c r="AF50" s="381">
        <f>SUM(AE50:AE52)</f>
        <v>182</v>
      </c>
      <c r="AG50" s="384">
        <v>9</v>
      </c>
    </row>
    <row r="51" spans="2:33" ht="37.5" customHeight="1">
      <c r="B51" s="313"/>
      <c r="C51" s="324"/>
      <c r="D51" s="62" t="s">
        <v>408</v>
      </c>
      <c r="E51" s="465"/>
      <c r="F51" s="443"/>
      <c r="G51" s="16" t="s">
        <v>39</v>
      </c>
      <c r="H51" s="8">
        <v>11</v>
      </c>
      <c r="I51" s="8">
        <v>6</v>
      </c>
      <c r="J51" s="8">
        <v>8</v>
      </c>
      <c r="K51" s="8">
        <v>9</v>
      </c>
      <c r="L51" s="8">
        <v>10</v>
      </c>
      <c r="M51" s="8"/>
      <c r="N51" s="8"/>
      <c r="O51" s="8"/>
      <c r="P51" s="8"/>
      <c r="Q51" s="8"/>
      <c r="R51" s="8">
        <v>9</v>
      </c>
      <c r="S51" s="7"/>
      <c r="T51" s="7"/>
      <c r="U51" s="7"/>
      <c r="V51" s="22" t="s">
        <v>128</v>
      </c>
      <c r="W51" s="10" t="s">
        <v>164</v>
      </c>
      <c r="X51" s="9" t="s">
        <v>429</v>
      </c>
      <c r="Y51" s="9">
        <v>3</v>
      </c>
      <c r="Z51" s="10" t="s">
        <v>158</v>
      </c>
      <c r="AA51" s="9">
        <v>93</v>
      </c>
      <c r="AB51" s="13">
        <v>0.15459999999999999</v>
      </c>
      <c r="AC51" s="119">
        <v>36</v>
      </c>
      <c r="AD51" s="32" t="s">
        <v>324</v>
      </c>
      <c r="AE51" s="159">
        <f>SUM(F50,H51,I51,J51,K51,L51,M51,N51,O51,P51,Q51,R51,Y51)</f>
        <v>61</v>
      </c>
      <c r="AF51" s="382"/>
      <c r="AG51" s="385"/>
    </row>
    <row r="52" spans="2:33" ht="46" customHeight="1" thickBot="1">
      <c r="B52" s="327"/>
      <c r="C52" s="51" t="s">
        <v>111</v>
      </c>
      <c r="D52" s="63" t="s">
        <v>64</v>
      </c>
      <c r="E52" s="106" t="s">
        <v>323</v>
      </c>
      <c r="F52" s="64">
        <v>5</v>
      </c>
      <c r="G52" s="49" t="s">
        <v>38</v>
      </c>
      <c r="H52" s="36">
        <v>11</v>
      </c>
      <c r="I52" s="36">
        <v>6</v>
      </c>
      <c r="J52" s="36">
        <v>8</v>
      </c>
      <c r="K52" s="36">
        <v>9</v>
      </c>
      <c r="L52" s="36">
        <v>10</v>
      </c>
      <c r="M52" s="36"/>
      <c r="N52" s="36"/>
      <c r="O52" s="36"/>
      <c r="P52" s="36"/>
      <c r="Q52" s="36"/>
      <c r="R52" s="36">
        <v>9</v>
      </c>
      <c r="S52" s="37"/>
      <c r="T52" s="37"/>
      <c r="U52" s="37"/>
      <c r="V52" s="56" t="s">
        <v>128</v>
      </c>
      <c r="W52" s="52" t="s">
        <v>121</v>
      </c>
      <c r="X52" s="55" t="s">
        <v>429</v>
      </c>
      <c r="Y52" s="55">
        <v>3</v>
      </c>
      <c r="Z52" s="52" t="s">
        <v>159</v>
      </c>
      <c r="AA52" s="53">
        <v>246</v>
      </c>
      <c r="AB52" s="54">
        <v>0.33050000000000002</v>
      </c>
      <c r="AC52" s="64">
        <v>37</v>
      </c>
      <c r="AD52" s="44" t="s">
        <v>325</v>
      </c>
      <c r="AE52" s="160">
        <f>SUM(F52,H52,I52,J52,K52,L52,R52,Y52)</f>
        <v>61</v>
      </c>
      <c r="AF52" s="383"/>
      <c r="AG52" s="386"/>
    </row>
    <row r="53" spans="2:33">
      <c r="B53" s="312" t="s">
        <v>112</v>
      </c>
      <c r="C53" s="407" t="s">
        <v>113</v>
      </c>
      <c r="D53" s="102" t="s">
        <v>327</v>
      </c>
      <c r="E53" s="102" t="s">
        <v>333</v>
      </c>
      <c r="F53" s="118">
        <v>3</v>
      </c>
      <c r="G53" s="90" t="s">
        <v>39</v>
      </c>
      <c r="H53" s="68">
        <v>11</v>
      </c>
      <c r="I53" s="67">
        <v>6</v>
      </c>
      <c r="J53" s="68"/>
      <c r="K53" s="66"/>
      <c r="L53" s="66"/>
      <c r="M53" s="66"/>
      <c r="N53" s="66"/>
      <c r="O53" s="66"/>
      <c r="P53" s="66"/>
      <c r="Q53" s="66"/>
      <c r="R53" s="68">
        <v>9</v>
      </c>
      <c r="S53" s="66"/>
      <c r="T53" s="66"/>
      <c r="U53" s="66"/>
      <c r="V53" s="69" t="s">
        <v>136</v>
      </c>
      <c r="W53" s="70" t="s">
        <v>329</v>
      </c>
      <c r="X53" s="71" t="s">
        <v>431</v>
      </c>
      <c r="Y53" s="71">
        <v>3</v>
      </c>
      <c r="Z53" s="114" t="s">
        <v>168</v>
      </c>
      <c r="AA53" s="71" t="s">
        <v>168</v>
      </c>
      <c r="AB53" s="71" t="s">
        <v>168</v>
      </c>
      <c r="AC53" s="121">
        <v>38</v>
      </c>
      <c r="AD53" s="73" t="s">
        <v>328</v>
      </c>
      <c r="AE53" s="158">
        <f>SUM(F53,H53,I53,R53,Y53)</f>
        <v>32</v>
      </c>
      <c r="AF53" s="369">
        <f>SUM(AE53:AE57)</f>
        <v>160</v>
      </c>
      <c r="AG53" s="366">
        <v>11</v>
      </c>
    </row>
    <row r="54" spans="2:33" ht="37.5" customHeight="1">
      <c r="B54" s="313"/>
      <c r="C54" s="324"/>
      <c r="D54" s="62" t="s">
        <v>6</v>
      </c>
      <c r="E54" s="62" t="s">
        <v>333</v>
      </c>
      <c r="F54" s="104">
        <v>3</v>
      </c>
      <c r="G54" s="3" t="s">
        <v>5</v>
      </c>
      <c r="H54" s="8">
        <v>11</v>
      </c>
      <c r="I54" s="61">
        <v>6</v>
      </c>
      <c r="J54" s="8"/>
      <c r="K54" s="7"/>
      <c r="L54" s="7"/>
      <c r="M54" s="7"/>
      <c r="N54" s="7"/>
      <c r="O54" s="7"/>
      <c r="P54" s="7"/>
      <c r="Q54" s="7"/>
      <c r="R54" s="8">
        <v>9</v>
      </c>
      <c r="S54" s="7"/>
      <c r="T54" s="7"/>
      <c r="U54" s="7"/>
      <c r="V54" s="22" t="s">
        <v>136</v>
      </c>
      <c r="W54" s="10" t="s">
        <v>329</v>
      </c>
      <c r="X54" s="9" t="s">
        <v>431</v>
      </c>
      <c r="Y54" s="9">
        <v>3</v>
      </c>
      <c r="Z54" s="12" t="s">
        <v>168</v>
      </c>
      <c r="AA54" s="9" t="s">
        <v>168</v>
      </c>
      <c r="AB54" s="9" t="s">
        <v>168</v>
      </c>
      <c r="AC54" s="119">
        <v>39</v>
      </c>
      <c r="AD54" s="32" t="s">
        <v>330</v>
      </c>
      <c r="AE54" s="159">
        <f>SUM(F54,H54,I54,R54,Y54)</f>
        <v>32</v>
      </c>
      <c r="AF54" s="372"/>
      <c r="AG54" s="367"/>
    </row>
    <row r="55" spans="2:33" ht="45">
      <c r="B55" s="313"/>
      <c r="C55" s="324"/>
      <c r="D55" s="62" t="s">
        <v>11</v>
      </c>
      <c r="E55" s="62" t="s">
        <v>333</v>
      </c>
      <c r="F55" s="104">
        <v>3</v>
      </c>
      <c r="G55" s="4" t="s">
        <v>39</v>
      </c>
      <c r="H55" s="8">
        <v>11</v>
      </c>
      <c r="I55" s="61">
        <v>6</v>
      </c>
      <c r="J55" s="8"/>
      <c r="K55" s="7"/>
      <c r="L55" s="7"/>
      <c r="M55" s="7"/>
      <c r="N55" s="7"/>
      <c r="O55" s="7"/>
      <c r="P55" s="7"/>
      <c r="Q55" s="7"/>
      <c r="R55" s="8">
        <v>9</v>
      </c>
      <c r="S55" s="7"/>
      <c r="T55" s="7"/>
      <c r="U55" s="7"/>
      <c r="V55" s="22" t="s">
        <v>136</v>
      </c>
      <c r="W55" s="10" t="s">
        <v>329</v>
      </c>
      <c r="X55" s="9" t="s">
        <v>431</v>
      </c>
      <c r="Y55" s="9">
        <v>3</v>
      </c>
      <c r="Z55" s="12" t="s">
        <v>168</v>
      </c>
      <c r="AA55" s="9" t="s">
        <v>168</v>
      </c>
      <c r="AB55" s="9" t="s">
        <v>168</v>
      </c>
      <c r="AC55" s="119">
        <v>40</v>
      </c>
      <c r="AD55" s="32" t="s">
        <v>331</v>
      </c>
      <c r="AE55" s="159">
        <f>SUM(F55,H55,I55,R55,Y55)</f>
        <v>32</v>
      </c>
      <c r="AF55" s="372"/>
      <c r="AG55" s="367"/>
    </row>
    <row r="56" spans="2:33" ht="44" customHeight="1">
      <c r="B56" s="313"/>
      <c r="C56" s="324"/>
      <c r="D56" s="62" t="s">
        <v>14</v>
      </c>
      <c r="E56" s="62" t="s">
        <v>333</v>
      </c>
      <c r="F56" s="104">
        <v>3</v>
      </c>
      <c r="G56" s="324" t="s">
        <v>40</v>
      </c>
      <c r="H56" s="8">
        <v>11</v>
      </c>
      <c r="I56" s="61">
        <v>6</v>
      </c>
      <c r="J56" s="8"/>
      <c r="K56" s="8"/>
      <c r="L56" s="8"/>
      <c r="M56" s="8"/>
      <c r="N56" s="8"/>
      <c r="O56" s="8"/>
      <c r="P56" s="8"/>
      <c r="Q56" s="8"/>
      <c r="R56" s="8">
        <v>9</v>
      </c>
      <c r="S56" s="7"/>
      <c r="T56" s="7"/>
      <c r="U56" s="7"/>
      <c r="V56" s="22" t="s">
        <v>136</v>
      </c>
      <c r="W56" s="10" t="s">
        <v>329</v>
      </c>
      <c r="X56" s="9" t="s">
        <v>431</v>
      </c>
      <c r="Y56" s="9">
        <v>3</v>
      </c>
      <c r="Z56" s="12" t="s">
        <v>168</v>
      </c>
      <c r="AA56" s="9" t="s">
        <v>168</v>
      </c>
      <c r="AB56" s="9" t="s">
        <v>168</v>
      </c>
      <c r="AC56" s="119">
        <v>41</v>
      </c>
      <c r="AD56" s="32" t="s">
        <v>332</v>
      </c>
      <c r="AE56" s="159">
        <f>SUM(F56,H56,I56,R56,Y56)</f>
        <v>32</v>
      </c>
      <c r="AF56" s="372"/>
      <c r="AG56" s="367"/>
    </row>
    <row r="57" spans="2:33" ht="65.5" customHeight="1" thickBot="1">
      <c r="B57" s="327"/>
      <c r="C57" s="358"/>
      <c r="D57" s="63" t="s">
        <v>409</v>
      </c>
      <c r="E57" s="63" t="s">
        <v>333</v>
      </c>
      <c r="F57" s="64">
        <v>3</v>
      </c>
      <c r="G57" s="358"/>
      <c r="H57" s="36">
        <v>11</v>
      </c>
      <c r="I57" s="46">
        <v>6</v>
      </c>
      <c r="J57" s="36"/>
      <c r="K57" s="36"/>
      <c r="L57" s="36"/>
      <c r="M57" s="36"/>
      <c r="N57" s="36"/>
      <c r="O57" s="36"/>
      <c r="P57" s="36"/>
      <c r="Q57" s="36"/>
      <c r="R57" s="36">
        <v>9</v>
      </c>
      <c r="S57" s="37"/>
      <c r="T57" s="37"/>
      <c r="U57" s="37"/>
      <c r="V57" s="56" t="s">
        <v>136</v>
      </c>
      <c r="W57" s="38" t="s">
        <v>329</v>
      </c>
      <c r="X57" s="55" t="s">
        <v>431</v>
      </c>
      <c r="Y57" s="55">
        <v>3</v>
      </c>
      <c r="Z57" s="52" t="s">
        <v>168</v>
      </c>
      <c r="AA57" s="55" t="s">
        <v>168</v>
      </c>
      <c r="AB57" s="55" t="s">
        <v>168</v>
      </c>
      <c r="AC57" s="123">
        <v>42</v>
      </c>
      <c r="AD57" s="44" t="s">
        <v>332</v>
      </c>
      <c r="AE57" s="160">
        <f>SUM(F57,H57,I57,R57,Y57)</f>
        <v>32</v>
      </c>
      <c r="AF57" s="370"/>
      <c r="AG57" s="371"/>
    </row>
    <row r="58" spans="2:33" ht="56.5" customHeight="1" thickBot="1">
      <c r="B58" s="116" t="s">
        <v>66</v>
      </c>
      <c r="C58" s="92" t="s">
        <v>84</v>
      </c>
      <c r="D58" s="93" t="s">
        <v>2</v>
      </c>
      <c r="E58" s="93" t="s">
        <v>297</v>
      </c>
      <c r="F58" s="94">
        <v>5</v>
      </c>
      <c r="G58" s="101" t="s">
        <v>43</v>
      </c>
      <c r="H58" s="91">
        <v>11</v>
      </c>
      <c r="I58" s="91">
        <v>6</v>
      </c>
      <c r="J58" s="91">
        <v>8</v>
      </c>
      <c r="K58" s="91">
        <v>9</v>
      </c>
      <c r="L58" s="91">
        <v>10</v>
      </c>
      <c r="M58" s="91">
        <v>5</v>
      </c>
      <c r="N58" s="91">
        <v>5</v>
      </c>
      <c r="O58" s="91">
        <v>5</v>
      </c>
      <c r="P58" s="91">
        <v>8</v>
      </c>
      <c r="Q58" s="91">
        <v>5</v>
      </c>
      <c r="R58" s="91">
        <v>9</v>
      </c>
      <c r="S58" s="91">
        <v>4</v>
      </c>
      <c r="T58" s="91">
        <v>7</v>
      </c>
      <c r="U58" s="91">
        <v>4</v>
      </c>
      <c r="V58" s="96" t="s">
        <v>136</v>
      </c>
      <c r="W58" s="97" t="s">
        <v>329</v>
      </c>
      <c r="X58" s="98" t="s">
        <v>431</v>
      </c>
      <c r="Y58" s="98">
        <v>3</v>
      </c>
      <c r="Z58" s="117" t="s">
        <v>168</v>
      </c>
      <c r="AA58" s="98" t="s">
        <v>168</v>
      </c>
      <c r="AB58" s="98" t="s">
        <v>168</v>
      </c>
      <c r="AC58" s="122">
        <v>43</v>
      </c>
      <c r="AD58" s="99" t="s">
        <v>335</v>
      </c>
      <c r="AE58" s="162">
        <f>SUM(F58,H58,I58,J58,K58,L58,M58,N58,O58,P58,Q58,R58,S58,T58,U58,Y58)</f>
        <v>104</v>
      </c>
      <c r="AF58" s="162">
        <f>SUM(AE58)</f>
        <v>104</v>
      </c>
      <c r="AG58" s="152">
        <v>12</v>
      </c>
    </row>
    <row r="59" spans="2:33" ht="46.5" customHeight="1">
      <c r="B59" s="312" t="s">
        <v>75</v>
      </c>
      <c r="C59" s="90" t="s">
        <v>336</v>
      </c>
      <c r="D59" s="102" t="s">
        <v>0</v>
      </c>
      <c r="E59" s="102" t="s">
        <v>297</v>
      </c>
      <c r="F59" s="118">
        <v>5</v>
      </c>
      <c r="G59" s="103" t="s">
        <v>400</v>
      </c>
      <c r="H59" s="68">
        <v>11</v>
      </c>
      <c r="I59" s="67">
        <v>6</v>
      </c>
      <c r="J59" s="68">
        <v>8</v>
      </c>
      <c r="K59" s="68">
        <v>9</v>
      </c>
      <c r="L59" s="68">
        <v>10</v>
      </c>
      <c r="M59" s="68">
        <v>5</v>
      </c>
      <c r="N59" s="68">
        <v>5</v>
      </c>
      <c r="O59" s="68">
        <v>5</v>
      </c>
      <c r="P59" s="68">
        <v>8</v>
      </c>
      <c r="Q59" s="68">
        <v>5</v>
      </c>
      <c r="R59" s="68">
        <v>9</v>
      </c>
      <c r="S59" s="68">
        <v>4</v>
      </c>
      <c r="T59" s="68">
        <v>7</v>
      </c>
      <c r="U59" s="68">
        <v>4</v>
      </c>
      <c r="V59" s="69" t="s">
        <v>136</v>
      </c>
      <c r="W59" s="70" t="s">
        <v>329</v>
      </c>
      <c r="X59" s="71" t="s">
        <v>431</v>
      </c>
      <c r="Y59" s="71">
        <v>3</v>
      </c>
      <c r="Z59" s="114" t="s">
        <v>168</v>
      </c>
      <c r="AA59" s="71" t="s">
        <v>168</v>
      </c>
      <c r="AB59" s="71" t="s">
        <v>168</v>
      </c>
      <c r="AC59" s="121">
        <v>44</v>
      </c>
      <c r="AD59" s="73" t="s">
        <v>337</v>
      </c>
      <c r="AE59" s="158">
        <f>SUM(F59,H59,I59,J59,K59,L59,M59,N59,O59,P59,Q59,R59,S59,T59,U59,Y59)</f>
        <v>104</v>
      </c>
      <c r="AF59" s="369">
        <f>SUM(AE59:AE66)</f>
        <v>835</v>
      </c>
      <c r="AG59" s="366">
        <v>2</v>
      </c>
    </row>
    <row r="60" spans="2:33" ht="71" customHeight="1">
      <c r="B60" s="313"/>
      <c r="C60" s="324" t="s">
        <v>92</v>
      </c>
      <c r="D60" s="62" t="s">
        <v>342</v>
      </c>
      <c r="E60" s="399" t="s">
        <v>320</v>
      </c>
      <c r="F60" s="401">
        <v>6</v>
      </c>
      <c r="G60" s="4" t="s">
        <v>37</v>
      </c>
      <c r="H60" s="8">
        <v>11</v>
      </c>
      <c r="I60" s="61">
        <v>6</v>
      </c>
      <c r="J60" s="8">
        <v>8</v>
      </c>
      <c r="K60" s="8">
        <v>9</v>
      </c>
      <c r="L60" s="8">
        <v>10</v>
      </c>
      <c r="M60" s="8">
        <v>5</v>
      </c>
      <c r="N60" s="8">
        <v>5</v>
      </c>
      <c r="O60" s="8">
        <v>5</v>
      </c>
      <c r="P60" s="8">
        <v>8</v>
      </c>
      <c r="Q60" s="8">
        <v>5</v>
      </c>
      <c r="R60" s="8">
        <v>9</v>
      </c>
      <c r="S60" s="8">
        <v>4</v>
      </c>
      <c r="T60" s="8">
        <v>7</v>
      </c>
      <c r="U60" s="8">
        <v>4</v>
      </c>
      <c r="V60" s="22" t="s">
        <v>136</v>
      </c>
      <c r="W60" s="10" t="s">
        <v>329</v>
      </c>
      <c r="X60" s="9" t="s">
        <v>431</v>
      </c>
      <c r="Y60" s="9">
        <v>3</v>
      </c>
      <c r="Z60" s="12" t="s">
        <v>168</v>
      </c>
      <c r="AA60" s="9" t="s">
        <v>168</v>
      </c>
      <c r="AB60" s="9" t="s">
        <v>168</v>
      </c>
      <c r="AC60" s="119">
        <v>45</v>
      </c>
      <c r="AD60" s="32" t="s">
        <v>338</v>
      </c>
      <c r="AE60" s="159">
        <f>SUM(F60,H60,I60,J60,K60,L60,M60,N60,O60,P60,Q60,R60,S60,T60,U60,Y60)</f>
        <v>105</v>
      </c>
      <c r="AF60" s="372"/>
      <c r="AG60" s="367"/>
    </row>
    <row r="61" spans="2:33" ht="52" customHeight="1">
      <c r="B61" s="313"/>
      <c r="C61" s="324"/>
      <c r="D61" s="62" t="s">
        <v>340</v>
      </c>
      <c r="E61" s="399"/>
      <c r="F61" s="401"/>
      <c r="G61" s="16" t="s">
        <v>42</v>
      </c>
      <c r="H61" s="8">
        <v>11</v>
      </c>
      <c r="I61" s="61">
        <v>6</v>
      </c>
      <c r="J61" s="8">
        <v>8</v>
      </c>
      <c r="K61" s="8">
        <v>9</v>
      </c>
      <c r="L61" s="8">
        <v>10</v>
      </c>
      <c r="M61" s="8">
        <v>5</v>
      </c>
      <c r="N61" s="8">
        <v>5</v>
      </c>
      <c r="O61" s="8">
        <v>5</v>
      </c>
      <c r="P61" s="8">
        <v>8</v>
      </c>
      <c r="Q61" s="8">
        <v>5</v>
      </c>
      <c r="R61" s="8">
        <v>9</v>
      </c>
      <c r="S61" s="8">
        <v>4</v>
      </c>
      <c r="T61" s="8">
        <v>7</v>
      </c>
      <c r="U61" s="8">
        <v>4</v>
      </c>
      <c r="V61" s="22" t="s">
        <v>136</v>
      </c>
      <c r="W61" s="10" t="s">
        <v>329</v>
      </c>
      <c r="X61" s="9" t="s">
        <v>431</v>
      </c>
      <c r="Y61" s="9">
        <v>3</v>
      </c>
      <c r="Z61" s="12" t="s">
        <v>168</v>
      </c>
      <c r="AA61" s="9" t="s">
        <v>168</v>
      </c>
      <c r="AB61" s="9" t="s">
        <v>168</v>
      </c>
      <c r="AC61" s="119">
        <v>46</v>
      </c>
      <c r="AD61" s="32" t="s">
        <v>339</v>
      </c>
      <c r="AE61" s="159">
        <f>SUM(F60,H61,I61,J61,K61,L61,M61,N61,O61,P61,Q61,R61,S61,T61,U61,Y61)</f>
        <v>105</v>
      </c>
      <c r="AF61" s="372"/>
      <c r="AG61" s="367"/>
    </row>
    <row r="62" spans="2:33" ht="150">
      <c r="B62" s="313"/>
      <c r="C62" s="324"/>
      <c r="D62" s="62" t="s">
        <v>410</v>
      </c>
      <c r="E62" s="399"/>
      <c r="F62" s="401"/>
      <c r="G62" s="4" t="s">
        <v>341</v>
      </c>
      <c r="H62" s="8">
        <v>11</v>
      </c>
      <c r="I62" s="8">
        <v>6</v>
      </c>
      <c r="J62" s="8">
        <v>8</v>
      </c>
      <c r="K62" s="8">
        <v>9</v>
      </c>
      <c r="L62" s="8">
        <v>10</v>
      </c>
      <c r="M62" s="8">
        <v>5</v>
      </c>
      <c r="N62" s="8">
        <v>5</v>
      </c>
      <c r="O62" s="8">
        <v>5</v>
      </c>
      <c r="P62" s="8">
        <v>8</v>
      </c>
      <c r="Q62" s="8">
        <v>5</v>
      </c>
      <c r="R62" s="8">
        <v>9</v>
      </c>
      <c r="S62" s="8">
        <v>4</v>
      </c>
      <c r="T62" s="8">
        <v>7</v>
      </c>
      <c r="U62" s="8">
        <v>4</v>
      </c>
      <c r="V62" s="22" t="s">
        <v>136</v>
      </c>
      <c r="W62" s="10" t="s">
        <v>329</v>
      </c>
      <c r="X62" s="9" t="s">
        <v>431</v>
      </c>
      <c r="Y62" s="9">
        <v>3</v>
      </c>
      <c r="Z62" s="12" t="s">
        <v>168</v>
      </c>
      <c r="AA62" s="9" t="s">
        <v>168</v>
      </c>
      <c r="AB62" s="9" t="s">
        <v>168</v>
      </c>
      <c r="AC62" s="119">
        <v>47</v>
      </c>
      <c r="AD62" s="32" t="s">
        <v>411</v>
      </c>
      <c r="AE62" s="159">
        <f>SUM(F60,H62,I62,J62,K62,L62,M62,N62,O62,P62,Q62,R62,S62,T62,U62,Y62)</f>
        <v>105</v>
      </c>
      <c r="AF62" s="372"/>
      <c r="AG62" s="367"/>
    </row>
    <row r="63" spans="2:33" ht="57" customHeight="1">
      <c r="B63" s="313"/>
      <c r="C63" s="324" t="s">
        <v>120</v>
      </c>
      <c r="D63" s="62" t="s">
        <v>123</v>
      </c>
      <c r="E63" s="399" t="s">
        <v>297</v>
      </c>
      <c r="F63" s="401">
        <v>5</v>
      </c>
      <c r="G63" s="324" t="s">
        <v>412</v>
      </c>
      <c r="H63" s="8">
        <v>11</v>
      </c>
      <c r="I63" s="61">
        <v>6</v>
      </c>
      <c r="J63" s="8">
        <v>8</v>
      </c>
      <c r="K63" s="8">
        <v>9</v>
      </c>
      <c r="L63" s="8">
        <v>10</v>
      </c>
      <c r="M63" s="8">
        <v>5</v>
      </c>
      <c r="N63" s="8">
        <v>5</v>
      </c>
      <c r="O63" s="8">
        <v>5</v>
      </c>
      <c r="P63" s="8">
        <v>8</v>
      </c>
      <c r="Q63" s="8">
        <v>5</v>
      </c>
      <c r="R63" s="8">
        <v>9</v>
      </c>
      <c r="S63" s="8">
        <v>4</v>
      </c>
      <c r="T63" s="8">
        <v>7</v>
      </c>
      <c r="U63" s="8">
        <v>4</v>
      </c>
      <c r="V63" s="22" t="s">
        <v>128</v>
      </c>
      <c r="W63" s="10" t="s">
        <v>160</v>
      </c>
      <c r="X63" s="9" t="s">
        <v>429</v>
      </c>
      <c r="Y63" s="9">
        <v>3</v>
      </c>
      <c r="Z63" s="10" t="s">
        <v>162</v>
      </c>
      <c r="AA63" s="9" t="s">
        <v>166</v>
      </c>
      <c r="AB63" s="13" t="s">
        <v>167</v>
      </c>
      <c r="AC63" s="119">
        <v>48</v>
      </c>
      <c r="AD63" s="32" t="s">
        <v>343</v>
      </c>
      <c r="AE63" s="159">
        <f>SUM(F63,H63,I63,J63,K63,L63,M63,N63,O63,P63,Q63,R63,S63,T63,U63,Y63)</f>
        <v>104</v>
      </c>
      <c r="AF63" s="372"/>
      <c r="AG63" s="367"/>
    </row>
    <row r="64" spans="2:33" ht="54.5" customHeight="1">
      <c r="B64" s="313"/>
      <c r="C64" s="324"/>
      <c r="D64" s="62" t="s">
        <v>413</v>
      </c>
      <c r="E64" s="399"/>
      <c r="F64" s="401"/>
      <c r="G64" s="324"/>
      <c r="H64" s="8">
        <v>11</v>
      </c>
      <c r="I64" s="61">
        <v>6</v>
      </c>
      <c r="J64" s="8">
        <v>8</v>
      </c>
      <c r="K64" s="8">
        <v>9</v>
      </c>
      <c r="L64" s="8">
        <v>10</v>
      </c>
      <c r="M64" s="8">
        <v>5</v>
      </c>
      <c r="N64" s="8">
        <v>5</v>
      </c>
      <c r="O64" s="8">
        <v>5</v>
      </c>
      <c r="P64" s="8">
        <v>8</v>
      </c>
      <c r="Q64" s="8">
        <v>5</v>
      </c>
      <c r="R64" s="8">
        <v>9</v>
      </c>
      <c r="S64" s="8">
        <v>4</v>
      </c>
      <c r="T64" s="8">
        <v>7</v>
      </c>
      <c r="U64" s="8">
        <v>4</v>
      </c>
      <c r="V64" s="22" t="s">
        <v>128</v>
      </c>
      <c r="W64" s="12" t="s">
        <v>122</v>
      </c>
      <c r="X64" s="11" t="s">
        <v>429</v>
      </c>
      <c r="Y64" s="11">
        <v>3</v>
      </c>
      <c r="Z64" s="10" t="s">
        <v>161</v>
      </c>
      <c r="AA64" s="9">
        <v>256</v>
      </c>
      <c r="AB64" s="13">
        <v>0.3493</v>
      </c>
      <c r="AC64" s="119">
        <v>49</v>
      </c>
      <c r="AD64" s="32" t="s">
        <v>414</v>
      </c>
      <c r="AE64" s="159">
        <f>SUM(F63,H64,I64,J64,K64,L64,M64,N64,O64,P64,Q64,R64,S64,T64,U64,Y64)</f>
        <v>104</v>
      </c>
      <c r="AF64" s="372"/>
      <c r="AG64" s="367"/>
    </row>
    <row r="65" spans="2:33" ht="30">
      <c r="B65" s="313"/>
      <c r="C65" s="324"/>
      <c r="D65" s="5" t="s">
        <v>132</v>
      </c>
      <c r="E65" s="399"/>
      <c r="F65" s="401"/>
      <c r="G65" s="324"/>
      <c r="H65" s="8">
        <v>11</v>
      </c>
      <c r="I65" s="61">
        <v>6</v>
      </c>
      <c r="J65" s="8">
        <v>8</v>
      </c>
      <c r="K65" s="8">
        <v>9</v>
      </c>
      <c r="L65" s="8">
        <v>10</v>
      </c>
      <c r="M65" s="8">
        <v>5</v>
      </c>
      <c r="N65" s="8">
        <v>5</v>
      </c>
      <c r="O65" s="8">
        <v>5</v>
      </c>
      <c r="P65" s="8">
        <v>8</v>
      </c>
      <c r="Q65" s="8">
        <v>5</v>
      </c>
      <c r="R65" s="8">
        <v>9</v>
      </c>
      <c r="S65" s="8">
        <v>4</v>
      </c>
      <c r="T65" s="8">
        <v>7</v>
      </c>
      <c r="U65" s="8">
        <v>4</v>
      </c>
      <c r="V65" s="22" t="s">
        <v>136</v>
      </c>
      <c r="W65" s="10" t="s">
        <v>329</v>
      </c>
      <c r="X65" s="9" t="s">
        <v>431</v>
      </c>
      <c r="Y65" s="9">
        <v>3</v>
      </c>
      <c r="Z65" s="12" t="s">
        <v>168</v>
      </c>
      <c r="AA65" s="9" t="s">
        <v>168</v>
      </c>
      <c r="AB65" s="9" t="s">
        <v>168</v>
      </c>
      <c r="AC65" s="119">
        <v>50</v>
      </c>
      <c r="AD65" s="32" t="s">
        <v>344</v>
      </c>
      <c r="AE65" s="159">
        <f>SUM(F63,H65,I65,J65,K65,L65,M65,N65,O65,P65,Q65,R65,S65,T65,U65,Y65)</f>
        <v>104</v>
      </c>
      <c r="AF65" s="372"/>
      <c r="AG65" s="367"/>
    </row>
    <row r="66" spans="2:33" ht="31" thickBot="1">
      <c r="B66" s="327"/>
      <c r="C66" s="358"/>
      <c r="D66" s="125" t="s">
        <v>124</v>
      </c>
      <c r="E66" s="434"/>
      <c r="F66" s="406"/>
      <c r="G66" s="358"/>
      <c r="H66" s="36">
        <v>11</v>
      </c>
      <c r="I66" s="46">
        <v>6</v>
      </c>
      <c r="J66" s="36">
        <v>8</v>
      </c>
      <c r="K66" s="36">
        <v>9</v>
      </c>
      <c r="L66" s="36">
        <v>10</v>
      </c>
      <c r="M66" s="36">
        <v>5</v>
      </c>
      <c r="N66" s="36">
        <v>5</v>
      </c>
      <c r="O66" s="36">
        <v>5</v>
      </c>
      <c r="P66" s="36">
        <v>8</v>
      </c>
      <c r="Q66" s="36">
        <v>5</v>
      </c>
      <c r="R66" s="36">
        <v>9</v>
      </c>
      <c r="S66" s="36">
        <v>4</v>
      </c>
      <c r="T66" s="36">
        <v>7</v>
      </c>
      <c r="U66" s="36">
        <v>4</v>
      </c>
      <c r="V66" s="56" t="s">
        <v>136</v>
      </c>
      <c r="W66" s="38" t="s">
        <v>329</v>
      </c>
      <c r="X66" s="55" t="s">
        <v>431</v>
      </c>
      <c r="Y66" s="55">
        <v>3</v>
      </c>
      <c r="Z66" s="52" t="s">
        <v>168</v>
      </c>
      <c r="AA66" s="55" t="s">
        <v>168</v>
      </c>
      <c r="AB66" s="55" t="s">
        <v>168</v>
      </c>
      <c r="AC66" s="123">
        <v>51</v>
      </c>
      <c r="AD66" s="44" t="s">
        <v>345</v>
      </c>
      <c r="AE66" s="160">
        <f>SUM(F63,H66,I66,J66,K66,L66,M66,N66,O66,P66,Q66,R66,S66,T66,U66,Y66)</f>
        <v>104</v>
      </c>
      <c r="AF66" s="370"/>
      <c r="AG66" s="371"/>
    </row>
    <row r="67" spans="2:33" ht="53.5" customHeight="1">
      <c r="B67" s="312" t="s">
        <v>45</v>
      </c>
      <c r="C67" s="407" t="s">
        <v>80</v>
      </c>
      <c r="D67" s="102" t="s">
        <v>392</v>
      </c>
      <c r="E67" s="415" t="s">
        <v>320</v>
      </c>
      <c r="F67" s="405">
        <v>6</v>
      </c>
      <c r="G67" s="103" t="s">
        <v>39</v>
      </c>
      <c r="H67" s="68">
        <v>11</v>
      </c>
      <c r="I67" s="68">
        <v>6</v>
      </c>
      <c r="J67" s="68">
        <v>8</v>
      </c>
      <c r="K67" s="68">
        <v>9</v>
      </c>
      <c r="L67" s="68">
        <v>10</v>
      </c>
      <c r="M67" s="68">
        <v>5</v>
      </c>
      <c r="N67" s="68">
        <v>5</v>
      </c>
      <c r="O67" s="68">
        <v>5</v>
      </c>
      <c r="P67" s="68">
        <v>8</v>
      </c>
      <c r="Q67" s="68">
        <v>5</v>
      </c>
      <c r="R67" s="68">
        <v>9</v>
      </c>
      <c r="S67" s="68">
        <v>4</v>
      </c>
      <c r="T67" s="68">
        <v>7</v>
      </c>
      <c r="U67" s="68">
        <v>4</v>
      </c>
      <c r="V67" s="69" t="s">
        <v>157</v>
      </c>
      <c r="W67" s="165" t="s">
        <v>443</v>
      </c>
      <c r="X67" s="98" t="s">
        <v>427</v>
      </c>
      <c r="Y67" s="71">
        <v>2</v>
      </c>
      <c r="Z67" s="70" t="s">
        <v>439</v>
      </c>
      <c r="AA67" s="98" t="s">
        <v>437</v>
      </c>
      <c r="AB67" s="98" t="s">
        <v>438</v>
      </c>
      <c r="AC67" s="121">
        <v>52</v>
      </c>
      <c r="AD67" s="73" t="s">
        <v>444</v>
      </c>
      <c r="AE67" s="158">
        <f>SUM(F67,H67,I67,J67,K67,L67,M67,N67,O67,P67,Q67,R67,S67,T67,U67,Y67)</f>
        <v>104</v>
      </c>
      <c r="AF67" s="369">
        <f>SUM(AE67:AE77)</f>
        <v>1086</v>
      </c>
      <c r="AG67" s="366">
        <v>1</v>
      </c>
    </row>
    <row r="68" spans="2:33" ht="56">
      <c r="B68" s="313"/>
      <c r="C68" s="324"/>
      <c r="D68" s="167" t="s">
        <v>16</v>
      </c>
      <c r="E68" s="399"/>
      <c r="F68" s="401"/>
      <c r="G68" s="324" t="s">
        <v>5</v>
      </c>
      <c r="H68" s="8">
        <v>11</v>
      </c>
      <c r="I68" s="8">
        <v>6</v>
      </c>
      <c r="J68" s="8">
        <v>8</v>
      </c>
      <c r="K68" s="8">
        <v>9</v>
      </c>
      <c r="L68" s="8">
        <v>10</v>
      </c>
      <c r="M68" s="8">
        <v>5</v>
      </c>
      <c r="N68" s="8">
        <v>5</v>
      </c>
      <c r="O68" s="8">
        <v>5</v>
      </c>
      <c r="P68" s="8">
        <v>8</v>
      </c>
      <c r="Q68" s="8">
        <v>5</v>
      </c>
      <c r="R68" s="8">
        <v>9</v>
      </c>
      <c r="S68" s="8">
        <v>4</v>
      </c>
      <c r="T68" s="8">
        <v>7</v>
      </c>
      <c r="U68" s="8">
        <v>4</v>
      </c>
      <c r="V68" s="22" t="s">
        <v>157</v>
      </c>
      <c r="W68" s="166" t="s">
        <v>440</v>
      </c>
      <c r="X68" s="9" t="s">
        <v>427</v>
      </c>
      <c r="Y68" s="9">
        <v>2</v>
      </c>
      <c r="Z68" s="38" t="s">
        <v>439</v>
      </c>
      <c r="AA68" s="9" t="s">
        <v>437</v>
      </c>
      <c r="AB68" s="9" t="s">
        <v>437</v>
      </c>
      <c r="AC68" s="119">
        <v>53</v>
      </c>
      <c r="AD68" s="32" t="s">
        <v>445</v>
      </c>
      <c r="AE68" s="159">
        <f>SUM(F67,H68,I68,J68,K68,L68,M68,N68,O68,P68,Q68,R68,S68,T68,U68,Y68)</f>
        <v>104</v>
      </c>
      <c r="AF68" s="372"/>
      <c r="AG68" s="367"/>
    </row>
    <row r="69" spans="2:33" ht="126">
      <c r="B69" s="313"/>
      <c r="C69" s="324"/>
      <c r="D69" s="6" t="s">
        <v>17</v>
      </c>
      <c r="E69" s="399"/>
      <c r="F69" s="401"/>
      <c r="G69" s="324"/>
      <c r="H69" s="8">
        <v>11</v>
      </c>
      <c r="I69" s="8">
        <v>6</v>
      </c>
      <c r="J69" s="8">
        <v>8</v>
      </c>
      <c r="K69" s="8">
        <v>9</v>
      </c>
      <c r="L69" s="8">
        <v>10</v>
      </c>
      <c r="M69" s="8">
        <v>5</v>
      </c>
      <c r="N69" s="8">
        <v>5</v>
      </c>
      <c r="O69" s="8">
        <v>5</v>
      </c>
      <c r="P69" s="8">
        <v>8</v>
      </c>
      <c r="Q69" s="8">
        <v>5</v>
      </c>
      <c r="R69" s="8">
        <v>9</v>
      </c>
      <c r="S69" s="8"/>
      <c r="T69" s="8"/>
      <c r="U69" s="8"/>
      <c r="V69" s="22" t="s">
        <v>157</v>
      </c>
      <c r="W69" s="166" t="s">
        <v>441</v>
      </c>
      <c r="X69" s="9" t="s">
        <v>427</v>
      </c>
      <c r="Y69" s="9">
        <v>2</v>
      </c>
      <c r="Z69" s="38" t="s">
        <v>439</v>
      </c>
      <c r="AA69" s="9" t="s">
        <v>437</v>
      </c>
      <c r="AB69" s="9" t="s">
        <v>437</v>
      </c>
      <c r="AC69" s="119">
        <v>54</v>
      </c>
      <c r="AD69" s="32" t="s">
        <v>446</v>
      </c>
      <c r="AE69" s="159">
        <f>SUM(F67,H69,I69,J69,K69,L69,M69,N69,O69,P69,Q69,R69,Y69)</f>
        <v>89</v>
      </c>
      <c r="AF69" s="372"/>
      <c r="AG69" s="367"/>
    </row>
    <row r="70" spans="2:33" ht="30">
      <c r="B70" s="313"/>
      <c r="C70" s="324"/>
      <c r="D70" s="6" t="s">
        <v>18</v>
      </c>
      <c r="E70" s="399"/>
      <c r="F70" s="401"/>
      <c r="G70" s="324"/>
      <c r="H70" s="8">
        <v>11</v>
      </c>
      <c r="I70" s="8">
        <v>6</v>
      </c>
      <c r="J70" s="8">
        <v>8</v>
      </c>
      <c r="K70" s="8">
        <v>9</v>
      </c>
      <c r="L70" s="8">
        <v>10</v>
      </c>
      <c r="M70" s="8">
        <v>5</v>
      </c>
      <c r="N70" s="8">
        <v>5</v>
      </c>
      <c r="O70" s="8">
        <v>5</v>
      </c>
      <c r="P70" s="8">
        <v>8</v>
      </c>
      <c r="Q70" s="8">
        <v>5</v>
      </c>
      <c r="R70" s="8">
        <v>9</v>
      </c>
      <c r="S70" s="8"/>
      <c r="T70" s="8"/>
      <c r="U70" s="8"/>
      <c r="V70" s="22" t="s">
        <v>136</v>
      </c>
      <c r="W70" s="9" t="s">
        <v>329</v>
      </c>
      <c r="X70" s="9" t="s">
        <v>431</v>
      </c>
      <c r="Y70" s="9">
        <v>3</v>
      </c>
      <c r="Z70" s="11" t="s">
        <v>168</v>
      </c>
      <c r="AA70" s="9" t="s">
        <v>168</v>
      </c>
      <c r="AB70" s="9" t="s">
        <v>168</v>
      </c>
      <c r="AC70" s="119">
        <v>55</v>
      </c>
      <c r="AD70" s="32" t="s">
        <v>346</v>
      </c>
      <c r="AE70" s="159">
        <f>SUM(F67,H70,I70,J70,K70,L70,M70,N70,O70,P70,Q70,R70,Y70)</f>
        <v>90</v>
      </c>
      <c r="AF70" s="372"/>
      <c r="AG70" s="367"/>
    </row>
    <row r="71" spans="2:33" ht="30">
      <c r="B71" s="313"/>
      <c r="C71" s="324"/>
      <c r="D71" s="6" t="s">
        <v>115</v>
      </c>
      <c r="E71" s="399"/>
      <c r="F71" s="401"/>
      <c r="G71" s="324"/>
      <c r="H71" s="8">
        <v>11</v>
      </c>
      <c r="I71" s="8">
        <v>6</v>
      </c>
      <c r="J71" s="8">
        <v>8</v>
      </c>
      <c r="K71" s="8">
        <v>9</v>
      </c>
      <c r="L71" s="8">
        <v>10</v>
      </c>
      <c r="M71" s="8">
        <v>5</v>
      </c>
      <c r="N71" s="8">
        <v>5</v>
      </c>
      <c r="O71" s="8">
        <v>5</v>
      </c>
      <c r="P71" s="8">
        <v>8</v>
      </c>
      <c r="Q71" s="8">
        <v>5</v>
      </c>
      <c r="R71" s="8">
        <v>9</v>
      </c>
      <c r="S71" s="8">
        <v>4</v>
      </c>
      <c r="T71" s="8">
        <v>7</v>
      </c>
      <c r="U71" s="8">
        <v>4</v>
      </c>
      <c r="V71" s="22" t="s">
        <v>136</v>
      </c>
      <c r="W71" s="9" t="s">
        <v>329</v>
      </c>
      <c r="X71" s="9" t="s">
        <v>431</v>
      </c>
      <c r="Y71" s="9">
        <v>3</v>
      </c>
      <c r="Z71" s="11" t="s">
        <v>168</v>
      </c>
      <c r="AA71" s="9" t="s">
        <v>168</v>
      </c>
      <c r="AB71" s="9" t="s">
        <v>168</v>
      </c>
      <c r="AC71" s="119">
        <v>56</v>
      </c>
      <c r="AD71" s="32" t="s">
        <v>347</v>
      </c>
      <c r="AE71" s="159">
        <f>SUM(F67,H71,I71,J71,K71,L71,M71,N71,O71,P71,Q71,R71,S71,T71,U71,Y71)</f>
        <v>105</v>
      </c>
      <c r="AF71" s="372"/>
      <c r="AG71" s="367"/>
    </row>
    <row r="72" spans="2:33" ht="126">
      <c r="B72" s="313"/>
      <c r="C72" s="324"/>
      <c r="D72" s="6" t="s">
        <v>415</v>
      </c>
      <c r="E72" s="399"/>
      <c r="F72" s="401"/>
      <c r="G72" s="16" t="s">
        <v>44</v>
      </c>
      <c r="H72" s="8">
        <v>11</v>
      </c>
      <c r="I72" s="8">
        <v>6</v>
      </c>
      <c r="J72" s="8">
        <v>8</v>
      </c>
      <c r="K72" s="8">
        <v>9</v>
      </c>
      <c r="L72" s="8">
        <v>10</v>
      </c>
      <c r="M72" s="8">
        <v>5</v>
      </c>
      <c r="N72" s="8">
        <v>5</v>
      </c>
      <c r="O72" s="8">
        <v>5</v>
      </c>
      <c r="P72" s="8">
        <v>8</v>
      </c>
      <c r="Q72" s="8">
        <v>5</v>
      </c>
      <c r="R72" s="8">
        <v>9</v>
      </c>
      <c r="S72" s="8">
        <v>4</v>
      </c>
      <c r="T72" s="8">
        <v>7</v>
      </c>
      <c r="U72" s="8">
        <v>4</v>
      </c>
      <c r="V72" s="22" t="s">
        <v>128</v>
      </c>
      <c r="W72" s="166" t="s">
        <v>441</v>
      </c>
      <c r="X72" s="9" t="s">
        <v>427</v>
      </c>
      <c r="Y72" s="9">
        <v>2</v>
      </c>
      <c r="Z72" s="38" t="s">
        <v>439</v>
      </c>
      <c r="AA72" s="9" t="s">
        <v>437</v>
      </c>
      <c r="AB72" s="9" t="s">
        <v>437</v>
      </c>
      <c r="AC72" s="119">
        <v>47</v>
      </c>
      <c r="AD72" s="32" t="s">
        <v>447</v>
      </c>
      <c r="AE72" s="159">
        <f>SUM(F67,H72,I72,J72,K72,L72,M72,N72,O72,P72,Q72,R72,S72,T72,U72,Y72)</f>
        <v>104</v>
      </c>
      <c r="AF72" s="372"/>
      <c r="AG72" s="367"/>
    </row>
    <row r="73" spans="2:33" ht="45.5" customHeight="1">
      <c r="B73" s="313"/>
      <c r="C73" s="324"/>
      <c r="D73" s="3" t="s">
        <v>114</v>
      </c>
      <c r="E73" s="399"/>
      <c r="F73" s="401"/>
      <c r="G73" s="16" t="s">
        <v>44</v>
      </c>
      <c r="H73" s="8">
        <v>11</v>
      </c>
      <c r="I73" s="8">
        <v>6</v>
      </c>
      <c r="J73" s="8">
        <v>8</v>
      </c>
      <c r="K73" s="8">
        <v>9</v>
      </c>
      <c r="L73" s="8">
        <v>10</v>
      </c>
      <c r="M73" s="8">
        <v>5</v>
      </c>
      <c r="N73" s="8">
        <v>5</v>
      </c>
      <c r="O73" s="8">
        <v>5</v>
      </c>
      <c r="P73" s="8">
        <v>8</v>
      </c>
      <c r="Q73" s="8">
        <v>5</v>
      </c>
      <c r="R73" s="8">
        <v>9</v>
      </c>
      <c r="S73" s="8"/>
      <c r="T73" s="8"/>
      <c r="U73" s="8"/>
      <c r="V73" s="22" t="s">
        <v>157</v>
      </c>
      <c r="W73" s="166" t="s">
        <v>442</v>
      </c>
      <c r="X73" s="9" t="s">
        <v>427</v>
      </c>
      <c r="Y73" s="9">
        <v>2</v>
      </c>
      <c r="Z73" s="38" t="s">
        <v>439</v>
      </c>
      <c r="AA73" s="9" t="s">
        <v>437</v>
      </c>
      <c r="AB73" s="9" t="s">
        <v>437</v>
      </c>
      <c r="AC73" s="119">
        <v>58</v>
      </c>
      <c r="AD73" s="32" t="s">
        <v>448</v>
      </c>
      <c r="AE73" s="159">
        <f>SUM(F67,H73,I73,J73,K73,L73,M73,N73,O73,P73,Q73,R73,Y73)</f>
        <v>89</v>
      </c>
      <c r="AF73" s="372"/>
      <c r="AG73" s="367"/>
    </row>
    <row r="74" spans="2:33" ht="97" customHeight="1">
      <c r="B74" s="313"/>
      <c r="C74" s="324" t="s">
        <v>82</v>
      </c>
      <c r="D74" s="3" t="s">
        <v>116</v>
      </c>
      <c r="E74" s="399" t="s">
        <v>320</v>
      </c>
      <c r="F74" s="401">
        <v>6</v>
      </c>
      <c r="G74" s="324" t="s">
        <v>81</v>
      </c>
      <c r="H74" s="8">
        <v>11</v>
      </c>
      <c r="I74" s="8">
        <v>6</v>
      </c>
      <c r="J74" s="8">
        <v>8</v>
      </c>
      <c r="K74" s="8">
        <v>9</v>
      </c>
      <c r="L74" s="8">
        <v>10</v>
      </c>
      <c r="M74" s="8">
        <v>5</v>
      </c>
      <c r="N74" s="8">
        <v>5</v>
      </c>
      <c r="O74" s="8">
        <v>5</v>
      </c>
      <c r="P74" s="8">
        <v>8</v>
      </c>
      <c r="Q74" s="8">
        <v>5</v>
      </c>
      <c r="R74" s="8">
        <v>9</v>
      </c>
      <c r="S74" s="8"/>
      <c r="T74" s="8"/>
      <c r="U74" s="8"/>
      <c r="V74" s="22" t="s">
        <v>157</v>
      </c>
      <c r="W74" s="10" t="s">
        <v>207</v>
      </c>
      <c r="X74" s="9" t="s">
        <v>428</v>
      </c>
      <c r="Y74" s="9">
        <v>2</v>
      </c>
      <c r="Z74" s="10" t="s">
        <v>206</v>
      </c>
      <c r="AA74" s="9">
        <v>10</v>
      </c>
      <c r="AB74" s="33">
        <v>0.1</v>
      </c>
      <c r="AC74" s="119">
        <v>59</v>
      </c>
      <c r="AD74" s="32" t="s">
        <v>348</v>
      </c>
      <c r="AE74" s="159">
        <f>SUM(F74,H74,I74,J74,K74,L74,M74,N74,O74,P74,Q74,R74,Y74)</f>
        <v>89</v>
      </c>
      <c r="AF74" s="372"/>
      <c r="AG74" s="367"/>
    </row>
    <row r="75" spans="2:33" ht="59.5" customHeight="1">
      <c r="B75" s="313"/>
      <c r="C75" s="324"/>
      <c r="D75" s="3" t="s">
        <v>117</v>
      </c>
      <c r="E75" s="399"/>
      <c r="F75" s="401"/>
      <c r="G75" s="324"/>
      <c r="H75" s="8">
        <v>11</v>
      </c>
      <c r="I75" s="8">
        <v>6</v>
      </c>
      <c r="J75" s="8">
        <v>8</v>
      </c>
      <c r="K75" s="8">
        <v>9</v>
      </c>
      <c r="L75" s="8">
        <v>10</v>
      </c>
      <c r="M75" s="8">
        <v>5</v>
      </c>
      <c r="N75" s="8">
        <v>5</v>
      </c>
      <c r="O75" s="8">
        <v>5</v>
      </c>
      <c r="P75" s="8">
        <v>8</v>
      </c>
      <c r="Q75" s="8">
        <v>5</v>
      </c>
      <c r="R75" s="8">
        <v>9</v>
      </c>
      <c r="S75" s="8">
        <v>4</v>
      </c>
      <c r="T75" s="8">
        <v>7</v>
      </c>
      <c r="U75" s="8">
        <v>4</v>
      </c>
      <c r="V75" s="22" t="s">
        <v>157</v>
      </c>
      <c r="W75" s="10" t="s">
        <v>416</v>
      </c>
      <c r="X75" s="9" t="s">
        <v>428</v>
      </c>
      <c r="Y75" s="9">
        <v>2</v>
      </c>
      <c r="Z75" s="10" t="s">
        <v>206</v>
      </c>
      <c r="AA75" s="9" t="s">
        <v>214</v>
      </c>
      <c r="AB75" s="13" t="s">
        <v>215</v>
      </c>
      <c r="AC75" s="119">
        <v>47</v>
      </c>
      <c r="AD75" s="32" t="s">
        <v>350</v>
      </c>
      <c r="AE75" s="159">
        <f>SUM(F74,H75,I75,J75,K75,L75,M75,N75,O75,P75,Q75,R75,S75,T75,U75,Y75)</f>
        <v>104</v>
      </c>
      <c r="AF75" s="372"/>
      <c r="AG75" s="367"/>
    </row>
    <row r="76" spans="2:33" ht="57" customHeight="1">
      <c r="B76" s="313"/>
      <c r="C76" s="324"/>
      <c r="D76" s="3" t="s">
        <v>27</v>
      </c>
      <c r="E76" s="399"/>
      <c r="F76" s="401"/>
      <c r="G76" s="324"/>
      <c r="H76" s="8">
        <v>11</v>
      </c>
      <c r="I76" s="8">
        <v>6</v>
      </c>
      <c r="J76" s="8">
        <v>8</v>
      </c>
      <c r="K76" s="8">
        <v>9</v>
      </c>
      <c r="L76" s="8">
        <v>10</v>
      </c>
      <c r="M76" s="8">
        <v>5</v>
      </c>
      <c r="N76" s="8">
        <v>5</v>
      </c>
      <c r="O76" s="8">
        <v>5</v>
      </c>
      <c r="P76" s="8">
        <v>8</v>
      </c>
      <c r="Q76" s="8">
        <v>5</v>
      </c>
      <c r="R76" s="8">
        <v>9</v>
      </c>
      <c r="S76" s="8">
        <v>4</v>
      </c>
      <c r="T76" s="8">
        <v>7</v>
      </c>
      <c r="U76" s="8">
        <v>4</v>
      </c>
      <c r="V76" s="22" t="s">
        <v>157</v>
      </c>
      <c r="W76" s="10" t="s">
        <v>211</v>
      </c>
      <c r="X76" s="9" t="s">
        <v>428</v>
      </c>
      <c r="Y76" s="9">
        <v>2</v>
      </c>
      <c r="Z76" s="10" t="s">
        <v>206</v>
      </c>
      <c r="AA76" s="9" t="s">
        <v>212</v>
      </c>
      <c r="AB76" s="13" t="s">
        <v>213</v>
      </c>
      <c r="AC76" s="119">
        <v>47</v>
      </c>
      <c r="AD76" s="32" t="s">
        <v>350</v>
      </c>
      <c r="AE76" s="159">
        <f>SUM(F74,H76,I76,J76,K76,L76,M76,N76,O76,P76,Q76,R76,S76,T76,U76,Y76)</f>
        <v>104</v>
      </c>
      <c r="AF76" s="372"/>
      <c r="AG76" s="367"/>
    </row>
    <row r="77" spans="2:33" ht="62" customHeight="1" thickBot="1">
      <c r="B77" s="327"/>
      <c r="C77" s="358"/>
      <c r="D77" s="63" t="s">
        <v>118</v>
      </c>
      <c r="E77" s="434"/>
      <c r="F77" s="406"/>
      <c r="G77" s="358"/>
      <c r="H77" s="36">
        <v>11</v>
      </c>
      <c r="I77" s="36">
        <v>6</v>
      </c>
      <c r="J77" s="36">
        <v>8</v>
      </c>
      <c r="K77" s="36">
        <v>9</v>
      </c>
      <c r="L77" s="36">
        <v>10</v>
      </c>
      <c r="M77" s="36">
        <v>5</v>
      </c>
      <c r="N77" s="36">
        <v>5</v>
      </c>
      <c r="O77" s="36">
        <v>5</v>
      </c>
      <c r="P77" s="36">
        <v>8</v>
      </c>
      <c r="Q77" s="36">
        <v>5</v>
      </c>
      <c r="R77" s="36">
        <v>9</v>
      </c>
      <c r="S77" s="36">
        <v>4</v>
      </c>
      <c r="T77" s="36">
        <v>7</v>
      </c>
      <c r="U77" s="36">
        <v>4</v>
      </c>
      <c r="V77" s="56" t="s">
        <v>128</v>
      </c>
      <c r="W77" s="38" t="s">
        <v>208</v>
      </c>
      <c r="X77" s="55" t="s">
        <v>428</v>
      </c>
      <c r="Y77" s="55">
        <v>2</v>
      </c>
      <c r="Z77" s="38" t="s">
        <v>178</v>
      </c>
      <c r="AA77" s="55" t="s">
        <v>209</v>
      </c>
      <c r="AB77" s="126" t="s">
        <v>210</v>
      </c>
      <c r="AC77" s="123">
        <v>60</v>
      </c>
      <c r="AD77" s="44" t="s">
        <v>351</v>
      </c>
      <c r="AE77" s="160">
        <f>SUM(F74,H77,I77,J77,K77,L77,M77,N77,O77,P77,Q77,R77,S77,T77,U77,Y77)</f>
        <v>104</v>
      </c>
      <c r="AF77" s="370"/>
      <c r="AG77" s="371"/>
    </row>
    <row r="78" spans="2:33" ht="155" thickBot="1">
      <c r="B78" s="127" t="s">
        <v>67</v>
      </c>
      <c r="C78" s="92" t="s">
        <v>352</v>
      </c>
      <c r="D78" s="92" t="s">
        <v>353</v>
      </c>
      <c r="E78" s="92" t="s">
        <v>320</v>
      </c>
      <c r="F78" s="122">
        <v>6</v>
      </c>
      <c r="G78" s="100" t="s">
        <v>68</v>
      </c>
      <c r="H78" s="91">
        <v>11</v>
      </c>
      <c r="I78" s="91">
        <v>6</v>
      </c>
      <c r="J78" s="91">
        <v>8</v>
      </c>
      <c r="K78" s="91">
        <v>9</v>
      </c>
      <c r="L78" s="91">
        <v>10</v>
      </c>
      <c r="M78" s="91">
        <v>5</v>
      </c>
      <c r="N78" s="91">
        <v>5</v>
      </c>
      <c r="O78" s="91">
        <v>5</v>
      </c>
      <c r="P78" s="91">
        <v>8</v>
      </c>
      <c r="Q78" s="91">
        <v>5</v>
      </c>
      <c r="R78" s="91">
        <v>9</v>
      </c>
      <c r="S78" s="91"/>
      <c r="T78" s="91"/>
      <c r="U78" s="91"/>
      <c r="V78" s="96" t="s">
        <v>136</v>
      </c>
      <c r="W78" s="98" t="s">
        <v>329</v>
      </c>
      <c r="X78" s="98" t="s">
        <v>431</v>
      </c>
      <c r="Y78" s="98">
        <v>3</v>
      </c>
      <c r="Z78" s="128" t="s">
        <v>168</v>
      </c>
      <c r="AA78" s="98" t="s">
        <v>168</v>
      </c>
      <c r="AB78" s="98" t="s">
        <v>168</v>
      </c>
      <c r="AC78" s="122">
        <v>61</v>
      </c>
      <c r="AD78" s="99" t="s">
        <v>356</v>
      </c>
      <c r="AE78" s="162">
        <f>SUM(F78,H78,I78,J78,K78,L78,M78,N78,O78,P78,Q78,R78,Y78)</f>
        <v>90</v>
      </c>
      <c r="AF78" s="162">
        <f>SUM(AE78)</f>
        <v>90</v>
      </c>
      <c r="AG78" s="152">
        <v>10</v>
      </c>
    </row>
    <row r="79" spans="2:33" ht="68" customHeight="1" thickBot="1">
      <c r="B79" s="127" t="s">
        <v>79</v>
      </c>
      <c r="C79" s="92" t="s">
        <v>74</v>
      </c>
      <c r="D79" s="92" t="s">
        <v>354</v>
      </c>
      <c r="E79" s="92" t="s">
        <v>357</v>
      </c>
      <c r="F79" s="122">
        <v>4</v>
      </c>
      <c r="G79" s="92" t="s">
        <v>1</v>
      </c>
      <c r="H79" s="91">
        <v>11</v>
      </c>
      <c r="I79" s="91">
        <v>6</v>
      </c>
      <c r="J79" s="91">
        <v>8</v>
      </c>
      <c r="K79" s="91">
        <v>9</v>
      </c>
      <c r="L79" s="91">
        <v>10</v>
      </c>
      <c r="M79" s="91">
        <v>5</v>
      </c>
      <c r="N79" s="91">
        <v>5</v>
      </c>
      <c r="O79" s="91">
        <v>5</v>
      </c>
      <c r="P79" s="91">
        <v>8</v>
      </c>
      <c r="Q79" s="91">
        <v>5</v>
      </c>
      <c r="R79" s="91">
        <v>9</v>
      </c>
      <c r="S79" s="91"/>
      <c r="T79" s="91"/>
      <c r="U79" s="91"/>
      <c r="V79" s="96" t="s">
        <v>136</v>
      </c>
      <c r="W79" s="98" t="s">
        <v>329</v>
      </c>
      <c r="X79" s="98" t="s">
        <v>431</v>
      </c>
      <c r="Y79" s="98">
        <v>3</v>
      </c>
      <c r="Z79" s="128" t="s">
        <v>168</v>
      </c>
      <c r="AA79" s="98" t="s">
        <v>168</v>
      </c>
      <c r="AB79" s="98" t="s">
        <v>168</v>
      </c>
      <c r="AC79" s="122">
        <v>62</v>
      </c>
      <c r="AD79" s="99" t="s">
        <v>355</v>
      </c>
      <c r="AE79" s="162">
        <f>SUM(F79,H79,I79,J79,K79,L79,M79,N79,O79,P79,Q79,R79,Y79)</f>
        <v>88</v>
      </c>
      <c r="AF79" s="162">
        <f>SUM(AE79)</f>
        <v>88</v>
      </c>
      <c r="AG79" s="152">
        <v>13</v>
      </c>
    </row>
    <row r="80" spans="2:33" ht="42">
      <c r="B80" s="312" t="s">
        <v>73</v>
      </c>
      <c r="C80" s="407" t="s">
        <v>76</v>
      </c>
      <c r="D80" s="90" t="s">
        <v>63</v>
      </c>
      <c r="E80" s="407" t="s">
        <v>297</v>
      </c>
      <c r="F80" s="403">
        <v>5</v>
      </c>
      <c r="G80" s="90" t="s">
        <v>1</v>
      </c>
      <c r="H80" s="68">
        <v>11</v>
      </c>
      <c r="I80" s="68">
        <v>6</v>
      </c>
      <c r="J80" s="68">
        <v>8</v>
      </c>
      <c r="K80" s="68">
        <v>9</v>
      </c>
      <c r="L80" s="68">
        <v>10</v>
      </c>
      <c r="M80" s="68">
        <v>5</v>
      </c>
      <c r="N80" s="68">
        <v>5</v>
      </c>
      <c r="O80" s="68">
        <v>5</v>
      </c>
      <c r="P80" s="68">
        <v>8</v>
      </c>
      <c r="Q80" s="68">
        <v>5</v>
      </c>
      <c r="R80" s="68">
        <v>9</v>
      </c>
      <c r="S80" s="68">
        <v>4</v>
      </c>
      <c r="T80" s="68">
        <v>7</v>
      </c>
      <c r="U80" s="68">
        <v>4</v>
      </c>
      <c r="V80" s="69" t="s">
        <v>136</v>
      </c>
      <c r="W80" s="71" t="s">
        <v>329</v>
      </c>
      <c r="X80" s="71" t="s">
        <v>431</v>
      </c>
      <c r="Y80" s="71">
        <v>3</v>
      </c>
      <c r="Z80" s="129" t="s">
        <v>168</v>
      </c>
      <c r="AA80" s="71" t="s">
        <v>168</v>
      </c>
      <c r="AB80" s="71" t="s">
        <v>168</v>
      </c>
      <c r="AC80" s="121">
        <v>48</v>
      </c>
      <c r="AD80" s="73" t="s">
        <v>358</v>
      </c>
      <c r="AE80" s="158">
        <f>SUM(F80,H80,I80,J80,K80,L80,M80,N80,O80,P80,Q80,R80,S80,T80,U80,Y80)</f>
        <v>104</v>
      </c>
      <c r="AF80" s="369">
        <f>SUM(AE80:AE81)</f>
        <v>208</v>
      </c>
      <c r="AG80" s="366">
        <v>15</v>
      </c>
    </row>
    <row r="81" spans="2:33" ht="29" thickBot="1">
      <c r="B81" s="314"/>
      <c r="C81" s="325"/>
      <c r="D81" s="115" t="s">
        <v>26</v>
      </c>
      <c r="E81" s="325"/>
      <c r="F81" s="466"/>
      <c r="G81" s="115" t="s">
        <v>31</v>
      </c>
      <c r="H81" s="75">
        <v>11</v>
      </c>
      <c r="I81" s="75">
        <v>6</v>
      </c>
      <c r="J81" s="75">
        <v>8</v>
      </c>
      <c r="K81" s="75">
        <v>9</v>
      </c>
      <c r="L81" s="75">
        <v>10</v>
      </c>
      <c r="M81" s="75">
        <v>5</v>
      </c>
      <c r="N81" s="75">
        <v>5</v>
      </c>
      <c r="O81" s="75">
        <v>5</v>
      </c>
      <c r="P81" s="75">
        <v>8</v>
      </c>
      <c r="Q81" s="75">
        <v>5</v>
      </c>
      <c r="R81" s="75">
        <v>9</v>
      </c>
      <c r="S81" s="75">
        <v>4</v>
      </c>
      <c r="T81" s="75">
        <v>7</v>
      </c>
      <c r="U81" s="75">
        <v>4</v>
      </c>
      <c r="V81" s="76" t="s">
        <v>136</v>
      </c>
      <c r="W81" s="77" t="s">
        <v>329</v>
      </c>
      <c r="X81" s="77" t="s">
        <v>431</v>
      </c>
      <c r="Y81" s="77">
        <v>3</v>
      </c>
      <c r="Z81" s="109" t="s">
        <v>168</v>
      </c>
      <c r="AA81" s="77" t="s">
        <v>168</v>
      </c>
      <c r="AB81" s="77" t="s">
        <v>168</v>
      </c>
      <c r="AC81" s="120">
        <v>45</v>
      </c>
      <c r="AD81" s="78" t="s">
        <v>359</v>
      </c>
      <c r="AE81" s="163">
        <f>SUM(F80,H81,I81,J81,K81,L81,M81,N81,O81,P81,Q81,R81,S81,T81,U81,Y81)</f>
        <v>104</v>
      </c>
      <c r="AF81" s="373"/>
      <c r="AG81" s="368"/>
    </row>
    <row r="82" spans="2:33" ht="32" customHeight="1" thickBot="1">
      <c r="B82" s="461" t="s">
        <v>257</v>
      </c>
      <c r="C82" s="462"/>
      <c r="D82" s="462"/>
      <c r="E82" s="462"/>
      <c r="F82" s="462"/>
      <c r="G82" s="463"/>
      <c r="H82" s="435" t="s">
        <v>307</v>
      </c>
      <c r="I82" s="435"/>
      <c r="J82" s="435"/>
      <c r="K82" s="435"/>
      <c r="L82" s="435"/>
      <c r="M82" s="435"/>
      <c r="N82" s="435"/>
      <c r="O82" s="435"/>
      <c r="P82" s="435"/>
      <c r="Q82" s="435"/>
      <c r="R82" s="435"/>
      <c r="S82" s="435"/>
      <c r="T82" s="435"/>
      <c r="U82" s="436"/>
      <c r="V82" s="413" t="s">
        <v>133</v>
      </c>
      <c r="W82" s="413"/>
      <c r="X82" s="413"/>
      <c r="Y82" s="413"/>
      <c r="Z82" s="413"/>
      <c r="AA82" s="413"/>
      <c r="AB82" s="414"/>
      <c r="AC82" s="374" t="s">
        <v>360</v>
      </c>
      <c r="AD82" s="375"/>
      <c r="AE82" s="375"/>
      <c r="AF82" s="375"/>
      <c r="AG82" s="376"/>
    </row>
    <row r="83" spans="2:33" ht="52.5" customHeight="1" thickBot="1">
      <c r="B83" s="431" t="s">
        <v>96</v>
      </c>
      <c r="C83" s="407" t="s">
        <v>187</v>
      </c>
      <c r="D83" s="90" t="s">
        <v>188</v>
      </c>
      <c r="E83" s="407" t="s">
        <v>357</v>
      </c>
      <c r="F83" s="403">
        <v>4</v>
      </c>
      <c r="G83" s="90" t="s">
        <v>191</v>
      </c>
      <c r="H83" s="68">
        <v>11</v>
      </c>
      <c r="I83" s="68">
        <v>6</v>
      </c>
      <c r="J83" s="68">
        <v>8</v>
      </c>
      <c r="K83" s="68">
        <v>9</v>
      </c>
      <c r="L83" s="68">
        <v>10</v>
      </c>
      <c r="M83" s="68">
        <v>5</v>
      </c>
      <c r="N83" s="68">
        <v>5</v>
      </c>
      <c r="O83" s="68">
        <v>5</v>
      </c>
      <c r="P83" s="68">
        <v>8</v>
      </c>
      <c r="Q83" s="68">
        <v>5</v>
      </c>
      <c r="R83" s="66"/>
      <c r="S83" s="66"/>
      <c r="T83" s="66"/>
      <c r="U83" s="66"/>
      <c r="V83" s="130" t="s">
        <v>128</v>
      </c>
      <c r="W83" s="70" t="s">
        <v>417</v>
      </c>
      <c r="X83" s="71" t="s">
        <v>434</v>
      </c>
      <c r="Y83" s="71">
        <v>1</v>
      </c>
      <c r="Z83" s="70" t="s">
        <v>195</v>
      </c>
      <c r="AA83" s="71">
        <v>20</v>
      </c>
      <c r="AB83" s="72">
        <v>0.72389999999999999</v>
      </c>
      <c r="AC83" s="121" t="s">
        <v>363</v>
      </c>
      <c r="AD83" s="164" t="s">
        <v>426</v>
      </c>
      <c r="AE83" s="158">
        <f xml:space="preserve"> SUM(F83,H83,I83,J83,K83,L83,M83,N83,O83,P83,Q83,Y83)</f>
        <v>77</v>
      </c>
      <c r="AF83" s="369">
        <f>SUM(AE83:AE86)</f>
        <v>308</v>
      </c>
      <c r="AG83" s="366"/>
    </row>
    <row r="84" spans="2:33" ht="37.5" customHeight="1" thickBot="1">
      <c r="B84" s="433"/>
      <c r="C84" s="324"/>
      <c r="D84" s="16" t="s">
        <v>190</v>
      </c>
      <c r="E84" s="324"/>
      <c r="F84" s="404"/>
      <c r="G84" s="16" t="s">
        <v>191</v>
      </c>
      <c r="H84" s="8">
        <v>11</v>
      </c>
      <c r="I84" s="8">
        <v>6</v>
      </c>
      <c r="J84" s="8">
        <v>8</v>
      </c>
      <c r="K84" s="8">
        <v>9</v>
      </c>
      <c r="L84" s="8">
        <v>10</v>
      </c>
      <c r="M84" s="8">
        <v>5</v>
      </c>
      <c r="N84" s="8">
        <v>5</v>
      </c>
      <c r="O84" s="8">
        <v>5</v>
      </c>
      <c r="P84" s="8">
        <v>8</v>
      </c>
      <c r="Q84" s="8">
        <v>5</v>
      </c>
      <c r="R84" s="7"/>
      <c r="S84" s="7"/>
      <c r="T84" s="7"/>
      <c r="U84" s="7"/>
      <c r="V84" s="34" t="s">
        <v>128</v>
      </c>
      <c r="W84" s="10" t="s">
        <v>193</v>
      </c>
      <c r="X84" s="9" t="s">
        <v>434</v>
      </c>
      <c r="Y84" s="9">
        <v>1</v>
      </c>
      <c r="Z84" s="10" t="s">
        <v>195</v>
      </c>
      <c r="AA84" s="9">
        <v>6</v>
      </c>
      <c r="AB84" s="13">
        <v>0.99880000000000002</v>
      </c>
      <c r="AC84" s="119" t="s">
        <v>364</v>
      </c>
      <c r="AD84" s="164" t="s">
        <v>426</v>
      </c>
      <c r="AE84" s="159">
        <f>SUM(F83,H84,I84,J84,K84,L84,M84,N84,O84,P84,Q84,Y84)</f>
        <v>77</v>
      </c>
      <c r="AF84" s="372"/>
      <c r="AG84" s="367"/>
    </row>
    <row r="85" spans="2:33" ht="50.5" customHeight="1" thickBot="1">
      <c r="B85" s="433"/>
      <c r="C85" s="324"/>
      <c r="D85" s="16" t="s">
        <v>189</v>
      </c>
      <c r="E85" s="324"/>
      <c r="F85" s="404"/>
      <c r="G85" s="16" t="s">
        <v>191</v>
      </c>
      <c r="H85" s="8">
        <v>11</v>
      </c>
      <c r="I85" s="8">
        <v>6</v>
      </c>
      <c r="J85" s="8">
        <v>8</v>
      </c>
      <c r="K85" s="8">
        <v>9</v>
      </c>
      <c r="L85" s="8">
        <v>10</v>
      </c>
      <c r="M85" s="8">
        <v>5</v>
      </c>
      <c r="N85" s="8">
        <v>5</v>
      </c>
      <c r="O85" s="8">
        <v>5</v>
      </c>
      <c r="P85" s="8">
        <v>8</v>
      </c>
      <c r="Q85" s="8">
        <v>5</v>
      </c>
      <c r="R85" s="7"/>
      <c r="S85" s="7"/>
      <c r="T85" s="7"/>
      <c r="U85" s="7"/>
      <c r="V85" s="34" t="s">
        <v>128</v>
      </c>
      <c r="W85" s="10" t="s">
        <v>194</v>
      </c>
      <c r="X85" s="9" t="s">
        <v>434</v>
      </c>
      <c r="Y85" s="9">
        <v>1</v>
      </c>
      <c r="Z85" s="10" t="s">
        <v>195</v>
      </c>
      <c r="AA85" s="9">
        <v>27</v>
      </c>
      <c r="AB85" s="13">
        <v>0.50929999999999997</v>
      </c>
      <c r="AC85" s="119" t="s">
        <v>253</v>
      </c>
      <c r="AD85" s="164" t="s">
        <v>426</v>
      </c>
      <c r="AE85" s="159">
        <f>SUM(F83,H85,I85,J85,K85,L85,M85,N85,O85,P85,Q85,Y85)</f>
        <v>77</v>
      </c>
      <c r="AF85" s="372"/>
      <c r="AG85" s="367"/>
    </row>
    <row r="86" spans="2:33" ht="43" thickBot="1">
      <c r="B86" s="432"/>
      <c r="C86" s="49" t="s">
        <v>65</v>
      </c>
      <c r="D86" s="63" t="s">
        <v>23</v>
      </c>
      <c r="E86" s="63" t="s">
        <v>300</v>
      </c>
      <c r="F86" s="64">
        <v>5</v>
      </c>
      <c r="G86" s="21" t="s">
        <v>39</v>
      </c>
      <c r="H86" s="36">
        <v>11</v>
      </c>
      <c r="I86" s="36">
        <v>6</v>
      </c>
      <c r="J86" s="36">
        <v>8</v>
      </c>
      <c r="K86" s="36">
        <v>9</v>
      </c>
      <c r="L86" s="36">
        <v>10</v>
      </c>
      <c r="M86" s="36">
        <v>5</v>
      </c>
      <c r="N86" s="36">
        <v>5</v>
      </c>
      <c r="O86" s="36">
        <v>5</v>
      </c>
      <c r="P86" s="36">
        <v>8</v>
      </c>
      <c r="Q86" s="36">
        <v>5</v>
      </c>
      <c r="R86" s="36"/>
      <c r="S86" s="36"/>
      <c r="T86" s="36"/>
      <c r="U86" s="36"/>
      <c r="V86" s="56" t="s">
        <v>168</v>
      </c>
      <c r="W86" s="38" t="s">
        <v>168</v>
      </c>
      <c r="X86" s="55" t="s">
        <v>431</v>
      </c>
      <c r="Y86" s="55" t="s">
        <v>168</v>
      </c>
      <c r="Z86" s="38" t="s">
        <v>168</v>
      </c>
      <c r="AA86" s="55" t="s">
        <v>168</v>
      </c>
      <c r="AB86" s="55" t="s">
        <v>168</v>
      </c>
      <c r="AC86" s="123" t="s">
        <v>168</v>
      </c>
      <c r="AD86" s="44" t="s">
        <v>362</v>
      </c>
      <c r="AE86" s="160">
        <f>SUM(F86,H86,I86,J86,K86,L86,M86,N86,O86,P86,Q86)</f>
        <v>77</v>
      </c>
      <c r="AF86" s="370"/>
      <c r="AG86" s="371"/>
    </row>
    <row r="87" spans="2:33" ht="50.5" customHeight="1">
      <c r="B87" s="431" t="s">
        <v>153</v>
      </c>
      <c r="C87" s="103" t="s">
        <v>152</v>
      </c>
      <c r="D87" s="90" t="s">
        <v>154</v>
      </c>
      <c r="E87" s="415" t="s">
        <v>357</v>
      </c>
      <c r="F87" s="405">
        <v>4</v>
      </c>
      <c r="G87" s="90" t="s">
        <v>85</v>
      </c>
      <c r="H87" s="68">
        <v>11</v>
      </c>
      <c r="I87" s="68">
        <v>6</v>
      </c>
      <c r="J87" s="68">
        <v>8</v>
      </c>
      <c r="K87" s="68">
        <v>9</v>
      </c>
      <c r="L87" s="68">
        <v>10</v>
      </c>
      <c r="M87" s="68">
        <v>5</v>
      </c>
      <c r="N87" s="68">
        <v>5</v>
      </c>
      <c r="O87" s="68">
        <v>5</v>
      </c>
      <c r="P87" s="68">
        <v>8</v>
      </c>
      <c r="Q87" s="68">
        <v>5</v>
      </c>
      <c r="R87" s="66"/>
      <c r="S87" s="66"/>
      <c r="T87" s="66"/>
      <c r="U87" s="66"/>
      <c r="V87" s="130" t="s">
        <v>129</v>
      </c>
      <c r="W87" s="70" t="s">
        <v>329</v>
      </c>
      <c r="X87" s="71" t="s">
        <v>433</v>
      </c>
      <c r="Y87" s="71">
        <v>3</v>
      </c>
      <c r="Z87" s="70" t="s">
        <v>168</v>
      </c>
      <c r="AA87" s="71" t="s">
        <v>168</v>
      </c>
      <c r="AB87" s="72" t="s">
        <v>168</v>
      </c>
      <c r="AC87" s="121">
        <v>63</v>
      </c>
      <c r="AD87" s="73" t="s">
        <v>366</v>
      </c>
      <c r="AE87" s="158">
        <f>SUM(F87,H87,I87,J87,K87,L87,M87,N87,O87,P87,Q87,Y87)</f>
        <v>79</v>
      </c>
      <c r="AF87" s="369">
        <f>SUM(AE87:AE88)</f>
        <v>138</v>
      </c>
      <c r="AG87" s="366"/>
    </row>
    <row r="88" spans="2:33" ht="50.5" customHeight="1" thickBot="1">
      <c r="B88" s="432"/>
      <c r="C88" s="51" t="s">
        <v>155</v>
      </c>
      <c r="D88" s="63" t="s">
        <v>156</v>
      </c>
      <c r="E88" s="434"/>
      <c r="F88" s="406"/>
      <c r="G88" s="137" t="s">
        <v>85</v>
      </c>
      <c r="H88" s="36">
        <v>11</v>
      </c>
      <c r="I88" s="36">
        <v>6</v>
      </c>
      <c r="J88" s="36">
        <v>8</v>
      </c>
      <c r="K88" s="36">
        <v>9</v>
      </c>
      <c r="L88" s="36">
        <v>10</v>
      </c>
      <c r="M88" s="36"/>
      <c r="N88" s="36"/>
      <c r="O88" s="36"/>
      <c r="P88" s="36"/>
      <c r="Q88" s="36"/>
      <c r="R88" s="36">
        <v>9</v>
      </c>
      <c r="S88" s="36"/>
      <c r="T88" s="36"/>
      <c r="U88" s="36"/>
      <c r="V88" s="56" t="s">
        <v>157</v>
      </c>
      <c r="W88" s="38" t="s">
        <v>173</v>
      </c>
      <c r="X88" s="55" t="s">
        <v>428</v>
      </c>
      <c r="Y88" s="55">
        <v>2</v>
      </c>
      <c r="Z88" s="38" t="s">
        <v>174</v>
      </c>
      <c r="AA88" s="131" t="s">
        <v>176</v>
      </c>
      <c r="AB88" s="39" t="s">
        <v>175</v>
      </c>
      <c r="AC88" s="123">
        <v>64</v>
      </c>
      <c r="AD88" s="44" t="s">
        <v>367</v>
      </c>
      <c r="AE88" s="160">
        <f>SUM(F87,H88,I88,J88,K88,L88,R88,Y88)</f>
        <v>59</v>
      </c>
      <c r="AF88" s="370"/>
      <c r="AG88" s="371"/>
    </row>
    <row r="89" spans="2:33" ht="105" customHeight="1">
      <c r="B89" s="431" t="s">
        <v>216</v>
      </c>
      <c r="C89" s="407" t="s">
        <v>217</v>
      </c>
      <c r="D89" s="90" t="s">
        <v>418</v>
      </c>
      <c r="E89" s="407" t="s">
        <v>320</v>
      </c>
      <c r="F89" s="403">
        <v>6</v>
      </c>
      <c r="G89" s="90" t="s">
        <v>1</v>
      </c>
      <c r="H89" s="68">
        <v>11</v>
      </c>
      <c r="I89" s="68">
        <v>6</v>
      </c>
      <c r="J89" s="68">
        <v>8</v>
      </c>
      <c r="K89" s="68">
        <v>9</v>
      </c>
      <c r="L89" s="68">
        <v>10</v>
      </c>
      <c r="M89" s="68">
        <v>5</v>
      </c>
      <c r="N89" s="68">
        <v>5</v>
      </c>
      <c r="O89" s="68">
        <v>5</v>
      </c>
      <c r="P89" s="68">
        <v>8</v>
      </c>
      <c r="Q89" s="68">
        <v>5</v>
      </c>
      <c r="R89" s="68"/>
      <c r="S89" s="66"/>
      <c r="T89" s="66"/>
      <c r="U89" s="66"/>
      <c r="V89" s="69" t="s">
        <v>157</v>
      </c>
      <c r="W89" s="132" t="s">
        <v>245</v>
      </c>
      <c r="X89" s="133" t="s">
        <v>434</v>
      </c>
      <c r="Y89" s="133">
        <v>1</v>
      </c>
      <c r="Z89" s="132" t="s">
        <v>168</v>
      </c>
      <c r="AA89" s="133" t="s">
        <v>249</v>
      </c>
      <c r="AB89" s="134" t="s">
        <v>250</v>
      </c>
      <c r="AC89" s="135" t="s">
        <v>168</v>
      </c>
      <c r="AD89" s="73" t="s">
        <v>368</v>
      </c>
      <c r="AE89" s="158">
        <f>SUM(F89,H89,I89,J89,K89,L89,M89,N89,O89,P89,Q89,Y89)</f>
        <v>79</v>
      </c>
      <c r="AF89" s="369">
        <f>SUM(AE89:AE108)</f>
        <v>1596</v>
      </c>
      <c r="AG89" s="366"/>
    </row>
    <row r="90" spans="2:33" ht="58" customHeight="1">
      <c r="B90" s="433"/>
      <c r="C90" s="324"/>
      <c r="D90" s="16" t="s">
        <v>419</v>
      </c>
      <c r="E90" s="324"/>
      <c r="F90" s="404"/>
      <c r="G90" s="16" t="s">
        <v>1</v>
      </c>
      <c r="H90" s="8">
        <v>11</v>
      </c>
      <c r="I90" s="8">
        <v>6</v>
      </c>
      <c r="J90" s="8">
        <v>8</v>
      </c>
      <c r="K90" s="8">
        <v>9</v>
      </c>
      <c r="L90" s="8">
        <v>10</v>
      </c>
      <c r="M90" s="8">
        <v>5</v>
      </c>
      <c r="N90" s="8">
        <v>5</v>
      </c>
      <c r="O90" s="8">
        <v>5</v>
      </c>
      <c r="P90" s="8">
        <v>8</v>
      </c>
      <c r="Q90" s="8">
        <v>5</v>
      </c>
      <c r="R90" s="8"/>
      <c r="S90" s="7"/>
      <c r="T90" s="7"/>
      <c r="U90" s="7"/>
      <c r="V90" s="22" t="s">
        <v>157</v>
      </c>
      <c r="W90" s="40" t="s">
        <v>246</v>
      </c>
      <c r="X90" s="41" t="s">
        <v>434</v>
      </c>
      <c r="Y90" s="41">
        <v>1</v>
      </c>
      <c r="Z90" s="40" t="s">
        <v>168</v>
      </c>
      <c r="AA90" s="41" t="s">
        <v>251</v>
      </c>
      <c r="AB90" s="43" t="s">
        <v>252</v>
      </c>
      <c r="AC90" s="124" t="s">
        <v>168</v>
      </c>
      <c r="AD90" s="32" t="s">
        <v>368</v>
      </c>
      <c r="AE90" s="159">
        <f>SUM(F89,H90,I90,J90,K90,L90,M90,N90,O90,P90,Q90,Y90)</f>
        <v>79</v>
      </c>
      <c r="AF90" s="372"/>
      <c r="AG90" s="367"/>
    </row>
    <row r="91" spans="2:33" ht="104">
      <c r="B91" s="433"/>
      <c r="C91" s="324"/>
      <c r="D91" s="16" t="s">
        <v>218</v>
      </c>
      <c r="E91" s="324"/>
      <c r="F91" s="404"/>
      <c r="G91" s="16" t="s">
        <v>1</v>
      </c>
      <c r="H91" s="8">
        <v>11</v>
      </c>
      <c r="I91" s="8">
        <v>6</v>
      </c>
      <c r="J91" s="8">
        <v>8</v>
      </c>
      <c r="K91" s="8">
        <v>9</v>
      </c>
      <c r="L91" s="8">
        <v>10</v>
      </c>
      <c r="M91" s="8">
        <v>5</v>
      </c>
      <c r="N91" s="8">
        <v>5</v>
      </c>
      <c r="O91" s="8">
        <v>5</v>
      </c>
      <c r="P91" s="8">
        <v>8</v>
      </c>
      <c r="Q91" s="8">
        <v>5</v>
      </c>
      <c r="R91" s="8"/>
      <c r="S91" s="7"/>
      <c r="T91" s="7"/>
      <c r="U91" s="7"/>
      <c r="V91" s="22" t="s">
        <v>157</v>
      </c>
      <c r="W91" s="40" t="s">
        <v>247</v>
      </c>
      <c r="X91" s="41" t="s">
        <v>434</v>
      </c>
      <c r="Y91" s="41">
        <v>1</v>
      </c>
      <c r="Z91" s="40" t="s">
        <v>168</v>
      </c>
      <c r="AA91" s="41" t="s">
        <v>249</v>
      </c>
      <c r="AB91" s="42" t="s">
        <v>250</v>
      </c>
      <c r="AC91" s="124" t="s">
        <v>168</v>
      </c>
      <c r="AD91" s="32" t="s">
        <v>368</v>
      </c>
      <c r="AE91" s="159">
        <f>SUM(F89,H91,I91,J91,K91,L91,M91,N91,O91,P91,Q91,Y91)</f>
        <v>79</v>
      </c>
      <c r="AF91" s="372"/>
      <c r="AG91" s="367"/>
    </row>
    <row r="92" spans="2:33" ht="42">
      <c r="B92" s="433"/>
      <c r="C92" s="324"/>
      <c r="D92" s="16" t="s">
        <v>219</v>
      </c>
      <c r="E92" s="324"/>
      <c r="F92" s="404"/>
      <c r="G92" s="16" t="s">
        <v>1</v>
      </c>
      <c r="H92" s="8">
        <v>11</v>
      </c>
      <c r="I92" s="8">
        <v>6</v>
      </c>
      <c r="J92" s="8">
        <v>8</v>
      </c>
      <c r="K92" s="8">
        <v>9</v>
      </c>
      <c r="L92" s="8">
        <v>10</v>
      </c>
      <c r="M92" s="8">
        <v>5</v>
      </c>
      <c r="N92" s="8">
        <v>5</v>
      </c>
      <c r="O92" s="8">
        <v>5</v>
      </c>
      <c r="P92" s="8">
        <v>8</v>
      </c>
      <c r="Q92" s="8">
        <v>5</v>
      </c>
      <c r="R92" s="8"/>
      <c r="S92" s="7"/>
      <c r="T92" s="7"/>
      <c r="U92" s="7"/>
      <c r="V92" s="22" t="s">
        <v>129</v>
      </c>
      <c r="W92" s="40" t="s">
        <v>177</v>
      </c>
      <c r="X92" s="41" t="s">
        <v>433</v>
      </c>
      <c r="Y92" s="41">
        <v>3</v>
      </c>
      <c r="Z92" s="40" t="s">
        <v>168</v>
      </c>
      <c r="AA92" s="41" t="s">
        <v>168</v>
      </c>
      <c r="AB92" s="42" t="s">
        <v>168</v>
      </c>
      <c r="AC92" s="124" t="s">
        <v>168</v>
      </c>
      <c r="AD92" s="32" t="s">
        <v>369</v>
      </c>
      <c r="AE92" s="159">
        <f>SUM(F89,H92,I92,J92,K92,L92,M92,N92,O92,P92,Q92,Y92)</f>
        <v>81</v>
      </c>
      <c r="AF92" s="372"/>
      <c r="AG92" s="367"/>
    </row>
    <row r="93" spans="2:33" ht="104">
      <c r="B93" s="433"/>
      <c r="C93" s="324"/>
      <c r="D93" s="16" t="s">
        <v>220</v>
      </c>
      <c r="E93" s="324"/>
      <c r="F93" s="404"/>
      <c r="G93" s="16" t="s">
        <v>1</v>
      </c>
      <c r="H93" s="8">
        <v>11</v>
      </c>
      <c r="I93" s="8">
        <v>6</v>
      </c>
      <c r="J93" s="8">
        <v>8</v>
      </c>
      <c r="K93" s="8">
        <v>9</v>
      </c>
      <c r="L93" s="8">
        <v>10</v>
      </c>
      <c r="M93" s="8">
        <v>5</v>
      </c>
      <c r="N93" s="8">
        <v>5</v>
      </c>
      <c r="O93" s="8">
        <v>5</v>
      </c>
      <c r="P93" s="8">
        <v>8</v>
      </c>
      <c r="Q93" s="8">
        <v>5</v>
      </c>
      <c r="R93" s="8"/>
      <c r="S93" s="7"/>
      <c r="T93" s="7"/>
      <c r="U93" s="7"/>
      <c r="V93" s="22" t="s">
        <v>157</v>
      </c>
      <c r="W93" s="40" t="s">
        <v>247</v>
      </c>
      <c r="X93" s="41" t="s">
        <v>434</v>
      </c>
      <c r="Y93" s="41">
        <v>1</v>
      </c>
      <c r="Z93" s="40" t="s">
        <v>168</v>
      </c>
      <c r="AA93" s="41" t="s">
        <v>249</v>
      </c>
      <c r="AB93" s="42" t="s">
        <v>250</v>
      </c>
      <c r="AC93" s="124" t="s">
        <v>168</v>
      </c>
      <c r="AD93" s="32" t="s">
        <v>368</v>
      </c>
      <c r="AE93" s="159">
        <f>SUM(F89,H93,I93,J93,K93,L93,M93,N93,O93,P93,Q93,Y93)</f>
        <v>79</v>
      </c>
      <c r="AF93" s="372"/>
      <c r="AG93" s="367"/>
    </row>
    <row r="94" spans="2:33" ht="56">
      <c r="B94" s="433"/>
      <c r="C94" s="324"/>
      <c r="D94" s="16" t="s">
        <v>221</v>
      </c>
      <c r="E94" s="324"/>
      <c r="F94" s="404"/>
      <c r="G94" s="16" t="s">
        <v>1</v>
      </c>
      <c r="H94" s="8">
        <v>11</v>
      </c>
      <c r="I94" s="8">
        <v>6</v>
      </c>
      <c r="J94" s="8">
        <v>8</v>
      </c>
      <c r="K94" s="8">
        <v>9</v>
      </c>
      <c r="L94" s="8">
        <v>10</v>
      </c>
      <c r="M94" s="8">
        <v>5</v>
      </c>
      <c r="N94" s="8">
        <v>5</v>
      </c>
      <c r="O94" s="8">
        <v>5</v>
      </c>
      <c r="P94" s="8">
        <v>8</v>
      </c>
      <c r="Q94" s="8">
        <v>5</v>
      </c>
      <c r="R94" s="8"/>
      <c r="S94" s="7"/>
      <c r="T94" s="7"/>
      <c r="U94" s="7"/>
      <c r="V94" s="22" t="s">
        <v>157</v>
      </c>
      <c r="W94" s="40" t="s">
        <v>244</v>
      </c>
      <c r="X94" s="41" t="s">
        <v>434</v>
      </c>
      <c r="Y94" s="41">
        <v>1</v>
      </c>
      <c r="Z94" s="40" t="s">
        <v>168</v>
      </c>
      <c r="AA94" s="41">
        <v>3</v>
      </c>
      <c r="AB94" s="43">
        <v>0</v>
      </c>
      <c r="AC94" s="124" t="s">
        <v>168</v>
      </c>
      <c r="AD94" s="32" t="s">
        <v>368</v>
      </c>
      <c r="AE94" s="159">
        <f>SUM(F89,H94,I94,J94,K94,L94,M94,N94,O94,P94,Q94,Y94)</f>
        <v>79</v>
      </c>
      <c r="AF94" s="372"/>
      <c r="AG94" s="367"/>
    </row>
    <row r="95" spans="2:33" ht="42">
      <c r="B95" s="433"/>
      <c r="C95" s="324"/>
      <c r="D95" s="16" t="s">
        <v>222</v>
      </c>
      <c r="E95" s="324"/>
      <c r="F95" s="404"/>
      <c r="G95" s="16" t="s">
        <v>1</v>
      </c>
      <c r="H95" s="8">
        <v>11</v>
      </c>
      <c r="I95" s="8">
        <v>6</v>
      </c>
      <c r="J95" s="8">
        <v>8</v>
      </c>
      <c r="K95" s="8">
        <v>9</v>
      </c>
      <c r="L95" s="8">
        <v>10</v>
      </c>
      <c r="M95" s="8">
        <v>5</v>
      </c>
      <c r="N95" s="8">
        <v>5</v>
      </c>
      <c r="O95" s="8">
        <v>5</v>
      </c>
      <c r="P95" s="8">
        <v>8</v>
      </c>
      <c r="Q95" s="8">
        <v>5</v>
      </c>
      <c r="R95" s="8"/>
      <c r="S95" s="7"/>
      <c r="T95" s="7"/>
      <c r="U95" s="7"/>
      <c r="V95" s="22" t="s">
        <v>129</v>
      </c>
      <c r="W95" s="40" t="s">
        <v>177</v>
      </c>
      <c r="X95" s="41" t="s">
        <v>433</v>
      </c>
      <c r="Y95" s="41">
        <v>3</v>
      </c>
      <c r="Z95" s="40" t="s">
        <v>168</v>
      </c>
      <c r="AA95" s="41" t="s">
        <v>168</v>
      </c>
      <c r="AB95" s="42" t="s">
        <v>168</v>
      </c>
      <c r="AC95" s="124" t="s">
        <v>168</v>
      </c>
      <c r="AD95" s="32" t="s">
        <v>369</v>
      </c>
      <c r="AE95" s="159">
        <f>SUM(F89,H95,I95,J95,K95,L95,M95,N95,O95,P95,Q95,Y95)</f>
        <v>81</v>
      </c>
      <c r="AF95" s="372"/>
      <c r="AG95" s="367"/>
    </row>
    <row r="96" spans="2:33" ht="52">
      <c r="B96" s="433"/>
      <c r="C96" s="324"/>
      <c r="D96" s="16" t="s">
        <v>223</v>
      </c>
      <c r="E96" s="324"/>
      <c r="F96" s="404"/>
      <c r="G96" s="16" t="s">
        <v>1</v>
      </c>
      <c r="H96" s="8">
        <v>11</v>
      </c>
      <c r="I96" s="8">
        <v>6</v>
      </c>
      <c r="J96" s="8">
        <v>8</v>
      </c>
      <c r="K96" s="8">
        <v>9</v>
      </c>
      <c r="L96" s="8">
        <v>10</v>
      </c>
      <c r="M96" s="8">
        <v>5</v>
      </c>
      <c r="N96" s="8">
        <v>5</v>
      </c>
      <c r="O96" s="8">
        <v>5</v>
      </c>
      <c r="P96" s="8">
        <v>8</v>
      </c>
      <c r="Q96" s="8">
        <v>5</v>
      </c>
      <c r="R96" s="8"/>
      <c r="S96" s="7"/>
      <c r="T96" s="7"/>
      <c r="U96" s="7"/>
      <c r="V96" s="22" t="s">
        <v>157</v>
      </c>
      <c r="W96" s="40" t="s">
        <v>244</v>
      </c>
      <c r="X96" s="41" t="s">
        <v>434</v>
      </c>
      <c r="Y96" s="41">
        <v>1</v>
      </c>
      <c r="Z96" s="40" t="s">
        <v>168</v>
      </c>
      <c r="AA96" s="41">
        <v>3</v>
      </c>
      <c r="AB96" s="43">
        <v>0</v>
      </c>
      <c r="AC96" s="124" t="s">
        <v>168</v>
      </c>
      <c r="AD96" s="32" t="s">
        <v>368</v>
      </c>
      <c r="AE96" s="159">
        <f>SUM(F89,H96,I96,J96,K96,L96,M96,N96,O96,P96,Q96,Y96)</f>
        <v>79</v>
      </c>
      <c r="AF96" s="372"/>
      <c r="AG96" s="367"/>
    </row>
    <row r="97" spans="2:33" ht="42">
      <c r="B97" s="433"/>
      <c r="C97" s="324"/>
      <c r="D97" s="16" t="s">
        <v>224</v>
      </c>
      <c r="E97" s="324"/>
      <c r="F97" s="404"/>
      <c r="G97" s="16" t="s">
        <v>1</v>
      </c>
      <c r="H97" s="8">
        <v>11</v>
      </c>
      <c r="I97" s="8">
        <v>6</v>
      </c>
      <c r="J97" s="8">
        <v>8</v>
      </c>
      <c r="K97" s="8">
        <v>9</v>
      </c>
      <c r="L97" s="8">
        <v>10</v>
      </c>
      <c r="M97" s="8">
        <v>5</v>
      </c>
      <c r="N97" s="8">
        <v>5</v>
      </c>
      <c r="O97" s="8">
        <v>5</v>
      </c>
      <c r="P97" s="8">
        <v>8</v>
      </c>
      <c r="Q97" s="8">
        <v>5</v>
      </c>
      <c r="R97" s="8"/>
      <c r="S97" s="7"/>
      <c r="T97" s="7"/>
      <c r="U97" s="7"/>
      <c r="V97" s="22" t="s">
        <v>129</v>
      </c>
      <c r="W97" s="40" t="s">
        <v>177</v>
      </c>
      <c r="X97" s="41" t="s">
        <v>433</v>
      </c>
      <c r="Y97" s="41">
        <v>3</v>
      </c>
      <c r="Z97" s="40" t="s">
        <v>168</v>
      </c>
      <c r="AA97" s="41" t="s">
        <v>168</v>
      </c>
      <c r="AB97" s="42" t="s">
        <v>168</v>
      </c>
      <c r="AC97" s="124" t="s">
        <v>168</v>
      </c>
      <c r="AD97" s="32" t="s">
        <v>369</v>
      </c>
      <c r="AE97" s="159">
        <f>SUM(F89,H97,I97,J97,K97,L97,M97,N97,O97,P97,Q97,Y97)</f>
        <v>81</v>
      </c>
      <c r="AF97" s="372"/>
      <c r="AG97" s="367"/>
    </row>
    <row r="98" spans="2:33" ht="52">
      <c r="B98" s="433"/>
      <c r="C98" s="324"/>
      <c r="D98" s="16" t="s">
        <v>225</v>
      </c>
      <c r="E98" s="324"/>
      <c r="F98" s="404"/>
      <c r="G98" s="16" t="s">
        <v>1</v>
      </c>
      <c r="H98" s="8">
        <v>11</v>
      </c>
      <c r="I98" s="8">
        <v>6</v>
      </c>
      <c r="J98" s="8">
        <v>8</v>
      </c>
      <c r="K98" s="8">
        <v>9</v>
      </c>
      <c r="L98" s="8">
        <v>10</v>
      </c>
      <c r="M98" s="8">
        <v>5</v>
      </c>
      <c r="N98" s="8">
        <v>5</v>
      </c>
      <c r="O98" s="8">
        <v>5</v>
      </c>
      <c r="P98" s="8">
        <v>8</v>
      </c>
      <c r="Q98" s="8">
        <v>5</v>
      </c>
      <c r="R98" s="8"/>
      <c r="S98" s="7"/>
      <c r="T98" s="7"/>
      <c r="U98" s="7"/>
      <c r="V98" s="22" t="s">
        <v>157</v>
      </c>
      <c r="W98" s="40" t="s">
        <v>244</v>
      </c>
      <c r="X98" s="41" t="s">
        <v>434</v>
      </c>
      <c r="Y98" s="41">
        <v>1</v>
      </c>
      <c r="Z98" s="40" t="s">
        <v>168</v>
      </c>
      <c r="AA98" s="41">
        <v>3</v>
      </c>
      <c r="AB98" s="43">
        <v>0</v>
      </c>
      <c r="AC98" s="124" t="s">
        <v>168</v>
      </c>
      <c r="AD98" s="32" t="s">
        <v>368</v>
      </c>
      <c r="AE98" s="159">
        <f>SUM(F89,H98,I98,J98,K98,L98,M98,N98,O98,P98,Q98,Y98)</f>
        <v>79</v>
      </c>
      <c r="AF98" s="372"/>
      <c r="AG98" s="367"/>
    </row>
    <row r="99" spans="2:33" ht="42">
      <c r="B99" s="433"/>
      <c r="C99" s="324"/>
      <c r="D99" s="16" t="s">
        <v>226</v>
      </c>
      <c r="E99" s="324"/>
      <c r="F99" s="404"/>
      <c r="G99" s="16" t="s">
        <v>1</v>
      </c>
      <c r="H99" s="8">
        <v>11</v>
      </c>
      <c r="I99" s="8">
        <v>6</v>
      </c>
      <c r="J99" s="8">
        <v>8</v>
      </c>
      <c r="K99" s="8">
        <v>9</v>
      </c>
      <c r="L99" s="8">
        <v>10</v>
      </c>
      <c r="M99" s="8">
        <v>5</v>
      </c>
      <c r="N99" s="8">
        <v>5</v>
      </c>
      <c r="O99" s="8">
        <v>5</v>
      </c>
      <c r="P99" s="8">
        <v>8</v>
      </c>
      <c r="Q99" s="8">
        <v>5</v>
      </c>
      <c r="R99" s="8"/>
      <c r="S99" s="7"/>
      <c r="T99" s="7"/>
      <c r="U99" s="7"/>
      <c r="V99" s="22" t="s">
        <v>129</v>
      </c>
      <c r="W99" s="40" t="s">
        <v>177</v>
      </c>
      <c r="X99" s="41" t="s">
        <v>433</v>
      </c>
      <c r="Y99" s="41">
        <v>3</v>
      </c>
      <c r="Z99" s="40" t="s">
        <v>168</v>
      </c>
      <c r="AA99" s="41" t="s">
        <v>168</v>
      </c>
      <c r="AB99" s="42" t="s">
        <v>168</v>
      </c>
      <c r="AC99" s="124" t="s">
        <v>168</v>
      </c>
      <c r="AD99" s="32" t="s">
        <v>369</v>
      </c>
      <c r="AE99" s="159">
        <f>SUM(H99,F89,I99,J99,K99,L99,M99,N99,O99,P99,Q99,Y99)</f>
        <v>81</v>
      </c>
      <c r="AF99" s="372"/>
      <c r="AG99" s="367"/>
    </row>
    <row r="100" spans="2:33" ht="52">
      <c r="B100" s="433"/>
      <c r="C100" s="324"/>
      <c r="D100" s="16" t="s">
        <v>420</v>
      </c>
      <c r="E100" s="324"/>
      <c r="F100" s="404"/>
      <c r="G100" s="16" t="s">
        <v>1</v>
      </c>
      <c r="H100" s="8">
        <v>11</v>
      </c>
      <c r="I100" s="8">
        <v>6</v>
      </c>
      <c r="J100" s="8">
        <v>8</v>
      </c>
      <c r="K100" s="8">
        <v>9</v>
      </c>
      <c r="L100" s="8">
        <v>10</v>
      </c>
      <c r="M100" s="8">
        <v>5</v>
      </c>
      <c r="N100" s="8">
        <v>5</v>
      </c>
      <c r="O100" s="8">
        <v>5</v>
      </c>
      <c r="P100" s="8">
        <v>8</v>
      </c>
      <c r="Q100" s="8">
        <v>5</v>
      </c>
      <c r="R100" s="8"/>
      <c r="S100" s="7"/>
      <c r="T100" s="7"/>
      <c r="U100" s="7"/>
      <c r="V100" s="22" t="s">
        <v>157</v>
      </c>
      <c r="W100" s="40" t="s">
        <v>243</v>
      </c>
      <c r="X100" s="41" t="s">
        <v>434</v>
      </c>
      <c r="Y100" s="41">
        <v>1</v>
      </c>
      <c r="Z100" s="40" t="s">
        <v>168</v>
      </c>
      <c r="AA100" s="41">
        <v>22</v>
      </c>
      <c r="AB100" s="42">
        <v>0.94220000000000004</v>
      </c>
      <c r="AC100" s="124" t="s">
        <v>168</v>
      </c>
      <c r="AD100" s="32" t="s">
        <v>368</v>
      </c>
      <c r="AE100" s="159">
        <f>SUM(F89,H100,I100,J100,K100,L100,M100,N100,O100,P100,Q100,Y100)</f>
        <v>79</v>
      </c>
      <c r="AF100" s="372"/>
      <c r="AG100" s="367"/>
    </row>
    <row r="101" spans="2:33" ht="52">
      <c r="B101" s="433"/>
      <c r="C101" s="324"/>
      <c r="D101" s="16" t="s">
        <v>227</v>
      </c>
      <c r="E101" s="324"/>
      <c r="F101" s="404"/>
      <c r="G101" s="16" t="s">
        <v>1</v>
      </c>
      <c r="H101" s="8">
        <v>11</v>
      </c>
      <c r="I101" s="8">
        <v>6</v>
      </c>
      <c r="J101" s="8">
        <v>8</v>
      </c>
      <c r="K101" s="8">
        <v>9</v>
      </c>
      <c r="L101" s="8">
        <v>10</v>
      </c>
      <c r="M101" s="8">
        <v>5</v>
      </c>
      <c r="N101" s="8">
        <v>5</v>
      </c>
      <c r="O101" s="8">
        <v>5</v>
      </c>
      <c r="P101" s="8">
        <v>8</v>
      </c>
      <c r="Q101" s="8">
        <v>5</v>
      </c>
      <c r="R101" s="8"/>
      <c r="S101" s="7"/>
      <c r="T101" s="7"/>
      <c r="U101" s="7"/>
      <c r="V101" s="22" t="s">
        <v>157</v>
      </c>
      <c r="W101" s="40" t="s">
        <v>248</v>
      </c>
      <c r="X101" s="41" t="s">
        <v>435</v>
      </c>
      <c r="Y101" s="41">
        <v>1</v>
      </c>
      <c r="Z101" s="40" t="s">
        <v>168</v>
      </c>
      <c r="AA101" s="41">
        <v>1</v>
      </c>
      <c r="AB101" s="43">
        <v>1</v>
      </c>
      <c r="AC101" s="124" t="s">
        <v>168</v>
      </c>
      <c r="AD101" s="32" t="s">
        <v>368</v>
      </c>
      <c r="AE101" s="159">
        <f>SUM(F89,H101,I101,J101,K101,L101,M101,N101,O101,P101,Q101,Y101)</f>
        <v>79</v>
      </c>
      <c r="AF101" s="372"/>
      <c r="AG101" s="367"/>
    </row>
    <row r="102" spans="2:33" ht="52">
      <c r="B102" s="433"/>
      <c r="C102" s="324"/>
      <c r="D102" s="16" t="s">
        <v>228</v>
      </c>
      <c r="E102" s="324"/>
      <c r="F102" s="404"/>
      <c r="G102" s="16" t="s">
        <v>1</v>
      </c>
      <c r="H102" s="8">
        <v>11</v>
      </c>
      <c r="I102" s="8">
        <v>6</v>
      </c>
      <c r="J102" s="8">
        <v>8</v>
      </c>
      <c r="K102" s="8">
        <v>9</v>
      </c>
      <c r="L102" s="8">
        <v>10</v>
      </c>
      <c r="M102" s="8">
        <v>5</v>
      </c>
      <c r="N102" s="8">
        <v>5</v>
      </c>
      <c r="O102" s="8">
        <v>5</v>
      </c>
      <c r="P102" s="8">
        <v>8</v>
      </c>
      <c r="Q102" s="8">
        <v>5</v>
      </c>
      <c r="R102" s="8"/>
      <c r="S102" s="7"/>
      <c r="T102" s="7"/>
      <c r="U102" s="7"/>
      <c r="V102" s="22" t="s">
        <v>157</v>
      </c>
      <c r="W102" s="40" t="s">
        <v>248</v>
      </c>
      <c r="X102" s="41" t="s">
        <v>434</v>
      </c>
      <c r="Y102" s="41">
        <v>1</v>
      </c>
      <c r="Z102" s="40" t="s">
        <v>168</v>
      </c>
      <c r="AA102" s="41">
        <v>1</v>
      </c>
      <c r="AB102" s="43">
        <v>1</v>
      </c>
      <c r="AC102" s="124" t="s">
        <v>168</v>
      </c>
      <c r="AD102" s="32" t="s">
        <v>368</v>
      </c>
      <c r="AE102" s="159">
        <f>SUM(F89,H102,I102,J102,K102,L102,M102,N102,O102,P102,Q102,Y102)</f>
        <v>79</v>
      </c>
      <c r="AF102" s="372"/>
      <c r="AG102" s="367"/>
    </row>
    <row r="103" spans="2:33" ht="42">
      <c r="B103" s="433"/>
      <c r="C103" s="324"/>
      <c r="D103" s="16" t="s">
        <v>229</v>
      </c>
      <c r="E103" s="324"/>
      <c r="F103" s="404"/>
      <c r="G103" s="16" t="s">
        <v>1</v>
      </c>
      <c r="H103" s="8">
        <v>11</v>
      </c>
      <c r="I103" s="8">
        <v>6</v>
      </c>
      <c r="J103" s="8">
        <v>8</v>
      </c>
      <c r="K103" s="8">
        <v>9</v>
      </c>
      <c r="L103" s="8">
        <v>10</v>
      </c>
      <c r="M103" s="8">
        <v>5</v>
      </c>
      <c r="N103" s="8">
        <v>5</v>
      </c>
      <c r="O103" s="8">
        <v>5</v>
      </c>
      <c r="P103" s="8">
        <v>8</v>
      </c>
      <c r="Q103" s="8">
        <v>5</v>
      </c>
      <c r="R103" s="8"/>
      <c r="S103" s="7"/>
      <c r="T103" s="7"/>
      <c r="U103" s="7"/>
      <c r="V103" s="22" t="s">
        <v>129</v>
      </c>
      <c r="W103" s="40" t="s">
        <v>177</v>
      </c>
      <c r="X103" s="41" t="s">
        <v>433</v>
      </c>
      <c r="Y103" s="41">
        <v>3</v>
      </c>
      <c r="Z103" s="40" t="s">
        <v>168</v>
      </c>
      <c r="AA103" s="41" t="s">
        <v>168</v>
      </c>
      <c r="AB103" s="42" t="s">
        <v>168</v>
      </c>
      <c r="AC103" s="124" t="s">
        <v>168</v>
      </c>
      <c r="AD103" s="32" t="s">
        <v>369</v>
      </c>
      <c r="AE103" s="159">
        <f>SUM(F89,H103,I103,J103,K103,L103,M103,N103,O103,P103,Q103,Y103)</f>
        <v>81</v>
      </c>
      <c r="AF103" s="372"/>
      <c r="AG103" s="367"/>
    </row>
    <row r="104" spans="2:33" ht="52">
      <c r="B104" s="433"/>
      <c r="C104" s="324"/>
      <c r="D104" s="16" t="s">
        <v>230</v>
      </c>
      <c r="E104" s="324"/>
      <c r="F104" s="404"/>
      <c r="G104" s="16" t="s">
        <v>1</v>
      </c>
      <c r="H104" s="8">
        <v>11</v>
      </c>
      <c r="I104" s="8">
        <v>6</v>
      </c>
      <c r="J104" s="8">
        <v>8</v>
      </c>
      <c r="K104" s="8">
        <v>9</v>
      </c>
      <c r="L104" s="8">
        <v>10</v>
      </c>
      <c r="M104" s="8">
        <v>5</v>
      </c>
      <c r="N104" s="8">
        <v>5</v>
      </c>
      <c r="O104" s="8">
        <v>5</v>
      </c>
      <c r="P104" s="8">
        <v>8</v>
      </c>
      <c r="Q104" s="8">
        <v>5</v>
      </c>
      <c r="R104" s="8"/>
      <c r="S104" s="7"/>
      <c r="T104" s="7"/>
      <c r="U104" s="7"/>
      <c r="V104" s="22" t="s">
        <v>157</v>
      </c>
      <c r="W104" s="40" t="s">
        <v>248</v>
      </c>
      <c r="X104" s="41" t="s">
        <v>434</v>
      </c>
      <c r="Y104" s="41">
        <v>1</v>
      </c>
      <c r="Z104" s="40" t="s">
        <v>168</v>
      </c>
      <c r="AA104" s="41">
        <v>1</v>
      </c>
      <c r="AB104" s="43">
        <v>1</v>
      </c>
      <c r="AC104" s="124" t="s">
        <v>168</v>
      </c>
      <c r="AD104" s="32" t="s">
        <v>368</v>
      </c>
      <c r="AE104" s="159">
        <f>SUM(F89,H104,I104,J104,K104,L104,M104,N104,O104,P104,Q104,Y104)</f>
        <v>79</v>
      </c>
      <c r="AF104" s="372"/>
      <c r="AG104" s="367"/>
    </row>
    <row r="105" spans="2:33" ht="52">
      <c r="B105" s="433"/>
      <c r="C105" s="324"/>
      <c r="D105" s="16" t="s">
        <v>231</v>
      </c>
      <c r="E105" s="324"/>
      <c r="F105" s="404"/>
      <c r="G105" s="16" t="s">
        <v>1</v>
      </c>
      <c r="H105" s="8">
        <v>11</v>
      </c>
      <c r="I105" s="8">
        <v>6</v>
      </c>
      <c r="J105" s="8">
        <v>8</v>
      </c>
      <c r="K105" s="8">
        <v>9</v>
      </c>
      <c r="L105" s="8">
        <v>10</v>
      </c>
      <c r="M105" s="8">
        <v>5</v>
      </c>
      <c r="N105" s="8">
        <v>5</v>
      </c>
      <c r="O105" s="8">
        <v>5</v>
      </c>
      <c r="P105" s="8">
        <v>8</v>
      </c>
      <c r="Q105" s="8">
        <v>5</v>
      </c>
      <c r="R105" s="8"/>
      <c r="S105" s="7"/>
      <c r="T105" s="7"/>
      <c r="U105" s="7"/>
      <c r="V105" s="22" t="s">
        <v>157</v>
      </c>
      <c r="W105" s="40" t="s">
        <v>244</v>
      </c>
      <c r="X105" s="41" t="s">
        <v>434</v>
      </c>
      <c r="Y105" s="41">
        <v>1</v>
      </c>
      <c r="Z105" s="40" t="s">
        <v>168</v>
      </c>
      <c r="AA105" s="41">
        <v>3</v>
      </c>
      <c r="AB105" s="43">
        <v>0</v>
      </c>
      <c r="AC105" s="124" t="s">
        <v>168</v>
      </c>
      <c r="AD105" s="32" t="s">
        <v>368</v>
      </c>
      <c r="AE105" s="159">
        <f>SUM(F89,H105,I105,J105,K105,L105,M105,N105,O105,P105,Q105,Y105)</f>
        <v>79</v>
      </c>
      <c r="AF105" s="372"/>
      <c r="AG105" s="367"/>
    </row>
    <row r="106" spans="2:33" ht="42">
      <c r="B106" s="433"/>
      <c r="C106" s="324"/>
      <c r="D106" s="16" t="s">
        <v>232</v>
      </c>
      <c r="E106" s="324"/>
      <c r="F106" s="404"/>
      <c r="G106" s="16" t="s">
        <v>1</v>
      </c>
      <c r="H106" s="8">
        <v>11</v>
      </c>
      <c r="I106" s="8">
        <v>6</v>
      </c>
      <c r="J106" s="8">
        <v>8</v>
      </c>
      <c r="K106" s="8">
        <v>9</v>
      </c>
      <c r="L106" s="8">
        <v>10</v>
      </c>
      <c r="M106" s="8">
        <v>5</v>
      </c>
      <c r="N106" s="8">
        <v>5</v>
      </c>
      <c r="O106" s="8">
        <v>5</v>
      </c>
      <c r="P106" s="8">
        <v>8</v>
      </c>
      <c r="Q106" s="8">
        <v>5</v>
      </c>
      <c r="R106" s="8"/>
      <c r="S106" s="7"/>
      <c r="T106" s="7"/>
      <c r="U106" s="7"/>
      <c r="V106" s="22" t="s">
        <v>129</v>
      </c>
      <c r="W106" s="40" t="s">
        <v>177</v>
      </c>
      <c r="X106" s="41" t="s">
        <v>433</v>
      </c>
      <c r="Y106" s="41">
        <v>3</v>
      </c>
      <c r="Z106" s="40" t="s">
        <v>168</v>
      </c>
      <c r="AA106" s="41" t="s">
        <v>168</v>
      </c>
      <c r="AB106" s="42" t="s">
        <v>168</v>
      </c>
      <c r="AC106" s="124" t="s">
        <v>168</v>
      </c>
      <c r="AD106" s="32" t="s">
        <v>369</v>
      </c>
      <c r="AE106" s="159">
        <f>SUM(F89,H106,I106,J106,K106,L106,M106,N106,O106,P106,Q106,Y106)</f>
        <v>81</v>
      </c>
      <c r="AF106" s="372"/>
      <c r="AG106" s="367"/>
    </row>
    <row r="107" spans="2:33" ht="196">
      <c r="B107" s="433"/>
      <c r="C107" s="324"/>
      <c r="D107" s="62" t="s">
        <v>421</v>
      </c>
      <c r="E107" s="324"/>
      <c r="F107" s="404"/>
      <c r="G107" s="16" t="s">
        <v>61</v>
      </c>
      <c r="H107" s="8">
        <v>11</v>
      </c>
      <c r="I107" s="8">
        <v>6</v>
      </c>
      <c r="J107" s="8">
        <v>8</v>
      </c>
      <c r="K107" s="8">
        <v>9</v>
      </c>
      <c r="L107" s="8">
        <v>10</v>
      </c>
      <c r="M107" s="8">
        <v>5</v>
      </c>
      <c r="N107" s="8">
        <v>5</v>
      </c>
      <c r="O107" s="8">
        <v>5</v>
      </c>
      <c r="P107" s="8">
        <v>8</v>
      </c>
      <c r="Q107" s="8">
        <v>5</v>
      </c>
      <c r="R107" s="8"/>
      <c r="S107" s="8"/>
      <c r="T107" s="8"/>
      <c r="U107" s="8"/>
      <c r="V107" s="22" t="s">
        <v>128</v>
      </c>
      <c r="W107" s="10" t="s">
        <v>202</v>
      </c>
      <c r="X107" s="9" t="s">
        <v>429</v>
      </c>
      <c r="Y107" s="9">
        <v>3</v>
      </c>
      <c r="Z107" s="10" t="s">
        <v>203</v>
      </c>
      <c r="AA107" s="9" t="s">
        <v>204</v>
      </c>
      <c r="AB107" s="13" t="s">
        <v>205</v>
      </c>
      <c r="AC107" s="119">
        <v>34</v>
      </c>
      <c r="AD107" s="32" t="s">
        <v>370</v>
      </c>
      <c r="AE107" s="159">
        <f>SUM(F89,H107,I107,J107,K107,L107,M107,N107,O107,P107,Q107,Y107)</f>
        <v>81</v>
      </c>
      <c r="AF107" s="372"/>
      <c r="AG107" s="367"/>
    </row>
    <row r="108" spans="2:33" ht="43" thickBot="1">
      <c r="B108" s="432"/>
      <c r="C108" s="358"/>
      <c r="D108" s="63" t="s">
        <v>422</v>
      </c>
      <c r="E108" s="358"/>
      <c r="F108" s="408"/>
      <c r="G108" s="21" t="s">
        <v>1</v>
      </c>
      <c r="H108" s="36">
        <v>11</v>
      </c>
      <c r="I108" s="36">
        <v>6</v>
      </c>
      <c r="J108" s="36">
        <v>8</v>
      </c>
      <c r="K108" s="36">
        <v>9</v>
      </c>
      <c r="L108" s="36">
        <v>10</v>
      </c>
      <c r="M108" s="36">
        <v>5</v>
      </c>
      <c r="N108" s="36">
        <v>5</v>
      </c>
      <c r="O108" s="36">
        <v>5</v>
      </c>
      <c r="P108" s="36">
        <v>8</v>
      </c>
      <c r="Q108" s="36">
        <v>5</v>
      </c>
      <c r="R108" s="36"/>
      <c r="S108" s="37"/>
      <c r="T108" s="37"/>
      <c r="U108" s="37"/>
      <c r="V108" s="56" t="s">
        <v>129</v>
      </c>
      <c r="W108" s="138" t="s">
        <v>177</v>
      </c>
      <c r="X108" s="139" t="s">
        <v>433</v>
      </c>
      <c r="Y108" s="139">
        <v>3</v>
      </c>
      <c r="Z108" s="138" t="s">
        <v>168</v>
      </c>
      <c r="AA108" s="139" t="s">
        <v>168</v>
      </c>
      <c r="AB108" s="143" t="s">
        <v>168</v>
      </c>
      <c r="AC108" s="123">
        <v>65</v>
      </c>
      <c r="AD108" s="44" t="s">
        <v>371</v>
      </c>
      <c r="AE108" s="160">
        <f>SUM(F89,H108,I108,J108,K108,L108,M108,N108,O108,P108,Q108,Y108)</f>
        <v>81</v>
      </c>
      <c r="AF108" s="370"/>
      <c r="AG108" s="371"/>
    </row>
    <row r="109" spans="2:33" ht="63" customHeight="1">
      <c r="B109" s="431" t="s">
        <v>233</v>
      </c>
      <c r="C109" s="409" t="s">
        <v>235</v>
      </c>
      <c r="D109" s="136" t="s">
        <v>423</v>
      </c>
      <c r="E109" s="409" t="s">
        <v>297</v>
      </c>
      <c r="F109" s="411">
        <v>5</v>
      </c>
      <c r="G109" s="90" t="s">
        <v>237</v>
      </c>
      <c r="H109" s="68">
        <v>11</v>
      </c>
      <c r="I109" s="68">
        <v>6</v>
      </c>
      <c r="J109" s="68">
        <v>8</v>
      </c>
      <c r="K109" s="68">
        <v>9</v>
      </c>
      <c r="L109" s="68">
        <v>10</v>
      </c>
      <c r="M109" s="68">
        <v>5</v>
      </c>
      <c r="N109" s="68">
        <v>5</v>
      </c>
      <c r="O109" s="68">
        <v>5</v>
      </c>
      <c r="P109" s="68">
        <v>8</v>
      </c>
      <c r="Q109" s="68">
        <v>5</v>
      </c>
      <c r="R109" s="68"/>
      <c r="S109" s="66"/>
      <c r="T109" s="66"/>
      <c r="U109" s="66"/>
      <c r="V109" s="69" t="s">
        <v>157</v>
      </c>
      <c r="W109" s="132" t="s">
        <v>240</v>
      </c>
      <c r="X109" s="133" t="s">
        <v>435</v>
      </c>
      <c r="Y109" s="133">
        <v>1</v>
      </c>
      <c r="Z109" s="132" t="s">
        <v>168</v>
      </c>
      <c r="AA109" s="133" t="s">
        <v>241</v>
      </c>
      <c r="AB109" s="133" t="s">
        <v>242</v>
      </c>
      <c r="AC109" s="135">
        <v>43</v>
      </c>
      <c r="AD109" s="73" t="s">
        <v>361</v>
      </c>
      <c r="AE109" s="158">
        <f>SUM(F109,H109,I109,J109,K109,L109,M109,N109,O109,P109,Q109,Y109)</f>
        <v>78</v>
      </c>
      <c r="AF109" s="369">
        <f>SUM(AE109:AE110)</f>
        <v>156</v>
      </c>
      <c r="AG109" s="366"/>
    </row>
    <row r="110" spans="2:33" ht="79" thickBot="1">
      <c r="B110" s="432"/>
      <c r="C110" s="410"/>
      <c r="D110" s="137" t="s">
        <v>236</v>
      </c>
      <c r="E110" s="410"/>
      <c r="F110" s="412"/>
      <c r="G110" s="51" t="s">
        <v>237</v>
      </c>
      <c r="H110" s="36">
        <v>11</v>
      </c>
      <c r="I110" s="36">
        <v>6</v>
      </c>
      <c r="J110" s="36">
        <v>8</v>
      </c>
      <c r="K110" s="36">
        <v>9</v>
      </c>
      <c r="L110" s="36">
        <v>10</v>
      </c>
      <c r="M110" s="36">
        <v>5</v>
      </c>
      <c r="N110" s="36">
        <v>5</v>
      </c>
      <c r="O110" s="36">
        <v>5</v>
      </c>
      <c r="P110" s="36">
        <v>8</v>
      </c>
      <c r="Q110" s="36">
        <v>5</v>
      </c>
      <c r="R110" s="36"/>
      <c r="S110" s="37"/>
      <c r="T110" s="37"/>
      <c r="U110" s="37"/>
      <c r="V110" s="56" t="s">
        <v>157</v>
      </c>
      <c r="W110" s="138" t="s">
        <v>240</v>
      </c>
      <c r="X110" s="139" t="s">
        <v>434</v>
      </c>
      <c r="Y110" s="139">
        <v>1</v>
      </c>
      <c r="Z110" s="138" t="s">
        <v>168</v>
      </c>
      <c r="AA110" s="139" t="s">
        <v>241</v>
      </c>
      <c r="AB110" s="139" t="s">
        <v>242</v>
      </c>
      <c r="AC110" s="140">
        <v>43</v>
      </c>
      <c r="AD110" s="44" t="s">
        <v>361</v>
      </c>
      <c r="AE110" s="160">
        <f>SUM(F109,H110,I110,J110,K110,L110,M110,N110,O110,P110,Q110,Y110)</f>
        <v>78</v>
      </c>
      <c r="AF110" s="370"/>
      <c r="AG110" s="371"/>
    </row>
    <row r="111" spans="2:33" ht="65" customHeight="1">
      <c r="B111" s="312" t="s">
        <v>238</v>
      </c>
      <c r="C111" s="407" t="s">
        <v>78</v>
      </c>
      <c r="D111" s="102" t="s">
        <v>12</v>
      </c>
      <c r="E111" s="415" t="s">
        <v>320</v>
      </c>
      <c r="F111" s="405">
        <v>6</v>
      </c>
      <c r="G111" s="103" t="s">
        <v>34</v>
      </c>
      <c r="H111" s="68">
        <v>11</v>
      </c>
      <c r="I111" s="68">
        <v>6</v>
      </c>
      <c r="J111" s="68">
        <v>8</v>
      </c>
      <c r="K111" s="68">
        <v>9</v>
      </c>
      <c r="L111" s="68">
        <v>10</v>
      </c>
      <c r="M111" s="68">
        <v>5</v>
      </c>
      <c r="N111" s="68">
        <v>5</v>
      </c>
      <c r="O111" s="68">
        <v>5</v>
      </c>
      <c r="P111" s="68">
        <v>8</v>
      </c>
      <c r="Q111" s="68">
        <v>5</v>
      </c>
      <c r="R111" s="68">
        <v>9</v>
      </c>
      <c r="S111" s="66"/>
      <c r="T111" s="66"/>
      <c r="U111" s="66"/>
      <c r="V111" s="69" t="s">
        <v>129</v>
      </c>
      <c r="W111" s="132" t="s">
        <v>177</v>
      </c>
      <c r="X111" s="133" t="s">
        <v>433</v>
      </c>
      <c r="Y111" s="133">
        <v>3</v>
      </c>
      <c r="Z111" s="132" t="s">
        <v>168</v>
      </c>
      <c r="AA111" s="133" t="s">
        <v>168</v>
      </c>
      <c r="AB111" s="134" t="s">
        <v>168</v>
      </c>
      <c r="AC111" s="135">
        <v>66</v>
      </c>
      <c r="AD111" s="73" t="s">
        <v>373</v>
      </c>
      <c r="AE111" s="158">
        <f>SUM(F111,H111,I111,J111,K111,L111,M111,N111,O111,P111,Q111,R111,Y111)</f>
        <v>90</v>
      </c>
      <c r="AF111" s="369">
        <f>SUM(AE111:AE118)</f>
        <v>720</v>
      </c>
      <c r="AG111" s="366"/>
    </row>
    <row r="112" spans="2:33" ht="50" customHeight="1">
      <c r="B112" s="313"/>
      <c r="C112" s="324"/>
      <c r="D112" s="16" t="s">
        <v>15</v>
      </c>
      <c r="E112" s="399"/>
      <c r="F112" s="401"/>
      <c r="G112" s="4" t="s">
        <v>33</v>
      </c>
      <c r="H112" s="8">
        <v>11</v>
      </c>
      <c r="I112" s="8">
        <v>6</v>
      </c>
      <c r="J112" s="8">
        <v>8</v>
      </c>
      <c r="K112" s="8">
        <v>9</v>
      </c>
      <c r="L112" s="8">
        <v>10</v>
      </c>
      <c r="M112" s="8">
        <v>5</v>
      </c>
      <c r="N112" s="8">
        <v>5</v>
      </c>
      <c r="O112" s="8">
        <v>5</v>
      </c>
      <c r="P112" s="8">
        <v>8</v>
      </c>
      <c r="Q112" s="8">
        <v>5</v>
      </c>
      <c r="R112" s="8">
        <v>9</v>
      </c>
      <c r="S112" s="7"/>
      <c r="T112" s="7"/>
      <c r="U112" s="7"/>
      <c r="V112" s="22" t="s">
        <v>129</v>
      </c>
      <c r="W112" s="40" t="s">
        <v>177</v>
      </c>
      <c r="X112" s="41" t="s">
        <v>433</v>
      </c>
      <c r="Y112" s="41">
        <v>3</v>
      </c>
      <c r="Z112" s="40" t="s">
        <v>168</v>
      </c>
      <c r="AA112" s="41" t="s">
        <v>168</v>
      </c>
      <c r="AB112" s="42" t="s">
        <v>168</v>
      </c>
      <c r="AC112" s="119">
        <v>66</v>
      </c>
      <c r="AD112" s="32" t="s">
        <v>373</v>
      </c>
      <c r="AE112" s="159">
        <f>SUM(F111,H112,I112,J112,K112,L112,M112,N112,O112,P112,Q112,R112,Y112)</f>
        <v>90</v>
      </c>
      <c r="AF112" s="372"/>
      <c r="AG112" s="367"/>
    </row>
    <row r="113" spans="2:33" ht="30">
      <c r="B113" s="313"/>
      <c r="C113" s="324"/>
      <c r="D113" s="62" t="s">
        <v>21</v>
      </c>
      <c r="E113" s="399"/>
      <c r="F113" s="401"/>
      <c r="G113" s="4" t="s">
        <v>39</v>
      </c>
      <c r="H113" s="8">
        <v>11</v>
      </c>
      <c r="I113" s="8">
        <v>6</v>
      </c>
      <c r="J113" s="8">
        <v>8</v>
      </c>
      <c r="K113" s="8">
        <v>9</v>
      </c>
      <c r="L113" s="8">
        <v>10</v>
      </c>
      <c r="M113" s="8">
        <v>5</v>
      </c>
      <c r="N113" s="8">
        <v>5</v>
      </c>
      <c r="O113" s="8">
        <v>5</v>
      </c>
      <c r="P113" s="8">
        <v>8</v>
      </c>
      <c r="Q113" s="8">
        <v>5</v>
      </c>
      <c r="R113" s="8">
        <v>9</v>
      </c>
      <c r="S113" s="7"/>
      <c r="T113" s="7"/>
      <c r="U113" s="7"/>
      <c r="V113" s="22" t="s">
        <v>129</v>
      </c>
      <c r="W113" s="40" t="s">
        <v>177</v>
      </c>
      <c r="X113" s="41" t="s">
        <v>433</v>
      </c>
      <c r="Y113" s="41">
        <v>3</v>
      </c>
      <c r="Z113" s="40" t="s">
        <v>168</v>
      </c>
      <c r="AA113" s="41" t="s">
        <v>168</v>
      </c>
      <c r="AB113" s="42" t="s">
        <v>168</v>
      </c>
      <c r="AC113" s="119">
        <v>65</v>
      </c>
      <c r="AD113" s="32" t="s">
        <v>371</v>
      </c>
      <c r="AE113" s="159">
        <f>SUM(F111,H113,I113,J113,K113,L113,M113,N113,O113,P113,Q113,R113,Y113)</f>
        <v>90</v>
      </c>
      <c r="AF113" s="372"/>
      <c r="AG113" s="367"/>
    </row>
    <row r="114" spans="2:33" ht="58" customHeight="1">
      <c r="B114" s="313"/>
      <c r="C114" s="324" t="s">
        <v>77</v>
      </c>
      <c r="D114" s="62" t="s">
        <v>424</v>
      </c>
      <c r="E114" s="399" t="s">
        <v>320</v>
      </c>
      <c r="F114" s="401">
        <v>6</v>
      </c>
      <c r="G114" s="4" t="s">
        <v>39</v>
      </c>
      <c r="H114" s="8">
        <v>11</v>
      </c>
      <c r="I114" s="8">
        <v>6</v>
      </c>
      <c r="J114" s="8">
        <v>8</v>
      </c>
      <c r="K114" s="8">
        <v>9</v>
      </c>
      <c r="L114" s="8">
        <v>10</v>
      </c>
      <c r="M114" s="8">
        <v>5</v>
      </c>
      <c r="N114" s="8">
        <v>5</v>
      </c>
      <c r="O114" s="8">
        <v>5</v>
      </c>
      <c r="P114" s="8">
        <v>8</v>
      </c>
      <c r="Q114" s="8">
        <v>5</v>
      </c>
      <c r="R114" s="8">
        <v>9</v>
      </c>
      <c r="S114" s="8"/>
      <c r="T114" s="8"/>
      <c r="U114" s="8"/>
      <c r="V114" s="22" t="s">
        <v>129</v>
      </c>
      <c r="W114" s="40" t="s">
        <v>177</v>
      </c>
      <c r="X114" s="41" t="s">
        <v>433</v>
      </c>
      <c r="Y114" s="41">
        <v>3</v>
      </c>
      <c r="Z114" s="40" t="s">
        <v>168</v>
      </c>
      <c r="AA114" s="41" t="s">
        <v>168</v>
      </c>
      <c r="AB114" s="42" t="s">
        <v>168</v>
      </c>
      <c r="AC114" s="119">
        <v>66</v>
      </c>
      <c r="AD114" s="32" t="s">
        <v>372</v>
      </c>
      <c r="AE114" s="159">
        <f>SUM(F114,H114,I114,J114,K114,L114,M114,N114,O114,P114,Q114,R114,Y114)</f>
        <v>90</v>
      </c>
      <c r="AF114" s="372"/>
      <c r="AG114" s="367"/>
    </row>
    <row r="115" spans="2:33" ht="42">
      <c r="B115" s="313"/>
      <c r="C115" s="324"/>
      <c r="D115" s="62" t="s">
        <v>108</v>
      </c>
      <c r="E115" s="399"/>
      <c r="F115" s="401"/>
      <c r="G115" s="4" t="s">
        <v>1</v>
      </c>
      <c r="H115" s="8">
        <v>11</v>
      </c>
      <c r="I115" s="8">
        <v>6</v>
      </c>
      <c r="J115" s="8">
        <v>8</v>
      </c>
      <c r="K115" s="8">
        <v>9</v>
      </c>
      <c r="L115" s="8">
        <v>10</v>
      </c>
      <c r="M115" s="8">
        <v>5</v>
      </c>
      <c r="N115" s="8">
        <v>5</v>
      </c>
      <c r="O115" s="8">
        <v>5</v>
      </c>
      <c r="P115" s="8">
        <v>8</v>
      </c>
      <c r="Q115" s="8">
        <v>5</v>
      </c>
      <c r="R115" s="8">
        <v>9</v>
      </c>
      <c r="S115" s="7"/>
      <c r="T115" s="7"/>
      <c r="U115" s="7"/>
      <c r="V115" s="22" t="s">
        <v>129</v>
      </c>
      <c r="W115" s="40" t="s">
        <v>177</v>
      </c>
      <c r="X115" s="41" t="s">
        <v>433</v>
      </c>
      <c r="Y115" s="41">
        <v>3</v>
      </c>
      <c r="Z115" s="40" t="s">
        <v>168</v>
      </c>
      <c r="AA115" s="41" t="s">
        <v>168</v>
      </c>
      <c r="AB115" s="42" t="s">
        <v>168</v>
      </c>
      <c r="AC115" s="119">
        <v>67</v>
      </c>
      <c r="AD115" s="32" t="s">
        <v>374</v>
      </c>
      <c r="AE115" s="159">
        <f>SUM(F114,H115,I115,J115,K115,L115,M115,N115,O115,P115,Q115,R115,Y115)</f>
        <v>90</v>
      </c>
      <c r="AF115" s="372"/>
      <c r="AG115" s="367"/>
    </row>
    <row r="116" spans="2:33" ht="30">
      <c r="B116" s="313"/>
      <c r="C116" s="324"/>
      <c r="D116" s="62" t="s">
        <v>13</v>
      </c>
      <c r="E116" s="399"/>
      <c r="F116" s="401"/>
      <c r="G116" s="16" t="s">
        <v>41</v>
      </c>
      <c r="H116" s="8">
        <v>11</v>
      </c>
      <c r="I116" s="8">
        <v>6</v>
      </c>
      <c r="J116" s="8">
        <v>8</v>
      </c>
      <c r="K116" s="8">
        <v>9</v>
      </c>
      <c r="L116" s="8">
        <v>10</v>
      </c>
      <c r="M116" s="8">
        <v>5</v>
      </c>
      <c r="N116" s="8">
        <v>5</v>
      </c>
      <c r="O116" s="8">
        <v>5</v>
      </c>
      <c r="P116" s="8">
        <v>8</v>
      </c>
      <c r="Q116" s="8">
        <v>5</v>
      </c>
      <c r="R116" s="8">
        <v>9</v>
      </c>
      <c r="S116" s="8"/>
      <c r="T116" s="8"/>
      <c r="U116" s="8"/>
      <c r="V116" s="22" t="s">
        <v>129</v>
      </c>
      <c r="W116" s="40" t="s">
        <v>177</v>
      </c>
      <c r="X116" s="41" t="s">
        <v>433</v>
      </c>
      <c r="Y116" s="41">
        <v>3</v>
      </c>
      <c r="Z116" s="40" t="s">
        <v>168</v>
      </c>
      <c r="AA116" s="41" t="s">
        <v>168</v>
      </c>
      <c r="AB116" s="42" t="s">
        <v>168</v>
      </c>
      <c r="AC116" s="119">
        <v>66</v>
      </c>
      <c r="AD116" s="32" t="s">
        <v>372</v>
      </c>
      <c r="AE116" s="159">
        <f>SUM(F114,H116,I116,J116,K116,L116,M116,N116,O116,P116,Q116,R116,Y116)</f>
        <v>90</v>
      </c>
      <c r="AF116" s="372"/>
      <c r="AG116" s="367"/>
    </row>
    <row r="117" spans="2:33" ht="154">
      <c r="B117" s="313"/>
      <c r="C117" s="324"/>
      <c r="D117" s="62" t="s">
        <v>239</v>
      </c>
      <c r="E117" s="399"/>
      <c r="F117" s="401"/>
      <c r="G117" s="4" t="s">
        <v>5</v>
      </c>
      <c r="H117" s="8">
        <v>11</v>
      </c>
      <c r="I117" s="8">
        <v>6</v>
      </c>
      <c r="J117" s="8">
        <v>8</v>
      </c>
      <c r="K117" s="8">
        <v>9</v>
      </c>
      <c r="L117" s="8">
        <v>10</v>
      </c>
      <c r="M117" s="8">
        <v>5</v>
      </c>
      <c r="N117" s="8">
        <v>5</v>
      </c>
      <c r="O117" s="8">
        <v>5</v>
      </c>
      <c r="P117" s="8">
        <v>8</v>
      </c>
      <c r="Q117" s="8">
        <v>5</v>
      </c>
      <c r="R117" s="8">
        <v>9</v>
      </c>
      <c r="S117" s="8"/>
      <c r="T117" s="7"/>
      <c r="U117" s="7"/>
      <c r="V117" s="22" t="s">
        <v>128</v>
      </c>
      <c r="W117" s="10" t="s">
        <v>198</v>
      </c>
      <c r="X117" s="9" t="s">
        <v>429</v>
      </c>
      <c r="Y117" s="9">
        <v>3</v>
      </c>
      <c r="Z117" s="10" t="s">
        <v>199</v>
      </c>
      <c r="AA117" s="9" t="s">
        <v>200</v>
      </c>
      <c r="AB117" s="13" t="s">
        <v>201</v>
      </c>
      <c r="AC117" s="119" t="s">
        <v>376</v>
      </c>
      <c r="AD117" s="32" t="s">
        <v>375</v>
      </c>
      <c r="AE117" s="159">
        <f>SUM(F114,H117,I117,J117,K117,L117,M117,N117,O117,P117,Q117,R117,Y117)</f>
        <v>90</v>
      </c>
      <c r="AF117" s="372"/>
      <c r="AG117" s="367"/>
    </row>
    <row r="118" spans="2:33" ht="75.5" customHeight="1" thickBot="1">
      <c r="B118" s="314"/>
      <c r="C118" s="325"/>
      <c r="D118" s="74" t="s">
        <v>22</v>
      </c>
      <c r="E118" s="400"/>
      <c r="F118" s="402"/>
      <c r="G118" s="115" t="s">
        <v>39</v>
      </c>
      <c r="H118" s="75">
        <v>11</v>
      </c>
      <c r="I118" s="75">
        <v>6</v>
      </c>
      <c r="J118" s="75">
        <v>8</v>
      </c>
      <c r="K118" s="75">
        <v>9</v>
      </c>
      <c r="L118" s="75">
        <v>10</v>
      </c>
      <c r="M118" s="75">
        <v>5</v>
      </c>
      <c r="N118" s="75">
        <v>5</v>
      </c>
      <c r="O118" s="75">
        <v>5</v>
      </c>
      <c r="P118" s="75">
        <v>8</v>
      </c>
      <c r="Q118" s="75">
        <v>5</v>
      </c>
      <c r="R118" s="75">
        <v>9</v>
      </c>
      <c r="S118" s="75"/>
      <c r="T118" s="75"/>
      <c r="U118" s="75"/>
      <c r="V118" s="76" t="s">
        <v>129</v>
      </c>
      <c r="W118" s="141" t="s">
        <v>177</v>
      </c>
      <c r="X118" s="142" t="s">
        <v>433</v>
      </c>
      <c r="Y118" s="142">
        <v>3</v>
      </c>
      <c r="Z118" s="141" t="s">
        <v>168</v>
      </c>
      <c r="AA118" s="142" t="s">
        <v>168</v>
      </c>
      <c r="AB118" s="144" t="s">
        <v>168</v>
      </c>
      <c r="AC118" s="120" t="s">
        <v>376</v>
      </c>
      <c r="AD118" s="78" t="s">
        <v>425</v>
      </c>
      <c r="AE118" s="163">
        <f>SUM(F114,H118,I118,J118,K118,L118,M118,N118,O118,P118,Q118,R118,Y118)</f>
        <v>90</v>
      </c>
      <c r="AF118" s="373"/>
      <c r="AG118" s="368"/>
    </row>
  </sheetData>
  <sheetProtection sheet="1" objects="1" scenarios="1"/>
  <mergeCells count="148">
    <mergeCell ref="B111:B118"/>
    <mergeCell ref="C114:C118"/>
    <mergeCell ref="B59:B66"/>
    <mergeCell ref="C60:C62"/>
    <mergeCell ref="B24:B32"/>
    <mergeCell ref="B89:B108"/>
    <mergeCell ref="C89:C108"/>
    <mergeCell ref="B82:G82"/>
    <mergeCell ref="C111:C113"/>
    <mergeCell ref="B50:B52"/>
    <mergeCell ref="C50:C51"/>
    <mergeCell ref="E42:E43"/>
    <mergeCell ref="F42:F43"/>
    <mergeCell ref="E44:E46"/>
    <mergeCell ref="F44:F46"/>
    <mergeCell ref="E50:E51"/>
    <mergeCell ref="E80:E81"/>
    <mergeCell ref="F80:F81"/>
    <mergeCell ref="E74:E77"/>
    <mergeCell ref="F74:F77"/>
    <mergeCell ref="E60:E62"/>
    <mergeCell ref="F60:F62"/>
    <mergeCell ref="E63:E66"/>
    <mergeCell ref="F63:F66"/>
    <mergeCell ref="V2:AB2"/>
    <mergeCell ref="H2:U2"/>
    <mergeCell ref="H5:U5"/>
    <mergeCell ref="H8:U8"/>
    <mergeCell ref="H14:U14"/>
    <mergeCell ref="H12:U12"/>
    <mergeCell ref="X3:AB4"/>
    <mergeCell ref="E28:E31"/>
    <mergeCell ref="F28:F31"/>
    <mergeCell ref="E20:E22"/>
    <mergeCell ref="E24:E27"/>
    <mergeCell ref="F16:F19"/>
    <mergeCell ref="F20:F22"/>
    <mergeCell ref="F24:F27"/>
    <mergeCell ref="E16:E19"/>
    <mergeCell ref="V3:W4"/>
    <mergeCell ref="AB5:AB15"/>
    <mergeCell ref="AA5:AA15"/>
    <mergeCell ref="Z5:Z15"/>
    <mergeCell ref="Y5:Y15"/>
    <mergeCell ref="X5:X15"/>
    <mergeCell ref="W5:W15"/>
    <mergeCell ref="V5:V15"/>
    <mergeCell ref="G3:G11"/>
    <mergeCell ref="B1:D1"/>
    <mergeCell ref="B16:B22"/>
    <mergeCell ref="G68:G71"/>
    <mergeCell ref="G74:G77"/>
    <mergeCell ref="G63:G66"/>
    <mergeCell ref="G56:G57"/>
    <mergeCell ref="B3:B11"/>
    <mergeCell ref="C3:C11"/>
    <mergeCell ref="D3:D11"/>
    <mergeCell ref="B2:G2"/>
    <mergeCell ref="C24:C27"/>
    <mergeCell ref="B42:B47"/>
    <mergeCell ref="B48:B49"/>
    <mergeCell ref="B36:B41"/>
    <mergeCell ref="C36:C41"/>
    <mergeCell ref="C44:C46"/>
    <mergeCell ref="C16:C19"/>
    <mergeCell ref="C20:C22"/>
    <mergeCell ref="B33:B35"/>
    <mergeCell ref="C28:C31"/>
    <mergeCell ref="C42:C43"/>
    <mergeCell ref="F50:F51"/>
    <mergeCell ref="B53:B57"/>
    <mergeCell ref="C74:C77"/>
    <mergeCell ref="H10:U10"/>
    <mergeCell ref="H3:J3"/>
    <mergeCell ref="B15:G15"/>
    <mergeCell ref="B12:G14"/>
    <mergeCell ref="E3:F3"/>
    <mergeCell ref="E4:F11"/>
    <mergeCell ref="K3:Q3"/>
    <mergeCell ref="T3:U3"/>
    <mergeCell ref="E111:E113"/>
    <mergeCell ref="F111:F113"/>
    <mergeCell ref="B109:B110"/>
    <mergeCell ref="C109:C110"/>
    <mergeCell ref="B87:B88"/>
    <mergeCell ref="B80:B81"/>
    <mergeCell ref="C67:C73"/>
    <mergeCell ref="B67:B77"/>
    <mergeCell ref="C53:C57"/>
    <mergeCell ref="B83:B86"/>
    <mergeCell ref="C83:C85"/>
    <mergeCell ref="C63:C66"/>
    <mergeCell ref="C80:C81"/>
    <mergeCell ref="E83:E85"/>
    <mergeCell ref="E87:E88"/>
    <mergeCell ref="H82:U82"/>
    <mergeCell ref="E114:E118"/>
    <mergeCell ref="F114:F118"/>
    <mergeCell ref="F83:F85"/>
    <mergeCell ref="F87:F88"/>
    <mergeCell ref="E89:E108"/>
    <mergeCell ref="F89:F108"/>
    <mergeCell ref="E109:E110"/>
    <mergeCell ref="F109:F110"/>
    <mergeCell ref="AF33:AF35"/>
    <mergeCell ref="AF53:AF57"/>
    <mergeCell ref="AF111:AF118"/>
    <mergeCell ref="V82:AB82"/>
    <mergeCell ref="E67:E73"/>
    <mergeCell ref="F67:F73"/>
    <mergeCell ref="AG33:AG35"/>
    <mergeCell ref="AF36:AF41"/>
    <mergeCell ref="AG36:AG41"/>
    <mergeCell ref="AG24:AG32"/>
    <mergeCell ref="AF16:AF22"/>
    <mergeCell ref="AF24:AF32"/>
    <mergeCell ref="AC2:AG2"/>
    <mergeCell ref="AE3:AG4"/>
    <mergeCell ref="AE5:AE15"/>
    <mergeCell ref="AF5:AF15"/>
    <mergeCell ref="AG5:AG15"/>
    <mergeCell ref="AG16:AG22"/>
    <mergeCell ref="AD5:AD15"/>
    <mergeCell ref="AC3:AD4"/>
    <mergeCell ref="AC5:AC15"/>
    <mergeCell ref="AG53:AG57"/>
    <mergeCell ref="AF59:AF66"/>
    <mergeCell ref="AG59:AG66"/>
    <mergeCell ref="AF67:AF77"/>
    <mergeCell ref="AG67:AG77"/>
    <mergeCell ref="AF42:AF47"/>
    <mergeCell ref="AG42:AG47"/>
    <mergeCell ref="AF48:AF49"/>
    <mergeCell ref="AG48:AG49"/>
    <mergeCell ref="AF50:AF52"/>
    <mergeCell ref="AG50:AG52"/>
    <mergeCell ref="AG111:AG118"/>
    <mergeCell ref="AF87:AF88"/>
    <mergeCell ref="AG87:AG88"/>
    <mergeCell ref="AF89:AF108"/>
    <mergeCell ref="AG89:AG108"/>
    <mergeCell ref="AF109:AF110"/>
    <mergeCell ref="AG109:AG110"/>
    <mergeCell ref="AF80:AF81"/>
    <mergeCell ref="AG80:AG81"/>
    <mergeCell ref="AC82:AG82"/>
    <mergeCell ref="AF83:AF86"/>
    <mergeCell ref="AG83:AG86"/>
  </mergeCells>
  <phoneticPr fontId="18" type="noConversion"/>
  <pageMargins left="0.7" right="0.7" top="0.75" bottom="0.75" header="0.3" footer="0.3"/>
  <pageSetup paperSize="9"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2ED33-A0EA-453A-B03C-67977A3EFFFD}">
  <dimension ref="B1:T42"/>
  <sheetViews>
    <sheetView zoomScale="70" zoomScaleNormal="70" workbookViewId="0">
      <selection activeCell="F37" sqref="F37"/>
    </sheetView>
  </sheetViews>
  <sheetFormatPr baseColWidth="10" defaultColWidth="8.83203125" defaultRowHeight="46.5" customHeight="1"/>
  <cols>
    <col min="2" max="2" width="8.6640625" bestFit="1" customWidth="1"/>
    <col min="3" max="3" width="49.83203125" customWidth="1"/>
    <col min="4" max="4" width="17.6640625" customWidth="1"/>
    <col min="5" max="18" width="16.5" customWidth="1"/>
    <col min="20" max="20" width="61.83203125" customWidth="1"/>
  </cols>
  <sheetData>
    <row r="1" spans="2:20" ht="46.5" customHeight="1">
      <c r="B1" s="299" t="s">
        <v>97</v>
      </c>
      <c r="C1" s="300"/>
      <c r="D1" s="301"/>
      <c r="E1" s="302" t="s">
        <v>307</v>
      </c>
      <c r="F1" s="303"/>
      <c r="G1" s="303"/>
      <c r="H1" s="303"/>
      <c r="I1" s="303"/>
      <c r="J1" s="303"/>
      <c r="K1" s="303"/>
      <c r="L1" s="303"/>
      <c r="M1" s="303"/>
      <c r="N1" s="303"/>
      <c r="O1" s="303"/>
      <c r="P1" s="303"/>
      <c r="Q1" s="303"/>
      <c r="R1" s="304"/>
      <c r="S1" s="305" t="s">
        <v>658</v>
      </c>
      <c r="T1" s="306"/>
    </row>
    <row r="2" spans="2:20" ht="46.5" customHeight="1">
      <c r="B2" s="307" t="s">
        <v>452</v>
      </c>
      <c r="C2" s="309" t="s">
        <v>657</v>
      </c>
      <c r="D2" s="311" t="s">
        <v>28</v>
      </c>
      <c r="E2" s="291" t="s">
        <v>139</v>
      </c>
      <c r="F2" s="292"/>
      <c r="G2" s="293"/>
      <c r="H2" s="294" t="s">
        <v>142</v>
      </c>
      <c r="I2" s="292"/>
      <c r="J2" s="292"/>
      <c r="K2" s="292"/>
      <c r="L2" s="292"/>
      <c r="M2" s="292"/>
      <c r="N2" s="293"/>
      <c r="O2" s="24" t="s">
        <v>140</v>
      </c>
      <c r="P2" s="24" t="s">
        <v>141</v>
      </c>
      <c r="Q2" s="294" t="s">
        <v>380</v>
      </c>
      <c r="R2" s="295"/>
      <c r="S2" s="296" t="s">
        <v>660</v>
      </c>
      <c r="T2" s="297"/>
    </row>
    <row r="3" spans="2:20" ht="46.5" customHeight="1">
      <c r="B3" s="308"/>
      <c r="C3" s="310"/>
      <c r="D3" s="311"/>
      <c r="E3" s="79" t="s">
        <v>147</v>
      </c>
      <c r="F3" s="17" t="s">
        <v>148</v>
      </c>
      <c r="G3" s="17" t="s">
        <v>149</v>
      </c>
      <c r="H3" s="17" t="s">
        <v>394</v>
      </c>
      <c r="I3" s="30" t="s">
        <v>146</v>
      </c>
      <c r="J3" s="17" t="s">
        <v>143</v>
      </c>
      <c r="K3" s="17" t="s">
        <v>144</v>
      </c>
      <c r="L3" s="17" t="s">
        <v>145</v>
      </c>
      <c r="M3" s="31" t="s">
        <v>377</v>
      </c>
      <c r="N3" s="31" t="s">
        <v>378</v>
      </c>
      <c r="O3" s="31" t="s">
        <v>379</v>
      </c>
      <c r="P3" s="31" t="s">
        <v>150</v>
      </c>
      <c r="Q3" s="17" t="s">
        <v>381</v>
      </c>
      <c r="R3" s="80" t="s">
        <v>436</v>
      </c>
      <c r="S3" s="296"/>
      <c r="T3" s="297"/>
    </row>
    <row r="4" spans="2:20" ht="46.5" customHeight="1">
      <c r="B4" s="308"/>
      <c r="C4" s="310"/>
      <c r="D4" s="311"/>
      <c r="E4" s="317" t="s">
        <v>256</v>
      </c>
      <c r="F4" s="318"/>
      <c r="G4" s="318"/>
      <c r="H4" s="318"/>
      <c r="I4" s="318"/>
      <c r="J4" s="318"/>
      <c r="K4" s="318"/>
      <c r="L4" s="318"/>
      <c r="M4" s="318"/>
      <c r="N4" s="318"/>
      <c r="O4" s="318"/>
      <c r="P4" s="318"/>
      <c r="Q4" s="318"/>
      <c r="R4" s="319"/>
      <c r="S4" s="296" t="s">
        <v>349</v>
      </c>
      <c r="T4" s="315" t="s">
        <v>659</v>
      </c>
    </row>
    <row r="5" spans="2:20" ht="46.5" customHeight="1" thickBot="1">
      <c r="B5" s="308"/>
      <c r="C5" s="310"/>
      <c r="D5" s="311"/>
      <c r="E5" s="81" t="s">
        <v>86</v>
      </c>
      <c r="F5" s="18" t="s">
        <v>86</v>
      </c>
      <c r="G5" s="18" t="s">
        <v>86</v>
      </c>
      <c r="H5" s="18" t="s">
        <v>86</v>
      </c>
      <c r="I5" s="18" t="s">
        <v>86</v>
      </c>
      <c r="J5" s="282" t="s">
        <v>87</v>
      </c>
      <c r="K5" s="282" t="s">
        <v>87</v>
      </c>
      <c r="L5" s="282" t="s">
        <v>87</v>
      </c>
      <c r="M5" s="18" t="s">
        <v>86</v>
      </c>
      <c r="N5" s="282" t="s">
        <v>87</v>
      </c>
      <c r="O5" s="18" t="s">
        <v>86</v>
      </c>
      <c r="P5" s="19" t="s">
        <v>87</v>
      </c>
      <c r="Q5" s="19" t="s">
        <v>87</v>
      </c>
      <c r="R5" s="82" t="s">
        <v>87</v>
      </c>
      <c r="S5" s="296"/>
      <c r="T5" s="315"/>
    </row>
    <row r="6" spans="2:20" ht="46.5" customHeight="1" thickBot="1">
      <c r="B6" s="431" t="s">
        <v>96</v>
      </c>
      <c r="C6" s="90" t="s">
        <v>188</v>
      </c>
      <c r="D6" s="90" t="s">
        <v>191</v>
      </c>
      <c r="E6" s="283" t="s">
        <v>661</v>
      </c>
      <c r="F6" s="283" t="s">
        <v>661</v>
      </c>
      <c r="G6" s="283" t="s">
        <v>661</v>
      </c>
      <c r="H6" s="283" t="s">
        <v>661</v>
      </c>
      <c r="I6" s="283" t="s">
        <v>661</v>
      </c>
      <c r="J6" s="283" t="s">
        <v>661</v>
      </c>
      <c r="K6" s="283" t="s">
        <v>661</v>
      </c>
      <c r="L6" s="283" t="s">
        <v>661</v>
      </c>
      <c r="M6" s="283" t="s">
        <v>661</v>
      </c>
      <c r="N6" s="283" t="s">
        <v>661</v>
      </c>
      <c r="O6" s="66"/>
      <c r="P6" s="66"/>
      <c r="Q6" s="66"/>
      <c r="R6" s="66"/>
      <c r="S6" s="121" t="s">
        <v>363</v>
      </c>
      <c r="T6" s="164" t="s">
        <v>426</v>
      </c>
    </row>
    <row r="7" spans="2:20" ht="46.5" customHeight="1" thickBot="1">
      <c r="B7" s="433"/>
      <c r="C7" s="16" t="s">
        <v>190</v>
      </c>
      <c r="D7" s="16" t="s">
        <v>191</v>
      </c>
      <c r="E7" s="281" t="s">
        <v>661</v>
      </c>
      <c r="F7" s="281" t="s">
        <v>661</v>
      </c>
      <c r="G7" s="281" t="s">
        <v>661</v>
      </c>
      <c r="H7" s="281" t="s">
        <v>661</v>
      </c>
      <c r="I7" s="281" t="s">
        <v>661</v>
      </c>
      <c r="J7" s="281" t="s">
        <v>661</v>
      </c>
      <c r="K7" s="281" t="s">
        <v>661</v>
      </c>
      <c r="L7" s="281" t="s">
        <v>661</v>
      </c>
      <c r="M7" s="281" t="s">
        <v>661</v>
      </c>
      <c r="N7" s="281" t="s">
        <v>661</v>
      </c>
      <c r="O7" s="7"/>
      <c r="P7" s="7"/>
      <c r="Q7" s="7"/>
      <c r="R7" s="7"/>
      <c r="S7" s="119" t="s">
        <v>364</v>
      </c>
      <c r="T7" s="164" t="s">
        <v>426</v>
      </c>
    </row>
    <row r="8" spans="2:20" ht="46.5" customHeight="1" thickBot="1">
      <c r="B8" s="433"/>
      <c r="C8" s="16" t="s">
        <v>189</v>
      </c>
      <c r="D8" s="16" t="s">
        <v>191</v>
      </c>
      <c r="E8" s="281" t="s">
        <v>661</v>
      </c>
      <c r="F8" s="281" t="s">
        <v>661</v>
      </c>
      <c r="G8" s="281" t="s">
        <v>661</v>
      </c>
      <c r="H8" s="281" t="s">
        <v>661</v>
      </c>
      <c r="I8" s="281" t="s">
        <v>661</v>
      </c>
      <c r="J8" s="281" t="s">
        <v>661</v>
      </c>
      <c r="K8" s="281" t="s">
        <v>661</v>
      </c>
      <c r="L8" s="281" t="s">
        <v>661</v>
      </c>
      <c r="M8" s="281" t="s">
        <v>661</v>
      </c>
      <c r="N8" s="281" t="s">
        <v>661</v>
      </c>
      <c r="O8" s="7"/>
      <c r="P8" s="7"/>
      <c r="Q8" s="7"/>
      <c r="R8" s="7"/>
      <c r="S8" s="119" t="s">
        <v>253</v>
      </c>
      <c r="T8" s="164" t="s">
        <v>426</v>
      </c>
    </row>
    <row r="9" spans="2:20" ht="46.5" customHeight="1" thickBot="1">
      <c r="B9" s="432"/>
      <c r="C9" s="63" t="s">
        <v>23</v>
      </c>
      <c r="D9" s="21" t="s">
        <v>39</v>
      </c>
      <c r="E9" s="284" t="s">
        <v>661</v>
      </c>
      <c r="F9" s="284" t="s">
        <v>661</v>
      </c>
      <c r="G9" s="284" t="s">
        <v>661</v>
      </c>
      <c r="H9" s="284" t="s">
        <v>661</v>
      </c>
      <c r="I9" s="284" t="s">
        <v>661</v>
      </c>
      <c r="J9" s="284" t="s">
        <v>661</v>
      </c>
      <c r="K9" s="284" t="s">
        <v>661</v>
      </c>
      <c r="L9" s="284" t="s">
        <v>661</v>
      </c>
      <c r="M9" s="284" t="s">
        <v>661</v>
      </c>
      <c r="N9" s="284" t="s">
        <v>661</v>
      </c>
      <c r="O9" s="36"/>
      <c r="P9" s="36"/>
      <c r="Q9" s="36"/>
      <c r="R9" s="36"/>
      <c r="S9" s="123" t="s">
        <v>168</v>
      </c>
      <c r="T9" s="44" t="s">
        <v>362</v>
      </c>
    </row>
    <row r="10" spans="2:20" ht="46.5" customHeight="1">
      <c r="B10" s="431" t="s">
        <v>153</v>
      </c>
      <c r="C10" s="90" t="s">
        <v>154</v>
      </c>
      <c r="D10" s="90" t="s">
        <v>85</v>
      </c>
      <c r="E10" s="283" t="s">
        <v>661</v>
      </c>
      <c r="F10" s="283" t="s">
        <v>661</v>
      </c>
      <c r="G10" s="283" t="s">
        <v>661</v>
      </c>
      <c r="H10" s="283" t="s">
        <v>661</v>
      </c>
      <c r="I10" s="283" t="s">
        <v>661</v>
      </c>
      <c r="J10" s="283" t="s">
        <v>661</v>
      </c>
      <c r="K10" s="283" t="s">
        <v>661</v>
      </c>
      <c r="L10" s="283" t="s">
        <v>661</v>
      </c>
      <c r="M10" s="283" t="s">
        <v>661</v>
      </c>
      <c r="N10" s="283" t="s">
        <v>661</v>
      </c>
      <c r="O10" s="66"/>
      <c r="P10" s="66"/>
      <c r="Q10" s="66"/>
      <c r="R10" s="66"/>
      <c r="S10" s="121" t="s">
        <v>168</v>
      </c>
      <c r="T10" s="73" t="s">
        <v>681</v>
      </c>
    </row>
    <row r="11" spans="2:20" ht="46.5" customHeight="1" thickBot="1">
      <c r="B11" s="432"/>
      <c r="C11" s="63" t="s">
        <v>156</v>
      </c>
      <c r="D11" s="137" t="s">
        <v>85</v>
      </c>
      <c r="E11" s="284" t="s">
        <v>661</v>
      </c>
      <c r="F11" s="284" t="s">
        <v>661</v>
      </c>
      <c r="G11" s="284" t="s">
        <v>661</v>
      </c>
      <c r="H11" s="284" t="s">
        <v>661</v>
      </c>
      <c r="I11" s="284" t="s">
        <v>661</v>
      </c>
      <c r="J11" s="284"/>
      <c r="K11" s="284"/>
      <c r="L11" s="284"/>
      <c r="M11" s="284"/>
      <c r="N11" s="284"/>
      <c r="O11" s="281" t="s">
        <v>661</v>
      </c>
      <c r="P11" s="36"/>
      <c r="Q11" s="36"/>
      <c r="R11" s="36"/>
      <c r="S11" s="123">
        <v>1.25</v>
      </c>
      <c r="T11" s="44" t="s">
        <v>680</v>
      </c>
    </row>
    <row r="12" spans="2:20" ht="46.5" customHeight="1">
      <c r="B12" s="431" t="s">
        <v>216</v>
      </c>
      <c r="C12" s="90" t="s">
        <v>418</v>
      </c>
      <c r="D12" s="90" t="s">
        <v>1</v>
      </c>
      <c r="E12" s="283" t="s">
        <v>661</v>
      </c>
      <c r="F12" s="283" t="s">
        <v>661</v>
      </c>
      <c r="G12" s="283" t="s">
        <v>661</v>
      </c>
      <c r="H12" s="283" t="s">
        <v>661</v>
      </c>
      <c r="I12" s="283" t="s">
        <v>661</v>
      </c>
      <c r="J12" s="283" t="s">
        <v>661</v>
      </c>
      <c r="K12" s="283" t="s">
        <v>661</v>
      </c>
      <c r="L12" s="283" t="s">
        <v>661</v>
      </c>
      <c r="M12" s="283" t="s">
        <v>661</v>
      </c>
      <c r="N12" s="283" t="s">
        <v>661</v>
      </c>
      <c r="O12" s="68"/>
      <c r="P12" s="66"/>
      <c r="Q12" s="66"/>
      <c r="R12" s="66"/>
      <c r="S12" s="135" t="s">
        <v>168</v>
      </c>
      <c r="T12" s="73" t="s">
        <v>368</v>
      </c>
    </row>
    <row r="13" spans="2:20" ht="46.5" customHeight="1">
      <c r="B13" s="433"/>
      <c r="C13" s="16" t="s">
        <v>419</v>
      </c>
      <c r="D13" s="16" t="s">
        <v>1</v>
      </c>
      <c r="E13" s="281" t="s">
        <v>661</v>
      </c>
      <c r="F13" s="281" t="s">
        <v>661</v>
      </c>
      <c r="G13" s="281" t="s">
        <v>661</v>
      </c>
      <c r="H13" s="281" t="s">
        <v>661</v>
      </c>
      <c r="I13" s="281" t="s">
        <v>661</v>
      </c>
      <c r="J13" s="281" t="s">
        <v>661</v>
      </c>
      <c r="K13" s="281" t="s">
        <v>661</v>
      </c>
      <c r="L13" s="281" t="s">
        <v>661</v>
      </c>
      <c r="M13" s="281" t="s">
        <v>661</v>
      </c>
      <c r="N13" s="281" t="s">
        <v>661</v>
      </c>
      <c r="O13" s="8"/>
      <c r="P13" s="7"/>
      <c r="Q13" s="7"/>
      <c r="R13" s="7"/>
      <c r="S13" s="124" t="s">
        <v>168</v>
      </c>
      <c r="T13" s="32" t="s">
        <v>368</v>
      </c>
    </row>
    <row r="14" spans="2:20" ht="46.5" customHeight="1">
      <c r="B14" s="433"/>
      <c r="C14" s="16" t="s">
        <v>218</v>
      </c>
      <c r="D14" s="16" t="s">
        <v>1</v>
      </c>
      <c r="E14" s="281" t="s">
        <v>661</v>
      </c>
      <c r="F14" s="281" t="s">
        <v>661</v>
      </c>
      <c r="G14" s="281" t="s">
        <v>661</v>
      </c>
      <c r="H14" s="281" t="s">
        <v>661</v>
      </c>
      <c r="I14" s="281" t="s">
        <v>661</v>
      </c>
      <c r="J14" s="281" t="s">
        <v>661</v>
      </c>
      <c r="K14" s="281" t="s">
        <v>661</v>
      </c>
      <c r="L14" s="281" t="s">
        <v>661</v>
      </c>
      <c r="M14" s="281" t="s">
        <v>661</v>
      </c>
      <c r="N14" s="281" t="s">
        <v>661</v>
      </c>
      <c r="O14" s="8"/>
      <c r="P14" s="7"/>
      <c r="Q14" s="7"/>
      <c r="R14" s="7"/>
      <c r="S14" s="124" t="s">
        <v>168</v>
      </c>
      <c r="T14" s="32" t="s">
        <v>368</v>
      </c>
    </row>
    <row r="15" spans="2:20" ht="46.5" customHeight="1">
      <c r="B15" s="433"/>
      <c r="C15" s="16" t="s">
        <v>219</v>
      </c>
      <c r="D15" s="16" t="s">
        <v>1</v>
      </c>
      <c r="E15" s="281" t="s">
        <v>661</v>
      </c>
      <c r="F15" s="281" t="s">
        <v>661</v>
      </c>
      <c r="G15" s="281" t="s">
        <v>661</v>
      </c>
      <c r="H15" s="281" t="s">
        <v>661</v>
      </c>
      <c r="I15" s="281" t="s">
        <v>661</v>
      </c>
      <c r="J15" s="281" t="s">
        <v>661</v>
      </c>
      <c r="K15" s="281" t="s">
        <v>661</v>
      </c>
      <c r="L15" s="281" t="s">
        <v>661</v>
      </c>
      <c r="M15" s="281" t="s">
        <v>661</v>
      </c>
      <c r="N15" s="281" t="s">
        <v>661</v>
      </c>
      <c r="O15" s="8"/>
      <c r="P15" s="7"/>
      <c r="Q15" s="7"/>
      <c r="R15" s="7"/>
      <c r="S15" s="124" t="s">
        <v>168</v>
      </c>
      <c r="T15" s="32" t="s">
        <v>369</v>
      </c>
    </row>
    <row r="16" spans="2:20" ht="46.5" customHeight="1">
      <c r="B16" s="433"/>
      <c r="C16" s="16" t="s">
        <v>220</v>
      </c>
      <c r="D16" s="16" t="s">
        <v>1</v>
      </c>
      <c r="E16" s="281" t="s">
        <v>661</v>
      </c>
      <c r="F16" s="281" t="s">
        <v>661</v>
      </c>
      <c r="G16" s="281" t="s">
        <v>661</v>
      </c>
      <c r="H16" s="281" t="s">
        <v>661</v>
      </c>
      <c r="I16" s="281" t="s">
        <v>661</v>
      </c>
      <c r="J16" s="281" t="s">
        <v>661</v>
      </c>
      <c r="K16" s="281" t="s">
        <v>661</v>
      </c>
      <c r="L16" s="281" t="s">
        <v>661</v>
      </c>
      <c r="M16" s="281" t="s">
        <v>661</v>
      </c>
      <c r="N16" s="281" t="s">
        <v>661</v>
      </c>
      <c r="O16" s="8"/>
      <c r="P16" s="7"/>
      <c r="Q16" s="7"/>
      <c r="R16" s="7"/>
      <c r="S16" s="124" t="s">
        <v>168</v>
      </c>
      <c r="T16" s="32" t="s">
        <v>368</v>
      </c>
    </row>
    <row r="17" spans="2:20" ht="46.5" customHeight="1">
      <c r="B17" s="433"/>
      <c r="C17" s="16" t="s">
        <v>221</v>
      </c>
      <c r="D17" s="16" t="s">
        <v>1</v>
      </c>
      <c r="E17" s="281" t="s">
        <v>661</v>
      </c>
      <c r="F17" s="281" t="s">
        <v>661</v>
      </c>
      <c r="G17" s="281" t="s">
        <v>661</v>
      </c>
      <c r="H17" s="281" t="s">
        <v>661</v>
      </c>
      <c r="I17" s="281" t="s">
        <v>661</v>
      </c>
      <c r="J17" s="281" t="s">
        <v>661</v>
      </c>
      <c r="K17" s="281" t="s">
        <v>661</v>
      </c>
      <c r="L17" s="281" t="s">
        <v>661</v>
      </c>
      <c r="M17" s="281" t="s">
        <v>661</v>
      </c>
      <c r="N17" s="281" t="s">
        <v>661</v>
      </c>
      <c r="O17" s="8"/>
      <c r="P17" s="7"/>
      <c r="Q17" s="7"/>
      <c r="R17" s="7"/>
      <c r="S17" s="124" t="s">
        <v>168</v>
      </c>
      <c r="T17" s="32" t="s">
        <v>368</v>
      </c>
    </row>
    <row r="18" spans="2:20" ht="46.5" customHeight="1">
      <c r="B18" s="433"/>
      <c r="C18" s="16" t="s">
        <v>222</v>
      </c>
      <c r="D18" s="16" t="s">
        <v>1</v>
      </c>
      <c r="E18" s="281" t="s">
        <v>661</v>
      </c>
      <c r="F18" s="281" t="s">
        <v>661</v>
      </c>
      <c r="G18" s="281" t="s">
        <v>661</v>
      </c>
      <c r="H18" s="281" t="s">
        <v>661</v>
      </c>
      <c r="I18" s="281" t="s">
        <v>661</v>
      </c>
      <c r="J18" s="281" t="s">
        <v>661</v>
      </c>
      <c r="K18" s="281" t="s">
        <v>661</v>
      </c>
      <c r="L18" s="281" t="s">
        <v>661</v>
      </c>
      <c r="M18" s="281" t="s">
        <v>661</v>
      </c>
      <c r="N18" s="281" t="s">
        <v>661</v>
      </c>
      <c r="O18" s="8"/>
      <c r="P18" s="7"/>
      <c r="Q18" s="7"/>
      <c r="R18" s="7"/>
      <c r="S18" s="124" t="s">
        <v>168</v>
      </c>
      <c r="T18" s="32" t="s">
        <v>369</v>
      </c>
    </row>
    <row r="19" spans="2:20" ht="46.5" customHeight="1">
      <c r="B19" s="433"/>
      <c r="C19" s="16" t="s">
        <v>223</v>
      </c>
      <c r="D19" s="16" t="s">
        <v>1</v>
      </c>
      <c r="E19" s="281" t="s">
        <v>661</v>
      </c>
      <c r="F19" s="281" t="s">
        <v>661</v>
      </c>
      <c r="G19" s="281" t="s">
        <v>661</v>
      </c>
      <c r="H19" s="281" t="s">
        <v>661</v>
      </c>
      <c r="I19" s="281" t="s">
        <v>661</v>
      </c>
      <c r="J19" s="281" t="s">
        <v>661</v>
      </c>
      <c r="K19" s="281" t="s">
        <v>661</v>
      </c>
      <c r="L19" s="281" t="s">
        <v>661</v>
      </c>
      <c r="M19" s="281" t="s">
        <v>661</v>
      </c>
      <c r="N19" s="281" t="s">
        <v>661</v>
      </c>
      <c r="O19" s="8"/>
      <c r="P19" s="7"/>
      <c r="Q19" s="7"/>
      <c r="R19" s="7"/>
      <c r="S19" s="124" t="s">
        <v>168</v>
      </c>
      <c r="T19" s="32" t="s">
        <v>368</v>
      </c>
    </row>
    <row r="20" spans="2:20" ht="46.5" customHeight="1">
      <c r="B20" s="433"/>
      <c r="C20" s="16" t="s">
        <v>224</v>
      </c>
      <c r="D20" s="16" t="s">
        <v>1</v>
      </c>
      <c r="E20" s="281" t="s">
        <v>661</v>
      </c>
      <c r="F20" s="281" t="s">
        <v>661</v>
      </c>
      <c r="G20" s="281" t="s">
        <v>661</v>
      </c>
      <c r="H20" s="281" t="s">
        <v>661</v>
      </c>
      <c r="I20" s="281" t="s">
        <v>661</v>
      </c>
      <c r="J20" s="281" t="s">
        <v>661</v>
      </c>
      <c r="K20" s="281" t="s">
        <v>661</v>
      </c>
      <c r="L20" s="281" t="s">
        <v>661</v>
      </c>
      <c r="M20" s="281" t="s">
        <v>661</v>
      </c>
      <c r="N20" s="281" t="s">
        <v>661</v>
      </c>
      <c r="O20" s="8"/>
      <c r="P20" s="7"/>
      <c r="Q20" s="7"/>
      <c r="R20" s="7"/>
      <c r="S20" s="124" t="s">
        <v>168</v>
      </c>
      <c r="T20" s="32" t="s">
        <v>369</v>
      </c>
    </row>
    <row r="21" spans="2:20" ht="46.5" customHeight="1">
      <c r="B21" s="433"/>
      <c r="C21" s="16" t="s">
        <v>225</v>
      </c>
      <c r="D21" s="16" t="s">
        <v>1</v>
      </c>
      <c r="E21" s="281" t="s">
        <v>661</v>
      </c>
      <c r="F21" s="281" t="s">
        <v>661</v>
      </c>
      <c r="G21" s="281" t="s">
        <v>661</v>
      </c>
      <c r="H21" s="281" t="s">
        <v>661</v>
      </c>
      <c r="I21" s="281" t="s">
        <v>661</v>
      </c>
      <c r="J21" s="281" t="s">
        <v>661</v>
      </c>
      <c r="K21" s="281" t="s">
        <v>661</v>
      </c>
      <c r="L21" s="281" t="s">
        <v>661</v>
      </c>
      <c r="M21" s="281" t="s">
        <v>661</v>
      </c>
      <c r="N21" s="281" t="s">
        <v>661</v>
      </c>
      <c r="O21" s="8"/>
      <c r="P21" s="7"/>
      <c r="Q21" s="7"/>
      <c r="R21" s="7"/>
      <c r="S21" s="124" t="s">
        <v>168</v>
      </c>
      <c r="T21" s="32" t="s">
        <v>368</v>
      </c>
    </row>
    <row r="22" spans="2:20" ht="46.5" customHeight="1">
      <c r="B22" s="433"/>
      <c r="C22" s="16" t="s">
        <v>226</v>
      </c>
      <c r="D22" s="16" t="s">
        <v>1</v>
      </c>
      <c r="E22" s="281" t="s">
        <v>661</v>
      </c>
      <c r="F22" s="281" t="s">
        <v>661</v>
      </c>
      <c r="G22" s="281" t="s">
        <v>661</v>
      </c>
      <c r="H22" s="281" t="s">
        <v>661</v>
      </c>
      <c r="I22" s="281" t="s">
        <v>661</v>
      </c>
      <c r="J22" s="281" t="s">
        <v>661</v>
      </c>
      <c r="K22" s="281" t="s">
        <v>661</v>
      </c>
      <c r="L22" s="281" t="s">
        <v>661</v>
      </c>
      <c r="M22" s="281" t="s">
        <v>661</v>
      </c>
      <c r="N22" s="281" t="s">
        <v>661</v>
      </c>
      <c r="O22" s="8"/>
      <c r="P22" s="7"/>
      <c r="Q22" s="7"/>
      <c r="R22" s="7"/>
      <c r="S22" s="124" t="s">
        <v>168</v>
      </c>
      <c r="T22" s="32" t="s">
        <v>369</v>
      </c>
    </row>
    <row r="23" spans="2:20" ht="46.5" customHeight="1">
      <c r="B23" s="433"/>
      <c r="C23" s="16" t="s">
        <v>420</v>
      </c>
      <c r="D23" s="16" t="s">
        <v>1</v>
      </c>
      <c r="E23" s="281" t="s">
        <v>661</v>
      </c>
      <c r="F23" s="281" t="s">
        <v>661</v>
      </c>
      <c r="G23" s="281" t="s">
        <v>661</v>
      </c>
      <c r="H23" s="281" t="s">
        <v>661</v>
      </c>
      <c r="I23" s="281" t="s">
        <v>661</v>
      </c>
      <c r="J23" s="281" t="s">
        <v>661</v>
      </c>
      <c r="K23" s="281" t="s">
        <v>661</v>
      </c>
      <c r="L23" s="281" t="s">
        <v>661</v>
      </c>
      <c r="M23" s="281" t="s">
        <v>661</v>
      </c>
      <c r="N23" s="281" t="s">
        <v>661</v>
      </c>
      <c r="O23" s="8"/>
      <c r="P23" s="7"/>
      <c r="Q23" s="7"/>
      <c r="R23" s="7"/>
      <c r="S23" s="124" t="s">
        <v>168</v>
      </c>
      <c r="T23" s="32" t="s">
        <v>368</v>
      </c>
    </row>
    <row r="24" spans="2:20" ht="46.5" customHeight="1">
      <c r="B24" s="433"/>
      <c r="C24" s="16" t="s">
        <v>227</v>
      </c>
      <c r="D24" s="16" t="s">
        <v>1</v>
      </c>
      <c r="E24" s="281" t="s">
        <v>661</v>
      </c>
      <c r="F24" s="281" t="s">
        <v>661</v>
      </c>
      <c r="G24" s="281" t="s">
        <v>661</v>
      </c>
      <c r="H24" s="281" t="s">
        <v>661</v>
      </c>
      <c r="I24" s="281" t="s">
        <v>661</v>
      </c>
      <c r="J24" s="281" t="s">
        <v>661</v>
      </c>
      <c r="K24" s="281" t="s">
        <v>661</v>
      </c>
      <c r="L24" s="281" t="s">
        <v>661</v>
      </c>
      <c r="M24" s="281" t="s">
        <v>661</v>
      </c>
      <c r="N24" s="281" t="s">
        <v>661</v>
      </c>
      <c r="O24" s="8"/>
      <c r="P24" s="7"/>
      <c r="Q24" s="7"/>
      <c r="R24" s="7"/>
      <c r="S24" s="124" t="s">
        <v>168</v>
      </c>
      <c r="T24" s="32" t="s">
        <v>368</v>
      </c>
    </row>
    <row r="25" spans="2:20" ht="46.5" customHeight="1">
      <c r="B25" s="433"/>
      <c r="C25" s="16" t="s">
        <v>228</v>
      </c>
      <c r="D25" s="16" t="s">
        <v>1</v>
      </c>
      <c r="E25" s="281" t="s">
        <v>661</v>
      </c>
      <c r="F25" s="281" t="s">
        <v>661</v>
      </c>
      <c r="G25" s="281" t="s">
        <v>661</v>
      </c>
      <c r="H25" s="281" t="s">
        <v>661</v>
      </c>
      <c r="I25" s="281" t="s">
        <v>661</v>
      </c>
      <c r="J25" s="281" t="s">
        <v>661</v>
      </c>
      <c r="K25" s="281" t="s">
        <v>661</v>
      </c>
      <c r="L25" s="281" t="s">
        <v>661</v>
      </c>
      <c r="M25" s="281" t="s">
        <v>661</v>
      </c>
      <c r="N25" s="281" t="s">
        <v>661</v>
      </c>
      <c r="O25" s="8"/>
      <c r="P25" s="7"/>
      <c r="Q25" s="7"/>
      <c r="R25" s="7"/>
      <c r="S25" s="124" t="s">
        <v>168</v>
      </c>
      <c r="T25" s="32" t="s">
        <v>368</v>
      </c>
    </row>
    <row r="26" spans="2:20" ht="46.5" customHeight="1">
      <c r="B26" s="433"/>
      <c r="C26" s="16" t="s">
        <v>229</v>
      </c>
      <c r="D26" s="16" t="s">
        <v>1</v>
      </c>
      <c r="E26" s="281" t="s">
        <v>661</v>
      </c>
      <c r="F26" s="281" t="s">
        <v>661</v>
      </c>
      <c r="G26" s="281" t="s">
        <v>661</v>
      </c>
      <c r="H26" s="281" t="s">
        <v>661</v>
      </c>
      <c r="I26" s="281" t="s">
        <v>661</v>
      </c>
      <c r="J26" s="281" t="s">
        <v>661</v>
      </c>
      <c r="K26" s="281" t="s">
        <v>661</v>
      </c>
      <c r="L26" s="281" t="s">
        <v>661</v>
      </c>
      <c r="M26" s="281" t="s">
        <v>661</v>
      </c>
      <c r="N26" s="281" t="s">
        <v>661</v>
      </c>
      <c r="O26" s="8"/>
      <c r="P26" s="7"/>
      <c r="Q26" s="7"/>
      <c r="R26" s="7"/>
      <c r="S26" s="124" t="s">
        <v>168</v>
      </c>
      <c r="T26" s="32" t="s">
        <v>369</v>
      </c>
    </row>
    <row r="27" spans="2:20" ht="46.5" customHeight="1">
      <c r="B27" s="433"/>
      <c r="C27" s="16" t="s">
        <v>230</v>
      </c>
      <c r="D27" s="16" t="s">
        <v>1</v>
      </c>
      <c r="E27" s="281" t="s">
        <v>661</v>
      </c>
      <c r="F27" s="281" t="s">
        <v>661</v>
      </c>
      <c r="G27" s="281" t="s">
        <v>661</v>
      </c>
      <c r="H27" s="281" t="s">
        <v>661</v>
      </c>
      <c r="I27" s="281" t="s">
        <v>661</v>
      </c>
      <c r="J27" s="281" t="s">
        <v>661</v>
      </c>
      <c r="K27" s="281" t="s">
        <v>661</v>
      </c>
      <c r="L27" s="281" t="s">
        <v>661</v>
      </c>
      <c r="M27" s="281" t="s">
        <v>661</v>
      </c>
      <c r="N27" s="281" t="s">
        <v>661</v>
      </c>
      <c r="O27" s="8"/>
      <c r="P27" s="7"/>
      <c r="Q27" s="7"/>
      <c r="R27" s="7"/>
      <c r="S27" s="124" t="s">
        <v>168</v>
      </c>
      <c r="T27" s="32" t="s">
        <v>368</v>
      </c>
    </row>
    <row r="28" spans="2:20" ht="46.5" customHeight="1">
      <c r="B28" s="433"/>
      <c r="C28" s="16" t="s">
        <v>231</v>
      </c>
      <c r="D28" s="16" t="s">
        <v>1</v>
      </c>
      <c r="E28" s="281" t="s">
        <v>661</v>
      </c>
      <c r="F28" s="281" t="s">
        <v>661</v>
      </c>
      <c r="G28" s="281" t="s">
        <v>661</v>
      </c>
      <c r="H28" s="281" t="s">
        <v>661</v>
      </c>
      <c r="I28" s="281" t="s">
        <v>661</v>
      </c>
      <c r="J28" s="281" t="s">
        <v>661</v>
      </c>
      <c r="K28" s="281" t="s">
        <v>661</v>
      </c>
      <c r="L28" s="281" t="s">
        <v>661</v>
      </c>
      <c r="M28" s="281" t="s">
        <v>661</v>
      </c>
      <c r="N28" s="281" t="s">
        <v>661</v>
      </c>
      <c r="O28" s="8"/>
      <c r="P28" s="7"/>
      <c r="Q28" s="7"/>
      <c r="R28" s="7"/>
      <c r="S28" s="124" t="s">
        <v>168</v>
      </c>
      <c r="T28" s="32" t="s">
        <v>368</v>
      </c>
    </row>
    <row r="29" spans="2:20" ht="46.5" customHeight="1">
      <c r="B29" s="433"/>
      <c r="C29" s="16" t="s">
        <v>232</v>
      </c>
      <c r="D29" s="16" t="s">
        <v>1</v>
      </c>
      <c r="E29" s="281" t="s">
        <v>661</v>
      </c>
      <c r="F29" s="281" t="s">
        <v>661</v>
      </c>
      <c r="G29" s="281" t="s">
        <v>661</v>
      </c>
      <c r="H29" s="281" t="s">
        <v>661</v>
      </c>
      <c r="I29" s="281" t="s">
        <v>661</v>
      </c>
      <c r="J29" s="281" t="s">
        <v>661</v>
      </c>
      <c r="K29" s="281" t="s">
        <v>661</v>
      </c>
      <c r="L29" s="281" t="s">
        <v>661</v>
      </c>
      <c r="M29" s="281" t="s">
        <v>661</v>
      </c>
      <c r="N29" s="281" t="s">
        <v>661</v>
      </c>
      <c r="O29" s="8"/>
      <c r="P29" s="7"/>
      <c r="Q29" s="7"/>
      <c r="R29" s="7"/>
      <c r="S29" s="124" t="s">
        <v>168</v>
      </c>
      <c r="T29" s="32" t="s">
        <v>369</v>
      </c>
    </row>
    <row r="30" spans="2:20" ht="46.5" customHeight="1">
      <c r="B30" s="433"/>
      <c r="C30" s="62" t="s">
        <v>421</v>
      </c>
      <c r="D30" s="16" t="s">
        <v>61</v>
      </c>
      <c r="E30" s="281" t="s">
        <v>661</v>
      </c>
      <c r="F30" s="281" t="s">
        <v>661</v>
      </c>
      <c r="G30" s="281" t="s">
        <v>661</v>
      </c>
      <c r="H30" s="281" t="s">
        <v>661</v>
      </c>
      <c r="I30" s="281" t="s">
        <v>661</v>
      </c>
      <c r="J30" s="281" t="s">
        <v>661</v>
      </c>
      <c r="K30" s="281" t="s">
        <v>661</v>
      </c>
      <c r="L30" s="281" t="s">
        <v>661</v>
      </c>
      <c r="M30" s="281" t="s">
        <v>661</v>
      </c>
      <c r="N30" s="281" t="s">
        <v>661</v>
      </c>
      <c r="O30" s="8"/>
      <c r="P30" s="8"/>
      <c r="Q30" s="8"/>
      <c r="R30" s="8"/>
      <c r="S30" s="124" t="s">
        <v>168</v>
      </c>
      <c r="T30" s="32" t="s">
        <v>369</v>
      </c>
    </row>
    <row r="31" spans="2:20" ht="46.5" customHeight="1" thickBot="1">
      <c r="B31" s="432"/>
      <c r="C31" s="63" t="s">
        <v>422</v>
      </c>
      <c r="D31" s="21" t="s">
        <v>1</v>
      </c>
      <c r="E31" s="284" t="s">
        <v>661</v>
      </c>
      <c r="F31" s="284" t="s">
        <v>661</v>
      </c>
      <c r="G31" s="284" t="s">
        <v>661</v>
      </c>
      <c r="H31" s="284" t="s">
        <v>661</v>
      </c>
      <c r="I31" s="284" t="s">
        <v>661</v>
      </c>
      <c r="J31" s="284" t="s">
        <v>661</v>
      </c>
      <c r="K31" s="284" t="s">
        <v>661</v>
      </c>
      <c r="L31" s="284" t="s">
        <v>661</v>
      </c>
      <c r="M31" s="284" t="s">
        <v>661</v>
      </c>
      <c r="N31" s="284" t="s">
        <v>661</v>
      </c>
      <c r="O31" s="36"/>
      <c r="P31" s="37"/>
      <c r="Q31" s="37"/>
      <c r="R31" s="37"/>
      <c r="S31" s="124" t="s">
        <v>168</v>
      </c>
      <c r="T31" s="32" t="s">
        <v>369</v>
      </c>
    </row>
    <row r="32" spans="2:20" ht="46.5" customHeight="1">
      <c r="B32" s="431" t="s">
        <v>233</v>
      </c>
      <c r="C32" s="136" t="s">
        <v>423</v>
      </c>
      <c r="D32" s="90" t="s">
        <v>237</v>
      </c>
      <c r="E32" s="283" t="s">
        <v>661</v>
      </c>
      <c r="F32" s="283" t="s">
        <v>661</v>
      </c>
      <c r="G32" s="283" t="s">
        <v>661</v>
      </c>
      <c r="H32" s="283" t="s">
        <v>661</v>
      </c>
      <c r="I32" s="283" t="s">
        <v>661</v>
      </c>
      <c r="J32" s="283" t="s">
        <v>661</v>
      </c>
      <c r="K32" s="283" t="s">
        <v>661</v>
      </c>
      <c r="L32" s="283" t="s">
        <v>661</v>
      </c>
      <c r="M32" s="283" t="s">
        <v>661</v>
      </c>
      <c r="N32" s="283" t="s">
        <v>661</v>
      </c>
      <c r="O32" s="68"/>
      <c r="P32" s="66"/>
      <c r="Q32" s="66"/>
      <c r="R32" s="66"/>
      <c r="S32" s="135" t="s">
        <v>168</v>
      </c>
      <c r="T32" s="32" t="s">
        <v>368</v>
      </c>
    </row>
    <row r="33" spans="2:20" ht="46.5" customHeight="1" thickBot="1">
      <c r="B33" s="432"/>
      <c r="C33" s="137" t="s">
        <v>236</v>
      </c>
      <c r="D33" s="51" t="s">
        <v>237</v>
      </c>
      <c r="E33" s="284" t="s">
        <v>661</v>
      </c>
      <c r="F33" s="284" t="s">
        <v>661</v>
      </c>
      <c r="G33" s="284" t="s">
        <v>661</v>
      </c>
      <c r="H33" s="284" t="s">
        <v>661</v>
      </c>
      <c r="I33" s="284" t="s">
        <v>661</v>
      </c>
      <c r="J33" s="284" t="s">
        <v>661</v>
      </c>
      <c r="K33" s="284" t="s">
        <v>661</v>
      </c>
      <c r="L33" s="284" t="s">
        <v>661</v>
      </c>
      <c r="M33" s="284" t="s">
        <v>661</v>
      </c>
      <c r="N33" s="284" t="s">
        <v>661</v>
      </c>
      <c r="O33" s="36"/>
      <c r="P33" s="37"/>
      <c r="Q33" s="37"/>
      <c r="R33" s="37"/>
      <c r="S33" s="140" t="s">
        <v>168</v>
      </c>
      <c r="T33" s="32" t="s">
        <v>368</v>
      </c>
    </row>
    <row r="34" spans="2:20" ht="46.5" customHeight="1">
      <c r="B34" s="312" t="s">
        <v>238</v>
      </c>
      <c r="C34" s="102" t="s">
        <v>12</v>
      </c>
      <c r="D34" s="103" t="s">
        <v>34</v>
      </c>
      <c r="E34" s="283" t="s">
        <v>661</v>
      </c>
      <c r="F34" s="283" t="s">
        <v>661</v>
      </c>
      <c r="G34" s="283" t="s">
        <v>661</v>
      </c>
      <c r="H34" s="283" t="s">
        <v>661</v>
      </c>
      <c r="I34" s="283" t="s">
        <v>661</v>
      </c>
      <c r="J34" s="283" t="s">
        <v>661</v>
      </c>
      <c r="K34" s="283" t="s">
        <v>661</v>
      </c>
      <c r="L34" s="283" t="s">
        <v>661</v>
      </c>
      <c r="M34" s="283" t="s">
        <v>661</v>
      </c>
      <c r="N34" s="283" t="s">
        <v>661</v>
      </c>
      <c r="O34" s="283" t="s">
        <v>661</v>
      </c>
      <c r="P34" s="66"/>
      <c r="Q34" s="66"/>
      <c r="R34" s="66"/>
      <c r="S34" s="140" t="s">
        <v>168</v>
      </c>
      <c r="T34" s="73" t="s">
        <v>684</v>
      </c>
    </row>
    <row r="35" spans="2:20" ht="46.5" customHeight="1">
      <c r="B35" s="313"/>
      <c r="C35" s="16" t="s">
        <v>15</v>
      </c>
      <c r="D35" s="4" t="s">
        <v>33</v>
      </c>
      <c r="E35" s="281" t="s">
        <v>661</v>
      </c>
      <c r="F35" s="281" t="s">
        <v>661</v>
      </c>
      <c r="G35" s="281" t="s">
        <v>661</v>
      </c>
      <c r="H35" s="281" t="s">
        <v>661</v>
      </c>
      <c r="I35" s="281" t="s">
        <v>661</v>
      </c>
      <c r="J35" s="281" t="s">
        <v>661</v>
      </c>
      <c r="K35" s="281" t="s">
        <v>661</v>
      </c>
      <c r="L35" s="281" t="s">
        <v>661</v>
      </c>
      <c r="M35" s="281" t="s">
        <v>661</v>
      </c>
      <c r="N35" s="281" t="s">
        <v>661</v>
      </c>
      <c r="O35" s="281" t="s">
        <v>661</v>
      </c>
      <c r="P35" s="7"/>
      <c r="Q35" s="7"/>
      <c r="R35" s="7"/>
      <c r="S35" s="140" t="s">
        <v>168</v>
      </c>
      <c r="T35" s="32" t="s">
        <v>684</v>
      </c>
    </row>
    <row r="36" spans="2:20" ht="46.5" customHeight="1">
      <c r="B36" s="313"/>
      <c r="C36" s="62" t="s">
        <v>21</v>
      </c>
      <c r="D36" s="4" t="s">
        <v>39</v>
      </c>
      <c r="E36" s="281" t="s">
        <v>661</v>
      </c>
      <c r="F36" s="281" t="s">
        <v>661</v>
      </c>
      <c r="G36" s="281" t="s">
        <v>661</v>
      </c>
      <c r="H36" s="281" t="s">
        <v>661</v>
      </c>
      <c r="I36" s="281" t="s">
        <v>661</v>
      </c>
      <c r="J36" s="281" t="s">
        <v>661</v>
      </c>
      <c r="K36" s="281" t="s">
        <v>661</v>
      </c>
      <c r="L36" s="281" t="s">
        <v>661</v>
      </c>
      <c r="M36" s="281" t="s">
        <v>661</v>
      </c>
      <c r="N36" s="281" t="s">
        <v>661</v>
      </c>
      <c r="O36" s="281" t="s">
        <v>661</v>
      </c>
      <c r="P36" s="7"/>
      <c r="Q36" s="7"/>
      <c r="R36" s="7"/>
      <c r="S36" s="140" t="s">
        <v>168</v>
      </c>
      <c r="T36" s="32" t="s">
        <v>685</v>
      </c>
    </row>
    <row r="37" spans="2:20" ht="46.5" customHeight="1">
      <c r="B37" s="313"/>
      <c r="C37" s="62" t="s">
        <v>424</v>
      </c>
      <c r="D37" s="4" t="s">
        <v>39</v>
      </c>
      <c r="E37" s="281" t="s">
        <v>661</v>
      </c>
      <c r="F37" s="281" t="s">
        <v>661</v>
      </c>
      <c r="G37" s="281" t="s">
        <v>661</v>
      </c>
      <c r="H37" s="281" t="s">
        <v>661</v>
      </c>
      <c r="I37" s="281" t="s">
        <v>661</v>
      </c>
      <c r="J37" s="281" t="s">
        <v>661</v>
      </c>
      <c r="K37" s="281" t="s">
        <v>661</v>
      </c>
      <c r="L37" s="281" t="s">
        <v>661</v>
      </c>
      <c r="M37" s="281" t="s">
        <v>661</v>
      </c>
      <c r="N37" s="281" t="s">
        <v>661</v>
      </c>
      <c r="O37" s="281" t="s">
        <v>661</v>
      </c>
      <c r="P37" s="8"/>
      <c r="Q37" s="8"/>
      <c r="R37" s="8"/>
      <c r="S37" s="140" t="s">
        <v>168</v>
      </c>
      <c r="T37" s="32" t="s">
        <v>686</v>
      </c>
    </row>
    <row r="38" spans="2:20" ht="46.5" customHeight="1">
      <c r="B38" s="313"/>
      <c r="C38" s="62" t="s">
        <v>108</v>
      </c>
      <c r="D38" s="4" t="s">
        <v>1</v>
      </c>
      <c r="E38" s="281" t="s">
        <v>661</v>
      </c>
      <c r="F38" s="281" t="s">
        <v>661</v>
      </c>
      <c r="G38" s="281" t="s">
        <v>661</v>
      </c>
      <c r="H38" s="281" t="s">
        <v>661</v>
      </c>
      <c r="I38" s="281" t="s">
        <v>661</v>
      </c>
      <c r="J38" s="281" t="s">
        <v>661</v>
      </c>
      <c r="K38" s="281" t="s">
        <v>661</v>
      </c>
      <c r="L38" s="281" t="s">
        <v>661</v>
      </c>
      <c r="M38" s="281" t="s">
        <v>661</v>
      </c>
      <c r="N38" s="281" t="s">
        <v>661</v>
      </c>
      <c r="O38" s="281" t="s">
        <v>661</v>
      </c>
      <c r="P38" s="7"/>
      <c r="Q38" s="7"/>
      <c r="R38" s="7"/>
      <c r="S38" s="140" t="s">
        <v>168</v>
      </c>
      <c r="T38" s="32" t="s">
        <v>687</v>
      </c>
    </row>
    <row r="39" spans="2:20" ht="46.5" customHeight="1">
      <c r="B39" s="313"/>
      <c r="C39" s="62" t="s">
        <v>13</v>
      </c>
      <c r="D39" s="16" t="s">
        <v>41</v>
      </c>
      <c r="E39" s="281" t="s">
        <v>661</v>
      </c>
      <c r="F39" s="281" t="s">
        <v>661</v>
      </c>
      <c r="G39" s="281" t="s">
        <v>661</v>
      </c>
      <c r="H39" s="281" t="s">
        <v>661</v>
      </c>
      <c r="I39" s="281" t="s">
        <v>661</v>
      </c>
      <c r="J39" s="281" t="s">
        <v>661</v>
      </c>
      <c r="K39" s="281" t="s">
        <v>661</v>
      </c>
      <c r="L39" s="281" t="s">
        <v>661</v>
      </c>
      <c r="M39" s="281" t="s">
        <v>661</v>
      </c>
      <c r="N39" s="281" t="s">
        <v>661</v>
      </c>
      <c r="O39" s="281" t="s">
        <v>661</v>
      </c>
      <c r="P39" s="8"/>
      <c r="Q39" s="8"/>
      <c r="R39" s="8"/>
      <c r="S39" s="140" t="s">
        <v>168</v>
      </c>
      <c r="T39" s="32" t="s">
        <v>686</v>
      </c>
    </row>
    <row r="40" spans="2:20" ht="46.5" customHeight="1">
      <c r="B40" s="313"/>
      <c r="C40" s="62" t="s">
        <v>239</v>
      </c>
      <c r="D40" s="4" t="s">
        <v>5</v>
      </c>
      <c r="E40" s="281" t="s">
        <v>661</v>
      </c>
      <c r="F40" s="281" t="s">
        <v>661</v>
      </c>
      <c r="G40" s="281" t="s">
        <v>661</v>
      </c>
      <c r="H40" s="281" t="s">
        <v>661</v>
      </c>
      <c r="I40" s="281" t="s">
        <v>661</v>
      </c>
      <c r="J40" s="281" t="s">
        <v>661</v>
      </c>
      <c r="K40" s="281" t="s">
        <v>661</v>
      </c>
      <c r="L40" s="281" t="s">
        <v>661</v>
      </c>
      <c r="M40" s="281" t="s">
        <v>661</v>
      </c>
      <c r="N40" s="281" t="s">
        <v>661</v>
      </c>
      <c r="O40" s="281" t="s">
        <v>661</v>
      </c>
      <c r="P40" s="8"/>
      <c r="Q40" s="7"/>
      <c r="R40" s="7"/>
      <c r="S40" s="119">
        <v>34</v>
      </c>
      <c r="T40" s="32" t="s">
        <v>682</v>
      </c>
    </row>
    <row r="41" spans="2:20" ht="46.5" customHeight="1" thickBot="1">
      <c r="B41" s="314"/>
      <c r="C41" s="74" t="s">
        <v>22</v>
      </c>
      <c r="D41" s="115" t="s">
        <v>39</v>
      </c>
      <c r="E41" s="284" t="s">
        <v>661</v>
      </c>
      <c r="F41" s="284" t="s">
        <v>661</v>
      </c>
      <c r="G41" s="284" t="s">
        <v>661</v>
      </c>
      <c r="H41" s="284" t="s">
        <v>661</v>
      </c>
      <c r="I41" s="284" t="s">
        <v>661</v>
      </c>
      <c r="J41" s="284" t="s">
        <v>661</v>
      </c>
      <c r="K41" s="284" t="s">
        <v>661</v>
      </c>
      <c r="L41" s="284" t="s">
        <v>661</v>
      </c>
      <c r="M41" s="284" t="s">
        <v>661</v>
      </c>
      <c r="N41" s="284" t="s">
        <v>661</v>
      </c>
      <c r="O41" s="284" t="s">
        <v>661</v>
      </c>
      <c r="P41" s="75"/>
      <c r="Q41" s="75"/>
      <c r="R41" s="75"/>
      <c r="S41" s="120">
        <v>34</v>
      </c>
      <c r="T41" s="78" t="s">
        <v>683</v>
      </c>
    </row>
    <row r="42" spans="2:20" ht="46.5" customHeight="1">
      <c r="E42" s="285"/>
      <c r="F42" s="285"/>
      <c r="G42" s="285"/>
      <c r="H42" s="285"/>
      <c r="I42" s="285"/>
      <c r="J42" s="285"/>
      <c r="K42" s="285"/>
      <c r="L42" s="285"/>
      <c r="M42" s="285"/>
      <c r="N42" s="285"/>
      <c r="O42" s="285"/>
    </row>
  </sheetData>
  <sheetProtection sheet="1" objects="1" scenarios="1"/>
  <mergeCells count="18">
    <mergeCell ref="B1:D1"/>
    <mergeCell ref="E1:R1"/>
    <mergeCell ref="S1:T1"/>
    <mergeCell ref="D2:D5"/>
    <mergeCell ref="E2:G2"/>
    <mergeCell ref="B2:B5"/>
    <mergeCell ref="C2:C5"/>
    <mergeCell ref="H2:N2"/>
    <mergeCell ref="Q2:R2"/>
    <mergeCell ref="S2:T3"/>
    <mergeCell ref="E4:R4"/>
    <mergeCell ref="T4:T5"/>
    <mergeCell ref="S4:S5"/>
    <mergeCell ref="B6:B9"/>
    <mergeCell ref="B10:B11"/>
    <mergeCell ref="B12:B31"/>
    <mergeCell ref="B32:B33"/>
    <mergeCell ref="B34:B4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R&amp;CA - New 2021</vt:lpstr>
      <vt:lpstr>Rules List</vt:lpstr>
      <vt:lpstr>R&amp;CA - Amendments Record</vt:lpstr>
      <vt:lpstr>R&amp;CA - Original 2020</vt:lpstr>
      <vt:lpstr>Descoped TM Rules - 2021</vt:lpstr>
    </vt:vector>
  </TitlesOfParts>
  <Company>KPMG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KPMG UK LLP</dc:creator>
  <cp:lastModifiedBy>Ian Marley</cp:lastModifiedBy>
  <cp:lastPrinted>2021-03-01T17:07:30Z</cp:lastPrinted>
  <dcterms:created xsi:type="dcterms:W3CDTF">2019-10-04T15:53:11Z</dcterms:created>
  <dcterms:modified xsi:type="dcterms:W3CDTF">2025-09-30T08:23:38Z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3d647f1-c668-4462-9442-3dffe667dcae_Enabled">
    <vt:lpwstr>true</vt:lpwstr>
  </property>
  <property fmtid="{D5CDD505-2E9C-101B-9397-08002B2CF9AE}" pid="3" name="MSIP_Label_93d647f1-c668-4462-9442-3dffe667dcae_SetDate">
    <vt:lpwstr>2021-02-12T17:32:06Z</vt:lpwstr>
  </property>
  <property fmtid="{D5CDD505-2E9C-101B-9397-08002B2CF9AE}" pid="4" name="MSIP_Label_93d647f1-c668-4462-9442-3dffe667dcae_Method">
    <vt:lpwstr>Privileged</vt:lpwstr>
  </property>
  <property fmtid="{D5CDD505-2E9C-101B-9397-08002B2CF9AE}" pid="5" name="MSIP_Label_93d647f1-c668-4462-9442-3dffe667dcae_Name">
    <vt:lpwstr>NBS Internal - No Visible Label</vt:lpwstr>
  </property>
  <property fmtid="{D5CDD505-2E9C-101B-9397-08002B2CF9AE}" pid="6" name="MSIP_Label_93d647f1-c668-4462-9442-3dffe667dcae_SiteId">
    <vt:lpwstr>18ed93f5-e470-4996-b0ef-9554af985d50</vt:lpwstr>
  </property>
  <property fmtid="{D5CDD505-2E9C-101B-9397-08002B2CF9AE}" pid="7" name="MSIP_Label_93d647f1-c668-4462-9442-3dffe667dcae_ActionId">
    <vt:lpwstr>4e0204ba-e666-451f-9749-a635f2c74a74</vt:lpwstr>
  </property>
  <property fmtid="{D5CDD505-2E9C-101B-9397-08002B2CF9AE}" pid="8" name="MSIP_Label_93d647f1-c668-4462-9442-3dffe667dcae_ContentBits">
    <vt:lpwstr>0</vt:lpwstr>
  </property>
</Properties>
</file>